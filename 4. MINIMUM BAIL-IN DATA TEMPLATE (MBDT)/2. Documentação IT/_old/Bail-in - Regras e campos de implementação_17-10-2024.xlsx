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mc:AlternateContent xmlns:mc="http://schemas.openxmlformats.org/markup-compatibility/2006">
    <mc:Choice Requires="x15">
      <x15ac:absPath xmlns:x15ac="http://schemas.microsoft.com/office/spreadsheetml/2010/11/ac" url="C:\Users\e858309\Santander Office 365\Reports Financeira - General\4. MINIMUM BAIL-IN DATA TEMPLATE (MBDT)\1. Documentação\2. Documentação IT\"/>
    </mc:Choice>
  </mc:AlternateContent>
  <xr:revisionPtr revIDLastSave="16" documentId="11_7D231CB71B0FE4031442D71CF8E755B0D371CDB4" xr6:coauthVersionLast="47" xr6:coauthVersionMax="47" xr10:uidLastSave="{1B645349-2837-4D25-9D6D-D6E139A9F2BD}"/>
  <bookViews>
    <workbookView xWindow="-23130" yWindow="-90" windowWidth="23235" windowHeight="12555" tabRatio="745" firstSheet="1" activeTab="1" xr2:uid="{00000000-000D-0000-FFFF-FFFF00000000}"/>
  </bookViews>
  <sheets>
    <sheet name="PDS" sheetId="6" r:id="rId1"/>
    <sheet name="Mapeamentos" sheetId="1" r:id="rId2"/>
    <sheet name="Notas Financeira" sheetId="7" r:id="rId3"/>
  </sheets>
  <definedNames>
    <definedName name="_xlnm._FilterDatabase" localSheetId="1" hidden="1">Mapeamentos!$A$3:$R$56</definedName>
    <definedName name="_xlnm._FilterDatabase" localSheetId="0" hidden="1">PDS!#REF!</definedName>
    <definedName name="_Toc51154475" localSheetId="1">Mapeamentos!$B$3</definedName>
    <definedName name="_Toc51154475" localSheetId="0">PDS!#REF!</definedName>
    <definedName name="_Toc51154476" localSheetId="1">Mapeamentos!#REF!</definedName>
    <definedName name="_Toc51154476" localSheetId="0">PDS!#REF!</definedName>
    <definedName name="_Toc51154477" localSheetId="1">Mapeamentos!#REF!</definedName>
    <definedName name="_Toc51154477" localSheetId="0">PDS!#REF!</definedName>
    <definedName name="_Toc51154478" localSheetId="1">Mapeamentos!#REF!</definedName>
    <definedName name="_Toc51154478" localSheetId="0">PDS!#REF!</definedName>
    <definedName name="_Toc51154479" localSheetId="1">Mapeamentos!#REF!</definedName>
    <definedName name="_Toc51154479" localSheetId="0">PDS!#REF!</definedName>
    <definedName name="_Toc51154480" localSheetId="1">Mapeamentos!#REF!</definedName>
    <definedName name="_Toc51154480" localSheetId="0">PDS!#REF!</definedName>
    <definedName name="_Toc51154482" localSheetId="1">Mapeamentos!#REF!</definedName>
    <definedName name="_Toc51154482" localSheetId="0">PDS!#REF!</definedName>
    <definedName name="_Toc51154483" localSheetId="1">Mapeamentos!#REF!</definedName>
    <definedName name="_Toc51154483" localSheetId="0">PDS!#REF!</definedName>
    <definedName name="_Toc51154484" localSheetId="1">Mapeamentos!#REF!</definedName>
    <definedName name="_Toc51154484" localSheetId="0">PDS!#REF!</definedName>
    <definedName name="_Toc51154485" localSheetId="1">Mapeamentos!#REF!</definedName>
    <definedName name="_Toc51154485" localSheetId="0">PDS!#REF!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C5" i="1"/>
  <c r="C6" i="1" s="1"/>
  <c r="C7" i="1" s="1"/>
  <c r="C8" i="1" s="1"/>
  <c r="C9" i="1" s="1"/>
  <c r="C10" i="1" s="1"/>
  <c r="C11" i="1" s="1"/>
  <c r="C12" i="1" s="1"/>
  <c r="C13" i="1" s="1"/>
  <c r="C14" i="1" s="1"/>
  <c r="C15" i="1" s="1"/>
  <c r="C16" i="1" s="1"/>
  <c r="C9" i="6"/>
</calcChain>
</file>

<file path=xl/sharedStrings.xml><?xml version="1.0" encoding="utf-8"?>
<sst xmlns="http://schemas.openxmlformats.org/spreadsheetml/2006/main" count="445" uniqueCount="258">
  <si>
    <t>Tipo</t>
  </si>
  <si>
    <t>Total</t>
  </si>
  <si>
    <t>4.2.1. DATA POINTS FOR IDENTIFICATION</t>
  </si>
  <si>
    <t>4.2.2. DATA POINTS FOR LINK WITH OWN FUNDS</t>
  </si>
  <si>
    <t>4.2.3. DATA POINTS FOR LINK WITH ACCOUNTING</t>
  </si>
  <si>
    <t>4.2.4. DATA POINTS FOR AMOUNTS REQUIRED FOR CALCULATION</t>
  </si>
  <si>
    <t>4.2.5. DATA POINTS FOR INFORMATION ON THE INVESTOR/CREDITOR</t>
  </si>
  <si>
    <t>4.2.6. DATA POINTS FOR GUARANTEES</t>
  </si>
  <si>
    <t>Instruções SRB</t>
  </si>
  <si>
    <t>Análise IT</t>
  </si>
  <si>
    <t>Mapeamento Financeira</t>
  </si>
  <si>
    <t>SRB_ID</t>
  </si>
  <si>
    <t>Data Point</t>
  </si>
  <si>
    <t>Attribute</t>
  </si>
  <si>
    <t>Definition</t>
  </si>
  <si>
    <t>Pertence/ Não Pertence ao novo Bail-in?</t>
  </si>
  <si>
    <t>Nome do campo na tabela</t>
  </si>
  <si>
    <t>Nome do campo no ficheiro</t>
  </si>
  <si>
    <t>Mapeamento LT / Comentários</t>
  </si>
  <si>
    <t>Description  LT</t>
  </si>
  <si>
    <t>Field Definition LT</t>
  </si>
  <si>
    <t>Estado especificação</t>
  </si>
  <si>
    <t>Tabela Data Lake</t>
  </si>
  <si>
    <t>Campo Data Lake</t>
  </si>
  <si>
    <t>Comentário</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</si>
  <si>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</si>
  <si>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</si>
  <si>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</si>
  <si>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1 - Pertence ao novo Bail-in</t>
  </si>
  <si>
    <t>LT002_INSTRUMENT.OBSRVD_AGNT_NM
Confirmar com LCM se se pode usar este campo. Este campo é fixo com 'BANCO SANTANDER TOTTA SA' e é um descritivo do campo 'OBSRVD_AGNT_ID' também ele fixo com '0018'. Contudo, este campo não está preparado para outras Entidades como Totta Ireland. Mas para o report Bail-in serve dado que este report é apenas para o 'BANCO SANTANDER TOTTA SA'
Description LT: Observed Agent Name
Field Definition / Additional Guidance (new) LT: Counterparty name for the observed agent. If there are several observed agents to be reported please separate by comma (,).
Reunião 2024/02/10 Luís Capitão-Mor, Pedro Mendes:
Novo campo LT002_INSTRUMENT.ENTIDADE_DESC
Este novo campo converterá o campo LT002_INSTRUMENT.ENTIDADE que contem os códigos de Entidade Locais (00100, 00110, ...) para o respetivo descritivo (BANCO SANTANDER TOTTA
, SANTANDER-PENSOES-SOC.GEST.FUNDOS , ...). Para tal, será necessário recorrer à tabela cd_captools.perimetro ligando o campo LT002_INSTRUMENT.ENTIDADE com o campo "cod_soc_cpus", e obter o campo "descricao".
Nota: Falar com Pedro Mendes, Luís Capitão-Mor dado que o 00100 está a ser convertido para BANCO SANTANDER TOTTA e não para BANCO SANTANDER TOTTA SA. É tema? (na definição do campo falam em ".. including the indication of the incorporation form.")</t>
  </si>
  <si>
    <t>Campo Fixo - "Banco Santander Totta S.A."</t>
  </si>
  <si>
    <t>Legal entity identifier</t>
  </si>
  <si>
    <t>[LEI code]</t>
  </si>
  <si>
    <t>LEI code (unique code) identifying the reporting entity.</t>
  </si>
  <si>
    <t xml:space="preserve">Novo campo "LEI_RPRTNG_ENTTY".
Parte-se do campo entidade (codigo local) da LT002 -&gt; identificam-se os zclientes de cada Entidade atraves da tabela clientes_intragrupo -&gt; depois na ct003 identificam-se os ccli_grupos desses zclientes. -&gt; depois na ct003 identificam-se os zclientes desses ccli_grupos -&gt; depois retiram-se os zclientes que têm clei='#'. Depois tem de se aplicar a mesma regra que hoje em dia se aplica no campo lei da lt003. (fazem o max no caso de haver mais do que 1 lei)
Problema: Para a entidade 00100 (que será a única deste report) seguindo os passos acima não vamos obter  nenhum lei, isto porque o zcliente associado tem lei='#'
</t>
  </si>
  <si>
    <t>Campo Fixo - "549300URJH9VSI58CS32"</t>
  </si>
  <si>
    <t xml:space="preserve">Unique identification number for the liability </t>
  </si>
  <si>
    <t>[ISIN/Specific ID]</t>
  </si>
  <si>
    <t>ID provided by the resolution entity for a  liability (e.g. ISIN, contract number, account number).</t>
  </si>
  <si>
    <t>LT002_INSTRUMENT.INSTRMNT_ID
Existe também o LT002_INSTRUMENT.ISIN mas o report terá outros passivos que não títulos (em que não existe ISIN). Falar com Pedro Mendes.</t>
  </si>
  <si>
    <t>Instrument ID</t>
  </si>
  <si>
    <t>LT002_INSTRUMENT.INSTRMNT_ID: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</si>
  <si>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 xml:space="preserve">AL029_CNT_CORE / AL030_SLD_CORE_M
CT610_titulos </t>
  </si>
  <si>
    <t>Chave cempresa_cbalcao_cnumecta_zdeposit para ALM
isin para emissões (títulos)</t>
  </si>
  <si>
    <t>Para todos os produtos menos emissões (títulos)
Para emissões (títulos)</t>
  </si>
  <si>
    <t>Nature of the instrument</t>
  </si>
  <si>
    <t>[e.g. bond, shares, reserves, contingent liability]</t>
  </si>
  <si>
    <t>Information on the nature of the liability</t>
  </si>
  <si>
    <t>Ver construção dos 2 campos
LT002_INSTRUMENT.TYP_INSTRMNT: Aparenta ter opções de Ativo (o que é natural dado que o LT é sobre ativo)
LT002_INSTRUMENT.INTRNL_SGMNT_CATGSUB
PRDCT ou os campos de  INTRNL_SGMNT% ou um campo de qq coisa_type</t>
  </si>
  <si>
    <t>cproduto / csubproduto / origem
Origem</t>
  </si>
  <si>
    <t xml:space="preserve">Code list dependendo do produto </t>
  </si>
  <si>
    <t>Jurisdiction governing the contract of the claim</t>
  </si>
  <si>
    <t>[e.g. FR, IT]</t>
  </si>
  <si>
    <t>ISO 3166-1 alpha 2-country code.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</si>
  <si>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Derivados, títulos, REPOs (passarão a vir da al012, falar com Barata), falar com Pedro Melo e Castro (depósitos) para garantir se é tudo PT..
Loans/Depos
Validar se existe mais alguma tipologia de passivo.
Reunião Confirmar com Pedro Henriques, rogério, sandra santos -&gt; se existe o conceito/campo de governing law no SIGOM.
'Ver campo "governing_law" na sheet Derivados do Report Valuation</t>
  </si>
  <si>
    <t xml:space="preserve">CT610_titulos </t>
  </si>
  <si>
    <t>lei_aplicavel</t>
  </si>
  <si>
    <t>Para todos os produtos menos emissões (títulos) - "PT"
Para emissões (títulos)</t>
  </si>
  <si>
    <t>Contract currency</t>
  </si>
  <si>
    <t>[e.g. EUR, USD]</t>
  </si>
  <si>
    <t>ISO 4217 currency code. The currency in which the instrument is issued.</t>
  </si>
  <si>
    <t>LT002_INSTRUMENT.CRRNCY_DNMNTN</t>
  </si>
  <si>
    <t>Currency denomination</t>
  </si>
  <si>
    <t>Currency denomination of instruments, in accordance with the ISO 4217 standard.</t>
  </si>
  <si>
    <t>cmoeda_pass
cmoeda</t>
  </si>
  <si>
    <t>Issuance Date</t>
  </si>
  <si>
    <t>[date]</t>
  </si>
  <si>
    <t>Date of the original issuance of the instrument</t>
  </si>
  <si>
    <t>LT002_INSTRUMENT.DT_INCPTN</t>
  </si>
  <si>
    <t>Date of inception</t>
  </si>
  <si>
    <t>The date on which the contractual relationship originated, i.e. the date on which the contract agreement becomes binding for all parties</t>
  </si>
  <si>
    <t>dinicio
dt_emissão</t>
  </si>
  <si>
    <t>Legal Maturity Date</t>
  </si>
  <si>
    <t>Date of the legal, final maturity of the instrument. For perpetual instruments, this should be ‘2099-01-31’.</t>
  </si>
  <si>
    <t>LT002_INSTRUMENT.DT_LGL_FNL_MTRTY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</si>
  <si>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</si>
  <si>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</si>
  <si>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dfim
dt_vencim</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</si>
  <si>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</si>
  <si>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</si>
  <si>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Novo campo: 
- ct610 para títulos (ver quando existem mais campos de datas). Ver no sentido do holder
- depositos (ver com Andreia Pontifice), onde poderia estar esta info. (ver nas DCTs 01, 02, ...).
- flag se permite ou não mob
- 2 datas (1ª data de mobilização, próxima mobiliz.)
- ver os CRPs (
- ficaria sem preenchimento para ativo
este campo deveria ser introduzido na ct004 (e depois herdado na fr004)
- colocar este ponto na reuniao com Pedro Henriques,....
No caso das DOs, seria o dia seguinte:</t>
  </si>
  <si>
    <t>AL029_CNT_CORE / AL030_SLD_CORE_M</t>
  </si>
  <si>
    <t>Para todos produtos é o dia seguinte à data de referência com exceção de títulos emitidos e derivados que é igual</t>
  </si>
  <si>
    <t>Date of the next interest payment</t>
  </si>
  <si>
    <t>The payment date from which the income distribution is made available for payment by the bank.</t>
  </si>
  <si>
    <t>Reunião 15/10/2024: Luís Capitão-Mor, Pedro Mendes:
Tabela cd_alm.al029_cnt_core_m:
- se tipo balanço = P, buscar campo  dt_prox_liq_juros_pas   
- se tipo balanço = A, buscar campo dt_prox_liq_juros_act</t>
  </si>
  <si>
    <t>dt_prox_liq_jur_pass
dt_proc_liq_jur</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</si>
  <si>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</si>
  <si>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</si>
  <si>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</si>
  <si>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Reunião 15/10/2024: Luís Capitão-Mor, Pedro Mendes: 
'LT002_INSTRUMENT.GRSS_CRRYNG_AMNT_INSTRMNT</t>
  </si>
  <si>
    <t>Gross carrying amount</t>
  </si>
  <si>
    <t>Reported gross carrying amount for the instrument according to definition in Annex V to Implementing Regulation (EU) No 680/2014.</t>
  </si>
  <si>
    <t>mon_cap_st1_vivo</t>
  </si>
  <si>
    <t>Rank of liability 
(on- and -off balance 
sheet) within the 
national insolvency 
ranking</t>
  </si>
  <si>
    <t>[number]</t>
  </si>
  <si>
    <t>Rank of liability according to the national insolvency ranking.</t>
  </si>
  <si>
    <t xml:space="preserve">Reunião 15/10/2024: Luís Capitão-Mor, Pedro Mendes: 
- Tabela de parametrização em que os campos desta tabela representam critérios:
Esta tabela constará no bloco de resolução do Front-end na mesma localização da tabela de parametrização do campo abaixo (SRB_ID 13) 
Owner da cd_alm.fg001_fgd é a Sandra Brito
Depósitos:
-&gt; 14 Covered deposits (deposits guaranteed by the FGD, up to the coverage level): 
if ‘calinea’ = ‘#’  and flag_ativo =‘1’ and mtot_coberto_por_depositante &lt;= 100.000 (cd_alm.fg001_fgd) 
-&gt;13 Deposits that would be eligible deposits from natural persons,micro, small and medium-sized enterprises were they not made through branches located outside the EU of institutions established
within the EU
Questão: O BST tem balcões foram da União Europeia? O Totta Ireland está na Irelanda portanto pertence à União Europeia. Se não houver mais balcões fora de PT para alé do Totta Ireland, então este valor de ranking não se aplica.
-&gt; 13 Eligible deposits above EUR 100,000 held by natural persons and micro, small and medium sized enterprises.
if ‘calinea’ = ‘#’  and flag_ativo =‘1’ and mtot_coberto_por_depositante &gt; 100.000 (da tabela cd_alm.fg001_fgd) 
    if itip_cli='F' (da tabela cd_captools.ct003_univ_cli) and cod_empr_pme in ('1','2','3') (da tabela out_sme_2003_361) 
-&gt; Deposits above EUR 100,000 that are not held by natural persons and micro, small and medium sized enterprises (i.e., deposits held by larger companies and some excluded deposits, such as deposits made on behalf and for the account of credit institutions), except if such deposits result from:
• Operations pertaining to which a criminal court decision has been issued on account of money laundering;
• The depositor has not been identified pursuant to the antimoney laundering legislation in force; and
• Deposits held by persons or entities that have, in the two years before the date on which deposits became unavailable or on which a resolution measure was adopted, a direct or indirect holding which represents at least 2% of the share capital of the credit institution or have been members of the management body of the credit institution, except if proven that they did cause through their action or failure to act the financial difficulties experienced by the credit institution or helped to aggravate that situation.
if ‘calinea’ = ‘#’  and flag_ativo =‘1’ and mtot_coberto_por_depositante &gt; 100.000 (da tabela cd_alm.fg001_fgd) 
    if itip_cli='J' (da tabela cd_captools.ct003_univ_cli) and cod_empr_pme in ('0') (da tabela out_sme_2003_361) 
Segundo o documento funcional do FGD (LCM partilhou e consta na pasta do Teams da documentação):
"Os registos de depósito que beneficiam da cobertura pelo FGD podem identificar-se na tabela de output cd_alm.fg001_fgd considerando as condições ‘calinea’ = ‘#’ e flag_ativo = ‘1’, pelo que desconsiderando os registos que (i) tenham, automaticamente, a alínea (campo ‘calinea’) igual ao artigo 165º - “Depósitos excluídos da garantia” do Decreto-Lei 298/92 - Regime Geral das Instituições de Crédito e Sociedades Financeiras, ou em que (ii) o utilizador tenha excluído manualmente o respetivo titular na tabela de parametrização cd_alm.fg801_filtro_cli.
 - No PDF em anexo extraído do site de SRB, temos o Insolvency Ranking mais recente. Necessário perceber a fonte dos rankings mencionados.
 - existe o campo  rank_insolv na tabela CT610_TITULOS, contudo verifica-se que nos útlimos dois meses, existiam mais rankings NULL's do que 3 e 17:
ref_date	               rank_insolv   count(*)	
2024-09-30         	NULL	                263	
2024-09-30         	17	                  113	
2024-09-30         	3	                  8	
2024-08-31         	NULL 	         247	
2024-08-31         	3	                8	
2024-08-31         	17	             113	
</t>
  </si>
  <si>
    <t>Code list dependendo do produto</t>
  </si>
  <si>
    <t>Instrument/liability 
is issued to or 
bought by an 
existing shareholder 
that is not part of 
the same resolution 
group</t>
  </si>
  <si>
    <t>[yes/no]</t>
  </si>
  <si>
    <t>Flag to identify if a liability is issued to or bought by an existing shareholder that is not part of the same resolution group according to Article 12g(2)a point i SRMR.</t>
  </si>
  <si>
    <t>Reunião 17/10/2024: Luís Capitão-Mor, Pedro Mendes
Terá de ser criada uma Tabela de parametrização que não estará no Loan Tape (ou seja não será uma tabela LT%) dado que é transversal. Luís Capitão-Mor solicitou que se fale com o João Bernardes para discutir o nome e a BD da mesma. Conterá os seguintes campos:
Número do Grupo de Resolução, Código Entidade Cargabal, ckutulmo, htimest e ref_date. Nesta fase, a tabela será preenchida apenas para o grupo de resolução onde consta o BST (cada grupo de resolução pode ter 1 ou mais Entidades).
Esta tabela constará no Front_end no bloco "Resolução", existindo uma 3ª linha a seguir às linhas "SRB Valuation Data Set",  "SRB Bail-in Data Set" (terá de se definir o nome desta 3ª linha). Esta tabela será mensal e terá de ser atualizada automaticamente todos os meses em d+1, em que se copiará a parametrização do mês anterior. Naturalmente que o Utilizador poderá depois alterar a parametrização (tal como se faz na ct805)
A lógica será: 
1) parte-se do contrato da tabela LT001 que  tem um zcliente associado, depois converte-se esse zcliente no respetivo codigo Entidade Cargabal através da Tabela clientes_intragrupo. A ligação entre estas 2 tabelas  é feita por zcliente.  O Código da Entidade Cargabal consta no campo "consoles" da Tabela clientes_intragrupo.  
2) Verificar se esse código da Entidade Cargabal É ou NÃO É accionista? 
(O acionista do BST é o Banco Santander S.A. que tem o código da Entidade Cargabal 00001)
Condição1: Se não for accionista, ou seja, se tiver um código da Entidade Cargabal &lt;&gt; 00001  então flag='no'
Condição 2: Se for accionista, ou seja, se tiver um código da Entidade Cargabal = 00001. 
Verificar se esse código da Entidade Cargabal consta na tabela de Parametrização: 
Se constar, significa que essa entidade faz parte do mesm o grupo de resolução que o BST (isto porque nesta fase a tabela de parametrização será preenchida apenas para o grupo de resolução onde consta o BST), então flag='no'
Se não constar, significa que essa entidade não faz parte do mesm o grupo de resolução que o BST (isto porque nesta fase a tabela de parametrização será preenchida apenas para o grupo de resolução onde consta o BST),  então flag='yes'
Ver se ja exisite uma tabela com a estrutura acionista (ver com o Gonçalo Carvalho). 
O Acionista do BST é o Banco Santander S.A.. Logo terá de se equacionar se o Acionista fica hardcoded ou se se vai beber esta informação do acionista a essa tabela.
Dúvidas:
Tem de se partir do zcliente emitente/zcliente investidor da Tabela ct610 ou parte-se do zcliente da lt001?</t>
  </si>
  <si>
    <t>Type of own funds at 
subsidiary level</t>
  </si>
  <si>
    <t>[acc. LDR guidance]</t>
  </si>
  <si>
    <t>According to existing LDR guidance value can be ‘CET1’, 
‘Fully Compliant AT1’, ‘Grandfathered AT1’, ‘Fully 
Compliant T2’, ‘Grandfathered T2’, ‘T2 in phase-out’ or 
‘Partially AT1 and T2’.</t>
  </si>
  <si>
    <t xml:space="preserve"> - Existe o campo eleg_fund_prop da tabela cd_captools.ct610_titulos., contudo verifica-se que nos útlimos dois meses, existiam mais tipo NULL's do que AT1, CET1, GF2:
ref_date      eleg_fund_prop     count(*) 
2024-09-30    AT1                         5 
2024-09-30    CET1                      3 
2024-09-30    GF2                        8 
2024-09-30    NULL                     368 
2024-08-31    AT1                         5 
2024-08-31     CET1                     3 
2024-08-31     GF2                       8 
2024-08-31     NULL                    352
Adicionar parametrização à tabela LT803 para traduzir os valores: AT1 ,CET1, GF2 … ( que vem da CT610) para valores do SRB:  ‘CET1’, ‘Fully Compliant AT1’, ‘Grandfathered AT1’, ‘Fully Compliant T2’, ‘Grandfathered T2’, ‘T2 in phase-out’ or ‘Partially AT1 and T2’.</t>
  </si>
  <si>
    <t>Origem</t>
  </si>
  <si>
    <t>Amount eligible as 
own funds at 
subsidiary level.</t>
  </si>
  <si>
    <t>The actual amount in EUR of the instrument qualifying as own funds, taking into account phase-out as applicable.</t>
  </si>
  <si>
    <t xml:space="preserve">Existe campo mon_fund_prop na tabela CT610_Titulos ????
</t>
  </si>
  <si>
    <t>AL030_SLD_CORE_M</t>
  </si>
  <si>
    <t>mon_cap_st1_vivo + mon_jur_st1</t>
  </si>
  <si>
    <t>Fórmula dependendo do campo "origem" da CT610_títulos - 0 para que não tiver na CT610 o valor para o que tiver</t>
  </si>
  <si>
    <t>Amount of 
subordinated 
liabilities not eligible 
as own funds at 
subsidiary level</t>
  </si>
  <si>
    <t>The actual amount in EUR of the subordinated debt instrument not qualifying as own funds</t>
  </si>
  <si>
    <t>2 - Não pertence ao novo Bail-in</t>
  </si>
  <si>
    <t xml:space="preserve">Este campo é N/A (comentário financeira) ????
</t>
  </si>
  <si>
    <t>n/a</t>
  </si>
  <si>
    <t>If liability is, at the level of the 
subsidiary, assigned to more than one own funds 
component, indication of the 
second own funds component</t>
  </si>
  <si>
    <t>[AT1/T2]</t>
  </si>
  <si>
    <t>This data point is requested for the case that the liability 
is assigned to more than one own funds component and 
is needed to calculate the impact of the write-down and 
conversion powers / bail-in tool on the own funds.</t>
  </si>
  <si>
    <t>???</t>
  </si>
  <si>
    <t>Eligible amount for own funds component according to point above</t>
  </si>
  <si>
    <t>This data point is requested for the case that not the full amount of the liability is eligible as own funds.</t>
  </si>
  <si>
    <t>??? (este data Point está relacionado com o data point acima)</t>
  </si>
  <si>
    <t>If own funds, agio of the liability/instrument</t>
  </si>
  <si>
    <t>To the extent relevant under (national) GAAP, bond premium classified in capital reserves.</t>
  </si>
  <si>
    <t>Carrying amount IFRS</t>
  </si>
  <si>
    <t>To the extent relevant for the bank, carrying amount under IFRS.</t>
  </si>
  <si>
    <t>No campo acima já mapeámos com o gross carrying amount (GRSS_CRRYNG_AMNT_INSTRMNT) logo neste campo não podemos mapear o mesmo, portanto sugere-se mapear com o net carrying amount (CRRYNG_AMNT_INSTRMNT). 
O campo CRRYNG_AMNT_INSTRMNT é calculado assim: GRSS_CRRYNG_AMNT_INSTRMNT - ACCMLTD_IMPRMNT_INSTRMNT
O campo GRSS_CRRYNG_AMNT_INSTRMNT vem do VALOR_BRUTO_ON</t>
  </si>
  <si>
    <t>CRRYNG_AMNT_INSTRMNT:
Carrying amount
GRSS_CRRYNG_AMNT_INSTRMNT:
Gross carrying amount</t>
  </si>
  <si>
    <t>CRRYNG_AMNT_INSTRMNT:
Net carrying amount including accrued interest as laid down in Annex 5 Regulation 680/2014.
GRSS_CRRYNG_AMNT_INSTRMNT:
Reported gross carrying amount for the instrument according to definition in Annex V to Implementing Regulation (EU) No 680/2014.</t>
  </si>
  <si>
    <t>Carrying amount national GAAP</t>
  </si>
  <si>
    <t>Carrying amount under national GAAP</t>
  </si>
  <si>
    <t>Relacionado com o campo acima: aqui é GAAP o acima era IFRS</t>
  </si>
  <si>
    <t>Original amount issued in EUR</t>
  </si>
  <si>
    <t>Original amount issued in EUR.</t>
  </si>
  <si>
    <t>LT002_INSTRUMENT.CMMTMNT_INCPTN_INSTRMNT
Não deve ser este campo dado que segundo a definição LT, é a exposição ao risco de crédito. Aqui falamos de passivo, não de ativo.</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</si>
  <si>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</si>
  <si>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</si>
  <si>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Original amount 
issued in foreign 
currency, if 
applicable</t>
  </si>
  <si>
    <t>[Amount in FX]</t>
  </si>
  <si>
    <t>Original amount issued in foreign currency.</t>
  </si>
  <si>
    <t>??? Este campo é igual ao campo acima, mas em moeda estrangeira</t>
  </si>
  <si>
    <t>Outstanding principal amount</t>
  </si>
  <si>
    <t>Value of the outstanding principal amount of the instrument.</t>
  </si>
  <si>
    <t xml:space="preserve">LT002_INSTRUMENT.OTSTNDNG_NMNL_AMNT_INSTRMNT
</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</si>
  <si>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</si>
  <si>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</si>
  <si>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Accrued interest</t>
  </si>
  <si>
    <t>Value of the outstanding accrued interest on the instrument.</t>
  </si>
  <si>
    <t>LT002_INSTRUMENT.ACCRD_INTRST_INSTRMNT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</si>
  <si>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</si>
  <si>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</si>
  <si>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mon_jur_st1</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</si>
  <si>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</si>
  <si>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</si>
  <si>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 xml:space="preserve">OTSTNDNG_NMNL_AMNT_INSTRMNT 
+ 
INSTRUMENT.ACCRD_INTRST_INSTRMNT
-
existing components not subject to write-down / conversion power
</t>
  </si>
  <si>
    <t>Portion of the 
liability held by the 
subsidiary itself for 
external issuances</t>
  </si>
  <si>
    <t>Portion of the liability held by the subsidiary itself as principal amount plus accrued interest and fees and charges (if applicable)</t>
  </si>
  <si>
    <t xml:space="preserve">Este campo é 0 (comentário financeira) ????
</t>
  </si>
  <si>
    <t>Sempre 0</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</si>
  <si>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</si>
  <si>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</si>
  <si>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 xml:space="preserve">???
https://eur-lex.europa.eu/legal-content/EN/TXT/PDF/?uri=CELEX:32019R0877&amp;from=EN
Article 12g 
2. The requirement referred to in Article 12a(1) for entities referred to in paragraph 1 of this Article shall be
met using one or more of the following:
(a) liabilities:
(i) that are issued to and bought by the resolution entity, either directly or indirectly through other entities
in the same resolution group that bought the liabilities from the entity that is subject to this Article, or
are issued to and bought by an existing shareholder that is not part of the same resolution group as long
as the exercise of write-down or conversion powers in accordance with Article 21 does not affect the
control of the subsidiary by the resolution entity;
(ii) that fulfil the eligibility criteria referred to in Article 72a of Regulation (EU) No 575/2013, except for
points (b), (c), (k), (l) and (m) of Article 72b(2) and Article 72b(3) to (5) of that Regulation;
(iii) that rank, in normal insolvency proceedings, below liabilities that do not meet the condition referred to
in point (i) and that are not eligible for own funds requirements; 
(iv) that are subject to write-down or conversion powers in accordance with Article 21 in a manner that is
consistent with the resolution strategy of the resolution group, in particular by not affecting the control
of the subsidiary by the resolution entity;
(v) the acquisition of ownership of which is not funded directly or indirectly by the entity that is subject to
this Article;
(vi) the provisions governing which do not indicate explicitly or implicitly that the liabilities would be called,
redeemed, repaid or repurchased early, as applicable, by the entity that is subject to this Article, other
than in the case of the insolvency or liquidation of that entity, and that entity does not otherwise provide
such an indication;
(vii) the provisions governing which do not give the holder the right to accelerate the future scheduled
payment of interest or principal, other than in the case of the insolvency or liquidation of the entity that
is subject to this Article;
(viii) the level of interest or dividend payments, as applicable, due thereon is not amended on the basis of the
credit standing of the entity that is subject to this Article or its parent undertaking;
</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</si>
  <si>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</si>
  <si>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</si>
  <si>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mon_comissões + mon_despesas da AL030_SLD_CORE_M
(comentário financeira)</t>
  </si>
  <si>
    <t>mon_comissões + mon_despesas</t>
  </si>
  <si>
    <t>Country of contracting party</t>
  </si>
  <si>
    <t>[Country Code]</t>
  </si>
  <si>
    <t>Home State of the counterparty (investor/creditor).</t>
  </si>
  <si>
    <t>LT003_ENTITY.CNTRY (atenção que até aqui tinham sido campos da tabela de instrumentos, e agora passamos à ter campos da tabela de entidades).</t>
  </si>
  <si>
    <t>Country of counterparty residence</t>
  </si>
  <si>
    <t>Country of counterparty residence.</t>
  </si>
  <si>
    <t>ct003_univ_cli</t>
  </si>
  <si>
    <t>cpais_doc_residencia</t>
  </si>
  <si>
    <t>code list com base neste campo</t>
  </si>
  <si>
    <t>Tax residence of contracting party</t>
  </si>
  <si>
    <t>Tax residence of the counterparty (investor/creditor), if Home State of the counterparty is not available.</t>
  </si>
  <si>
    <t xml:space="preserve">
No campo acima, está-se a a pedir o País da Morada de Residência. Neste campo, aparentemente está-se a pedir o País da Morada Fiscal. Na lt003 existe apenas o campo cntry que contém atualmente o País da Morada de Residência.
Ou seja, aparentemente será necessário criar um novo campo na lt003 com o País da Morada Fiscal.
Não faz sentido adicionar esse novo campo estando apenas preenchido quando o campo do País da Morada de Residência não tiver preenchido, ou seja, deveria estar sempre preenchido. 
A ser mesm o necessário (confirmar com a Corporação) haveria depois um tratamento manual do ficheiro.</t>
  </si>
  <si>
    <t>cpais_doc_identif1</t>
  </si>
  <si>
    <t xml:space="preserve">Name of contracting party </t>
  </si>
  <si>
    <t>[Name]</t>
  </si>
  <si>
    <t>The name of the investor/creditor</t>
  </si>
  <si>
    <t>LT003_ENTITY.ENTTY_NM</t>
  </si>
  <si>
    <t>Name Counterparty</t>
  </si>
  <si>
    <t>Name counterparty.</t>
  </si>
  <si>
    <t>gcliente</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</si>
  <si>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</si>
  <si>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</si>
  <si>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</si>
  <si>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LT003_ENTITY.LEI</t>
  </si>
  <si>
    <t>LEI Code</t>
  </si>
  <si>
    <t>clei</t>
  </si>
  <si>
    <t>Counterparty type 
for the externally 
issued liabilities</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</si>
  <si>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</si>
  <si>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non-finan_x0002_cial corporations (SMEs), non-financial corporations 
(non-SMEs), Credit institutions, Other financial corpora_x0002_tions, General governments &amp; Central banks, non-identi_x0002_fied counterparties (listed on an exchange platform) or 
others.</t>
  </si>
  <si>
    <t>contraparte</t>
  </si>
  <si>
    <t>Counterparty within the resolution group</t>
  </si>
  <si>
    <t>Drop-down: - Intragroup and intra-resolution group (1) - Intragroup but not intra-resolution group (2) - No</t>
  </si>
  <si>
    <t>Flag whether the counterparty is part of the resolution group.</t>
  </si>
  <si>
    <t>zcliente</t>
  </si>
  <si>
    <t>code list com base neste campo.
Há uma flag se diz isto mas só se quer alguns dos intragrupos, não todos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</si>
  <si>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</si>
  <si>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</si>
  <si>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</si>
  <si>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</si>
  <si>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</si>
  <si>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</si>
  <si>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LT003_ENTITY.ENTTY_NM ??</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</si>
  <si>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</si>
  <si>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</si>
  <si>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</si>
  <si>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</si>
  <si>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</si>
  <si>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</si>
  <si>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instruments/liabil_x0002_ities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</si>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</sst>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theme="1"/>
      <name val="Santander Text"/>
      <family val="2"/>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b/>
      <sz val="12"/>
      <color theme="1"/>
      <name val="Santander Text"/>
      <family val="2"/>
    </font>
    <font>
      <sz val="12"/>
      <color rgb="FF000000"/>
      <name val="Santander Text"/>
      <family val="2"/>
    </font>
    <font>
      <sz val="12"/>
      <color theme="1"/>
      <name val="Santander Text"/>
      <family val="2"/>
    </font>
    <font>
      <sz val="8"/>
      <color rgb="FF000000"/>
      <name val="Arial"/>
      <family val="2"/>
    </font>
    <font>
      <sz val="8"/>
      <name val="Arial"/>
      <family val="2"/>
    </font>
  </fonts>
  <fills count="10">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1">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left"/>
    </xf>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left" vertical="center" wrapText="1"/>
    </xf>
    <xf numFmtId="0" fontId="3" fillId="4" borderId="6"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4"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0" fillId="0" borderId="0" xfId="0" applyAlignment="1">
      <alignment horizontal="center"/>
    </xf>
    <xf numFmtId="0" fontId="3" fillId="5" borderId="8" xfId="0" applyFont="1" applyFill="1" applyBorder="1" applyAlignment="1">
      <alignment horizontal="center"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49" fontId="2" fillId="0" borderId="6" xfId="0" applyNumberFormat="1" applyFont="1" applyBorder="1" applyAlignment="1">
      <alignment horizontal="left" vertical="center" wrapText="1"/>
    </xf>
    <xf numFmtId="0" fontId="3" fillId="6" borderId="6"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5" fillId="3" borderId="2" xfId="0" applyFont="1" applyFill="1" applyBorder="1" applyAlignment="1">
      <alignment horizontal="center"/>
    </xf>
    <xf numFmtId="0" fontId="6" fillId="0" borderId="2" xfId="0" applyFont="1" applyBorder="1" applyAlignment="1">
      <alignment horizontal="left" vertical="center" wrapText="1"/>
    </xf>
    <xf numFmtId="0" fontId="7" fillId="0" borderId="2" xfId="0" applyFont="1" applyBorder="1" applyAlignment="1">
      <alignment horizontal="center"/>
    </xf>
    <xf numFmtId="0" fontId="5" fillId="0" borderId="0" xfId="0" applyFont="1" applyAlignment="1">
      <alignment horizontal="center"/>
    </xf>
    <xf numFmtId="0" fontId="2" fillId="0" borderId="2" xfId="0" applyFont="1" applyBorder="1" applyAlignment="1">
      <alignment horizontal="left" vertical="top" wrapText="1"/>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2" xfId="0" quotePrefix="1" applyFont="1" applyBorder="1" applyAlignment="1">
      <alignment horizontal="left" vertical="top" wrapText="1"/>
    </xf>
    <xf numFmtId="0" fontId="2" fillId="0" borderId="8" xfId="0" quotePrefix="1" applyFont="1" applyBorder="1" applyAlignment="1">
      <alignment horizontal="left" vertical="top" wrapText="1"/>
    </xf>
    <xf numFmtId="0" fontId="2" fillId="7" borderId="2" xfId="0" applyFont="1" applyFill="1" applyBorder="1" applyAlignment="1">
      <alignment horizontal="left" vertical="top" wrapText="1"/>
    </xf>
    <xf numFmtId="0" fontId="2" fillId="8" borderId="2" xfId="0" quotePrefix="1" applyFont="1" applyFill="1" applyBorder="1" applyAlignment="1">
      <alignment horizontal="left" vertical="top" wrapText="1"/>
    </xf>
    <xf numFmtId="0" fontId="8" fillId="0" borderId="2" xfId="0" applyFont="1" applyBorder="1" applyAlignment="1">
      <alignment horizontal="left" vertical="center" wrapText="1" readingOrder="1"/>
    </xf>
    <xf numFmtId="0" fontId="2" fillId="7" borderId="6" xfId="0" applyFont="1" applyFill="1" applyBorder="1" applyAlignment="1">
      <alignment vertical="center" wrapText="1"/>
    </xf>
    <xf numFmtId="0" fontId="2" fillId="9" borderId="2" xfId="0" applyFont="1" applyFill="1" applyBorder="1" applyAlignment="1">
      <alignment horizontal="left" vertical="top" wrapText="1"/>
    </xf>
    <xf numFmtId="0" fontId="9" fillId="0" borderId="2" xfId="0" applyFont="1" applyBorder="1" applyAlignment="1">
      <alignment horizontal="left" vertical="center" readingOrder="1"/>
    </xf>
    <xf numFmtId="0" fontId="2" fillId="7" borderId="2" xfId="0" quotePrefix="1" applyFont="1" applyFill="1" applyBorder="1" applyAlignment="1">
      <alignment horizontal="left" vertical="top" wrapText="1"/>
    </xf>
    <xf numFmtId="49" fontId="2" fillId="8" borderId="2" xfId="0" quotePrefix="1" applyNumberFormat="1" applyFont="1" applyFill="1" applyBorder="1" applyAlignment="1">
      <alignment horizontal="left" vertical="top" wrapText="1"/>
    </xf>
    <xf numFmtId="0" fontId="2" fillId="8" borderId="2" xfId="0" applyFont="1" applyFill="1" applyBorder="1" applyAlignment="1">
      <alignment horizontal="left" vertical="top"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
  <sheetViews>
    <sheetView showGridLines="0" zoomScale="85" zoomScaleNormal="85" workbookViewId="0">
      <selection activeCell="B18" sqref="B18"/>
    </sheetView>
  </sheetViews>
  <sheetFormatPr defaultColWidth="9.140625" defaultRowHeight="16.5"/>
  <cols>
    <col min="1" max="1" width="5" style="1" customWidth="1"/>
    <col min="2" max="2" width="73.42578125" bestFit="1" customWidth="1"/>
    <col min="3" max="3" width="6.42578125" style="17" bestFit="1" customWidth="1"/>
  </cols>
  <sheetData>
    <row r="2" spans="2:3" ht="19.5">
      <c r="B2" s="26" t="s">
        <v>0</v>
      </c>
      <c r="C2" s="26" t="s">
        <v>1</v>
      </c>
    </row>
    <row r="3" spans="2:3" ht="19.5">
      <c r="B3" s="27" t="s">
        <v>2</v>
      </c>
      <c r="C3" s="28">
        <v>13</v>
      </c>
    </row>
    <row r="4" spans="2:3" ht="19.5">
      <c r="B4" s="27" t="s">
        <v>3</v>
      </c>
      <c r="C4" s="28">
        <v>6</v>
      </c>
    </row>
    <row r="5" spans="2:3" ht="19.5">
      <c r="B5" s="27" t="s">
        <v>4</v>
      </c>
      <c r="C5" s="28">
        <v>2</v>
      </c>
    </row>
    <row r="6" spans="2:3" ht="19.5">
      <c r="B6" s="27" t="s">
        <v>5</v>
      </c>
      <c r="C6" s="28">
        <v>8</v>
      </c>
    </row>
    <row r="7" spans="2:3" ht="19.5">
      <c r="B7" s="27" t="s">
        <v>6</v>
      </c>
      <c r="C7" s="28">
        <v>6</v>
      </c>
    </row>
    <row r="8" spans="2:3" ht="19.5">
      <c r="B8" s="27" t="s">
        <v>7</v>
      </c>
      <c r="C8" s="28">
        <v>18</v>
      </c>
    </row>
    <row r="9" spans="2:3" ht="19.5">
      <c r="C9" s="29">
        <f>SUM(C3:C8)</f>
        <v>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56"/>
  <sheetViews>
    <sheetView showGridLines="0" tabSelected="1" topLeftCell="M1" zoomScale="85" zoomScaleNormal="85" workbookViewId="0">
      <pane ySplit="3" topLeftCell="G6" activePane="bottomLeft" state="frozen"/>
      <selection pane="bottomLeft" activeCell="K7" sqref="K7"/>
    </sheetView>
  </sheetViews>
  <sheetFormatPr defaultColWidth="9.140625" defaultRowHeight="16.5"/>
  <cols>
    <col min="1" max="1" width="1.28515625" style="3" customWidth="1"/>
    <col min="2" max="2" width="20" style="11" customWidth="1"/>
    <col min="3" max="3" width="8.5703125" style="3" customWidth="1"/>
    <col min="4" max="4" width="26.85546875" style="11" customWidth="1"/>
    <col min="5" max="5" width="20.140625" style="11" customWidth="1"/>
    <col min="6" max="6" width="42.42578125" style="11" customWidth="1"/>
    <col min="7" max="7" width="10.85546875" style="3" customWidth="1"/>
    <col min="8" max="8" width="1.42578125" style="3" customWidth="1"/>
    <col min="9" max="9" width="12.42578125" style="3" hidden="1" customWidth="1"/>
    <col min="10" max="10" width="16.85546875" style="3" hidden="1" customWidth="1"/>
    <col min="11" max="11" width="82.140625" style="3" customWidth="1"/>
    <col min="12" max="12" width="29.7109375" style="3" customWidth="1"/>
    <col min="13" max="13" width="48.7109375" style="3" customWidth="1"/>
    <col min="14" max="14" width="22.85546875" style="3" bestFit="1" customWidth="1"/>
    <col min="15" max="15" width="1.85546875" style="3" customWidth="1"/>
    <col min="16" max="16" width="34.85546875" style="3" bestFit="1" customWidth="1"/>
    <col min="17" max="17" width="47.5703125" style="3" bestFit="1" customWidth="1"/>
    <col min="18" max="18" width="61.7109375" style="3" bestFit="1" customWidth="1"/>
    <col min="19" max="16384" width="9.140625" style="3"/>
  </cols>
  <sheetData>
    <row r="1" spans="2:18" ht="17.25" thickBot="1">
      <c r="P1" s="11"/>
      <c r="Q1" s="11"/>
      <c r="R1" s="11"/>
    </row>
    <row r="2" spans="2:18" ht="24">
      <c r="B2" s="46" t="s">
        <v>8</v>
      </c>
      <c r="C2" s="47"/>
      <c r="D2" s="47"/>
      <c r="E2" s="47"/>
      <c r="F2" s="48"/>
      <c r="I2" s="52" t="s">
        <v>9</v>
      </c>
      <c r="J2" s="53"/>
      <c r="K2" s="53"/>
      <c r="L2" s="54"/>
      <c r="M2" s="54"/>
      <c r="N2" s="55"/>
      <c r="P2" s="49" t="s">
        <v>10</v>
      </c>
      <c r="Q2" s="50"/>
      <c r="R2" s="51"/>
    </row>
    <row r="3" spans="2:18" s="12" customFormat="1" ht="82.5">
      <c r="B3" s="9" t="s">
        <v>0</v>
      </c>
      <c r="C3" s="10" t="s">
        <v>11</v>
      </c>
      <c r="D3" s="10" t="s">
        <v>12</v>
      </c>
      <c r="E3" s="10" t="s">
        <v>13</v>
      </c>
      <c r="F3" s="13" t="s">
        <v>14</v>
      </c>
      <c r="G3" s="12" t="s">
        <v>15</v>
      </c>
      <c r="I3" s="14" t="s">
        <v>16</v>
      </c>
      <c r="J3" s="15" t="s">
        <v>17</v>
      </c>
      <c r="K3" s="15" t="s">
        <v>18</v>
      </c>
      <c r="L3" s="18" t="s">
        <v>19</v>
      </c>
      <c r="M3" s="18" t="s">
        <v>20</v>
      </c>
      <c r="N3" s="16" t="s">
        <v>21</v>
      </c>
      <c r="P3" s="23" t="s">
        <v>22</v>
      </c>
      <c r="Q3" s="24" t="s">
        <v>23</v>
      </c>
      <c r="R3" s="25" t="s">
        <v>24</v>
      </c>
    </row>
    <row r="4" spans="2:18" ht="303">
      <c r="B4" s="22" t="s">
        <v>2</v>
      </c>
      <c r="C4" s="5">
        <v>1</v>
      </c>
      <c r="D4" s="6" t="s">
        <v>25</v>
      </c>
      <c r="E4" s="6" t="s">
        <v>26</v>
      </c>
      <c r="F4" s="8" t="s">
        <v>27</v>
      </c>
      <c r="G4" s="44" t="s">
        <v>28</v>
      </c>
      <c r="H4" s="45"/>
      <c r="I4" s="7"/>
      <c r="J4" s="5"/>
      <c r="K4" s="35" t="s">
        <v>29</v>
      </c>
      <c r="L4" s="31"/>
      <c r="M4" s="31"/>
      <c r="N4" s="32"/>
      <c r="P4" s="19"/>
      <c r="Q4" s="20"/>
      <c r="R4" s="21" t="s">
        <v>30</v>
      </c>
    </row>
    <row r="5" spans="2:18" ht="151.5">
      <c r="B5" s="22" t="s">
        <v>2</v>
      </c>
      <c r="C5" s="5">
        <f>+C4+1</f>
        <v>2</v>
      </c>
      <c r="D5" s="6" t="s">
        <v>31</v>
      </c>
      <c r="E5" s="6" t="s">
        <v>32</v>
      </c>
      <c r="F5" s="8" t="s">
        <v>33</v>
      </c>
      <c r="G5" s="44" t="s">
        <v>28</v>
      </c>
      <c r="H5" s="45"/>
      <c r="I5" s="7"/>
      <c r="J5" s="5"/>
      <c r="K5" s="30" t="s">
        <v>34</v>
      </c>
      <c r="L5" s="31"/>
      <c r="M5" s="31"/>
      <c r="N5" s="32"/>
      <c r="P5" s="19"/>
      <c r="Q5" s="20"/>
      <c r="R5" s="21" t="s">
        <v>35</v>
      </c>
    </row>
    <row r="6" spans="2:18" ht="179.25">
      <c r="B6" s="22" t="s">
        <v>2</v>
      </c>
      <c r="C6" s="5">
        <f t="shared" ref="C6:C16" si="0">+C5+1</f>
        <v>3</v>
      </c>
      <c r="D6" s="6" t="s">
        <v>36</v>
      </c>
      <c r="E6" s="6" t="s">
        <v>37</v>
      </c>
      <c r="F6" s="8" t="s">
        <v>38</v>
      </c>
      <c r="G6" s="44" t="s">
        <v>28</v>
      </c>
      <c r="H6" s="45"/>
      <c r="I6" s="7"/>
      <c r="J6" s="5"/>
      <c r="K6" s="30" t="s">
        <v>39</v>
      </c>
      <c r="L6" s="31" t="s">
        <v>40</v>
      </c>
      <c r="M6" s="31" t="s">
        <v>41</v>
      </c>
      <c r="N6" s="32"/>
      <c r="P6" s="19" t="s">
        <v>42</v>
      </c>
      <c r="Q6" s="20" t="s">
        <v>43</v>
      </c>
      <c r="R6" s="21" t="s">
        <v>44</v>
      </c>
    </row>
    <row r="7" spans="2:18" ht="148.5">
      <c r="B7" s="22" t="s">
        <v>2</v>
      </c>
      <c r="C7" s="5">
        <f t="shared" si="0"/>
        <v>4</v>
      </c>
      <c r="D7" s="6" t="s">
        <v>45</v>
      </c>
      <c r="E7" s="6" t="s">
        <v>46</v>
      </c>
      <c r="F7" s="8" t="s">
        <v>47</v>
      </c>
      <c r="G7" s="44" t="s">
        <v>28</v>
      </c>
      <c r="H7" s="45"/>
      <c r="I7" s="7"/>
      <c r="J7" s="5"/>
      <c r="K7" s="30" t="s">
        <v>48</v>
      </c>
      <c r="L7" s="31"/>
      <c r="M7" s="31"/>
      <c r="N7" s="32"/>
      <c r="P7" s="19" t="s">
        <v>42</v>
      </c>
      <c r="Q7" s="20" t="s">
        <v>49</v>
      </c>
      <c r="R7" s="21" t="s">
        <v>50</v>
      </c>
    </row>
    <row r="8" spans="2:18" ht="165">
      <c r="B8" s="22" t="s">
        <v>2</v>
      </c>
      <c r="C8" s="5">
        <f t="shared" si="0"/>
        <v>5</v>
      </c>
      <c r="D8" s="6" t="s">
        <v>51</v>
      </c>
      <c r="E8" s="6" t="s">
        <v>52</v>
      </c>
      <c r="F8" s="8" t="s">
        <v>53</v>
      </c>
      <c r="G8" s="44" t="s">
        <v>28</v>
      </c>
      <c r="H8" s="45"/>
      <c r="I8" s="7"/>
      <c r="J8" s="5"/>
      <c r="K8" s="33" t="s">
        <v>54</v>
      </c>
      <c r="L8" s="34"/>
      <c r="M8" s="34"/>
      <c r="N8" s="32"/>
      <c r="P8" s="19" t="s">
        <v>55</v>
      </c>
      <c r="Q8" s="20" t="s">
        <v>56</v>
      </c>
      <c r="R8" s="21" t="s">
        <v>57</v>
      </c>
    </row>
    <row r="9" spans="2:18" ht="49.5">
      <c r="B9" s="22" t="s">
        <v>2</v>
      </c>
      <c r="C9" s="5">
        <f t="shared" si="0"/>
        <v>6</v>
      </c>
      <c r="D9" s="6" t="s">
        <v>58</v>
      </c>
      <c r="E9" s="6" t="s">
        <v>59</v>
      </c>
      <c r="F9" s="8" t="s">
        <v>60</v>
      </c>
      <c r="G9" s="44" t="s">
        <v>28</v>
      </c>
      <c r="H9" s="45"/>
      <c r="I9" s="7"/>
      <c r="J9" s="5"/>
      <c r="K9" s="36" t="s">
        <v>61</v>
      </c>
      <c r="L9" s="31" t="s">
        <v>62</v>
      </c>
      <c r="M9" s="31" t="s">
        <v>63</v>
      </c>
      <c r="N9" s="32"/>
      <c r="P9" s="19" t="s">
        <v>42</v>
      </c>
      <c r="Q9" s="20" t="s">
        <v>64</v>
      </c>
      <c r="R9" s="21" t="s">
        <v>44</v>
      </c>
    </row>
    <row r="10" spans="2:18" ht="49.5">
      <c r="B10" s="22" t="s">
        <v>2</v>
      </c>
      <c r="C10" s="5">
        <f t="shared" si="0"/>
        <v>7</v>
      </c>
      <c r="D10" s="6" t="s">
        <v>65</v>
      </c>
      <c r="E10" s="6" t="s">
        <v>66</v>
      </c>
      <c r="F10" s="8" t="s">
        <v>67</v>
      </c>
      <c r="G10" s="44" t="s">
        <v>28</v>
      </c>
      <c r="H10" s="45"/>
      <c r="I10" s="7"/>
      <c r="J10" s="5"/>
      <c r="K10" s="36" t="s">
        <v>68</v>
      </c>
      <c r="L10" s="31" t="s">
        <v>69</v>
      </c>
      <c r="M10" s="31" t="s">
        <v>70</v>
      </c>
      <c r="N10" s="32"/>
      <c r="P10" s="19" t="s">
        <v>42</v>
      </c>
      <c r="Q10" s="20" t="s">
        <v>71</v>
      </c>
      <c r="R10" s="21" t="s">
        <v>44</v>
      </c>
    </row>
    <row r="11" spans="2:18" ht="66">
      <c r="B11" s="22" t="s">
        <v>2</v>
      </c>
      <c r="C11" s="5">
        <f t="shared" si="0"/>
        <v>8</v>
      </c>
      <c r="D11" s="6" t="s">
        <v>72</v>
      </c>
      <c r="E11" s="6" t="s">
        <v>66</v>
      </c>
      <c r="F11" s="8" t="s">
        <v>73</v>
      </c>
      <c r="G11" s="44" t="s">
        <v>28</v>
      </c>
      <c r="H11" s="45"/>
      <c r="I11" s="7"/>
      <c r="J11" s="5"/>
      <c r="K11" s="36" t="s">
        <v>74</v>
      </c>
      <c r="L11" s="31" t="s">
        <v>75</v>
      </c>
      <c r="M11" s="31" t="s">
        <v>76</v>
      </c>
      <c r="N11" s="32"/>
      <c r="P11" s="19" t="s">
        <v>42</v>
      </c>
      <c r="Q11" s="20" t="s">
        <v>77</v>
      </c>
      <c r="R11" s="21" t="s">
        <v>44</v>
      </c>
    </row>
    <row r="12" spans="2:18" ht="165">
      <c r="B12" s="22" t="s">
        <v>2</v>
      </c>
      <c r="C12" s="5">
        <f t="shared" si="0"/>
        <v>9</v>
      </c>
      <c r="D12" s="6" t="s">
        <v>78</v>
      </c>
      <c r="E12" s="6" t="s">
        <v>66</v>
      </c>
      <c r="F12" s="8" t="s">
        <v>79</v>
      </c>
      <c r="G12" s="44" t="s">
        <v>28</v>
      </c>
      <c r="H12" s="45"/>
      <c r="I12" s="7"/>
      <c r="J12" s="5"/>
      <c r="K12" s="35" t="s">
        <v>80</v>
      </c>
      <c r="L12" s="31"/>
      <c r="M12" s="31"/>
      <c r="N12" s="32"/>
      <c r="P12" s="19" t="s">
        <v>81</v>
      </c>
      <c r="Q12" s="20"/>
      <c r="R12" s="21" t="s">
        <v>82</v>
      </c>
    </row>
    <row r="13" spans="2:18" ht="66">
      <c r="B13" s="22" t="s">
        <v>2</v>
      </c>
      <c r="C13" s="5">
        <f t="shared" si="0"/>
        <v>10</v>
      </c>
      <c r="D13" s="6" t="s">
        <v>83</v>
      </c>
      <c r="E13" s="6" t="s">
        <v>66</v>
      </c>
      <c r="F13" s="8" t="s">
        <v>84</v>
      </c>
      <c r="G13" s="44" t="s">
        <v>28</v>
      </c>
      <c r="H13" s="45"/>
      <c r="I13" s="7"/>
      <c r="J13" s="5"/>
      <c r="K13" s="43" t="s">
        <v>85</v>
      </c>
      <c r="L13" s="31"/>
      <c r="M13" s="31"/>
      <c r="N13" s="32"/>
      <c r="P13" s="19" t="s">
        <v>42</v>
      </c>
      <c r="Q13" s="20" t="s">
        <v>86</v>
      </c>
      <c r="R13" s="21" t="s">
        <v>44</v>
      </c>
    </row>
    <row r="14" spans="2:18" ht="148.5">
      <c r="B14" s="22" t="s">
        <v>2</v>
      </c>
      <c r="C14" s="5">
        <f t="shared" si="0"/>
        <v>11</v>
      </c>
      <c r="D14" s="6" t="s">
        <v>87</v>
      </c>
      <c r="E14" s="6" t="s">
        <v>88</v>
      </c>
      <c r="F14" s="8" t="s">
        <v>89</v>
      </c>
      <c r="G14" s="44" t="s">
        <v>28</v>
      </c>
      <c r="H14" s="45"/>
      <c r="I14" s="7"/>
      <c r="J14" s="5"/>
      <c r="K14" s="42" t="s">
        <v>90</v>
      </c>
      <c r="L14" s="31" t="s">
        <v>91</v>
      </c>
      <c r="M14" s="31" t="s">
        <v>92</v>
      </c>
      <c r="N14" s="32"/>
      <c r="P14" s="19" t="s">
        <v>81</v>
      </c>
      <c r="Q14" s="20" t="s">
        <v>93</v>
      </c>
      <c r="R14" s="21"/>
    </row>
    <row r="15" spans="2:18" ht="409.5">
      <c r="B15" s="22" t="s">
        <v>2</v>
      </c>
      <c r="C15" s="5">
        <f t="shared" si="0"/>
        <v>12</v>
      </c>
      <c r="D15" s="6" t="s">
        <v>94</v>
      </c>
      <c r="E15" s="6" t="s">
        <v>95</v>
      </c>
      <c r="F15" s="8" t="s">
        <v>96</v>
      </c>
      <c r="G15" s="44" t="s">
        <v>28</v>
      </c>
      <c r="H15" s="45"/>
      <c r="I15" s="7"/>
      <c r="J15" s="5"/>
      <c r="K15" s="35" t="s">
        <v>97</v>
      </c>
      <c r="L15" s="31"/>
      <c r="M15" s="31"/>
      <c r="N15" s="32"/>
      <c r="P15" s="19" t="s">
        <v>42</v>
      </c>
      <c r="Q15" s="20" t="s">
        <v>49</v>
      </c>
      <c r="R15" s="21" t="s">
        <v>98</v>
      </c>
    </row>
    <row r="16" spans="2:18" ht="409.5">
      <c r="B16" s="22" t="s">
        <v>2</v>
      </c>
      <c r="C16" s="5">
        <f t="shared" si="0"/>
        <v>13</v>
      </c>
      <c r="D16" s="6" t="s">
        <v>99</v>
      </c>
      <c r="E16" s="6" t="s">
        <v>100</v>
      </c>
      <c r="F16" s="8" t="s">
        <v>101</v>
      </c>
      <c r="G16" s="44" t="s">
        <v>28</v>
      </c>
      <c r="H16" s="45"/>
      <c r="I16" s="7"/>
      <c r="J16" s="5"/>
      <c r="K16" s="35" t="s">
        <v>102</v>
      </c>
      <c r="L16" s="37"/>
      <c r="M16" s="37"/>
      <c r="N16" s="32"/>
      <c r="P16" s="19" t="s">
        <v>42</v>
      </c>
      <c r="Q16" s="20" t="s">
        <v>49</v>
      </c>
      <c r="R16" s="21" t="s">
        <v>98</v>
      </c>
    </row>
    <row r="17" spans="2:18" ht="247.5">
      <c r="B17" s="22" t="s">
        <v>3</v>
      </c>
      <c r="C17" s="5">
        <v>14</v>
      </c>
      <c r="D17" s="6" t="s">
        <v>103</v>
      </c>
      <c r="E17" s="6" t="s">
        <v>104</v>
      </c>
      <c r="F17" s="8" t="s">
        <v>105</v>
      </c>
      <c r="G17" s="44" t="s">
        <v>28</v>
      </c>
      <c r="H17" s="45"/>
      <c r="I17" s="7"/>
      <c r="J17" s="5"/>
      <c r="K17" s="35" t="s">
        <v>106</v>
      </c>
      <c r="L17" s="31"/>
      <c r="M17" s="31"/>
      <c r="N17" s="32"/>
      <c r="P17" s="19" t="s">
        <v>55</v>
      </c>
      <c r="Q17" s="20" t="s">
        <v>107</v>
      </c>
      <c r="R17" s="21" t="s">
        <v>50</v>
      </c>
    </row>
    <row r="18" spans="2:18" ht="49.5">
      <c r="B18" s="22" t="s">
        <v>3</v>
      </c>
      <c r="C18" s="5">
        <v>15</v>
      </c>
      <c r="D18" s="6" t="s">
        <v>108</v>
      </c>
      <c r="E18" s="6" t="s">
        <v>88</v>
      </c>
      <c r="F18" s="8" t="s">
        <v>109</v>
      </c>
      <c r="G18" s="44" t="s">
        <v>28</v>
      </c>
      <c r="H18" s="45"/>
      <c r="I18" s="7"/>
      <c r="J18" s="5"/>
      <c r="K18" s="35" t="s">
        <v>110</v>
      </c>
      <c r="L18" s="31"/>
      <c r="M18" s="31"/>
      <c r="N18" s="32"/>
      <c r="P18" s="19" t="s">
        <v>111</v>
      </c>
      <c r="Q18" s="20" t="s">
        <v>112</v>
      </c>
      <c r="R18" s="21" t="s">
        <v>113</v>
      </c>
    </row>
    <row r="19" spans="2:18" ht="82.5">
      <c r="B19" s="22" t="s">
        <v>3</v>
      </c>
      <c r="C19" s="5">
        <v>16</v>
      </c>
      <c r="D19" s="6" t="s">
        <v>114</v>
      </c>
      <c r="E19" s="6" t="s">
        <v>88</v>
      </c>
      <c r="F19" s="8" t="s">
        <v>115</v>
      </c>
      <c r="G19" s="44" t="s">
        <v>116</v>
      </c>
      <c r="H19" s="45"/>
      <c r="I19" s="7"/>
      <c r="J19" s="5"/>
      <c r="K19" s="38" t="s">
        <v>117</v>
      </c>
      <c r="L19" s="31"/>
      <c r="M19" s="31"/>
      <c r="N19" s="32"/>
      <c r="P19" s="19" t="s">
        <v>118</v>
      </c>
      <c r="Q19" s="20" t="s">
        <v>118</v>
      </c>
      <c r="R19" s="21" t="s">
        <v>118</v>
      </c>
    </row>
    <row r="20" spans="2:18" ht="82.5">
      <c r="B20" s="22" t="s">
        <v>3</v>
      </c>
      <c r="C20" s="5">
        <v>17</v>
      </c>
      <c r="D20" s="6" t="s">
        <v>119</v>
      </c>
      <c r="E20" s="6" t="s">
        <v>120</v>
      </c>
      <c r="F20" s="8" t="s">
        <v>121</v>
      </c>
      <c r="G20" s="44" t="s">
        <v>116</v>
      </c>
      <c r="H20" s="45"/>
      <c r="I20" s="7"/>
      <c r="J20" s="5"/>
      <c r="K20" s="35" t="s">
        <v>122</v>
      </c>
      <c r="L20" s="31"/>
      <c r="M20" s="31"/>
      <c r="N20" s="32"/>
      <c r="P20" s="19" t="s">
        <v>55</v>
      </c>
      <c r="Q20" s="20" t="s">
        <v>107</v>
      </c>
      <c r="R20" s="21" t="s">
        <v>50</v>
      </c>
    </row>
    <row r="21" spans="2:18" ht="49.5">
      <c r="B21" s="22" t="s">
        <v>3</v>
      </c>
      <c r="C21" s="5">
        <v>18</v>
      </c>
      <c r="D21" s="6" t="s">
        <v>123</v>
      </c>
      <c r="E21" s="6" t="s">
        <v>88</v>
      </c>
      <c r="F21" s="8" t="s">
        <v>124</v>
      </c>
      <c r="G21" s="44" t="s">
        <v>116</v>
      </c>
      <c r="H21" s="45"/>
      <c r="I21" s="7"/>
      <c r="J21" s="5"/>
      <c r="K21" s="35" t="s">
        <v>125</v>
      </c>
      <c r="L21" s="31"/>
      <c r="M21" s="31"/>
      <c r="N21" s="32"/>
      <c r="P21" s="19" t="s">
        <v>111</v>
      </c>
      <c r="Q21" s="20" t="s">
        <v>112</v>
      </c>
      <c r="R21" s="21" t="s">
        <v>113</v>
      </c>
    </row>
    <row r="22" spans="2:18" ht="49.5">
      <c r="B22" s="22" t="s">
        <v>3</v>
      </c>
      <c r="C22" s="5">
        <v>19</v>
      </c>
      <c r="D22" s="6" t="s">
        <v>126</v>
      </c>
      <c r="E22" s="6" t="s">
        <v>88</v>
      </c>
      <c r="F22" s="8" t="s">
        <v>127</v>
      </c>
      <c r="G22" s="44" t="s">
        <v>116</v>
      </c>
      <c r="H22" s="45"/>
      <c r="I22" s="7"/>
      <c r="J22" s="5"/>
      <c r="K22" s="35" t="s">
        <v>122</v>
      </c>
      <c r="L22" s="31"/>
      <c r="M22" s="31"/>
      <c r="N22" s="32"/>
      <c r="P22" s="19" t="s">
        <v>111</v>
      </c>
      <c r="Q22" s="20" t="s">
        <v>112</v>
      </c>
      <c r="R22" s="21" t="s">
        <v>113</v>
      </c>
    </row>
    <row r="23" spans="2:18" ht="132">
      <c r="B23" s="22" t="s">
        <v>4</v>
      </c>
      <c r="C23" s="5">
        <v>20</v>
      </c>
      <c r="D23" s="6" t="s">
        <v>128</v>
      </c>
      <c r="E23" s="6" t="s">
        <v>88</v>
      </c>
      <c r="F23" s="8" t="s">
        <v>129</v>
      </c>
      <c r="G23" s="44" t="s">
        <v>28</v>
      </c>
      <c r="H23" s="45"/>
      <c r="I23" s="7"/>
      <c r="J23" s="5"/>
      <c r="K23" s="41" t="s">
        <v>130</v>
      </c>
      <c r="L23" s="34" t="s">
        <v>131</v>
      </c>
      <c r="M23" s="31" t="s">
        <v>132</v>
      </c>
      <c r="N23" s="32"/>
      <c r="P23" s="19" t="s">
        <v>111</v>
      </c>
      <c r="Q23" s="20" t="s">
        <v>112</v>
      </c>
      <c r="R23" s="21" t="s">
        <v>113</v>
      </c>
    </row>
    <row r="24" spans="2:18" ht="49.5">
      <c r="B24" s="22" t="s">
        <v>4</v>
      </c>
      <c r="C24" s="5">
        <v>21</v>
      </c>
      <c r="D24" s="6" t="s">
        <v>133</v>
      </c>
      <c r="E24" s="6" t="s">
        <v>88</v>
      </c>
      <c r="F24" s="8" t="s">
        <v>134</v>
      </c>
      <c r="G24" s="44" t="s">
        <v>28</v>
      </c>
      <c r="H24" s="45"/>
      <c r="I24" s="7"/>
      <c r="J24" s="5"/>
      <c r="K24" s="41" t="s">
        <v>135</v>
      </c>
      <c r="L24" s="34"/>
      <c r="M24" s="31"/>
      <c r="N24" s="32"/>
      <c r="P24" s="19" t="s">
        <v>111</v>
      </c>
      <c r="Q24" s="20" t="s">
        <v>112</v>
      </c>
      <c r="R24" s="21" t="s">
        <v>113</v>
      </c>
    </row>
    <row r="25" spans="2:18" ht="132">
      <c r="B25" s="22" t="s">
        <v>5</v>
      </c>
      <c r="C25" s="5">
        <v>22</v>
      </c>
      <c r="D25" s="6" t="s">
        <v>136</v>
      </c>
      <c r="E25" s="6" t="s">
        <v>88</v>
      </c>
      <c r="F25" s="8" t="s">
        <v>137</v>
      </c>
      <c r="G25" s="44" t="s">
        <v>28</v>
      </c>
      <c r="H25" s="45"/>
      <c r="I25" s="7"/>
      <c r="J25" s="5"/>
      <c r="K25" s="35" t="s">
        <v>138</v>
      </c>
      <c r="L25" s="31" t="s">
        <v>139</v>
      </c>
      <c r="M25" s="31" t="s">
        <v>140</v>
      </c>
      <c r="N25" s="32"/>
      <c r="P25" s="19"/>
      <c r="Q25" s="20"/>
      <c r="R25" s="21"/>
    </row>
    <row r="26" spans="2:18" ht="66">
      <c r="B26" s="22" t="s">
        <v>5</v>
      </c>
      <c r="C26" s="5">
        <v>23</v>
      </c>
      <c r="D26" s="6" t="s">
        <v>141</v>
      </c>
      <c r="E26" s="6" t="s">
        <v>142</v>
      </c>
      <c r="F26" s="8" t="s">
        <v>143</v>
      </c>
      <c r="G26" s="44" t="s">
        <v>28</v>
      </c>
      <c r="H26" s="45"/>
      <c r="I26" s="7"/>
      <c r="J26" s="5"/>
      <c r="K26" s="35" t="s">
        <v>144</v>
      </c>
      <c r="L26" s="31"/>
      <c r="M26" s="31"/>
      <c r="N26" s="32"/>
      <c r="P26" s="19"/>
      <c r="Q26" s="20"/>
      <c r="R26" s="21"/>
    </row>
    <row r="27" spans="2:18" ht="99">
      <c r="B27" s="22" t="s">
        <v>5</v>
      </c>
      <c r="C27" s="5">
        <v>24</v>
      </c>
      <c r="D27" s="6" t="s">
        <v>145</v>
      </c>
      <c r="E27" s="6" t="s">
        <v>88</v>
      </c>
      <c r="F27" s="8" t="s">
        <v>146</v>
      </c>
      <c r="G27" s="44" t="s">
        <v>28</v>
      </c>
      <c r="H27" s="45"/>
      <c r="I27" s="7"/>
      <c r="J27" s="5"/>
      <c r="K27" s="41" t="s">
        <v>147</v>
      </c>
      <c r="L27" s="31" t="s">
        <v>148</v>
      </c>
      <c r="M27" s="31" t="s">
        <v>149</v>
      </c>
      <c r="N27" s="32"/>
      <c r="P27" s="19" t="s">
        <v>111</v>
      </c>
      <c r="Q27" s="20" t="s">
        <v>93</v>
      </c>
      <c r="R27" s="21"/>
    </row>
    <row r="28" spans="2:18" ht="115.5">
      <c r="B28" s="22" t="s">
        <v>5</v>
      </c>
      <c r="C28" s="5">
        <v>25</v>
      </c>
      <c r="D28" s="6" t="s">
        <v>150</v>
      </c>
      <c r="E28" s="6" t="s">
        <v>88</v>
      </c>
      <c r="F28" s="8" t="s">
        <v>151</v>
      </c>
      <c r="G28" s="44" t="s">
        <v>28</v>
      </c>
      <c r="H28" s="45"/>
      <c r="I28" s="7"/>
      <c r="J28" s="5"/>
      <c r="K28" s="41" t="s">
        <v>152</v>
      </c>
      <c r="L28" s="31" t="s">
        <v>153</v>
      </c>
      <c r="M28" s="31" t="s">
        <v>154</v>
      </c>
      <c r="N28" s="32"/>
      <c r="P28" s="19" t="s">
        <v>111</v>
      </c>
      <c r="Q28" s="20" t="s">
        <v>155</v>
      </c>
      <c r="R28" s="21"/>
    </row>
    <row r="29" spans="2:18" ht="115.5">
      <c r="B29" s="22" t="s">
        <v>5</v>
      </c>
      <c r="C29" s="5">
        <v>26</v>
      </c>
      <c r="D29" s="6" t="s">
        <v>156</v>
      </c>
      <c r="E29" s="6" t="s">
        <v>88</v>
      </c>
      <c r="F29" s="8" t="s">
        <v>157</v>
      </c>
      <c r="G29" s="44" t="s">
        <v>28</v>
      </c>
      <c r="H29" s="45"/>
      <c r="I29" s="7"/>
      <c r="J29" s="5"/>
      <c r="K29" s="35" t="s">
        <v>158</v>
      </c>
      <c r="L29" s="31"/>
      <c r="M29" s="31"/>
      <c r="N29" s="32"/>
      <c r="P29" s="19" t="s">
        <v>111</v>
      </c>
      <c r="Q29" s="20" t="s">
        <v>112</v>
      </c>
      <c r="R29" s="21" t="s">
        <v>113</v>
      </c>
    </row>
    <row r="30" spans="2:18" ht="66">
      <c r="B30" s="22" t="s">
        <v>5</v>
      </c>
      <c r="C30" s="5">
        <v>27</v>
      </c>
      <c r="D30" s="6" t="s">
        <v>159</v>
      </c>
      <c r="E30" s="6" t="s">
        <v>88</v>
      </c>
      <c r="F30" s="8" t="s">
        <v>160</v>
      </c>
      <c r="G30" s="44" t="s">
        <v>28</v>
      </c>
      <c r="H30" s="45"/>
      <c r="I30" s="7"/>
      <c r="J30" s="5"/>
      <c r="K30" s="38" t="s">
        <v>161</v>
      </c>
      <c r="L30" s="31"/>
      <c r="M30" s="31"/>
      <c r="N30" s="32"/>
      <c r="P30" s="19"/>
      <c r="Q30" s="20"/>
      <c r="R30" s="21" t="s">
        <v>162</v>
      </c>
    </row>
    <row r="31" spans="2:18" ht="409.5">
      <c r="B31" s="22" t="s">
        <v>5</v>
      </c>
      <c r="C31" s="5">
        <v>28</v>
      </c>
      <c r="D31" s="6" t="s">
        <v>163</v>
      </c>
      <c r="E31" s="6" t="s">
        <v>100</v>
      </c>
      <c r="F31" s="8" t="s">
        <v>164</v>
      </c>
      <c r="G31" s="44" t="s">
        <v>28</v>
      </c>
      <c r="H31" s="45"/>
      <c r="I31" s="7"/>
      <c r="J31" s="5"/>
      <c r="K31" s="35" t="s">
        <v>165</v>
      </c>
      <c r="L31" s="31"/>
      <c r="M31" s="31"/>
      <c r="N31" s="32"/>
      <c r="P31" s="19" t="s">
        <v>55</v>
      </c>
      <c r="Q31" s="20" t="s">
        <v>107</v>
      </c>
      <c r="R31" s="21" t="s">
        <v>50</v>
      </c>
    </row>
    <row r="32" spans="2:18" ht="132">
      <c r="B32" s="22" t="s">
        <v>5</v>
      </c>
      <c r="C32" s="5">
        <v>29</v>
      </c>
      <c r="D32" s="6" t="s">
        <v>166</v>
      </c>
      <c r="E32" s="6" t="s">
        <v>88</v>
      </c>
      <c r="F32" s="8" t="s">
        <v>167</v>
      </c>
      <c r="G32" s="44" t="s">
        <v>28</v>
      </c>
      <c r="H32" s="45"/>
      <c r="I32" s="7"/>
      <c r="J32" s="5"/>
      <c r="K32" s="35" t="s">
        <v>168</v>
      </c>
      <c r="L32" s="31"/>
      <c r="M32" s="31"/>
      <c r="N32" s="32"/>
      <c r="P32" s="19" t="s">
        <v>111</v>
      </c>
      <c r="Q32" s="20" t="s">
        <v>169</v>
      </c>
      <c r="R32" s="21"/>
    </row>
    <row r="33" spans="2:18" ht="66">
      <c r="B33" s="22" t="s">
        <v>6</v>
      </c>
      <c r="C33" s="5">
        <v>30</v>
      </c>
      <c r="D33" s="6" t="s">
        <v>170</v>
      </c>
      <c r="E33" s="6" t="s">
        <v>171</v>
      </c>
      <c r="F33" s="8" t="s">
        <v>172</v>
      </c>
      <c r="G33" s="44" t="s">
        <v>28</v>
      </c>
      <c r="H33" s="45"/>
      <c r="I33" s="7"/>
      <c r="J33" s="5"/>
      <c r="K33" s="35" t="s">
        <v>173</v>
      </c>
      <c r="L33" s="31" t="s">
        <v>174</v>
      </c>
      <c r="M33" s="37" t="s">
        <v>175</v>
      </c>
      <c r="N33" s="32"/>
      <c r="P33" s="19" t="s">
        <v>176</v>
      </c>
      <c r="Q33" s="20" t="s">
        <v>177</v>
      </c>
      <c r="R33" s="20" t="s">
        <v>178</v>
      </c>
    </row>
    <row r="34" spans="2:18" ht="165">
      <c r="B34" s="22" t="s">
        <v>6</v>
      </c>
      <c r="C34" s="5">
        <v>31</v>
      </c>
      <c r="D34" s="6" t="s">
        <v>179</v>
      </c>
      <c r="E34" s="6" t="s">
        <v>171</v>
      </c>
      <c r="F34" s="8" t="s">
        <v>180</v>
      </c>
      <c r="G34" s="44" t="s">
        <v>116</v>
      </c>
      <c r="H34" s="45"/>
      <c r="I34" s="7"/>
      <c r="J34" s="5"/>
      <c r="K34" s="35" t="s">
        <v>181</v>
      </c>
      <c r="L34" s="31"/>
      <c r="M34" s="31"/>
      <c r="N34" s="32"/>
      <c r="P34" s="19" t="s">
        <v>176</v>
      </c>
      <c r="Q34" s="20" t="s">
        <v>182</v>
      </c>
      <c r="R34" s="20" t="s">
        <v>178</v>
      </c>
    </row>
    <row r="35" spans="2:18" ht="66">
      <c r="B35" s="22" t="s">
        <v>6</v>
      </c>
      <c r="C35" s="5">
        <v>32</v>
      </c>
      <c r="D35" s="6" t="s">
        <v>183</v>
      </c>
      <c r="E35" s="6" t="s">
        <v>184</v>
      </c>
      <c r="F35" s="8" t="s">
        <v>185</v>
      </c>
      <c r="G35" s="44" t="s">
        <v>28</v>
      </c>
      <c r="H35" s="45"/>
      <c r="I35" s="7"/>
      <c r="J35" s="5"/>
      <c r="K35" s="35" t="s">
        <v>186</v>
      </c>
      <c r="L35" s="37" t="s">
        <v>187</v>
      </c>
      <c r="M35" s="37" t="s">
        <v>188</v>
      </c>
      <c r="N35" s="32"/>
      <c r="P35" s="19" t="s">
        <v>176</v>
      </c>
      <c r="Q35" s="20" t="s">
        <v>189</v>
      </c>
      <c r="R35" s="20"/>
    </row>
    <row r="36" spans="2:18" ht="115.5">
      <c r="B36" s="22" t="s">
        <v>6</v>
      </c>
      <c r="C36" s="5">
        <v>33</v>
      </c>
      <c r="D36" s="6" t="s">
        <v>190</v>
      </c>
      <c r="E36" s="6" t="s">
        <v>191</v>
      </c>
      <c r="F36" s="8" t="s">
        <v>192</v>
      </c>
      <c r="G36" s="44" t="s">
        <v>28</v>
      </c>
      <c r="H36" s="45"/>
      <c r="I36" s="7"/>
      <c r="J36" s="5"/>
      <c r="K36" s="35" t="s">
        <v>193</v>
      </c>
      <c r="L36" s="40" t="s">
        <v>194</v>
      </c>
      <c r="M36" s="40" t="s">
        <v>194</v>
      </c>
      <c r="N36" s="32"/>
      <c r="P36" s="19" t="s">
        <v>176</v>
      </c>
      <c r="Q36" s="20" t="s">
        <v>195</v>
      </c>
      <c r="R36" s="20"/>
    </row>
    <row r="37" spans="2:18" ht="297">
      <c r="B37" s="22" t="s">
        <v>6</v>
      </c>
      <c r="C37" s="5">
        <v>34</v>
      </c>
      <c r="D37" s="6" t="s">
        <v>196</v>
      </c>
      <c r="E37" s="6" t="s">
        <v>197</v>
      </c>
      <c r="F37" s="8" t="s">
        <v>198</v>
      </c>
      <c r="G37" s="44" t="s">
        <v>28</v>
      </c>
      <c r="H37" s="45"/>
      <c r="I37" s="7"/>
      <c r="J37" s="5"/>
      <c r="K37" s="39"/>
      <c r="L37" s="31"/>
      <c r="M37" s="31"/>
      <c r="N37" s="32"/>
      <c r="P37" s="19" t="s">
        <v>176</v>
      </c>
      <c r="Q37" s="20" t="s">
        <v>199</v>
      </c>
      <c r="R37" s="20"/>
    </row>
    <row r="38" spans="2:18" ht="99">
      <c r="B38" s="22" t="s">
        <v>6</v>
      </c>
      <c r="C38" s="5">
        <v>35</v>
      </c>
      <c r="D38" s="6" t="s">
        <v>200</v>
      </c>
      <c r="E38" s="6" t="s">
        <v>201</v>
      </c>
      <c r="F38" s="8" t="s">
        <v>202</v>
      </c>
      <c r="G38" s="44" t="s">
        <v>28</v>
      </c>
      <c r="H38" s="45"/>
      <c r="I38" s="7"/>
      <c r="J38" s="5"/>
      <c r="K38" s="39"/>
      <c r="L38" s="31"/>
      <c r="M38" s="31"/>
      <c r="N38" s="32"/>
      <c r="P38" s="19" t="s">
        <v>176</v>
      </c>
      <c r="Q38" s="20" t="s">
        <v>203</v>
      </c>
      <c r="R38" s="20" t="s">
        <v>204</v>
      </c>
    </row>
    <row r="39" spans="2:18" ht="99">
      <c r="B39" s="22" t="s">
        <v>7</v>
      </c>
      <c r="C39" s="5">
        <v>36</v>
      </c>
      <c r="D39" s="6" t="s">
        <v>205</v>
      </c>
      <c r="E39" s="6" t="s">
        <v>206</v>
      </c>
      <c r="F39" s="8" t="s">
        <v>207</v>
      </c>
      <c r="G39" s="44" t="s">
        <v>28</v>
      </c>
      <c r="H39" s="45"/>
      <c r="I39" s="7"/>
      <c r="J39" s="5"/>
      <c r="K39" s="39"/>
      <c r="L39" s="31"/>
      <c r="M39" s="31"/>
      <c r="N39" s="32"/>
      <c r="P39" s="19"/>
      <c r="Q39" s="20"/>
      <c r="R39" s="21"/>
    </row>
    <row r="40" spans="2:18" ht="49.5">
      <c r="B40" s="22" t="s">
        <v>7</v>
      </c>
      <c r="C40" s="5">
        <v>37</v>
      </c>
      <c r="D40" s="6" t="s">
        <v>208</v>
      </c>
      <c r="E40" s="6" t="s">
        <v>209</v>
      </c>
      <c r="F40" s="8" t="s">
        <v>210</v>
      </c>
      <c r="G40" s="44" t="s">
        <v>28</v>
      </c>
      <c r="H40" s="45"/>
      <c r="I40" s="7"/>
      <c r="J40" s="5"/>
      <c r="K40" s="39" t="s">
        <v>211</v>
      </c>
      <c r="L40" s="37" t="s">
        <v>187</v>
      </c>
      <c r="M40" s="37" t="s">
        <v>187</v>
      </c>
      <c r="N40" s="32"/>
      <c r="P40" s="19"/>
      <c r="Q40" s="20"/>
      <c r="R40" s="21"/>
    </row>
    <row r="41" spans="2:18" ht="132">
      <c r="B41" s="22" t="s">
        <v>7</v>
      </c>
      <c r="C41" s="5">
        <v>38</v>
      </c>
      <c r="D41" s="6" t="s">
        <v>212</v>
      </c>
      <c r="E41" s="6" t="s">
        <v>88</v>
      </c>
      <c r="F41" s="8" t="s">
        <v>213</v>
      </c>
      <c r="G41" s="44" t="s">
        <v>116</v>
      </c>
      <c r="H41" s="45"/>
      <c r="I41" s="7"/>
      <c r="J41" s="5"/>
      <c r="K41" s="39"/>
      <c r="L41" s="31"/>
      <c r="M41" s="31"/>
      <c r="N41" s="32"/>
      <c r="P41" s="19"/>
      <c r="Q41" s="20"/>
      <c r="R41" s="21"/>
    </row>
    <row r="42" spans="2:18" ht="49.5">
      <c r="B42" s="22" t="s">
        <v>7</v>
      </c>
      <c r="C42" s="5">
        <v>39</v>
      </c>
      <c r="D42" s="6" t="s">
        <v>214</v>
      </c>
      <c r="E42" s="6" t="s">
        <v>88</v>
      </c>
      <c r="F42" s="8" t="s">
        <v>215</v>
      </c>
      <c r="G42" s="44" t="s">
        <v>28</v>
      </c>
      <c r="H42" s="45"/>
      <c r="I42" s="7"/>
      <c r="J42" s="5"/>
      <c r="K42" s="39"/>
      <c r="L42" s="31"/>
      <c r="M42" s="31"/>
      <c r="N42" s="32"/>
      <c r="P42" s="19"/>
      <c r="Q42" s="20"/>
      <c r="R42" s="21"/>
    </row>
    <row r="43" spans="2:18" ht="148.5">
      <c r="B43" s="22" t="s">
        <v>7</v>
      </c>
      <c r="C43" s="5">
        <v>40</v>
      </c>
      <c r="D43" s="6" t="s">
        <v>216</v>
      </c>
      <c r="E43" s="6" t="s">
        <v>217</v>
      </c>
      <c r="F43" s="8" t="s">
        <v>218</v>
      </c>
      <c r="G43" s="44" t="s">
        <v>28</v>
      </c>
      <c r="H43" s="45"/>
      <c r="I43" s="7"/>
      <c r="J43" s="5"/>
      <c r="K43" s="39"/>
      <c r="L43" s="31"/>
      <c r="M43" s="31"/>
      <c r="N43" s="32"/>
      <c r="P43" s="19"/>
      <c r="Q43" s="20"/>
      <c r="R43" s="21"/>
    </row>
    <row r="44" spans="2:18" ht="82.5">
      <c r="B44" s="22" t="s">
        <v>7</v>
      </c>
      <c r="C44" s="5">
        <v>41</v>
      </c>
      <c r="D44" s="6" t="s">
        <v>219</v>
      </c>
      <c r="E44" s="6" t="s">
        <v>220</v>
      </c>
      <c r="F44" s="8" t="s">
        <v>221</v>
      </c>
      <c r="G44" s="44" t="s">
        <v>28</v>
      </c>
      <c r="H44" s="45"/>
      <c r="I44" s="7"/>
      <c r="J44" s="5"/>
      <c r="K44" s="39"/>
      <c r="L44" s="31"/>
      <c r="M44" s="31"/>
      <c r="N44" s="32"/>
      <c r="P44" s="19"/>
      <c r="Q44" s="20"/>
      <c r="R44" s="21"/>
    </row>
    <row r="45" spans="2:18" ht="49.5">
      <c r="B45" s="22" t="s">
        <v>7</v>
      </c>
      <c r="C45" s="5">
        <v>42</v>
      </c>
      <c r="D45" s="6" t="s">
        <v>222</v>
      </c>
      <c r="E45" s="6" t="s">
        <v>223</v>
      </c>
      <c r="F45" s="8" t="s">
        <v>224</v>
      </c>
      <c r="G45" s="44" t="s">
        <v>28</v>
      </c>
      <c r="H45" s="45"/>
      <c r="I45" s="7"/>
      <c r="J45" s="5"/>
      <c r="K45" s="39"/>
      <c r="L45" s="31"/>
      <c r="M45" s="31"/>
      <c r="N45" s="32"/>
      <c r="P45" s="19"/>
      <c r="Q45" s="20"/>
      <c r="R45" s="21"/>
    </row>
    <row r="46" spans="2:18" ht="82.5">
      <c r="B46" s="22" t="s">
        <v>7</v>
      </c>
      <c r="C46" s="5">
        <v>43</v>
      </c>
      <c r="D46" s="6" t="s">
        <v>225</v>
      </c>
      <c r="E46" s="6" t="s">
        <v>226</v>
      </c>
      <c r="F46" s="8" t="s">
        <v>227</v>
      </c>
      <c r="G46" s="44" t="s">
        <v>116</v>
      </c>
      <c r="H46" s="45"/>
      <c r="I46" s="7"/>
      <c r="J46" s="5"/>
      <c r="K46" s="39"/>
      <c r="L46" s="31"/>
      <c r="M46" s="31"/>
      <c r="N46" s="32"/>
      <c r="P46" s="19"/>
      <c r="Q46" s="20"/>
      <c r="R46" s="21"/>
    </row>
    <row r="47" spans="2:18" ht="49.5">
      <c r="B47" s="22" t="s">
        <v>7</v>
      </c>
      <c r="C47" s="5">
        <v>44</v>
      </c>
      <c r="D47" s="6" t="s">
        <v>228</v>
      </c>
      <c r="E47" s="6" t="s">
        <v>66</v>
      </c>
      <c r="F47" s="8" t="s">
        <v>229</v>
      </c>
      <c r="G47" s="44" t="s">
        <v>116</v>
      </c>
      <c r="H47" s="45"/>
      <c r="I47" s="7"/>
      <c r="J47" s="5"/>
      <c r="K47" s="39"/>
      <c r="L47" s="31"/>
      <c r="M47" s="31"/>
      <c r="N47" s="32"/>
      <c r="P47" s="19"/>
      <c r="Q47" s="20"/>
      <c r="R47" s="21"/>
    </row>
    <row r="48" spans="2:18" ht="49.5">
      <c r="B48" s="22" t="s">
        <v>7</v>
      </c>
      <c r="C48" s="5">
        <v>45</v>
      </c>
      <c r="D48" s="6" t="s">
        <v>230</v>
      </c>
      <c r="E48" s="6" t="s">
        <v>66</v>
      </c>
      <c r="F48" s="8" t="s">
        <v>231</v>
      </c>
      <c r="G48" s="44" t="s">
        <v>116</v>
      </c>
      <c r="H48" s="45"/>
      <c r="I48" s="7"/>
      <c r="J48" s="5"/>
      <c r="K48" s="39"/>
      <c r="L48" s="31"/>
      <c r="M48" s="31"/>
      <c r="N48" s="32"/>
      <c r="P48" s="19"/>
      <c r="Q48" s="20"/>
      <c r="R48" s="21"/>
    </row>
    <row r="49" spans="2:18" ht="49.5">
      <c r="B49" s="22" t="s">
        <v>7</v>
      </c>
      <c r="C49" s="5">
        <v>46</v>
      </c>
      <c r="D49" s="6" t="s">
        <v>232</v>
      </c>
      <c r="E49" s="6" t="s">
        <v>206</v>
      </c>
      <c r="F49" s="8" t="s">
        <v>233</v>
      </c>
      <c r="G49" s="44" t="s">
        <v>116</v>
      </c>
      <c r="H49" s="45"/>
      <c r="I49" s="7"/>
      <c r="J49" s="5"/>
      <c r="K49" s="39"/>
      <c r="L49" s="31"/>
      <c r="M49" s="31"/>
      <c r="N49" s="32"/>
      <c r="P49" s="19"/>
      <c r="Q49" s="20"/>
      <c r="R49" s="21"/>
    </row>
    <row r="50" spans="2:18" ht="49.5">
      <c r="B50" s="22" t="s">
        <v>7</v>
      </c>
      <c r="C50" s="5">
        <v>47</v>
      </c>
      <c r="D50" s="6" t="s">
        <v>234</v>
      </c>
      <c r="E50" s="6" t="s">
        <v>223</v>
      </c>
      <c r="F50" s="8" t="s">
        <v>235</v>
      </c>
      <c r="G50" s="44" t="s">
        <v>116</v>
      </c>
      <c r="H50" s="45"/>
      <c r="I50" s="7"/>
      <c r="J50" s="5"/>
      <c r="K50" s="39"/>
      <c r="L50" s="31"/>
      <c r="M50" s="31"/>
      <c r="N50" s="32"/>
      <c r="P50" s="19"/>
      <c r="Q50" s="20"/>
      <c r="R50" s="21"/>
    </row>
    <row r="51" spans="2:18" ht="49.5">
      <c r="B51" s="22" t="s">
        <v>7</v>
      </c>
      <c r="C51" s="5">
        <v>48</v>
      </c>
      <c r="D51" s="6" t="s">
        <v>236</v>
      </c>
      <c r="E51" s="6" t="s">
        <v>52</v>
      </c>
      <c r="F51" s="8" t="s">
        <v>237</v>
      </c>
      <c r="G51" s="44" t="s">
        <v>116</v>
      </c>
      <c r="H51" s="45"/>
      <c r="I51" s="7"/>
      <c r="J51" s="5"/>
      <c r="K51" s="39"/>
      <c r="L51" s="31"/>
      <c r="M51" s="31"/>
      <c r="N51" s="32"/>
      <c r="P51" s="19"/>
      <c r="Q51" s="20"/>
      <c r="R51" s="21"/>
    </row>
    <row r="52" spans="2:18" ht="49.5">
      <c r="B52" s="22" t="s">
        <v>7</v>
      </c>
      <c r="C52" s="5">
        <v>49</v>
      </c>
      <c r="D52" s="6" t="s">
        <v>238</v>
      </c>
      <c r="E52" s="6" t="s">
        <v>239</v>
      </c>
      <c r="F52" s="8" t="s">
        <v>240</v>
      </c>
      <c r="G52" s="44" t="s">
        <v>116</v>
      </c>
      <c r="H52" s="45"/>
      <c r="I52" s="7"/>
      <c r="J52" s="5"/>
      <c r="K52" s="39"/>
      <c r="L52" s="31"/>
      <c r="M52" s="31"/>
      <c r="N52" s="32"/>
      <c r="P52" s="19"/>
      <c r="Q52" s="20"/>
      <c r="R52" s="21"/>
    </row>
    <row r="53" spans="2:18" ht="49.5">
      <c r="B53" s="22" t="s">
        <v>7</v>
      </c>
      <c r="C53" s="5">
        <v>50</v>
      </c>
      <c r="D53" s="6" t="s">
        <v>241</v>
      </c>
      <c r="E53" s="6" t="s">
        <v>88</v>
      </c>
      <c r="F53" s="8" t="s">
        <v>242</v>
      </c>
      <c r="G53" s="44" t="s">
        <v>116</v>
      </c>
      <c r="H53" s="45"/>
      <c r="I53" s="7"/>
      <c r="J53" s="5"/>
      <c r="K53" s="39"/>
      <c r="L53" s="31"/>
      <c r="M53" s="31"/>
      <c r="N53" s="32"/>
      <c r="P53" s="19"/>
      <c r="Q53" s="20"/>
      <c r="R53" s="21"/>
    </row>
    <row r="54" spans="2:18" ht="99">
      <c r="B54" s="22" t="s">
        <v>7</v>
      </c>
      <c r="C54" s="5">
        <v>51</v>
      </c>
      <c r="D54" s="6" t="s">
        <v>243</v>
      </c>
      <c r="E54" s="6" t="s">
        <v>244</v>
      </c>
      <c r="F54" s="8" t="s">
        <v>245</v>
      </c>
      <c r="G54" s="44" t="s">
        <v>116</v>
      </c>
      <c r="H54" s="45"/>
      <c r="I54" s="7"/>
      <c r="J54" s="5"/>
      <c r="K54" s="39"/>
      <c r="L54" s="31"/>
      <c r="M54" s="31"/>
      <c r="N54" s="32"/>
      <c r="P54" s="19"/>
      <c r="Q54" s="20"/>
      <c r="R54" s="21"/>
    </row>
    <row r="55" spans="2:18" ht="49.5">
      <c r="B55" s="22" t="s">
        <v>7</v>
      </c>
      <c r="C55" s="5">
        <v>52</v>
      </c>
      <c r="D55" s="6" t="s">
        <v>246</v>
      </c>
      <c r="E55" s="6" t="s">
        <v>66</v>
      </c>
      <c r="F55" s="8" t="s">
        <v>247</v>
      </c>
      <c r="G55" s="44" t="s">
        <v>116</v>
      </c>
      <c r="H55" s="45"/>
      <c r="I55" s="7"/>
      <c r="J55" s="5"/>
      <c r="K55" s="39"/>
      <c r="L55" s="31"/>
      <c r="M55" s="31"/>
      <c r="N55" s="32"/>
      <c r="P55" s="19"/>
      <c r="Q55" s="20"/>
      <c r="R55" s="21"/>
    </row>
    <row r="56" spans="2:18" ht="115.5">
      <c r="B56" s="22" t="s">
        <v>7</v>
      </c>
      <c r="C56" s="5">
        <v>53</v>
      </c>
      <c r="D56" s="6" t="s">
        <v>248</v>
      </c>
      <c r="E56" s="6" t="s">
        <v>249</v>
      </c>
      <c r="F56" s="8" t="s">
        <v>250</v>
      </c>
      <c r="G56" s="44" t="s">
        <v>116</v>
      </c>
      <c r="H56" s="45"/>
      <c r="I56" s="7"/>
      <c r="J56" s="5"/>
      <c r="K56" s="39"/>
      <c r="L56" s="31"/>
      <c r="M56" s="31"/>
      <c r="N56" s="32"/>
      <c r="P56" s="19"/>
      <c r="Q56" s="20"/>
      <c r="R56" s="21"/>
    </row>
  </sheetData>
  <autoFilter ref="A3:R56" xr:uid="{00000000-0009-0000-0000-000001000000}"/>
  <mergeCells count="3">
    <mergeCell ref="B2:F2"/>
    <mergeCell ref="P2:R2"/>
    <mergeCell ref="I2:N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B15" sqref="B15"/>
    </sheetView>
  </sheetViews>
  <sheetFormatPr defaultColWidth="9" defaultRowHeight="16.5"/>
  <cols>
    <col min="1" max="1" width="9" style="4"/>
    <col min="2" max="2" width="94.85546875" style="4" bestFit="1" customWidth="1"/>
    <col min="3" max="3" width="29.85546875" style="4" bestFit="1" customWidth="1"/>
    <col min="4" max="16384" width="9" style="4"/>
  </cols>
  <sheetData>
    <row r="1" spans="1:3" ht="17.25" thickBot="1">
      <c r="A1" s="2" t="s">
        <v>251</v>
      </c>
      <c r="B1" s="2" t="s">
        <v>24</v>
      </c>
      <c r="C1" s="2" t="s">
        <v>252</v>
      </c>
    </row>
    <row r="2" spans="1:3" ht="33">
      <c r="A2" s="4">
        <v>1</v>
      </c>
      <c r="B2" s="3" t="s">
        <v>253</v>
      </c>
      <c r="C2" s="4" t="s">
        <v>254</v>
      </c>
    </row>
    <row r="3" spans="1:3" ht="49.5">
      <c r="A3" s="4">
        <f>+A2+1</f>
        <v>2</v>
      </c>
      <c r="B3" s="3" t="s">
        <v>255</v>
      </c>
      <c r="C3" s="4" t="s">
        <v>254</v>
      </c>
    </row>
    <row r="4" spans="1:3">
      <c r="A4" s="4">
        <f>+A3+1</f>
        <v>3</v>
      </c>
      <c r="B4" s="4" t="s">
        <v>256</v>
      </c>
      <c r="C4" s="4" t="s">
        <v>257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92D4BB-A1B7-409C-B13C-812A698B41DC}"/>
</file>

<file path=customXml/itemProps2.xml><?xml version="1.0" encoding="utf-8"?>
<ds:datastoreItem xmlns:ds="http://schemas.openxmlformats.org/officeDocument/2006/customXml" ds:itemID="{85EC42AB-81C4-42B7-8F71-8D5AC0060CAB}"/>
</file>

<file path=customXml/itemProps3.xml><?xml version="1.0" encoding="utf-8"?>
<ds:datastoreItem xmlns:ds="http://schemas.openxmlformats.org/officeDocument/2006/customXml" ds:itemID="{26C2760B-685C-464B-A957-7BE46001A94F}"/>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2024-10-18T17:24:03Z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