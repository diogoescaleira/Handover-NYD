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MBDT/"/>
    </mc:Choice>
  </mc:AlternateContent>
  <xr:revisionPtr revIDLastSave="9" documentId="13_ncr:1_{34B3F8FB-B6DD-408A-886B-FDB09DBDD089}" xr6:coauthVersionLast="47" xr6:coauthVersionMax="47" xr10:uidLastSave="{149E6EE4-5571-4F04-BE23-81A52793B7C0}"/>
  <bookViews>
    <workbookView xWindow="-108" yWindow="-108" windowWidth="23256" windowHeight="12456" tabRatio="599" firstSheet="3" activeTab="3" xr2:uid="{00000000-000D-0000-FFFF-FFFF00000000}"/>
  </bookViews>
  <sheets>
    <sheet name="Data" sheetId="1" state="hidden" r:id="rId1"/>
    <sheet name="Mapeamento dos campos" sheetId="2" state="hidden" r:id="rId2"/>
    <sheet name="Data_pestanas" sheetId="4" state="hidden" r:id="rId3"/>
    <sheet name="atual" sheetId="5" r:id="rId4"/>
  </sheets>
  <definedNames>
    <definedName name="_xlnm._FilterDatabase" localSheetId="3" hidden="1">atual!$A$2:$D$79</definedName>
    <definedName name="_xlnm._FilterDatabase" localSheetId="0" hidden="1">Data!$A$2:$I$123</definedName>
    <definedName name="_xlnm._FilterDatabase" localSheetId="2" hidden="1">Data_pestanas!$A$2:$I$135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9" i="4" l="1"/>
  <c r="H129" i="4"/>
  <c r="G130" i="4"/>
  <c r="H130" i="4"/>
  <c r="G131" i="4"/>
  <c r="H131" i="4"/>
  <c r="G132" i="4"/>
  <c r="H132" i="4"/>
  <c r="G133" i="4"/>
  <c r="H133" i="4"/>
  <c r="G134" i="4"/>
  <c r="H134" i="4"/>
  <c r="G135" i="4"/>
  <c r="H135" i="4"/>
  <c r="H128" i="4"/>
  <c r="G128" i="4"/>
  <c r="A7" i="4"/>
  <c r="A8" i="4"/>
  <c r="A9" i="4"/>
  <c r="H9" i="4" s="1"/>
  <c r="A10" i="4"/>
  <c r="H10" i="4" s="1"/>
  <c r="A11" i="4"/>
  <c r="H11" i="4" s="1"/>
  <c r="A12" i="4"/>
  <c r="H12" i="4" s="1"/>
  <c r="A13" i="4"/>
  <c r="H13" i="4" s="1"/>
  <c r="A14" i="4"/>
  <c r="H14" i="4" s="1"/>
  <c r="A15" i="4"/>
  <c r="H15" i="4" s="1"/>
  <c r="A16" i="4"/>
  <c r="H16" i="4" s="1"/>
  <c r="A17" i="4"/>
  <c r="A18" i="4"/>
  <c r="H18" i="4" s="1"/>
  <c r="A19" i="4"/>
  <c r="A20" i="4"/>
  <c r="H20" i="4" s="1"/>
  <c r="A21" i="4"/>
  <c r="H21" i="4" s="1"/>
  <c r="A22" i="4"/>
  <c r="H22" i="4" s="1"/>
  <c r="A23" i="4"/>
  <c r="A24" i="4"/>
  <c r="H24" i="4" s="1"/>
  <c r="A25" i="4"/>
  <c r="H25" i="4" s="1"/>
  <c r="A26" i="4"/>
  <c r="H26" i="4" s="1"/>
  <c r="A27" i="4"/>
  <c r="H27" i="4" s="1"/>
  <c r="A28" i="4"/>
  <c r="H28" i="4" s="1"/>
  <c r="A29" i="4"/>
  <c r="H29" i="4" s="1"/>
  <c r="A30" i="4"/>
  <c r="H30" i="4" s="1"/>
  <c r="A31" i="4"/>
  <c r="A32" i="4"/>
  <c r="H32" i="4" s="1"/>
  <c r="A33" i="4"/>
  <c r="A34" i="4"/>
  <c r="H34" i="4" s="1"/>
  <c r="A35" i="4"/>
  <c r="H35" i="4" s="1"/>
  <c r="A36" i="4"/>
  <c r="H36" i="4" s="1"/>
  <c r="A37" i="4"/>
  <c r="H37" i="4" s="1"/>
  <c r="A38" i="4"/>
  <c r="H38" i="4" s="1"/>
  <c r="A39" i="4"/>
  <c r="A40" i="4"/>
  <c r="H40" i="4" s="1"/>
  <c r="A41" i="4"/>
  <c r="H41" i="4" s="1"/>
  <c r="A42" i="4"/>
  <c r="H42" i="4" s="1"/>
  <c r="A43" i="4"/>
  <c r="A44" i="4"/>
  <c r="H44" i="4" s="1"/>
  <c r="A45" i="4"/>
  <c r="H45" i="4" s="1"/>
  <c r="A46" i="4"/>
  <c r="H46" i="4" s="1"/>
  <c r="A47" i="4"/>
  <c r="A48" i="4"/>
  <c r="A49" i="4"/>
  <c r="H49" i="4" s="1"/>
  <c r="A50" i="4"/>
  <c r="H50" i="4" s="1"/>
  <c r="A51" i="4"/>
  <c r="H51" i="4" s="1"/>
  <c r="A52" i="4"/>
  <c r="H52" i="4" s="1"/>
  <c r="A53" i="4"/>
  <c r="H53" i="4" s="1"/>
  <c r="A54" i="4"/>
  <c r="H54" i="4" s="1"/>
  <c r="A55" i="4"/>
  <c r="A56" i="4"/>
  <c r="H56" i="4" s="1"/>
  <c r="A57" i="4"/>
  <c r="H57" i="4" s="1"/>
  <c r="A58" i="4"/>
  <c r="H58" i="4" s="1"/>
  <c r="A59" i="4"/>
  <c r="H59" i="4" s="1"/>
  <c r="A60" i="4"/>
  <c r="H60" i="4" s="1"/>
  <c r="A61" i="4"/>
  <c r="H61" i="4" s="1"/>
  <c r="A62" i="4"/>
  <c r="H62" i="4" s="1"/>
  <c r="A63" i="4"/>
  <c r="H63" i="4" s="1"/>
  <c r="A64" i="4"/>
  <c r="H64" i="4" s="1"/>
  <c r="A65" i="4"/>
  <c r="H65" i="4" s="1"/>
  <c r="A66" i="4"/>
  <c r="H66" i="4" s="1"/>
  <c r="A67" i="4"/>
  <c r="A68" i="4"/>
  <c r="H68" i="4" s="1"/>
  <c r="A69" i="4"/>
  <c r="H69" i="4" s="1"/>
  <c r="A70" i="4"/>
  <c r="H70" i="4" s="1"/>
  <c r="A71" i="4"/>
  <c r="A72" i="4"/>
  <c r="H72" i="4" s="1"/>
  <c r="A73" i="4"/>
  <c r="H73" i="4" s="1"/>
  <c r="A74" i="4"/>
  <c r="H74" i="4" s="1"/>
  <c r="A75" i="4"/>
  <c r="H75" i="4" s="1"/>
  <c r="A76" i="4"/>
  <c r="H76" i="4" s="1"/>
  <c r="A77" i="4"/>
  <c r="H77" i="4" s="1"/>
  <c r="A78" i="4"/>
  <c r="H78" i="4" s="1"/>
  <c r="A79" i="4"/>
  <c r="A80" i="4"/>
  <c r="H80" i="4" s="1"/>
  <c r="A81" i="4"/>
  <c r="H81" i="4" s="1"/>
  <c r="A82" i="4"/>
  <c r="H82" i="4" s="1"/>
  <c r="A83" i="4"/>
  <c r="A84" i="4"/>
  <c r="H84" i="4" s="1"/>
  <c r="A85" i="4"/>
  <c r="H85" i="4" s="1"/>
  <c r="A86" i="4"/>
  <c r="H86" i="4" s="1"/>
  <c r="A87" i="4"/>
  <c r="H87" i="4" s="1"/>
  <c r="A88" i="4"/>
  <c r="A89" i="4"/>
  <c r="H89" i="4" s="1"/>
  <c r="A90" i="4"/>
  <c r="H90" i="4" s="1"/>
  <c r="A91" i="4"/>
  <c r="A92" i="4"/>
  <c r="H92" i="4" s="1"/>
  <c r="A93" i="4"/>
  <c r="H93" i="4" s="1"/>
  <c r="A94" i="4"/>
  <c r="H94" i="4" s="1"/>
  <c r="A95" i="4"/>
  <c r="A96" i="4"/>
  <c r="H96" i="4" s="1"/>
  <c r="A97" i="4"/>
  <c r="H97" i="4" s="1"/>
  <c r="A98" i="4"/>
  <c r="H98" i="4" s="1"/>
  <c r="A99" i="4"/>
  <c r="H99" i="4" s="1"/>
  <c r="A100" i="4"/>
  <c r="H100" i="4" s="1"/>
  <c r="A101" i="4"/>
  <c r="H101" i="4" s="1"/>
  <c r="A102" i="4"/>
  <c r="H102" i="4" s="1"/>
  <c r="A103" i="4"/>
  <c r="H103" i="4" s="1"/>
  <c r="A104" i="4"/>
  <c r="H104" i="4" s="1"/>
  <c r="A105" i="4"/>
  <c r="H105" i="4" s="1"/>
  <c r="A106" i="4"/>
  <c r="H106" i="4" s="1"/>
  <c r="A107" i="4"/>
  <c r="A108" i="4"/>
  <c r="H108" i="4" s="1"/>
  <c r="A109" i="4"/>
  <c r="H109" i="4" s="1"/>
  <c r="A110" i="4"/>
  <c r="H110" i="4" s="1"/>
  <c r="A111" i="4"/>
  <c r="H111" i="4" s="1"/>
  <c r="A112" i="4"/>
  <c r="H112" i="4" s="1"/>
  <c r="A113" i="4"/>
  <c r="H113" i="4" s="1"/>
  <c r="A114" i="4"/>
  <c r="H114" i="4" s="1"/>
  <c r="A115" i="4"/>
  <c r="A116" i="4"/>
  <c r="H116" i="4" s="1"/>
  <c r="A117" i="4"/>
  <c r="H117" i="4" s="1"/>
  <c r="A118" i="4"/>
  <c r="H118" i="4" s="1"/>
  <c r="A119" i="4"/>
  <c r="H119" i="4" s="1"/>
  <c r="A120" i="4"/>
  <c r="H120" i="4" s="1"/>
  <c r="A121" i="4"/>
  <c r="H121" i="4" s="1"/>
  <c r="A122" i="4"/>
  <c r="H122" i="4" s="1"/>
  <c r="A123" i="4"/>
  <c r="H123" i="4" s="1"/>
  <c r="A124" i="4"/>
  <c r="H124" i="4" s="1"/>
  <c r="A125" i="4"/>
  <c r="H125" i="4" s="1"/>
  <c r="A126" i="4"/>
  <c r="H126" i="4" s="1"/>
  <c r="A127" i="4"/>
  <c r="H127" i="4" s="1"/>
  <c r="A4" i="4"/>
  <c r="H4" i="4" s="1"/>
  <c r="A5" i="4"/>
  <c r="H5" i="4" s="1"/>
  <c r="A6" i="4"/>
  <c r="H6" i="4" s="1"/>
  <c r="A3" i="4"/>
  <c r="H3" i="4" s="1"/>
  <c r="H67" i="4"/>
  <c r="G66" i="4"/>
  <c r="G67" i="4"/>
  <c r="G68" i="4"/>
  <c r="G69" i="4"/>
  <c r="G65" i="4"/>
  <c r="G64" i="4"/>
  <c r="G63" i="4"/>
  <c r="G127" i="4"/>
  <c r="G126" i="4"/>
  <c r="G125" i="4"/>
  <c r="G122" i="4"/>
  <c r="G121" i="4"/>
  <c r="G120" i="4"/>
  <c r="G117" i="4"/>
  <c r="G116" i="4"/>
  <c r="G115" i="4"/>
  <c r="H115" i="4"/>
  <c r="G114" i="4"/>
  <c r="G113" i="4"/>
  <c r="G112" i="4"/>
  <c r="G111" i="4"/>
  <c r="G110" i="4"/>
  <c r="G109" i="4"/>
  <c r="G108" i="4"/>
  <c r="G107" i="4"/>
  <c r="H107" i="4"/>
  <c r="G106" i="4"/>
  <c r="G105" i="4"/>
  <c r="G104" i="4"/>
  <c r="G103" i="4"/>
  <c r="G100" i="4"/>
  <c r="G99" i="4"/>
  <c r="G98" i="4"/>
  <c r="G97" i="4"/>
  <c r="G96" i="4"/>
  <c r="G95" i="4"/>
  <c r="H95" i="4"/>
  <c r="G94" i="4"/>
  <c r="G93" i="4"/>
  <c r="G92" i="4"/>
  <c r="G89" i="4"/>
  <c r="G88" i="4"/>
  <c r="H88" i="4"/>
  <c r="G87" i="4"/>
  <c r="G86" i="4"/>
  <c r="G85" i="4"/>
  <c r="G84" i="4"/>
  <c r="G83" i="4"/>
  <c r="H83" i="4"/>
  <c r="G82" i="4"/>
  <c r="G79" i="4"/>
  <c r="H79" i="4"/>
  <c r="G78" i="4"/>
  <c r="G77" i="4"/>
  <c r="G76" i="4"/>
  <c r="G75" i="4"/>
  <c r="G74" i="4"/>
  <c r="G73" i="4"/>
  <c r="G72" i="4"/>
  <c r="G58" i="4"/>
  <c r="G57" i="4"/>
  <c r="G56" i="4"/>
  <c r="G55" i="4"/>
  <c r="H55" i="4"/>
  <c r="G54" i="4"/>
  <c r="G53" i="4"/>
  <c r="G52" i="4"/>
  <c r="G51" i="4"/>
  <c r="G50" i="4"/>
  <c r="G49" i="4"/>
  <c r="G48" i="4"/>
  <c r="H48" i="4"/>
  <c r="G47" i="4"/>
  <c r="H47" i="4"/>
  <c r="G44" i="4"/>
  <c r="G43" i="4"/>
  <c r="H43" i="4"/>
  <c r="G42" i="4"/>
  <c r="G41" i="4"/>
  <c r="G40" i="4"/>
  <c r="G39" i="4"/>
  <c r="H39" i="4"/>
  <c r="G38" i="4"/>
  <c r="G37" i="4"/>
  <c r="G36" i="4"/>
  <c r="G33" i="4"/>
  <c r="H33" i="4"/>
  <c r="G32" i="4"/>
  <c r="G31" i="4"/>
  <c r="H31" i="4"/>
  <c r="G62" i="4"/>
  <c r="G30" i="4"/>
  <c r="G29" i="4"/>
  <c r="G28" i="4"/>
  <c r="G27" i="4"/>
  <c r="G26" i="4"/>
  <c r="G25" i="4"/>
  <c r="G24" i="4"/>
  <c r="G23" i="4"/>
  <c r="H23" i="4"/>
  <c r="G22" i="4"/>
  <c r="G21" i="4"/>
  <c r="G20" i="4"/>
  <c r="G19" i="4"/>
  <c r="H19" i="4"/>
  <c r="G61" i="4"/>
  <c r="G18" i="4"/>
  <c r="G124" i="4"/>
  <c r="G123" i="4"/>
  <c r="G17" i="4"/>
  <c r="H17" i="4"/>
  <c r="G16" i="4"/>
  <c r="G119" i="4"/>
  <c r="G118" i="4"/>
  <c r="G15" i="4"/>
  <c r="G102" i="4"/>
  <c r="G101" i="4"/>
  <c r="G91" i="4"/>
  <c r="H91" i="4"/>
  <c r="G14" i="4"/>
  <c r="G90" i="4"/>
  <c r="G81" i="4"/>
  <c r="G11" i="4"/>
  <c r="G80" i="4"/>
  <c r="G71" i="4"/>
  <c r="H71" i="4"/>
  <c r="G70" i="4"/>
  <c r="G10" i="4"/>
  <c r="G60" i="4"/>
  <c r="G59" i="4"/>
  <c r="G9" i="4"/>
  <c r="G8" i="4"/>
  <c r="H8" i="4"/>
  <c r="G46" i="4"/>
  <c r="G45" i="4"/>
  <c r="G35" i="4"/>
  <c r="G34" i="4"/>
  <c r="G7" i="4"/>
  <c r="H7" i="4"/>
  <c r="G6" i="4"/>
  <c r="G13" i="4"/>
  <c r="G12" i="4"/>
  <c r="G5" i="4"/>
  <c r="G4" i="4"/>
  <c r="G3" i="4"/>
  <c r="A4" i="1"/>
  <c r="H4" i="1" s="1"/>
  <c r="A5" i="1"/>
  <c r="H5" i="1" s="1"/>
  <c r="A6" i="1"/>
  <c r="H6" i="1" s="1"/>
  <c r="A7" i="1"/>
  <c r="H7" i="1" s="1"/>
  <c r="A8" i="1"/>
  <c r="H8" i="1" s="1"/>
  <c r="A9" i="1"/>
  <c r="H9" i="1" s="1"/>
  <c r="A10" i="1"/>
  <c r="H10" i="1" s="1"/>
  <c r="A11" i="1"/>
  <c r="H11" i="1" s="1"/>
  <c r="A12" i="1"/>
  <c r="H12" i="1" s="1"/>
  <c r="A13" i="1"/>
  <c r="H13" i="1" s="1"/>
  <c r="A14" i="1"/>
  <c r="H14" i="1" s="1"/>
  <c r="A15" i="1"/>
  <c r="H15" i="1" s="1"/>
  <c r="A16" i="1"/>
  <c r="H16" i="1" s="1"/>
  <c r="A17" i="1"/>
  <c r="H17" i="1" s="1"/>
  <c r="A18" i="1"/>
  <c r="H18" i="1" s="1"/>
  <c r="A19" i="1"/>
  <c r="H19" i="1" s="1"/>
  <c r="A20" i="1"/>
  <c r="H20" i="1" s="1"/>
  <c r="A21" i="1"/>
  <c r="H21" i="1" s="1"/>
  <c r="A22" i="1"/>
  <c r="H22" i="1" s="1"/>
  <c r="A23" i="1"/>
  <c r="H23" i="1" s="1"/>
  <c r="A24" i="1"/>
  <c r="H24" i="1" s="1"/>
  <c r="A25" i="1"/>
  <c r="H25" i="1" s="1"/>
  <c r="A26" i="1"/>
  <c r="H26" i="1" s="1"/>
  <c r="A27" i="1"/>
  <c r="H27" i="1" s="1"/>
  <c r="A28" i="1"/>
  <c r="H28" i="1" s="1"/>
  <c r="A29" i="1"/>
  <c r="H29" i="1" s="1"/>
  <c r="A30" i="1"/>
  <c r="H30" i="1" s="1"/>
  <c r="A31" i="1"/>
  <c r="H31" i="1" s="1"/>
  <c r="A32" i="1"/>
  <c r="H32" i="1" s="1"/>
  <c r="A33" i="1"/>
  <c r="H33" i="1" s="1"/>
  <c r="A34" i="1"/>
  <c r="H34" i="1" s="1"/>
  <c r="A35" i="1"/>
  <c r="H35" i="1" s="1"/>
  <c r="A36" i="1"/>
  <c r="H36" i="1" s="1"/>
  <c r="A37" i="1"/>
  <c r="H37" i="1" s="1"/>
  <c r="A38" i="1"/>
  <c r="H38" i="1" s="1"/>
  <c r="A39" i="1"/>
  <c r="H39" i="1" s="1"/>
  <c r="A40" i="1"/>
  <c r="H40" i="1" s="1"/>
  <c r="A41" i="1"/>
  <c r="H41" i="1" s="1"/>
  <c r="A42" i="1"/>
  <c r="H42" i="1" s="1"/>
  <c r="A43" i="1"/>
  <c r="H43" i="1" s="1"/>
  <c r="A44" i="1"/>
  <c r="H44" i="1" s="1"/>
  <c r="A45" i="1"/>
  <c r="H45" i="1" s="1"/>
  <c r="A46" i="1"/>
  <c r="H46" i="1" s="1"/>
  <c r="A47" i="1"/>
  <c r="H47" i="1" s="1"/>
  <c r="A48" i="1"/>
  <c r="H48" i="1" s="1"/>
  <c r="A49" i="1"/>
  <c r="H49" i="1" s="1"/>
  <c r="A50" i="1"/>
  <c r="H50" i="1" s="1"/>
  <c r="A51" i="1"/>
  <c r="H51" i="1" s="1"/>
  <c r="A52" i="1"/>
  <c r="H52" i="1" s="1"/>
  <c r="A53" i="1"/>
  <c r="H53" i="1" s="1"/>
  <c r="A54" i="1"/>
  <c r="H54" i="1" s="1"/>
  <c r="A55" i="1"/>
  <c r="H55" i="1" s="1"/>
  <c r="A56" i="1"/>
  <c r="H56" i="1" s="1"/>
  <c r="A57" i="1"/>
  <c r="H57" i="1" s="1"/>
  <c r="A58" i="1"/>
  <c r="H58" i="1" s="1"/>
  <c r="A59" i="1"/>
  <c r="H59" i="1" s="1"/>
  <c r="A60" i="1"/>
  <c r="H60" i="1" s="1"/>
  <c r="A61" i="1"/>
  <c r="H61" i="1" s="1"/>
  <c r="A62" i="1"/>
  <c r="H62" i="1" s="1"/>
  <c r="A63" i="1"/>
  <c r="H63" i="1" s="1"/>
  <c r="A64" i="1"/>
  <c r="H64" i="1" s="1"/>
  <c r="A65" i="1"/>
  <c r="H65" i="1" s="1"/>
  <c r="A66" i="1"/>
  <c r="H66" i="1" s="1"/>
  <c r="A67" i="1"/>
  <c r="H67" i="1" s="1"/>
  <c r="A68" i="1"/>
  <c r="H68" i="1" s="1"/>
  <c r="A69" i="1"/>
  <c r="H69" i="1" s="1"/>
  <c r="A70" i="1"/>
  <c r="H70" i="1" s="1"/>
  <c r="A71" i="1"/>
  <c r="H71" i="1" s="1"/>
  <c r="A72" i="1"/>
  <c r="H72" i="1" s="1"/>
  <c r="A73" i="1"/>
  <c r="H73" i="1" s="1"/>
  <c r="A74" i="1"/>
  <c r="H74" i="1" s="1"/>
  <c r="A75" i="1"/>
  <c r="H75" i="1" s="1"/>
  <c r="A76" i="1"/>
  <c r="H76" i="1" s="1"/>
  <c r="A77" i="1"/>
  <c r="H77" i="1" s="1"/>
  <c r="A78" i="1"/>
  <c r="H78" i="1" s="1"/>
  <c r="A79" i="1"/>
  <c r="H79" i="1" s="1"/>
  <c r="A80" i="1"/>
  <c r="H80" i="1" s="1"/>
  <c r="A81" i="1"/>
  <c r="H81" i="1" s="1"/>
  <c r="A82" i="1"/>
  <c r="H82" i="1" s="1"/>
  <c r="A83" i="1"/>
  <c r="H83" i="1" s="1"/>
  <c r="A84" i="1"/>
  <c r="H84" i="1" s="1"/>
  <c r="A85" i="1"/>
  <c r="H85" i="1" s="1"/>
  <c r="A86" i="1"/>
  <c r="H86" i="1" s="1"/>
  <c r="A87" i="1"/>
  <c r="H87" i="1" s="1"/>
  <c r="A88" i="1"/>
  <c r="H88" i="1" s="1"/>
  <c r="A89" i="1"/>
  <c r="H89" i="1" s="1"/>
  <c r="A90" i="1"/>
  <c r="H90" i="1" s="1"/>
  <c r="A91" i="1"/>
  <c r="H91" i="1" s="1"/>
  <c r="A92" i="1"/>
  <c r="H92" i="1" s="1"/>
  <c r="A93" i="1"/>
  <c r="H93" i="1" s="1"/>
  <c r="A94" i="1"/>
  <c r="H94" i="1" s="1"/>
  <c r="A95" i="1"/>
  <c r="H95" i="1" s="1"/>
  <c r="A96" i="1"/>
  <c r="H96" i="1" s="1"/>
  <c r="A97" i="1"/>
  <c r="H97" i="1" s="1"/>
  <c r="A98" i="1"/>
  <c r="H98" i="1" s="1"/>
  <c r="A99" i="1"/>
  <c r="H99" i="1" s="1"/>
  <c r="A100" i="1"/>
  <c r="H100" i="1" s="1"/>
  <c r="A101" i="1"/>
  <c r="H101" i="1" s="1"/>
  <c r="A102" i="1"/>
  <c r="H102" i="1" s="1"/>
  <c r="A103" i="1"/>
  <c r="H103" i="1" s="1"/>
  <c r="A104" i="1"/>
  <c r="H104" i="1" s="1"/>
  <c r="A105" i="1"/>
  <c r="H105" i="1" s="1"/>
  <c r="A106" i="1"/>
  <c r="H106" i="1" s="1"/>
  <c r="A107" i="1"/>
  <c r="H107" i="1" s="1"/>
  <c r="A108" i="1"/>
  <c r="H108" i="1" s="1"/>
  <c r="A109" i="1"/>
  <c r="H109" i="1" s="1"/>
  <c r="A110" i="1"/>
  <c r="H110" i="1" s="1"/>
  <c r="A111" i="1"/>
  <c r="H111" i="1" s="1"/>
  <c r="A112" i="1"/>
  <c r="H112" i="1" s="1"/>
  <c r="A113" i="1"/>
  <c r="H113" i="1" s="1"/>
  <c r="A114" i="1"/>
  <c r="H114" i="1" s="1"/>
  <c r="A115" i="1"/>
  <c r="H115" i="1" s="1"/>
  <c r="A116" i="1"/>
  <c r="H116" i="1" s="1"/>
  <c r="A117" i="1"/>
  <c r="H117" i="1" s="1"/>
  <c r="A118" i="1"/>
  <c r="H118" i="1" s="1"/>
  <c r="A119" i="1"/>
  <c r="H119" i="1" s="1"/>
  <c r="A120" i="1"/>
  <c r="H120" i="1" s="1"/>
  <c r="A121" i="1"/>
  <c r="H121" i="1" s="1"/>
  <c r="A122" i="1"/>
  <c r="H122" i="1" s="1"/>
  <c r="A123" i="1"/>
  <c r="H123" i="1" s="1"/>
  <c r="A3" i="1"/>
  <c r="H3" i="1" s="1"/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3" i="1"/>
</calcChain>
</file>

<file path=xl/sharedStrings.xml><?xml version="1.0" encoding="utf-8"?>
<sst xmlns="http://schemas.openxmlformats.org/spreadsheetml/2006/main" count="2857" uniqueCount="483">
  <si>
    <r>
      <rPr>
        <b/>
        <sz val="16"/>
        <rFont val="Arial"/>
        <family val="2"/>
      </rPr>
      <t>Custom Attribute List</t>
    </r>
  </si>
  <si>
    <t>coluna</t>
  </si>
  <si>
    <t xml:space="preserve"> Name</t>
  </si>
  <si>
    <t xml:space="preserve"> Type</t>
  </si>
  <si>
    <t xml:space="preserve"> Id</t>
  </si>
  <si>
    <t xml:space="preserve"> Active</t>
  </si>
  <si>
    <t xml:space="preserve"> Archived</t>
  </si>
  <si>
    <t>Join</t>
  </si>
  <si>
    <t>campo</t>
  </si>
  <si>
    <t>Stored Selector</t>
  </si>
  <si>
    <t>01. Certificação</t>
  </si>
  <si>
    <t>LIST</t>
  </si>
  <si>
    <t>912</t>
  </si>
  <si>
    <t>true</t>
  </si>
  <si>
    <t>false</t>
  </si>
  <si>
    <t>04_MAPA_ODR_1</t>
  </si>
  <si>
    <t>01. Notas de Revisão</t>
  </si>
  <si>
    <t>TEXT</t>
  </si>
  <si>
    <t>895</t>
  </si>
  <si>
    <t xml:space="preserve">01. O Objetivo alto nível da iniciativa (motivo para a sua realização e qual o retorno sobre o investimento previsto) encontra-se definido e documentado. </t>
  </si>
  <si>
    <t>946</t>
  </si>
  <si>
    <t>02. Certificação</t>
  </si>
  <si>
    <t>1272</t>
  </si>
  <si>
    <t>02. Notas de Revisão</t>
  </si>
  <si>
    <t>1273</t>
  </si>
  <si>
    <t>02. O âmbito e exclusões encontram-se definidos (principais fluxos, módulos e produtos que serão entregues, assim como o que fica fora de âmbito e, portanto, não será entregue).</t>
  </si>
  <si>
    <t>943</t>
  </si>
  <si>
    <t>03. A lista completa de entregáveis/produtos que o projecto irá contemplar encontra-se definida.</t>
  </si>
  <si>
    <t>925</t>
  </si>
  <si>
    <t>03. Certificação</t>
  </si>
  <si>
    <t>1276</t>
  </si>
  <si>
    <t>a definir</t>
  </si>
  <si>
    <t>03. Notas de Revisão</t>
  </si>
  <si>
    <t>1277</t>
  </si>
  <si>
    <t>04. Certificação</t>
  </si>
  <si>
    <t>1278</t>
  </si>
  <si>
    <t>04. Notas de Revisão</t>
  </si>
  <si>
    <t>1279</t>
  </si>
  <si>
    <t>04. Todas as dependências encontram-se identificadas (exemplo, se o projecto depende de produtos ou de decisões externas).</t>
  </si>
  <si>
    <t>927</t>
  </si>
  <si>
    <t>05. A lista das premissas estabelecidas para o planeamento deste projecto encontra-se descrita, bem como o estado atual de validação (Ex: premissas relativas a matérias legais, outros projectos, condições de mercado, recrutamento etc).</t>
  </si>
  <si>
    <t>941</t>
  </si>
  <si>
    <t>05. Certificação</t>
  </si>
  <si>
    <t>1280</t>
  </si>
  <si>
    <t>05. Notas de Revisão</t>
  </si>
  <si>
    <t>1281</t>
  </si>
  <si>
    <t>06. A lista dos principais contactos do projecto e quais as suas funções e responsabilidades encontra-se definida.</t>
  </si>
  <si>
    <t>935</t>
  </si>
  <si>
    <t>06. Certificação</t>
  </si>
  <si>
    <t>1282</t>
  </si>
  <si>
    <t>06. Notas de Revisão</t>
  </si>
  <si>
    <t>1283</t>
  </si>
  <si>
    <t>07. Certificação</t>
  </si>
  <si>
    <t>1284</t>
  </si>
  <si>
    <t>07. Critérios de Aceitação: os critérios que o Sponsor do Projecto e o Product Owner usarão para avaliar e aceitar ou rejeitar os entregáveis do projecto encontra-se definidos de forma mensurável.</t>
  </si>
  <si>
    <t>893</t>
  </si>
  <si>
    <t>07. Notas de Revisão</t>
  </si>
  <si>
    <t>1285</t>
  </si>
  <si>
    <t>08. Certificação</t>
  </si>
  <si>
    <t>1286</t>
  </si>
  <si>
    <t>08. Existe documento de Requisitos devidamente aprovado. Todos os requisitos encontram-se incluidos na documentação do projecto.</t>
  </si>
  <si>
    <t>876</t>
  </si>
  <si>
    <t>08. Notas de Revisão</t>
  </si>
  <si>
    <t>1287</t>
  </si>
  <si>
    <t>09. Certificação</t>
  </si>
  <si>
    <t>1288</t>
  </si>
  <si>
    <t>09. Notas de Revisão</t>
  </si>
  <si>
    <t>1289</t>
  </si>
  <si>
    <t>09. O Desenho do Serviço encontra-se alinhado com a Estratégia do Santander. (Cloud, consolidação de data centers, aplicações/serviços/fornecedores preferenciais, etc.)</t>
  </si>
  <si>
    <t>894</t>
  </si>
  <si>
    <t>10 . Certificação</t>
  </si>
  <si>
    <t>1290</t>
  </si>
  <si>
    <t>10. Notas de Revisão</t>
  </si>
  <si>
    <t>1291</t>
  </si>
  <si>
    <t>10. O Desenho de Serviço inclui Arquitectura Lógica e Física.</t>
  </si>
  <si>
    <t>939</t>
  </si>
  <si>
    <t>11. A relação detalhada de hardware previsto para suportar o serviço encontra-se discriminada (hardware físico/virtual/cloud)?</t>
  </si>
  <si>
    <t>1298</t>
  </si>
  <si>
    <t>11. Certificação</t>
  </si>
  <si>
    <t>1292</t>
  </si>
  <si>
    <t>11. Notas de Revisão</t>
  </si>
  <si>
    <t>1293</t>
  </si>
  <si>
    <t>12. As aplicações utilizadas pelo Serviço encontram-se identificadas.</t>
  </si>
  <si>
    <t>1299</t>
  </si>
  <si>
    <t>13. A relação detalhada de Bases de Dados (novas/existentes) e novos Schemas utilizados pelos serviços encontra-se identificada.</t>
  </si>
  <si>
    <t>1300</t>
  </si>
  <si>
    <t>14. Os requisitos e volumetria de Memória a utilizar pelo Serviço encontram-se identificados.</t>
  </si>
  <si>
    <t>1301</t>
  </si>
  <si>
    <t>15. A Necessidade de utilização de Load Balancers encontra-se identificada.</t>
  </si>
  <si>
    <t>1302</t>
  </si>
  <si>
    <t>16. A necessidade de alterações a Redes e Firewalls encontra-se identificada.</t>
  </si>
  <si>
    <t>1303</t>
  </si>
  <si>
    <t>17. Os interfaces com terceiros encontram-se identificados e especificados de forma detalhada.</t>
  </si>
  <si>
    <t>1304</t>
  </si>
  <si>
    <t>04_MAPA_ODR_3</t>
  </si>
  <si>
    <t>18. Os interfaces internos (no Grupo Santander) encontram-se identificados e especificados de forma detalhada.</t>
  </si>
  <si>
    <t>1305</t>
  </si>
  <si>
    <t>19. A lista de sistemas internos a decomissionar no contexto desta implementação encontra-se identificada.</t>
  </si>
  <si>
    <t>1306</t>
  </si>
  <si>
    <t>20.  A diferenciação Interna/Externa encontra-se identificada e documentada para alguma das seguintes dimensões: a. Infraestrutura; b. Conectividade; c. Níveis de Serviço; d. Gestão de Escalado; e. Continuidade do Serviço.</t>
  </si>
  <si>
    <t>1307</t>
  </si>
  <si>
    <t>21.  As necessidades de Software (Versões, Fornecedores e Licenças) encontram-se identificadas.</t>
  </si>
  <si>
    <t>1308</t>
  </si>
  <si>
    <t>22. O serviço/aplicação necessita de certificados?</t>
  </si>
  <si>
    <t>1309</t>
  </si>
  <si>
    <t>23.  As limitações de serviço (Funcionais e Técnicas), se existentes, encontram-se documentadas.</t>
  </si>
  <si>
    <t>1310</t>
  </si>
  <si>
    <t>24.  Encontram-se decumentadas as políticas e métodos aplicáveis à Gestão de Acessos: a. Tipos de Utilizadores (Internos, Externos (3rd party), Super Users); b. Adição, Modificação, Remoção de acessos; c. Autenticação e Autorização; d. Requisitos SOX.</t>
  </si>
  <si>
    <t>1311</t>
  </si>
  <si>
    <t>25.  O desenho do Serviço inclui um plano de Capacidade: a. Plano de Capacidade Inicial b. Fatores de utilização inicial (Previsão Volume de Negócio Inicial | Previsão Inicial de Capacidades a 3 e 12 meses).</t>
  </si>
  <si>
    <t>1312</t>
  </si>
  <si>
    <t>26.  O Serviço inclui Monitorização, Alarmística e Reporting e os seus requisitos encontram-se detalhados.</t>
  </si>
  <si>
    <t>897</t>
  </si>
  <si>
    <t>27.  Os requisitos de Resiliência do Serviço estão identificados e em conformidade com a criticidade do negócio.</t>
  </si>
  <si>
    <t>1313</t>
  </si>
  <si>
    <t>28. O Serviço requer Disaster Recovery?</t>
  </si>
  <si>
    <t>1314</t>
  </si>
  <si>
    <t>29. A necessidade de recursos (FTE) para Suporte Operacional adicionais ou contratos de Suporte com terceiros para este serviço encontra-se identificada e assegurada.</t>
  </si>
  <si>
    <t>1315</t>
  </si>
  <si>
    <t>30. O Serviço está categorizado.</t>
  </si>
  <si>
    <t>1316</t>
  </si>
  <si>
    <t>31.  Os requisitos de disponibilidade do Serviço com base na sua Categorização encontram-se identificados.</t>
  </si>
  <si>
    <t>1317</t>
  </si>
  <si>
    <t>32. Os níveis de Serviço e horário de suporte encontram-se definidos e consensuados com as áreas de suporte.</t>
  </si>
  <si>
    <t>1318</t>
  </si>
  <si>
    <t>33. O Owner do Suporte do Serviço e todas as equipas de Suporte Tecnológicos encontram-se identificadas.</t>
  </si>
  <si>
    <t>1319</t>
  </si>
  <si>
    <t>34. Existem considerações especiais (Governamentais, Serviços de Emergância, etc.)?</t>
  </si>
  <si>
    <t>1320</t>
  </si>
  <si>
    <t>35. Os níveis de categorização de Serviço de todas as aplicações envolvidas foram identificados e sua compatibilidade com a categorização estabelecida para este Serviço foi verificada.</t>
  </si>
  <si>
    <t>1321</t>
  </si>
  <si>
    <t>36. Caso necessário, as acções para assegurar o uplift das aplicações envolvidas aos níveis de serviço requeridos encontram-se estabelecidas/em curso.</t>
  </si>
  <si>
    <t>1322</t>
  </si>
  <si>
    <t>04_MAPA_ODR_4</t>
  </si>
  <si>
    <t>37. A revisão de todos os contratos no sentido de confirmar a sua conformidade com os níveis de serviço exigidos pela categorização deste serviço e/ou assegurado com os gestores desses serviços a sua revisão com os fornecedores encontra-se efectuada.</t>
  </si>
  <si>
    <t>1323</t>
  </si>
  <si>
    <t>38. Caso o serviço implique incremento nos Custos Opex de IT, esses valores encontra-se identificados e aprovados pela equipa de gestão operacional.</t>
  </si>
  <si>
    <t>1324</t>
  </si>
  <si>
    <t>39. O RTO e RPO associados ao Serviço encontra-se identiificado e em conformidade com a criticidade determinada pelo negócio.</t>
  </si>
  <si>
    <t>1325</t>
  </si>
  <si>
    <t>40. A forma como o Serviço é afectado por uma interrupção encontra-se identificada e descrita.</t>
  </si>
  <si>
    <t>1326</t>
  </si>
  <si>
    <t>41. O DRP foi envolvido e aprovou o Desenho de Continuidade do Serviço. As equipas de Suporte Operacional de IT necessárias para assegurar DRP / PCN foram envolvidas.</t>
  </si>
  <si>
    <t>1327</t>
  </si>
  <si>
    <t>42. Caso os requisitos Serviço determinem alterações à infraestrutura de DR, essas alterações encontram-se identificadas e instaladas no âmbito desta implementação.</t>
  </si>
  <si>
    <t>1328</t>
  </si>
  <si>
    <t xml:space="preserve">43.  O impacto para o Cliente, para o Negócio e para Operações decorrente de uma interrupção do Serviço encontra-se identificado. </t>
  </si>
  <si>
    <t>1329</t>
  </si>
  <si>
    <t>44. Os procedimentos para activação do PCN encontram-se identificados e implementados.</t>
  </si>
  <si>
    <t>1330</t>
  </si>
  <si>
    <t>45. Os Testes/verificações necessários para confirmar a continuidade do serviço após activação de PCN encontram-se identificados e implementados.</t>
  </si>
  <si>
    <t>1331</t>
  </si>
  <si>
    <t>46. Os procedimentos de fail back encontram-se identificados.</t>
  </si>
  <si>
    <t>1332</t>
  </si>
  <si>
    <t>47. Os Testes/verificações necessários para assegurar a performance do serviço após um fail back encontram-se identificados.</t>
  </si>
  <si>
    <t>1333</t>
  </si>
  <si>
    <t>48. Os Manuais de Suporte e Operação encontram-se atualizados com a informação de Continuidade do Serviço.</t>
  </si>
  <si>
    <t>1334</t>
  </si>
  <si>
    <t>49. Foram identificados e Implementados processos recorrentes de teste de resiliência.</t>
  </si>
  <si>
    <t>1335</t>
  </si>
  <si>
    <t>50. O Desenho de Continuidade do Serviço inclui testes periódicos de continuidade de negócio (ex: anuais, bi-anuais).</t>
  </si>
  <si>
    <t>1336</t>
  </si>
  <si>
    <t>51. As acções necessárias para assegurar a monitorização do serviço encontram-se documentadas NO PRODUCTION STEERING. As acções previstas estão alinhadas e consensuadas com a estratégia global de monitorização de serviços.</t>
  </si>
  <si>
    <t>1337</t>
  </si>
  <si>
    <t>52. Todos os heartbeats e processos estabelecidos para a monitorização do serviço foram identificados e encontram-se implementados.</t>
  </si>
  <si>
    <t>1338</t>
  </si>
  <si>
    <t>53. Todos os ambientes que necessitam de monitorização encontram-se identificados.</t>
  </si>
  <si>
    <t>1339</t>
  </si>
  <si>
    <t>54. O nível de granularidade requerido para a monitorização do Serviço encontra-se identificado.</t>
  </si>
  <si>
    <t>1340</t>
  </si>
  <si>
    <t>55. Os indicadores de performance estabelecidos e a sua forma de medição encontram-se identificados.</t>
  </si>
  <si>
    <t>1341</t>
  </si>
  <si>
    <t>04_MAPA_ODR_5</t>
  </si>
  <si>
    <t>56. O âmbito dos indicadores e os respectivos limiares encontram-se identificados.</t>
  </si>
  <si>
    <t>1342</t>
  </si>
  <si>
    <t>57. Os processos de Monitorização de Segurança requeridos para o Sistema/aplicação encontram-se identificados e implementados.</t>
  </si>
  <si>
    <t>1343</t>
  </si>
  <si>
    <t>58. Encontram-se identiifcadas as janelas de manutenção com impacto no serviço, assim como os mecanismos específicos para a sua monitorização.</t>
  </si>
  <si>
    <t>1344</t>
  </si>
  <si>
    <t>59. Existe aprovação formal da solução por parte da área de Segurança. O Serviço cumpre os requisitos estabelecidos na Matriz de Segurança do Santander.</t>
  </si>
  <si>
    <t>1345</t>
  </si>
  <si>
    <t>60. Caso o Serviço inclua processos/dados abrangidos pela regulamentação GDPR, os requisitos necessários para assegurar a sua compliance encontram-se identificados e implementados.</t>
  </si>
  <si>
    <t>1346</t>
  </si>
  <si>
    <t>61. Caso o Serviço se encontre abrangido por especificações enquadradas em normativo ISO, os requisitos necessários para assegurar a sua conformidade encontram-se identificados e implementados.</t>
  </si>
  <si>
    <t>1347</t>
  </si>
  <si>
    <t>62. Caso o Serviço se encontre abrangido por especificações enquadradas em normativo PCI, os requisitos necessários para assegurar a sua conformidade encontram-se identificados e implementados.</t>
  </si>
  <si>
    <t>1348</t>
  </si>
  <si>
    <t>63. Caso o Serviço se encontre abrangido por especificações enquadradas em normativo IFRS, os requisitos necessários para assegurar a sua conformidade encontram-se identificados e implementados.</t>
  </si>
  <si>
    <t>1349</t>
  </si>
  <si>
    <t>64. Caso o Serviço esteja sujeito a controlos regulatórios ou contabilisticos, encontram-se identificados e implementados os mecanismos necessários para assegurar a sua compliance.</t>
  </si>
  <si>
    <t>1350</t>
  </si>
  <si>
    <t>65. Caso o Serviço se encontre afectado pela regulamentação SOX, os requisitos necessários para assegurar a sua compliance encontram-se identificados   e implementados.</t>
  </si>
  <si>
    <t>1351</t>
  </si>
  <si>
    <t>66. Os Riscos não mitigáveis que necessitem de ser formalmente relevados encontram-se identificados.</t>
  </si>
  <si>
    <t>1352</t>
  </si>
  <si>
    <t>67. O Serviço passou os testes Funcionais, incluindo testes de excepção e regressão.</t>
  </si>
  <si>
    <t>1353</t>
  </si>
  <si>
    <t>68. O Serviço passou os testes Não-Funcionais.</t>
  </si>
  <si>
    <t>1354</t>
  </si>
  <si>
    <t>69. O Serviço passou os testes de performance.</t>
  </si>
  <si>
    <t>1355</t>
  </si>
  <si>
    <t>70. O Serviço passou os testes de aceitação operacional.</t>
  </si>
  <si>
    <t>1356</t>
  </si>
  <si>
    <t>71. O Serviço passou os testes de aceitação de utilizador.</t>
  </si>
  <si>
    <t>1357</t>
  </si>
  <si>
    <t>72. O Serviço passou os testes de failover.</t>
  </si>
  <si>
    <t>1358</t>
  </si>
  <si>
    <t>73. O Serviço passou os testes de DRP.</t>
  </si>
  <si>
    <t>1359</t>
  </si>
  <si>
    <t>74. O Serviço passou os testes de Penetração.</t>
  </si>
  <si>
    <t>1360</t>
  </si>
  <si>
    <t>04_MAPA_ODR_6</t>
  </si>
  <si>
    <t>75. O Serviço cumpre os critérios estabelecidos para defeitos aceitáveis por parte de Negócio e Operações.</t>
  </si>
  <si>
    <t>1361</t>
  </si>
  <si>
    <t>76. Os Manuais de Suporte e Operações incluem a informação relevante para todas as dimensões e categorização do serviço anteriormente indicadas.</t>
  </si>
  <si>
    <t>1362</t>
  </si>
  <si>
    <t>77. Os Business Owners do Serviço encontram-se identificados.</t>
  </si>
  <si>
    <t>1363</t>
  </si>
  <si>
    <t>78. Os Technical Owners do Serviço encontram-se identificados.</t>
  </si>
  <si>
    <t>1364</t>
  </si>
  <si>
    <t>79. Os principais contactos dos responsáveis de Negócio associados ao serviço encontram-se identificados.</t>
  </si>
  <si>
    <t>1365</t>
  </si>
  <si>
    <t>80. Os responsáveis pelo suporte do Serviço encontram-se identificados.</t>
  </si>
  <si>
    <t>1366</t>
  </si>
  <si>
    <t>81. A estrutura para a gestão de incidências encontram-se definida e implementada.</t>
  </si>
  <si>
    <t>1367</t>
  </si>
  <si>
    <t>82. Os contactos e o fluxo de escalado encontram-se identificados.</t>
  </si>
  <si>
    <t>1368</t>
  </si>
  <si>
    <t>83. A estrutura de gestão de solicitações de modificação / alteração do Serviço encontra-se identificada.</t>
  </si>
  <si>
    <t>1369</t>
  </si>
  <si>
    <t>84. Os horários estabelecidos para o suporte de Primeira e Segunda linha encontram-se identificados e assegurados.</t>
  </si>
  <si>
    <t>1370</t>
  </si>
  <si>
    <t>85. O Serviço encontra-se recenseado no sistema de Change Management, com as CI's relevantes, Implementadores e Aprovadores definidos.</t>
  </si>
  <si>
    <t>1371</t>
  </si>
  <si>
    <t>86. Em caso de necessidade de planear intervenções com impacto na disponibilidade do Serviço, os interlocutores que necessitam de ser contactados e os respectivos contactos encontram-se identificados.</t>
  </si>
  <si>
    <t>1372</t>
  </si>
  <si>
    <t>87. Os contactos do suporte N2 encontram-se identificados e as equipas operacionalizadas.</t>
  </si>
  <si>
    <t>1373</t>
  </si>
  <si>
    <t>88. Todos os problemas previamente conhecidos associados ao serviço/aplicação encontram-se identificados.</t>
  </si>
  <si>
    <t>1374</t>
  </si>
  <si>
    <t>89. Os Manuais de suporte e Operação IT incluem as notas de release relevantes.</t>
  </si>
  <si>
    <t>1375</t>
  </si>
  <si>
    <t>90. Os Manuais de suporte e operação IT incluem um glossário dos acrónimos e items técnicos associados ao Serviço.</t>
  </si>
  <si>
    <t>1376</t>
  </si>
  <si>
    <t>91. O Confluence de suporte do serviço encontra-se actualizado com a informação relevante.</t>
  </si>
  <si>
    <t>1377</t>
  </si>
  <si>
    <t>92. O Chatbot encontra-se actualizado com a informação relevante.</t>
  </si>
  <si>
    <t>1378</t>
  </si>
  <si>
    <t>93. O Processo de passagem de conhecimento para as equipas de suporte relevantes encontra-se concluído.</t>
  </si>
  <si>
    <t>1379</t>
  </si>
  <si>
    <t>94. O Serviço foi incluído no catálogo de serviços.</t>
  </si>
  <si>
    <t>1380</t>
  </si>
  <si>
    <t>95. A CMDB encontra-se actualizada com a informação relevante dos assets associados ao serviço.</t>
  </si>
  <si>
    <t>1381</t>
  </si>
  <si>
    <t>96. Os Manuais de suporte e operações IT encontram-se actualizados com notas de release adicionais associadas à implementação do Serviço.</t>
  </si>
  <si>
    <t>1382</t>
  </si>
  <si>
    <t>97. Os procedimentos de paragem e arranque do serviço encontram-se identificados de forma detalhada.</t>
  </si>
  <si>
    <t>1383</t>
  </si>
  <si>
    <t>98. A definição de pipelines para a execução de releases encontra-se documentada.</t>
  </si>
  <si>
    <t>1384</t>
  </si>
  <si>
    <t>99. Foi efectuada uma revisão de performance durante a fase de testes.</t>
  </si>
  <si>
    <t>1385</t>
  </si>
  <si>
    <r>
      <rPr>
        <b/>
        <sz val="16"/>
        <rFont val="Arial"/>
        <family val="2"/>
      </rPr>
      <t>PB_testes</t>
    </r>
  </si>
  <si>
    <t xml:space="preserve">SELECT * from  tenant_vw_attributes_per_object where object_id=147
and substring(attr_name,1,2) between '01' and '99' and substring(attr_name,3,1)='.'
</t>
  </si>
  <si>
    <t xml:space="preserve"> object_id</t>
  </si>
  <si>
    <t xml:space="preserve"> attr_id</t>
  </si>
  <si>
    <t xml:space="preserve"> name</t>
  </si>
  <si>
    <t xml:space="preserve"> show_in_grids</t>
  </si>
  <si>
    <t xml:space="preserve"> is_mandatory</t>
  </si>
  <si>
    <t xml:space="preserve"> show_graphs</t>
  </si>
  <si>
    <t xml:space="preserve"> track_field</t>
  </si>
  <si>
    <t xml:space="preserve"> inherit_parent</t>
  </si>
  <si>
    <t xml:space="preserve"> for_report</t>
  </si>
  <si>
    <t xml:space="preserve"> width_on_panel</t>
  </si>
  <si>
    <t xml:space="preserve"> attr_name</t>
  </si>
  <si>
    <t>100. As Bases de Dados de PRE e PROD estão claramente identificadas.</t>
  </si>
  <si>
    <t>101. Os tipos de certificados implementados encontram-se identificados.</t>
  </si>
  <si>
    <t>102. As regras e procedimentos para a instalação dos certificados associados ao serviço encontram-se identificados.</t>
  </si>
  <si>
    <t>103. As regras, procedimentos e equipas necessárias à gestão e renovação dos certificados associados ao serviço encontram-se identificadas.</t>
  </si>
  <si>
    <t>Campo Budget</t>
  </si>
  <si>
    <t>Focal Points</t>
  </si>
  <si>
    <t>Planos</t>
  </si>
  <si>
    <t>Tech Lead</t>
  </si>
  <si>
    <t>Focal Point DevOps</t>
  </si>
  <si>
    <t>Focal Point SER</t>
  </si>
  <si>
    <t>Focal Point App Por</t>
  </si>
  <si>
    <t>App Opr Team</t>
  </si>
  <si>
    <t>pestana</t>
  </si>
  <si>
    <t>04_MAPA_ODR_2</t>
  </si>
  <si>
    <t>10. Certificação</t>
  </si>
  <si>
    <t>04_MAPA_ODR_0</t>
  </si>
  <si>
    <t>Focal Point SRE</t>
  </si>
  <si>
    <t>TRISKELL - BLOCOS ODR</t>
  </si>
  <si>
    <t>BLOCO</t>
  </si>
  <si>
    <t>01. PROJECT OVERVIEW</t>
  </si>
  <si>
    <t>Resposta EUC</t>
  </si>
  <si>
    <t>Resposta MBDT</t>
  </si>
  <si>
    <t>CERTL001</t>
  </si>
  <si>
    <t>NOTAT001</t>
  </si>
  <si>
    <t>CAMPT001</t>
  </si>
  <si>
    <t>Sim</t>
  </si>
  <si>
    <t>CAMPT002</t>
  </si>
  <si>
    <t>CAMPT003</t>
  </si>
  <si>
    <t>CAMPT004</t>
  </si>
  <si>
    <t>CAMPT005</t>
  </si>
  <si>
    <t>CAMPT006</t>
  </si>
  <si>
    <t>CAMPT007</t>
  </si>
  <si>
    <t>07. Critérios de Aceitação: Descrição mensurável dos critérios que o Sponsor do Projecto e o Product Owner usarão para avaliar e aceitar ou rejeitar os entregáveis do projecto</t>
  </si>
  <si>
    <t>02. SERVICE DESIGN</t>
  </si>
  <si>
    <t>CERTL002</t>
  </si>
  <si>
    <t>NOTAT002</t>
  </si>
  <si>
    <t>CAMPT008</t>
  </si>
  <si>
    <t>08. O novo serviço/aplicação/workload necessita de backup? Se sim: - é suportado pela matriz do banco ou requer adoção de novas tecnologias? - quais o requisitos (por ambiente)</t>
  </si>
  <si>
    <t>A nova aplicação utiliza a ferramenta GoCD que suporta versionamento, garantindo backup da mesma caso seja necessário utilizar versões anteriores.</t>
  </si>
  <si>
    <t>A aplicação utiliza os sistemas de backup on-prem em vigor (UNIX - criação de ficheiros backup durante instalação. Postgres - execução de scripts de rollback)</t>
  </si>
  <si>
    <t>CAMPT009</t>
  </si>
  <si>
    <t>09. Quais os requisitos do novo serviço/aplicação/workload para monitorização/observabilidade? - suporta Dynatrace ou é necessária adoção de novas tecnologias ou tem nativo? - Estratégia de logging definida? suporta ELK?</t>
  </si>
  <si>
    <t>A nova aplicação utiliza o frontend Bahia Hub (Upload de Ficheiros) que contém uma estratégia de logging, permitindo ao utilizador que importa ficheiros verificar se o upload foi bem sucedido ou não.</t>
  </si>
  <si>
    <t>Será possível executar o processo via frontend Datalake Hub, onde estão visiveis os estados de execução do processo, bem como a disponibilização de logs detalhados via Hadoop</t>
  </si>
  <si>
    <t>CAMPT010</t>
  </si>
  <si>
    <t>10. Quais os requisitos de resiliência/DR/PCN? Estão identificadas as necessidades, é suportado pela matriz tecnológica atual do Santander? (OHE, Azure, etc.)</t>
  </si>
  <si>
    <t xml:space="preserve">Sim, é suportado pela matriz tecnológica do Santander (OpenShift, CONTROL-M, Azure)  </t>
  </si>
  <si>
    <t>Sim, é suportado pela matriz tecnológica do Santander (Sistemas On-Prem (ETL/Python, Stack Cloudera) )</t>
  </si>
  <si>
    <t>CAMPT011</t>
  </si>
  <si>
    <t>11. Estão identificados todos os requisitos de comunicações, VPNs, HAs, DNS, etc.?</t>
  </si>
  <si>
    <t>Necessário ligação à rede interna do Banco ou VPN</t>
  </si>
  <si>
    <t>CAMPT012</t>
  </si>
  <si>
    <t>12. O novo serviço/aplicação/workload está integrado, em termos de 'identidade', com a matriz tecnológica atual do Santander (MFA, Azure AD, SSO, etc.)?</t>
  </si>
  <si>
    <t>Sim, utiliza a aplicação Bahia Hub que utiliza os Estruturais e security-service para efeitos de autenticação.</t>
  </si>
  <si>
    <t>Sim, utiliza a aplicação Datalake Hub que utiliza os Estruturais e security-service para efeitos de autenticação.</t>
  </si>
  <si>
    <t>CAMPT013</t>
  </si>
  <si>
    <t>13. Existe know-how do novo serviço/aplicação/workload, nas tecnologias preconizadas no mesmo? - O Handover a operação, considerou formação/Reskilling /Upskilling  as diferentes equipas operacionais, em caso de não existir know-how?</t>
  </si>
  <si>
    <t>Existem diversas aplicações desenvolvidas no Banco que utilizam as mesmas tecnologias que o serviço implementado. Deste modo, é considerado que existe know-how. Operação envolvida na estratégia tecnológica, estando handover ainda por agendar.</t>
  </si>
  <si>
    <t>CAMPT014</t>
  </si>
  <si>
    <t>14. Os deliverables do projecto, consideram o manual de operações?</t>
  </si>
  <si>
    <t>Sim, informação técnica disponibilizada no Confluence.</t>
  </si>
  <si>
    <t>????</t>
  </si>
  <si>
    <t>03. SERVICE OVERVIEW</t>
  </si>
  <si>
    <t>CERTL003</t>
  </si>
  <si>
    <t>NOTAT003</t>
  </si>
  <si>
    <t>CAMPT015</t>
  </si>
  <si>
    <t>15. Por favor identifique a aplicação técnica? (Validação de RPO e RTO, Categorização, níveis de serviços e horários de suporte, owner e equipas de manutenção</t>
  </si>
  <si>
    <t>APMT0100220517</t>
  </si>
  <si>
    <t>Ambos os APMTs são Cloud, validar
APMT0100221538 (workload)
APMT0100221537 (business)</t>
  </si>
  <si>
    <t>CAMPT016</t>
  </si>
  <si>
    <t>16. Foi partilhada a listagem da infraestrutura associada ao projecto com a equipa IT Management?</t>
  </si>
  <si>
    <t>Não necessitou de infraestrutura</t>
  </si>
  <si>
    <t>A aplicação utiliza infrastrutura já existente criada no ambito do projeto Tape Reporting Engine</t>
  </si>
  <si>
    <t>CAMPT017</t>
  </si>
  <si>
    <t>17. Quais os requisitos de disponibilidade do Serviço com base na sua Categorização?</t>
  </si>
  <si>
    <t>24x7</t>
  </si>
  <si>
    <t>CAMPT018</t>
  </si>
  <si>
    <t>18. Quais os níveis de Serviço e horário de suporte?</t>
  </si>
  <si>
    <t>Periodo laboral (8 horas úteis)</t>
  </si>
  <si>
    <t>CAMPT019</t>
  </si>
  <si>
    <t>19. Qual o Owner do Suporte do Serviço e que equipas de Suporte Tecnológicos estão envolvidas?</t>
  </si>
  <si>
    <t>L2 e L3</t>
  </si>
  <si>
    <t>CAMPT020</t>
  </si>
  <si>
    <t>20. Quais os níveis de categorização de Serviço de todas as aplicações envolvidas e sua compatibilidade com a categorização estabelecida para este Serviço?</t>
  </si>
  <si>
    <t>CAMPT021</t>
  </si>
  <si>
    <t xml:space="preserve">21. O que já se encontra instalado e o que é necessário? Santander std RTO 4h e RPO 1d </t>
  </si>
  <si>
    <t>CAMPT022</t>
  </si>
  <si>
    <t>22. A CMDB encontra-se actualizada com a informação relevante dos assets associados ao serviço?</t>
  </si>
  <si>
    <t>04a. SERVICE ASSEMBLY</t>
  </si>
  <si>
    <t>CERTL04a</t>
  </si>
  <si>
    <t>04a. Certificação</t>
  </si>
  <si>
    <t>NOTAT04a</t>
  </si>
  <si>
    <t>04a. Notas de Revisão</t>
  </si>
  <si>
    <t>CAMPT023</t>
  </si>
  <si>
    <t>23. Facultar uma descrição dos componentes associados ao projecto</t>
  </si>
  <si>
    <t>Frontend e Backend Bahia Hub - Aplicação que o utilizador usa como ferramenta para efetuar o upload dos ficheiros (aplicação já existente)
Motor a executar em Databricks: serviço ETL que percorre o ficheiro excel e transpõe os dados numa tabela de output</t>
  </si>
  <si>
    <t>Frontend e Backend Datalake Hub - Aplicação que o utilizador usa como ferramenta para efetuar o upload de ficheiros (aplicação já existente), e para execução de processos on-demand
Motor a executar em Cloudera: serviço ETL que processa e transforma a informação referente ao Minimum Bail-in Data Template</t>
  </si>
  <si>
    <t>CAMPT024</t>
  </si>
  <si>
    <t>24. Quais as tecnologias e versões das mesmas que serão usadas no projecto para cada um dos componentes?</t>
  </si>
  <si>
    <t>Frontend: Angular 13
Backend: Java 17
Motor: Spark 16.4 Scala 2.13</t>
  </si>
  <si>
    <t>Frontend: Angular xx
Backend: Java xx
Motor: Spark xx.x Python x.xx</t>
  </si>
  <si>
    <t>CAMPT025</t>
  </si>
  <si>
    <t>25. Está prevista a utilização de custom docker images facultadas pelo parceiro?</t>
  </si>
  <si>
    <t>Não</t>
  </si>
  <si>
    <t>CAMPT026</t>
  </si>
  <si>
    <t>26. A equipa tem conhecimentos ao nível da plataforma de ALM do Banco? Já existem automatismos criados para esta aplicação?</t>
  </si>
  <si>
    <t>É utilizado o MyALM, que gere a equipa de desenvolvimento e os acessos aos repositórios e pipelines.</t>
  </si>
  <si>
    <t>04b. SERVICE OPERATIONS</t>
  </si>
  <si>
    <t>CERL004b</t>
  </si>
  <si>
    <t>04b. Certificação</t>
  </si>
  <si>
    <t>NOTT004b</t>
  </si>
  <si>
    <t>04b. Notas de Revisão</t>
  </si>
  <si>
    <t>CAMPT027</t>
  </si>
  <si>
    <t>27. Qual o flavour de base de dados utilizada no projecto? On-Prem ou Cloud? Por favor colocar link para documentação.</t>
  </si>
  <si>
    <t>Base de dados PostgreSQL com tabelas de configuração de suporte ao frontend; Cloud
Confluence: https://san-portugal.atlassian.net/wiki/spaces/CDTP/pages/941883402/Trusted+Files+Loader</t>
  </si>
  <si>
    <t>Base de dados PostgreSQL com tabelas de configuração de suporte ao frontend; 
Base de dados Datalake OnPrem com tabelas de informação funcional de negócio
On Prem
Confluence: ????</t>
  </si>
  <si>
    <t>CAMPT028</t>
  </si>
  <si>
    <t>28. A aplicação faz uso de dados provenientes de, ou envia dados para o Datalake? Cloud ou On-Prem? Por favor colocar link para documentação.</t>
  </si>
  <si>
    <t>A aplicação lê ficheiros excel e popula uma tabela em Datalake Cloud com os dados</t>
  </si>
  <si>
    <t>A aplicação lê várias tabelas de diferentes schemas em Datalake OnPrem, de modo a processar os dados internamente via ETL</t>
  </si>
  <si>
    <t>CAMPT029</t>
  </si>
  <si>
    <t>29. Existe alguma necessidade de dados de Offloading? Por favor colocar link para documentação.</t>
  </si>
  <si>
    <t>CAMPT030</t>
  </si>
  <si>
    <t>30. A aplicação utiliza tópicos de kafka? Por favor colocar link para documentação.</t>
  </si>
  <si>
    <t>CAMPT030a</t>
  </si>
  <si>
    <t>30a. Qual a politica de retenção de dados? Têm de ser configurados processos de limpeza de dados historicos (purging/archiving/housekeeping) quer para Datalake quer para BDs? Está contemplado no âmbito do projeto?</t>
  </si>
  <si>
    <t>Não existe expurgo</t>
  </si>
  <si>
    <t>05. MONITORING</t>
  </si>
  <si>
    <t>CERTL005</t>
  </si>
  <si>
    <t>NOTAT005</t>
  </si>
  <si>
    <t>CAMPT031</t>
  </si>
  <si>
    <t>31. A aplicação/serviço é de uso interno ou para cliente?</t>
  </si>
  <si>
    <t>Uso interno</t>
  </si>
  <si>
    <t>CAMPT032</t>
  </si>
  <si>
    <t>32. A aplicação/serviço tem front-ends? Qual é o URL?</t>
  </si>
  <si>
    <t>Frontend Bahia Hub: https://bahiahub.totta.gs.corp/home</t>
  </si>
  <si>
    <t>Frontend Datalake Hub: https://ktools-app.totta.gs.corp/</t>
  </si>
  <si>
    <t>CAMPT033</t>
  </si>
  <si>
    <t>33. O projecto vai ter várias release? Se sim, quais as datas já definidas por release?</t>
  </si>
  <si>
    <t>Sim, relase de adição de credenciais ao vault e subida do serviço ETL (subidas a Produção em Dezembro)</t>
  </si>
  <si>
    <t>Sim (datas ????)</t>
  </si>
  <si>
    <t>CAMPT034</t>
  </si>
  <si>
    <t>34. A aplicação/serviço vai ter WEB e/ou componente móvel (iOS/Android)? Identifique se é WEB ou móvel.</t>
  </si>
  <si>
    <t>Tem frontend conforme indicado no CAMPT32</t>
  </si>
  <si>
    <t>CAMPT035</t>
  </si>
  <si>
    <t>35. Quais as acções necessárias para assegurar a monitorização? As acções previstas estão alinhadas com a estratégia global de monitorização de serviços?</t>
  </si>
  <si>
    <t>Jobs estão planificados em CONTROL-M, pelo que a monitorização é feita através desta ferramenta, estando de acordo com as politicas de suporte de L2</t>
  </si>
  <si>
    <t>Execuções serão despoletadas e monitorizadas via frontend Datalake Hub, pelo que a monitorização é feita através desta ferramenta</t>
  </si>
  <si>
    <t>CAMPT036</t>
  </si>
  <si>
    <t>36. Indique que heartbeats foram implementados e que processos foram estabelecidos para a sua monitorização.</t>
  </si>
  <si>
    <t>Não aplicável</t>
  </si>
  <si>
    <t>CAMPT037</t>
  </si>
  <si>
    <t>37. Que ambientes necessitam de monitorização?</t>
  </si>
  <si>
    <t>Produção</t>
  </si>
  <si>
    <t>CAMPT038</t>
  </si>
  <si>
    <t>38. Qual o nível de granularidade requerido?</t>
  </si>
  <si>
    <t>CAMPT039</t>
  </si>
  <si>
    <t>39. Quais os indicadores de performance estabelecidos e forma de medição?</t>
  </si>
  <si>
    <t>Não existem indicadores de performance estabelecidos</t>
  </si>
  <si>
    <t>CAMPT040</t>
  </si>
  <si>
    <t>40. Qual o âmbito dos indicadores e os respectivos limiares?</t>
  </si>
  <si>
    <t>CAMPT041</t>
  </si>
  <si>
    <t>41. O sistema / aplicação requer processos de Monitorização de Negócio? Em caso afirmativo, quais?</t>
  </si>
  <si>
    <t>A área de Negócio é responsável pelos ficheiros que são possíveis de importar nesta ferramenta, a sua frequência, etc…</t>
  </si>
  <si>
    <t>CAMPT042</t>
  </si>
  <si>
    <t>42. O sistema / aplicação requer processos de Monitorização de Segurança? Em caso afirmativo, quais?</t>
  </si>
  <si>
    <t>Utiliza perfis para gerir os acessos à aplicação e aos diferentes domínios</t>
  </si>
  <si>
    <t>CAMPT043</t>
  </si>
  <si>
    <t>43. Estão previstas janelas de manutenção com impacto no serviço? Em caso afirmativo, quais os mecanismos para a sua monitorização?</t>
  </si>
  <si>
    <t>06. SUPPORT GUIDE</t>
  </si>
  <si>
    <t>CERTL006</t>
  </si>
  <si>
    <t>NOTAT006</t>
  </si>
  <si>
    <t>CAMPT044</t>
  </si>
  <si>
    <t>44. Existem Manuais de Suporte a Aplicação? Encontra-se identificada Resposta Tipo para Erros Técnicos e Funcionais já identificados na Aplicação?</t>
  </si>
  <si>
    <t>Existe confluence, mas não estão identificadas Respostas Tipo para Erros Técnicos e Funcionais, uma vez que estes erros não foram identificados</t>
  </si>
  <si>
    <t>Não estão identificadas Respostas Tipo para Erros Técnicos e Funcionais, uma vez que estes erros não foram identificados</t>
  </si>
  <si>
    <t>CAMPT045</t>
  </si>
  <si>
    <t>45. Quais os Business Owners do Serviço? Identificar o contacto principal a utilizar sobre este Serviço. Interlocutor e/ou Caixa de e-mail a utilizar.</t>
  </si>
  <si>
    <t>Business Owner: S800686 - Luis Silva</t>
  </si>
  <si>
    <t>Business Owner: S610357 - Pedro Mendes</t>
  </si>
  <si>
    <t>CAMPT046</t>
  </si>
  <si>
    <t>46. Quais os Technical Owners do Serviço? Identificar o contacto principal a utilizar sobre este Serviço. Interlocutor e/ou Caixa de e-mail a utilizar.</t>
  </si>
  <si>
    <t>Technical Owner: S612137 - Nuno Dinis</t>
  </si>
  <si>
    <t>CAMPT047</t>
  </si>
  <si>
    <t>47. Quais os responsáveis pelo suporte do Serviço? Identificar o contacto principal a utilizar sobre este Serviço. Interlocutor e/ou Caixa de e-mail a utilizar.</t>
  </si>
  <si>
    <t>Support Group: TOT_AP_SL_Datalake_N1 (segundo o APMT)</t>
  </si>
  <si>
    <t>CAMPT048</t>
  </si>
  <si>
    <t>48. Existe período de Estabilização do projecto? Se sim, qual o período definido? Se não, se já foi efetuada a Passagem de Conhecimento para as Equipas L2, L3?</t>
  </si>
  <si>
    <t>Passagem de conhecimento a ser agendada após passagem a Produção.</t>
  </si>
  <si>
    <t>CAMPT049</t>
  </si>
  <si>
    <t>49. Quais os contactos e o fluxo de escalado? Qual o Grupo Resolutor de contacto – L2 ou L3 ? Designação do Grupo Resolutor.</t>
  </si>
  <si>
    <t>L2 e L3 (se necessário)</t>
  </si>
  <si>
    <t>CAMPT050</t>
  </si>
  <si>
    <t>50. Tem Standby? Qual o período (laboral, 24x7,…)?</t>
  </si>
  <si>
    <t>Não tem standby, período apenas laboral</t>
  </si>
  <si>
    <t>CAMPT051</t>
  </si>
  <si>
    <t>51. O Serviço encontra-se recenseado no sistema de Change Management, com as CI's relevantes, Implementadores e Aprovadores definidos? Qual o Nome da Aplicação Funcional?</t>
  </si>
  <si>
    <t>Implementadores: Reporting Hub
Aprovadores: CDO
Nome da Aplicação Funcional: Trusted Files Loader</t>
  </si>
  <si>
    <t>Implementadores: Reporting Hub
Aprovadores: CDO
Nome da Aplicação Funcional: Bail-in Report</t>
  </si>
  <si>
    <t>CAMPT052</t>
  </si>
  <si>
    <t>52. Os Manuais de suporte e operação IT incluem um glossário dos acrónimos e items técnicos associados ao serviço?</t>
  </si>
  <si>
    <t>07. KNOWLEDGE TRANSFER</t>
  </si>
  <si>
    <t>CERTL007</t>
  </si>
  <si>
    <t>NOTAT007</t>
  </si>
  <si>
    <t>CAMPT053</t>
  </si>
  <si>
    <t>53. O Processo de passagem de conhecimento para as equipas de suporte relevantes encontra-se concluído?</t>
  </si>
  <si>
    <t>Não, será agendado nas próximas semanas</t>
  </si>
  <si>
    <t>Não, será agendado após a passagem a 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</si>
</sst>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E9EE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4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E4E4E4"/>
      </left>
      <right style="thin">
        <color rgb="FFE4E4E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5" borderId="0" xfId="0" applyFill="1"/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6" borderId="0" xfId="0" applyFill="1"/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16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"/>
  <sheetViews>
    <sheetView showGridLines="0" topLeftCell="G67" workbookViewId="0">
      <selection activeCell="A55" sqref="A55"/>
    </sheetView>
  </sheetViews>
  <sheetFormatPr defaultRowHeight="15.6" x14ac:dyDescent="0.3"/>
  <cols>
    <col min="2" max="6" width="16.69921875" customWidth="1"/>
    <col min="7" max="7" width="40.59765625" customWidth="1"/>
    <col min="8" max="8" width="23.69921875" bestFit="1" customWidth="1"/>
  </cols>
  <sheetData>
    <row r="1" spans="1:9" ht="37.950000000000003" customHeight="1" x14ac:dyDescent="0.3">
      <c r="B1" s="32" t="s">
        <v>0</v>
      </c>
      <c r="C1" s="33"/>
      <c r="D1" s="33"/>
      <c r="E1" s="33"/>
      <c r="F1" s="33"/>
    </row>
    <row r="2" spans="1:9" ht="25.2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8" t="s">
        <v>9</v>
      </c>
    </row>
    <row r="3" spans="1:9" ht="25.2" customHeight="1" x14ac:dyDescent="0.3">
      <c r="A3" t="str">
        <f>IF(MID(B3,5,5)="Certi","CERT",IF(MID(B3,5,5)="Notas","NOTA","CAMP"))&amp;LEFT(C3,1)&amp;MID(B3,1,2)</f>
        <v>CERTL01</v>
      </c>
      <c r="B3" s="2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t="str">
        <f>IF(C3="LIST","left outer join tenant_vw_dataobjects_attr_list al"&amp;D3&amp;" 
 inner join tenant_vw_attributes_list lv"&amp;D3&amp;" on al"&amp;D3&amp;".custattrlistval_id=lv"&amp;D3&amp;".custattrlistval_id
 on p.dataobject_id=al"&amp;D3&amp;".dataobject_id and al"&amp;D3&amp;".attr_id="&amp;D3,"left outer join tenant_vw_dataobjects_attr a"&amp;D3&amp;" 
on p.dataobject_id=a"&amp;D3&amp;".dataobject_id and a"&amp;D3&amp;".attr_id="&amp;D3)</f>
        <v>left outer join tenant_vw_dataobjects_attr_list al912 
 inner join tenant_vw_attributes_list lv912 on al912.custattrlistval_id=lv912.custattrlistval_id
 on p.dataobject_id=al912.dataobject_id and al912.attr_id=912</v>
      </c>
      <c r="H3" t="str">
        <f>IF(C3="LIST","lv"&amp;D3&amp;".label '"&amp;A3&amp;"',",IF(C3="TEXT","a"&amp;D3&amp;".textvalue '"&amp;A3&amp;"',","NOVA"))</f>
        <v>lv912.label 'CERTL01',</v>
      </c>
      <c r="I3" s="9" t="s">
        <v>15</v>
      </c>
    </row>
    <row r="4" spans="1:9" ht="25.2" customHeight="1" x14ac:dyDescent="0.3">
      <c r="A4" t="str">
        <f t="shared" ref="A4:A67" si="0">IF(MID(B4,5,5)="Certi","CERT",IF(MID(B4,5,5)="Notas","NOTA","CAMP"))&amp;LEFT(C4,1)&amp;MID(B4,1,2)</f>
        <v>NOTAT01</v>
      </c>
      <c r="B4" s="4" t="s">
        <v>16</v>
      </c>
      <c r="C4" s="5" t="s">
        <v>17</v>
      </c>
      <c r="D4" s="5" t="s">
        <v>18</v>
      </c>
      <c r="E4" s="5" t="s">
        <v>13</v>
      </c>
      <c r="F4" s="5" t="s">
        <v>14</v>
      </c>
      <c r="G4" t="str">
        <f t="shared" ref="G4:G67" si="1">IF(C4="LIST","left outer join tenant_vw_dataobjects_attr_list al"&amp;D4&amp;" 
 inner join tenant_vw_attributes_list lv"&amp;D4&amp;" on al"&amp;D4&amp;".custattrlistval_id=lv"&amp;D4&amp;".custattrlistval_id
 on p.dataobject_id=al"&amp;D4&amp;".dataobject_id and al"&amp;D4&amp;".attr_id="&amp;D4,"left outer join tenant_vw_dataobjects_attr a"&amp;D4&amp;" 
on p.dataobject_id=a"&amp;D4&amp;".dataobject_id and a"&amp;D4&amp;".attr_id="&amp;D4)</f>
        <v>left outer join tenant_vw_dataobjects_attr a895 
on p.dataobject_id=a895.dataobject_id and a895.attr_id=895</v>
      </c>
      <c r="H4" t="str">
        <f t="shared" ref="H4:H67" si="2">IF(C4="LIST","lv"&amp;D4&amp;".label '"&amp;A4&amp;"',",IF(C4="TEXT","a"&amp;D4&amp;".textvalue '"&amp;A4&amp;"',","NOVA"))</f>
        <v>a895.textvalue 'NOTAT01',</v>
      </c>
      <c r="I4" s="9" t="s">
        <v>15</v>
      </c>
    </row>
    <row r="5" spans="1:9" ht="25.2" customHeight="1" x14ac:dyDescent="0.3">
      <c r="A5" t="str">
        <f t="shared" si="0"/>
        <v>CAMPT01</v>
      </c>
      <c r="B5" s="2" t="s">
        <v>19</v>
      </c>
      <c r="C5" s="3" t="s">
        <v>17</v>
      </c>
      <c r="D5" s="3" t="s">
        <v>20</v>
      </c>
      <c r="E5" s="3" t="s">
        <v>13</v>
      </c>
      <c r="F5" s="3" t="s">
        <v>14</v>
      </c>
      <c r="G5" t="str">
        <f t="shared" si="1"/>
        <v>left outer join tenant_vw_dataobjects_attr a946 
on p.dataobject_id=a946.dataobject_id and a946.attr_id=946</v>
      </c>
      <c r="H5" t="str">
        <f t="shared" si="2"/>
        <v>a946.textvalue 'CAMPT01',</v>
      </c>
      <c r="I5" s="9" t="s">
        <v>15</v>
      </c>
    </row>
    <row r="6" spans="1:9" ht="25.2" customHeight="1" x14ac:dyDescent="0.3">
      <c r="A6" t="str">
        <f t="shared" si="0"/>
        <v>CERTL02</v>
      </c>
      <c r="B6" s="4" t="s">
        <v>21</v>
      </c>
      <c r="C6" s="5" t="s">
        <v>11</v>
      </c>
      <c r="D6" s="5" t="s">
        <v>22</v>
      </c>
      <c r="E6" s="5" t="s">
        <v>13</v>
      </c>
      <c r="F6" s="5" t="s">
        <v>14</v>
      </c>
      <c r="G6" t="str">
        <f t="shared" si="1"/>
        <v>left outer join tenant_vw_dataobjects_attr_list al1272 
 inner join tenant_vw_attributes_list lv1272 on al1272.custattrlistval_id=lv1272.custattrlistval_id
 on p.dataobject_id=al1272.dataobject_id and al1272.attr_id=1272</v>
      </c>
      <c r="H6" t="str">
        <f t="shared" si="2"/>
        <v>lv1272.label 'CERTL02',</v>
      </c>
      <c r="I6" s="9" t="s">
        <v>15</v>
      </c>
    </row>
    <row r="7" spans="1:9" ht="25.2" customHeight="1" x14ac:dyDescent="0.3">
      <c r="A7" t="str">
        <f t="shared" si="0"/>
        <v>NOTAT02</v>
      </c>
      <c r="B7" s="2" t="s">
        <v>23</v>
      </c>
      <c r="C7" s="3" t="s">
        <v>17</v>
      </c>
      <c r="D7" s="3" t="s">
        <v>24</v>
      </c>
      <c r="E7" s="3" t="s">
        <v>13</v>
      </c>
      <c r="F7" s="3" t="s">
        <v>14</v>
      </c>
      <c r="G7" t="str">
        <f t="shared" si="1"/>
        <v>left outer join tenant_vw_dataobjects_attr a1273 
on p.dataobject_id=a1273.dataobject_id and a1273.attr_id=1273</v>
      </c>
      <c r="H7" t="str">
        <f t="shared" si="2"/>
        <v>a1273.textvalue 'NOTAT02',</v>
      </c>
      <c r="I7" s="9" t="s">
        <v>15</v>
      </c>
    </row>
    <row r="8" spans="1:9" ht="25.2" customHeight="1" x14ac:dyDescent="0.3">
      <c r="A8" t="str">
        <f t="shared" si="0"/>
        <v>CAMPT02</v>
      </c>
      <c r="B8" s="4" t="s">
        <v>25</v>
      </c>
      <c r="C8" s="5" t="s">
        <v>17</v>
      </c>
      <c r="D8" s="5" t="s">
        <v>26</v>
      </c>
      <c r="E8" s="5" t="s">
        <v>13</v>
      </c>
      <c r="F8" s="5" t="s">
        <v>14</v>
      </c>
      <c r="G8" t="str">
        <f t="shared" si="1"/>
        <v>left outer join tenant_vw_dataobjects_attr a943 
on p.dataobject_id=a943.dataobject_id and a943.attr_id=943</v>
      </c>
      <c r="H8" t="str">
        <f t="shared" si="2"/>
        <v>a943.textvalue 'CAMPT02',</v>
      </c>
      <c r="I8" s="9" t="s">
        <v>15</v>
      </c>
    </row>
    <row r="9" spans="1:9" ht="25.2" customHeight="1" x14ac:dyDescent="0.3">
      <c r="A9" t="str">
        <f t="shared" si="0"/>
        <v>CAMPT03</v>
      </c>
      <c r="B9" s="2" t="s">
        <v>27</v>
      </c>
      <c r="C9" s="3" t="s">
        <v>17</v>
      </c>
      <c r="D9" s="3" t="s">
        <v>28</v>
      </c>
      <c r="E9" s="3" t="s">
        <v>13</v>
      </c>
      <c r="F9" s="3" t="s">
        <v>14</v>
      </c>
      <c r="G9" t="str">
        <f t="shared" si="1"/>
        <v>left outer join tenant_vw_dataobjects_attr a925 
on p.dataobject_id=a925.dataobject_id and a925.attr_id=925</v>
      </c>
      <c r="H9" t="str">
        <f t="shared" si="2"/>
        <v>a925.textvalue 'CAMPT03',</v>
      </c>
      <c r="I9" s="9" t="s">
        <v>15</v>
      </c>
    </row>
    <row r="10" spans="1:9" s="10" customFormat="1" ht="25.2" customHeight="1" x14ac:dyDescent="0.3">
      <c r="A10" s="10" t="str">
        <f t="shared" si="0"/>
        <v>CERTL03</v>
      </c>
      <c r="B10" s="11" t="s">
        <v>29</v>
      </c>
      <c r="C10" s="12" t="s">
        <v>11</v>
      </c>
      <c r="D10" s="12" t="s">
        <v>30</v>
      </c>
      <c r="E10" s="12" t="s">
        <v>13</v>
      </c>
      <c r="F10" s="12" t="s">
        <v>14</v>
      </c>
      <c r="G10" s="10" t="str">
        <f t="shared" si="1"/>
        <v>left outer join tenant_vw_dataobjects_attr_list al1276 
 inner join tenant_vw_attributes_list lv1276 on al1276.custattrlistval_id=lv1276.custattrlistval_id
 on p.dataobject_id=al1276.dataobject_id and al1276.attr_id=1276</v>
      </c>
      <c r="H10" s="10" t="str">
        <f t="shared" si="2"/>
        <v>lv1276.label 'CERTL03',</v>
      </c>
      <c r="I10" s="13" t="s">
        <v>31</v>
      </c>
    </row>
    <row r="11" spans="1:9" s="10" customFormat="1" ht="25.2" customHeight="1" x14ac:dyDescent="0.3">
      <c r="A11" s="10" t="str">
        <f t="shared" si="0"/>
        <v>NOTAT03</v>
      </c>
      <c r="B11" s="11" t="s">
        <v>32</v>
      </c>
      <c r="C11" s="12" t="s">
        <v>17</v>
      </c>
      <c r="D11" s="12" t="s">
        <v>33</v>
      </c>
      <c r="E11" s="12" t="s">
        <v>13</v>
      </c>
      <c r="F11" s="12" t="s">
        <v>14</v>
      </c>
      <c r="G11" s="10" t="str">
        <f t="shared" si="1"/>
        <v>left outer join tenant_vw_dataobjects_attr a1277 
on p.dataobject_id=a1277.dataobject_id and a1277.attr_id=1277</v>
      </c>
      <c r="H11" s="10" t="str">
        <f t="shared" si="2"/>
        <v>a1277.textvalue 'NOTAT03',</v>
      </c>
      <c r="I11" s="13" t="s">
        <v>31</v>
      </c>
    </row>
    <row r="12" spans="1:9" s="10" customFormat="1" ht="25.2" customHeight="1" x14ac:dyDescent="0.3">
      <c r="A12" s="10" t="str">
        <f t="shared" si="0"/>
        <v>CERTL04</v>
      </c>
      <c r="B12" s="11" t="s">
        <v>34</v>
      </c>
      <c r="C12" s="12" t="s">
        <v>11</v>
      </c>
      <c r="D12" s="12" t="s">
        <v>35</v>
      </c>
      <c r="E12" s="12" t="s">
        <v>13</v>
      </c>
      <c r="F12" s="12" t="s">
        <v>14</v>
      </c>
      <c r="G12" s="10" t="str">
        <f t="shared" si="1"/>
        <v>left outer join tenant_vw_dataobjects_attr_list al1278 
 inner join tenant_vw_attributes_list lv1278 on al1278.custattrlistval_id=lv1278.custattrlistval_id
 on p.dataobject_id=al1278.dataobject_id and al1278.attr_id=1278</v>
      </c>
      <c r="H12" s="10" t="str">
        <f t="shared" si="2"/>
        <v>lv1278.label 'CERTL04',</v>
      </c>
      <c r="I12" s="13" t="s">
        <v>31</v>
      </c>
    </row>
    <row r="13" spans="1:9" s="10" customFormat="1" ht="25.2" customHeight="1" x14ac:dyDescent="0.3">
      <c r="A13" s="10" t="str">
        <f t="shared" si="0"/>
        <v>NOTAT04</v>
      </c>
      <c r="B13" s="11" t="s">
        <v>36</v>
      </c>
      <c r="C13" s="12" t="s">
        <v>17</v>
      </c>
      <c r="D13" s="12" t="s">
        <v>37</v>
      </c>
      <c r="E13" s="12" t="s">
        <v>13</v>
      </c>
      <c r="F13" s="12" t="s">
        <v>14</v>
      </c>
      <c r="G13" s="10" t="str">
        <f t="shared" si="1"/>
        <v>left outer join tenant_vw_dataobjects_attr a1279 
on p.dataobject_id=a1279.dataobject_id and a1279.attr_id=1279</v>
      </c>
      <c r="H13" s="10" t="str">
        <f t="shared" si="2"/>
        <v>a1279.textvalue 'NOTAT04',</v>
      </c>
      <c r="I13" s="13" t="s">
        <v>31</v>
      </c>
    </row>
    <row r="14" spans="1:9" ht="25.2" customHeight="1" x14ac:dyDescent="0.3">
      <c r="A14" t="str">
        <f t="shared" si="0"/>
        <v>CAMPT04</v>
      </c>
      <c r="B14" s="4" t="s">
        <v>38</v>
      </c>
      <c r="C14" s="5" t="s">
        <v>17</v>
      </c>
      <c r="D14" s="5" t="s">
        <v>39</v>
      </c>
      <c r="E14" s="5" t="s">
        <v>13</v>
      </c>
      <c r="F14" s="5" t="s">
        <v>14</v>
      </c>
      <c r="G14" t="str">
        <f t="shared" si="1"/>
        <v>left outer join tenant_vw_dataobjects_attr a927 
on p.dataobject_id=a927.dataobject_id and a927.attr_id=927</v>
      </c>
      <c r="H14" t="str">
        <f t="shared" si="2"/>
        <v>a927.textvalue 'CAMPT04',</v>
      </c>
      <c r="I14" s="9" t="s">
        <v>15</v>
      </c>
    </row>
    <row r="15" spans="1:9" ht="25.2" customHeight="1" x14ac:dyDescent="0.3">
      <c r="A15" t="str">
        <f t="shared" si="0"/>
        <v>CAMPT05</v>
      </c>
      <c r="B15" s="2" t="s">
        <v>40</v>
      </c>
      <c r="C15" s="3" t="s">
        <v>17</v>
      </c>
      <c r="D15" s="3" t="s">
        <v>41</v>
      </c>
      <c r="E15" s="3" t="s">
        <v>13</v>
      </c>
      <c r="F15" s="3" t="s">
        <v>14</v>
      </c>
      <c r="G15" t="str">
        <f t="shared" si="1"/>
        <v>left outer join tenant_vw_dataobjects_attr a941 
on p.dataobject_id=a941.dataobject_id and a941.attr_id=941</v>
      </c>
      <c r="H15" t="str">
        <f t="shared" si="2"/>
        <v>a941.textvalue 'CAMPT05',</v>
      </c>
      <c r="I15" s="9" t="s">
        <v>15</v>
      </c>
    </row>
    <row r="16" spans="1:9" s="10" customFormat="1" ht="25.2" customHeight="1" x14ac:dyDescent="0.3">
      <c r="A16" s="10" t="str">
        <f t="shared" si="0"/>
        <v>CERTL05</v>
      </c>
      <c r="B16" s="11" t="s">
        <v>42</v>
      </c>
      <c r="C16" s="12" t="s">
        <v>11</v>
      </c>
      <c r="D16" s="12" t="s">
        <v>43</v>
      </c>
      <c r="E16" s="12" t="s">
        <v>13</v>
      </c>
      <c r="F16" s="12" t="s">
        <v>14</v>
      </c>
      <c r="G16" s="10" t="str">
        <f t="shared" si="1"/>
        <v>left outer join tenant_vw_dataobjects_attr_list al1280 
 inner join tenant_vw_attributes_list lv1280 on al1280.custattrlistval_id=lv1280.custattrlistval_id
 on p.dataobject_id=al1280.dataobject_id and al1280.attr_id=1280</v>
      </c>
      <c r="H16" s="10" t="str">
        <f t="shared" si="2"/>
        <v>lv1280.label 'CERTL05',</v>
      </c>
      <c r="I16" s="13" t="s">
        <v>31</v>
      </c>
    </row>
    <row r="17" spans="1:9" s="10" customFormat="1" ht="25.2" customHeight="1" x14ac:dyDescent="0.3">
      <c r="A17" s="10" t="str">
        <f t="shared" si="0"/>
        <v>NOTAT05</v>
      </c>
      <c r="B17" s="11" t="s">
        <v>44</v>
      </c>
      <c r="C17" s="12" t="s">
        <v>17</v>
      </c>
      <c r="D17" s="12" t="s">
        <v>45</v>
      </c>
      <c r="E17" s="12" t="s">
        <v>13</v>
      </c>
      <c r="F17" s="12" t="s">
        <v>14</v>
      </c>
      <c r="G17" s="10" t="str">
        <f t="shared" si="1"/>
        <v>left outer join tenant_vw_dataobjects_attr a1281 
on p.dataobject_id=a1281.dataobject_id and a1281.attr_id=1281</v>
      </c>
      <c r="H17" s="10" t="str">
        <f t="shared" si="2"/>
        <v>a1281.textvalue 'NOTAT05',</v>
      </c>
      <c r="I17" s="13" t="s">
        <v>31</v>
      </c>
    </row>
    <row r="18" spans="1:9" ht="25.2" customHeight="1" x14ac:dyDescent="0.3">
      <c r="A18" t="str">
        <f t="shared" si="0"/>
        <v>CAMPT06</v>
      </c>
      <c r="B18" s="4" t="s">
        <v>46</v>
      </c>
      <c r="C18" s="5" t="s">
        <v>17</v>
      </c>
      <c r="D18" s="5" t="s">
        <v>47</v>
      </c>
      <c r="E18" s="5" t="s">
        <v>13</v>
      </c>
      <c r="F18" s="5" t="s">
        <v>14</v>
      </c>
      <c r="G18" t="str">
        <f t="shared" si="1"/>
        <v>left outer join tenant_vw_dataobjects_attr a935 
on p.dataobject_id=a935.dataobject_id and a935.attr_id=935</v>
      </c>
      <c r="H18" t="str">
        <f t="shared" si="2"/>
        <v>a935.textvalue 'CAMPT06',</v>
      </c>
      <c r="I18" s="9" t="s">
        <v>15</v>
      </c>
    </row>
    <row r="19" spans="1:9" s="10" customFormat="1" ht="25.2" customHeight="1" x14ac:dyDescent="0.3">
      <c r="A19" s="10" t="str">
        <f t="shared" si="0"/>
        <v>CERTL06</v>
      </c>
      <c r="B19" s="11" t="s">
        <v>48</v>
      </c>
      <c r="C19" s="12" t="s">
        <v>11</v>
      </c>
      <c r="D19" s="12" t="s">
        <v>49</v>
      </c>
      <c r="E19" s="12" t="s">
        <v>13</v>
      </c>
      <c r="F19" s="12" t="s">
        <v>14</v>
      </c>
      <c r="G19" s="10" t="str">
        <f t="shared" si="1"/>
        <v>left outer join tenant_vw_dataobjects_attr_list al1282 
 inner join tenant_vw_attributes_list lv1282 on al1282.custattrlistval_id=lv1282.custattrlistval_id
 on p.dataobject_id=al1282.dataobject_id and al1282.attr_id=1282</v>
      </c>
      <c r="H19" s="10" t="str">
        <f t="shared" si="2"/>
        <v>lv1282.label 'CERTL06',</v>
      </c>
      <c r="I19" s="13" t="s">
        <v>31</v>
      </c>
    </row>
    <row r="20" spans="1:9" s="10" customFormat="1" ht="25.2" customHeight="1" x14ac:dyDescent="0.3">
      <c r="A20" s="10" t="str">
        <f t="shared" si="0"/>
        <v>NOTAT06</v>
      </c>
      <c r="B20" s="11" t="s">
        <v>50</v>
      </c>
      <c r="C20" s="12" t="s">
        <v>17</v>
      </c>
      <c r="D20" s="12" t="s">
        <v>51</v>
      </c>
      <c r="E20" s="12" t="s">
        <v>13</v>
      </c>
      <c r="F20" s="12" t="s">
        <v>14</v>
      </c>
      <c r="G20" s="10" t="str">
        <f t="shared" si="1"/>
        <v>left outer join tenant_vw_dataobjects_attr a1283 
on p.dataobject_id=a1283.dataobject_id and a1283.attr_id=1283</v>
      </c>
      <c r="H20" s="10" t="str">
        <f t="shared" si="2"/>
        <v>a1283.textvalue 'NOTAT06',</v>
      </c>
      <c r="I20" s="13" t="s">
        <v>31</v>
      </c>
    </row>
    <row r="21" spans="1:9" s="10" customFormat="1" ht="25.2" customHeight="1" x14ac:dyDescent="0.3">
      <c r="A21" s="10" t="str">
        <f t="shared" si="0"/>
        <v>CERTL07</v>
      </c>
      <c r="B21" s="11" t="s">
        <v>52</v>
      </c>
      <c r="C21" s="12" t="s">
        <v>11</v>
      </c>
      <c r="D21" s="12" t="s">
        <v>53</v>
      </c>
      <c r="E21" s="12" t="s">
        <v>13</v>
      </c>
      <c r="F21" s="12" t="s">
        <v>14</v>
      </c>
      <c r="G21" s="10" t="str">
        <f t="shared" si="1"/>
        <v>left outer join tenant_vw_dataobjects_attr_list al1284 
 inner join tenant_vw_attributes_list lv1284 on al1284.custattrlistval_id=lv1284.custattrlistval_id
 on p.dataobject_id=al1284.dataobject_id and al1284.attr_id=1284</v>
      </c>
      <c r="H21" s="10" t="str">
        <f t="shared" si="2"/>
        <v>lv1284.label 'CERTL07',</v>
      </c>
      <c r="I21" s="13" t="s">
        <v>31</v>
      </c>
    </row>
    <row r="22" spans="1:9" ht="25.2" customHeight="1" x14ac:dyDescent="0.3">
      <c r="A22" t="str">
        <f t="shared" si="0"/>
        <v>CAMPT07</v>
      </c>
      <c r="B22" s="4" t="s">
        <v>54</v>
      </c>
      <c r="C22" s="5" t="s">
        <v>17</v>
      </c>
      <c r="D22" s="5" t="s">
        <v>55</v>
      </c>
      <c r="E22" s="5" t="s">
        <v>13</v>
      </c>
      <c r="F22" s="5" t="s">
        <v>14</v>
      </c>
      <c r="G22" t="str">
        <f t="shared" si="1"/>
        <v>left outer join tenant_vw_dataobjects_attr a893 
on p.dataobject_id=a893.dataobject_id and a893.attr_id=893</v>
      </c>
      <c r="H22" t="str">
        <f t="shared" si="2"/>
        <v>a893.textvalue 'CAMPT07',</v>
      </c>
      <c r="I22" s="9" t="s">
        <v>15</v>
      </c>
    </row>
    <row r="23" spans="1:9" s="10" customFormat="1" ht="25.2" customHeight="1" x14ac:dyDescent="0.3">
      <c r="A23" s="10" t="str">
        <f t="shared" si="0"/>
        <v>NOTAT07</v>
      </c>
      <c r="B23" s="11" t="s">
        <v>56</v>
      </c>
      <c r="C23" s="12" t="s">
        <v>17</v>
      </c>
      <c r="D23" s="12" t="s">
        <v>57</v>
      </c>
      <c r="E23" s="12" t="s">
        <v>13</v>
      </c>
      <c r="F23" s="12" t="s">
        <v>14</v>
      </c>
      <c r="G23" s="10" t="str">
        <f t="shared" si="1"/>
        <v>left outer join tenant_vw_dataobjects_attr a1285 
on p.dataobject_id=a1285.dataobject_id and a1285.attr_id=1285</v>
      </c>
      <c r="H23" s="10" t="str">
        <f t="shared" si="2"/>
        <v>a1285.textvalue 'NOTAT07',</v>
      </c>
      <c r="I23" s="13" t="s">
        <v>31</v>
      </c>
    </row>
    <row r="24" spans="1:9" s="10" customFormat="1" ht="25.2" customHeight="1" x14ac:dyDescent="0.3">
      <c r="A24" s="10" t="str">
        <f t="shared" si="0"/>
        <v>CERTL08</v>
      </c>
      <c r="B24" s="11" t="s">
        <v>58</v>
      </c>
      <c r="C24" s="12" t="s">
        <v>11</v>
      </c>
      <c r="D24" s="12" t="s">
        <v>59</v>
      </c>
      <c r="E24" s="12" t="s">
        <v>13</v>
      </c>
      <c r="F24" s="12" t="s">
        <v>14</v>
      </c>
      <c r="G24" s="10" t="str">
        <f t="shared" si="1"/>
        <v>left outer join tenant_vw_dataobjects_attr_list al1286 
 inner join tenant_vw_attributes_list lv1286 on al1286.custattrlistval_id=lv1286.custattrlistval_id
 on p.dataobject_id=al1286.dataobject_id and al1286.attr_id=1286</v>
      </c>
      <c r="H24" s="10" t="str">
        <f t="shared" si="2"/>
        <v>lv1286.label 'CERTL08',</v>
      </c>
      <c r="I24" s="13" t="s">
        <v>31</v>
      </c>
    </row>
    <row r="25" spans="1:9" s="10" customFormat="1" ht="25.2" customHeight="1" x14ac:dyDescent="0.3">
      <c r="A25" s="10" t="str">
        <f t="shared" si="0"/>
        <v>CAMPT08</v>
      </c>
      <c r="B25" s="11" t="s">
        <v>60</v>
      </c>
      <c r="C25" s="12" t="s">
        <v>17</v>
      </c>
      <c r="D25" s="12" t="s">
        <v>61</v>
      </c>
      <c r="E25" s="12" t="s">
        <v>13</v>
      </c>
      <c r="F25" s="12" t="s">
        <v>14</v>
      </c>
      <c r="G25" s="10" t="str">
        <f t="shared" si="1"/>
        <v>left outer join tenant_vw_dataobjects_attr a876 
on p.dataobject_id=a876.dataobject_id and a876.attr_id=876</v>
      </c>
      <c r="H25" s="10" t="str">
        <f t="shared" si="2"/>
        <v>a876.textvalue 'CAMPT08',</v>
      </c>
      <c r="I25" s="13" t="s">
        <v>31</v>
      </c>
    </row>
    <row r="26" spans="1:9" s="10" customFormat="1" ht="25.2" customHeight="1" x14ac:dyDescent="0.3">
      <c r="A26" s="10" t="str">
        <f t="shared" si="0"/>
        <v>NOTAT08</v>
      </c>
      <c r="B26" s="11" t="s">
        <v>62</v>
      </c>
      <c r="C26" s="12" t="s">
        <v>17</v>
      </c>
      <c r="D26" s="12" t="s">
        <v>63</v>
      </c>
      <c r="E26" s="12" t="s">
        <v>13</v>
      </c>
      <c r="F26" s="12" t="s">
        <v>14</v>
      </c>
      <c r="G26" s="10" t="str">
        <f t="shared" si="1"/>
        <v>left outer join tenant_vw_dataobjects_attr a1287 
on p.dataobject_id=a1287.dataobject_id and a1287.attr_id=1287</v>
      </c>
      <c r="H26" s="10" t="str">
        <f t="shared" si="2"/>
        <v>a1287.textvalue 'NOTAT08',</v>
      </c>
      <c r="I26" s="13" t="s">
        <v>31</v>
      </c>
    </row>
    <row r="27" spans="1:9" s="10" customFormat="1" ht="25.2" customHeight="1" x14ac:dyDescent="0.3">
      <c r="A27" s="10" t="str">
        <f t="shared" si="0"/>
        <v>CERTL09</v>
      </c>
      <c r="B27" s="11" t="s">
        <v>64</v>
      </c>
      <c r="C27" s="12" t="s">
        <v>11</v>
      </c>
      <c r="D27" s="12" t="s">
        <v>65</v>
      </c>
      <c r="E27" s="12" t="s">
        <v>13</v>
      </c>
      <c r="F27" s="12" t="s">
        <v>14</v>
      </c>
      <c r="G27" s="10" t="str">
        <f t="shared" si="1"/>
        <v>left outer join tenant_vw_dataobjects_attr_list al1288 
 inner join tenant_vw_attributes_list lv1288 on al1288.custattrlistval_id=lv1288.custattrlistval_id
 on p.dataobject_id=al1288.dataobject_id and al1288.attr_id=1288</v>
      </c>
      <c r="H27" s="10" t="str">
        <f t="shared" si="2"/>
        <v>lv1288.label 'CERTL09',</v>
      </c>
      <c r="I27" s="13" t="s">
        <v>31</v>
      </c>
    </row>
    <row r="28" spans="1:9" s="10" customFormat="1" ht="25.2" customHeight="1" x14ac:dyDescent="0.3">
      <c r="A28" s="10" t="str">
        <f t="shared" si="0"/>
        <v>NOTAT09</v>
      </c>
      <c r="B28" s="11" t="s">
        <v>66</v>
      </c>
      <c r="C28" s="12" t="s">
        <v>17</v>
      </c>
      <c r="D28" s="12" t="s">
        <v>67</v>
      </c>
      <c r="E28" s="12" t="s">
        <v>13</v>
      </c>
      <c r="F28" s="12" t="s">
        <v>14</v>
      </c>
      <c r="G28" s="10" t="str">
        <f t="shared" si="1"/>
        <v>left outer join tenant_vw_dataobjects_attr a1289 
on p.dataobject_id=a1289.dataobject_id and a1289.attr_id=1289</v>
      </c>
      <c r="H28" s="10" t="str">
        <f t="shared" si="2"/>
        <v>a1289.textvalue 'NOTAT09',</v>
      </c>
      <c r="I28" s="13" t="s">
        <v>31</v>
      </c>
    </row>
    <row r="29" spans="1:9" s="10" customFormat="1" ht="25.2" customHeight="1" x14ac:dyDescent="0.3">
      <c r="A29" s="10" t="str">
        <f t="shared" si="0"/>
        <v>CAMPT09</v>
      </c>
      <c r="B29" s="11" t="s">
        <v>68</v>
      </c>
      <c r="C29" s="12" t="s">
        <v>17</v>
      </c>
      <c r="D29" s="12" t="s">
        <v>69</v>
      </c>
      <c r="E29" s="12" t="s">
        <v>13</v>
      </c>
      <c r="F29" s="12" t="s">
        <v>14</v>
      </c>
      <c r="G29" s="10" t="str">
        <f t="shared" si="1"/>
        <v>left outer join tenant_vw_dataobjects_attr a894 
on p.dataobject_id=a894.dataobject_id and a894.attr_id=894</v>
      </c>
      <c r="H29" s="10" t="str">
        <f t="shared" si="2"/>
        <v>a894.textvalue 'CAMPT09',</v>
      </c>
      <c r="I29" s="13" t="s">
        <v>31</v>
      </c>
    </row>
    <row r="30" spans="1:9" s="10" customFormat="1" ht="25.2" customHeight="1" x14ac:dyDescent="0.3">
      <c r="A30" s="10" t="str">
        <f t="shared" si="0"/>
        <v>CAMPL10</v>
      </c>
      <c r="B30" s="11" t="s">
        <v>70</v>
      </c>
      <c r="C30" s="12" t="s">
        <v>11</v>
      </c>
      <c r="D30" s="12" t="s">
        <v>71</v>
      </c>
      <c r="E30" s="12" t="s">
        <v>13</v>
      </c>
      <c r="F30" s="12" t="s">
        <v>14</v>
      </c>
      <c r="G30" s="10" t="str">
        <f t="shared" si="1"/>
        <v>left outer join tenant_vw_dataobjects_attr_list al1290 
 inner join tenant_vw_attributes_list lv1290 on al1290.custattrlistval_id=lv1290.custattrlistval_id
 on p.dataobject_id=al1290.dataobject_id and al1290.attr_id=1290</v>
      </c>
      <c r="H30" s="10" t="str">
        <f t="shared" si="2"/>
        <v>lv1290.label 'CAMPL10',</v>
      </c>
      <c r="I30" s="13" t="s">
        <v>31</v>
      </c>
    </row>
    <row r="31" spans="1:9" s="10" customFormat="1" ht="25.2" customHeight="1" x14ac:dyDescent="0.3">
      <c r="A31" s="10" t="str">
        <f t="shared" si="0"/>
        <v>NOTAT10</v>
      </c>
      <c r="B31" s="11" t="s">
        <v>72</v>
      </c>
      <c r="C31" s="12" t="s">
        <v>17</v>
      </c>
      <c r="D31" s="12" t="s">
        <v>73</v>
      </c>
      <c r="E31" s="12" t="s">
        <v>13</v>
      </c>
      <c r="F31" s="12" t="s">
        <v>14</v>
      </c>
      <c r="G31" s="10" t="str">
        <f t="shared" si="1"/>
        <v>left outer join tenant_vw_dataobjects_attr a1291 
on p.dataobject_id=a1291.dataobject_id and a1291.attr_id=1291</v>
      </c>
      <c r="H31" s="10" t="str">
        <f t="shared" si="2"/>
        <v>a1291.textvalue 'NOTAT10',</v>
      </c>
      <c r="I31" s="13" t="s">
        <v>31</v>
      </c>
    </row>
    <row r="32" spans="1:9" s="10" customFormat="1" ht="25.2" customHeight="1" x14ac:dyDescent="0.3">
      <c r="A32" s="10" t="str">
        <f t="shared" si="0"/>
        <v>CAMPT10</v>
      </c>
      <c r="B32" s="11" t="s">
        <v>74</v>
      </c>
      <c r="C32" s="12" t="s">
        <v>17</v>
      </c>
      <c r="D32" s="12" t="s">
        <v>75</v>
      </c>
      <c r="E32" s="12" t="s">
        <v>13</v>
      </c>
      <c r="F32" s="12" t="s">
        <v>14</v>
      </c>
      <c r="G32" s="10" t="str">
        <f t="shared" si="1"/>
        <v>left outer join tenant_vw_dataobjects_attr a939 
on p.dataobject_id=a939.dataobject_id and a939.attr_id=939</v>
      </c>
      <c r="H32" s="10" t="str">
        <f t="shared" si="2"/>
        <v>a939.textvalue 'CAMPT10',</v>
      </c>
      <c r="I32" s="13" t="s">
        <v>31</v>
      </c>
    </row>
    <row r="33" spans="1:9" s="10" customFormat="1" ht="25.2" customHeight="1" x14ac:dyDescent="0.3">
      <c r="A33" s="10" t="str">
        <f t="shared" si="0"/>
        <v>CAMPT11</v>
      </c>
      <c r="B33" s="11" t="s">
        <v>76</v>
      </c>
      <c r="C33" s="12" t="s">
        <v>17</v>
      </c>
      <c r="D33" s="12" t="s">
        <v>77</v>
      </c>
      <c r="E33" s="12" t="s">
        <v>13</v>
      </c>
      <c r="F33" s="12" t="s">
        <v>14</v>
      </c>
      <c r="G33" s="10" t="str">
        <f t="shared" si="1"/>
        <v>left outer join tenant_vw_dataobjects_attr a1298 
on p.dataobject_id=a1298.dataobject_id and a1298.attr_id=1298</v>
      </c>
      <c r="H33" s="10" t="str">
        <f t="shared" si="2"/>
        <v>a1298.textvalue 'CAMPT11',</v>
      </c>
      <c r="I33" s="13" t="s">
        <v>31</v>
      </c>
    </row>
    <row r="34" spans="1:9" s="10" customFormat="1" ht="25.2" customHeight="1" x14ac:dyDescent="0.3">
      <c r="A34" s="10" t="str">
        <f t="shared" si="0"/>
        <v>CERTL11</v>
      </c>
      <c r="B34" s="11" t="s">
        <v>78</v>
      </c>
      <c r="C34" s="12" t="s">
        <v>11</v>
      </c>
      <c r="D34" s="12" t="s">
        <v>79</v>
      </c>
      <c r="E34" s="12" t="s">
        <v>13</v>
      </c>
      <c r="F34" s="12" t="s">
        <v>14</v>
      </c>
      <c r="G34" s="10" t="str">
        <f t="shared" si="1"/>
        <v>left outer join tenant_vw_dataobjects_attr_list al1292 
 inner join tenant_vw_attributes_list lv1292 on al1292.custattrlistval_id=lv1292.custattrlistval_id
 on p.dataobject_id=al1292.dataobject_id and al1292.attr_id=1292</v>
      </c>
      <c r="H34" s="10" t="str">
        <f t="shared" si="2"/>
        <v>lv1292.label 'CERTL11',</v>
      </c>
      <c r="I34" s="13" t="s">
        <v>31</v>
      </c>
    </row>
    <row r="35" spans="1:9" s="10" customFormat="1" ht="25.2" customHeight="1" x14ac:dyDescent="0.3">
      <c r="A35" s="10" t="str">
        <f t="shared" si="0"/>
        <v>NOTAT11</v>
      </c>
      <c r="B35" s="11" t="s">
        <v>80</v>
      </c>
      <c r="C35" s="12" t="s">
        <v>17</v>
      </c>
      <c r="D35" s="12" t="s">
        <v>81</v>
      </c>
      <c r="E35" s="12" t="s">
        <v>13</v>
      </c>
      <c r="F35" s="12" t="s">
        <v>14</v>
      </c>
      <c r="G35" s="10" t="str">
        <f t="shared" si="1"/>
        <v>left outer join tenant_vw_dataobjects_attr a1293 
on p.dataobject_id=a1293.dataobject_id and a1293.attr_id=1293</v>
      </c>
      <c r="H35" s="10" t="str">
        <f t="shared" si="2"/>
        <v>a1293.textvalue 'NOTAT11',</v>
      </c>
      <c r="I35" s="13" t="s">
        <v>31</v>
      </c>
    </row>
    <row r="36" spans="1:9" s="10" customFormat="1" ht="25.2" customHeight="1" x14ac:dyDescent="0.3">
      <c r="A36" s="10" t="str">
        <f t="shared" si="0"/>
        <v>CAMPT12</v>
      </c>
      <c r="B36" s="11" t="s">
        <v>82</v>
      </c>
      <c r="C36" s="12" t="s">
        <v>17</v>
      </c>
      <c r="D36" s="12" t="s">
        <v>83</v>
      </c>
      <c r="E36" s="12" t="s">
        <v>13</v>
      </c>
      <c r="F36" s="12" t="s">
        <v>14</v>
      </c>
      <c r="G36" s="10" t="str">
        <f t="shared" si="1"/>
        <v>left outer join tenant_vw_dataobjects_attr a1299 
on p.dataobject_id=a1299.dataobject_id and a1299.attr_id=1299</v>
      </c>
      <c r="H36" s="10" t="str">
        <f t="shared" si="2"/>
        <v>a1299.textvalue 'CAMPT12',</v>
      </c>
      <c r="I36" s="13" t="s">
        <v>31</v>
      </c>
    </row>
    <row r="37" spans="1:9" s="10" customFormat="1" ht="25.2" customHeight="1" x14ac:dyDescent="0.3">
      <c r="A37" s="10" t="str">
        <f t="shared" si="0"/>
        <v>CAMPT13</v>
      </c>
      <c r="B37" s="11" t="s">
        <v>84</v>
      </c>
      <c r="C37" s="12" t="s">
        <v>17</v>
      </c>
      <c r="D37" s="12" t="s">
        <v>85</v>
      </c>
      <c r="E37" s="12" t="s">
        <v>13</v>
      </c>
      <c r="F37" s="12" t="s">
        <v>14</v>
      </c>
      <c r="G37" s="10" t="str">
        <f t="shared" si="1"/>
        <v>left outer join tenant_vw_dataobjects_attr a1300 
on p.dataobject_id=a1300.dataobject_id and a1300.attr_id=1300</v>
      </c>
      <c r="H37" s="10" t="str">
        <f t="shared" si="2"/>
        <v>a1300.textvalue 'CAMPT13',</v>
      </c>
      <c r="I37" s="13" t="s">
        <v>31</v>
      </c>
    </row>
    <row r="38" spans="1:9" s="10" customFormat="1" ht="25.2" customHeight="1" x14ac:dyDescent="0.3">
      <c r="A38" s="10" t="str">
        <f t="shared" si="0"/>
        <v>CAMPT14</v>
      </c>
      <c r="B38" s="11" t="s">
        <v>86</v>
      </c>
      <c r="C38" s="12" t="s">
        <v>17</v>
      </c>
      <c r="D38" s="12" t="s">
        <v>87</v>
      </c>
      <c r="E38" s="12" t="s">
        <v>13</v>
      </c>
      <c r="F38" s="12" t="s">
        <v>14</v>
      </c>
      <c r="G38" s="10" t="str">
        <f t="shared" si="1"/>
        <v>left outer join tenant_vw_dataobjects_attr a1301 
on p.dataobject_id=a1301.dataobject_id and a1301.attr_id=1301</v>
      </c>
      <c r="H38" s="10" t="str">
        <f t="shared" si="2"/>
        <v>a1301.textvalue 'CAMPT14',</v>
      </c>
      <c r="I38" s="13" t="s">
        <v>31</v>
      </c>
    </row>
    <row r="39" spans="1:9" s="10" customFormat="1" ht="25.2" customHeight="1" x14ac:dyDescent="0.3">
      <c r="A39" s="10" t="str">
        <f t="shared" si="0"/>
        <v>CAMPT15</v>
      </c>
      <c r="B39" s="11" t="s">
        <v>88</v>
      </c>
      <c r="C39" s="12" t="s">
        <v>17</v>
      </c>
      <c r="D39" s="12" t="s">
        <v>89</v>
      </c>
      <c r="E39" s="12" t="s">
        <v>13</v>
      </c>
      <c r="F39" s="12" t="s">
        <v>14</v>
      </c>
      <c r="G39" s="10" t="str">
        <f t="shared" si="1"/>
        <v>left outer join tenant_vw_dataobjects_attr a1302 
on p.dataobject_id=a1302.dataobject_id and a1302.attr_id=1302</v>
      </c>
      <c r="H39" s="10" t="str">
        <f t="shared" si="2"/>
        <v>a1302.textvalue 'CAMPT15',</v>
      </c>
      <c r="I39" s="13" t="s">
        <v>31</v>
      </c>
    </row>
    <row r="40" spans="1:9" s="10" customFormat="1" ht="25.2" customHeight="1" x14ac:dyDescent="0.3">
      <c r="A40" s="10" t="str">
        <f t="shared" si="0"/>
        <v>CAMPT16</v>
      </c>
      <c r="B40" s="11" t="s">
        <v>90</v>
      </c>
      <c r="C40" s="12" t="s">
        <v>17</v>
      </c>
      <c r="D40" s="12" t="s">
        <v>91</v>
      </c>
      <c r="E40" s="12" t="s">
        <v>13</v>
      </c>
      <c r="F40" s="12" t="s">
        <v>14</v>
      </c>
      <c r="G40" s="10" t="str">
        <f t="shared" si="1"/>
        <v>left outer join tenant_vw_dataobjects_attr a1303 
on p.dataobject_id=a1303.dataobject_id and a1303.attr_id=1303</v>
      </c>
      <c r="H40" s="10" t="str">
        <f t="shared" si="2"/>
        <v>a1303.textvalue 'CAMPT16',</v>
      </c>
      <c r="I40" s="13" t="s">
        <v>31</v>
      </c>
    </row>
    <row r="41" spans="1:9" ht="25.2" customHeight="1" x14ac:dyDescent="0.3">
      <c r="A41" t="str">
        <f t="shared" si="0"/>
        <v>CAMPT17</v>
      </c>
      <c r="B41" s="2" t="s">
        <v>92</v>
      </c>
      <c r="C41" s="3" t="s">
        <v>17</v>
      </c>
      <c r="D41" s="3" t="s">
        <v>93</v>
      </c>
      <c r="E41" s="3" t="s">
        <v>13</v>
      </c>
      <c r="F41" s="3" t="s">
        <v>14</v>
      </c>
      <c r="G41" t="str">
        <f t="shared" si="1"/>
        <v>left outer join tenant_vw_dataobjects_attr a1304 
on p.dataobject_id=a1304.dataobject_id and a1304.attr_id=1304</v>
      </c>
      <c r="H41" t="str">
        <f t="shared" si="2"/>
        <v>a1304.textvalue 'CAMPT17',</v>
      </c>
      <c r="I41" s="9" t="s">
        <v>94</v>
      </c>
    </row>
    <row r="42" spans="1:9" ht="25.2" customHeight="1" x14ac:dyDescent="0.3">
      <c r="A42" t="str">
        <f t="shared" si="0"/>
        <v>CAMPT18</v>
      </c>
      <c r="B42" s="4" t="s">
        <v>95</v>
      </c>
      <c r="C42" s="5" t="s">
        <v>17</v>
      </c>
      <c r="D42" s="5" t="s">
        <v>96</v>
      </c>
      <c r="E42" s="5" t="s">
        <v>13</v>
      </c>
      <c r="F42" s="5" t="s">
        <v>14</v>
      </c>
      <c r="G42" t="str">
        <f t="shared" si="1"/>
        <v>left outer join tenant_vw_dataobjects_attr a1305 
on p.dataobject_id=a1305.dataobject_id and a1305.attr_id=1305</v>
      </c>
      <c r="H42" t="str">
        <f t="shared" si="2"/>
        <v>a1305.textvalue 'CAMPT18',</v>
      </c>
      <c r="I42" s="9" t="s">
        <v>94</v>
      </c>
    </row>
    <row r="43" spans="1:9" ht="25.2" customHeight="1" x14ac:dyDescent="0.3">
      <c r="A43" t="str">
        <f t="shared" si="0"/>
        <v>CAMPT19</v>
      </c>
      <c r="B43" s="2" t="s">
        <v>97</v>
      </c>
      <c r="C43" s="3" t="s">
        <v>17</v>
      </c>
      <c r="D43" s="3" t="s">
        <v>98</v>
      </c>
      <c r="E43" s="3" t="s">
        <v>13</v>
      </c>
      <c r="F43" s="3" t="s">
        <v>14</v>
      </c>
      <c r="G43" t="str">
        <f t="shared" si="1"/>
        <v>left outer join tenant_vw_dataobjects_attr a1306 
on p.dataobject_id=a1306.dataobject_id and a1306.attr_id=1306</v>
      </c>
      <c r="H43" t="str">
        <f t="shared" si="2"/>
        <v>a1306.textvalue 'CAMPT19',</v>
      </c>
      <c r="I43" s="9" t="s">
        <v>94</v>
      </c>
    </row>
    <row r="44" spans="1:9" ht="25.2" customHeight="1" x14ac:dyDescent="0.3">
      <c r="A44" t="str">
        <f t="shared" si="0"/>
        <v>CAMPT20</v>
      </c>
      <c r="B44" s="2" t="s">
        <v>99</v>
      </c>
      <c r="C44" s="3" t="s">
        <v>17</v>
      </c>
      <c r="D44" s="3" t="s">
        <v>100</v>
      </c>
      <c r="E44" s="3" t="s">
        <v>13</v>
      </c>
      <c r="F44" s="3" t="s">
        <v>14</v>
      </c>
      <c r="G44" t="str">
        <f t="shared" si="1"/>
        <v>left outer join tenant_vw_dataobjects_attr a1307 
on p.dataobject_id=a1307.dataobject_id and a1307.attr_id=1307</v>
      </c>
      <c r="H44" t="str">
        <f t="shared" si="2"/>
        <v>a1307.textvalue 'CAMPT20',</v>
      </c>
      <c r="I44" s="9" t="s">
        <v>94</v>
      </c>
    </row>
    <row r="45" spans="1:9" ht="25.2" customHeight="1" x14ac:dyDescent="0.3">
      <c r="A45" t="str">
        <f t="shared" si="0"/>
        <v>CAMPT21</v>
      </c>
      <c r="B45" s="4" t="s">
        <v>101</v>
      </c>
      <c r="C45" s="5" t="s">
        <v>17</v>
      </c>
      <c r="D45" s="5" t="s">
        <v>102</v>
      </c>
      <c r="E45" s="5" t="s">
        <v>13</v>
      </c>
      <c r="F45" s="5" t="s">
        <v>14</v>
      </c>
      <c r="G45" t="str">
        <f t="shared" si="1"/>
        <v>left outer join tenant_vw_dataobjects_attr a1308 
on p.dataobject_id=a1308.dataobject_id and a1308.attr_id=1308</v>
      </c>
      <c r="H45" t="str">
        <f t="shared" si="2"/>
        <v>a1308.textvalue 'CAMPT21',</v>
      </c>
      <c r="I45" s="9" t="s">
        <v>94</v>
      </c>
    </row>
    <row r="46" spans="1:9" ht="25.2" customHeight="1" x14ac:dyDescent="0.3">
      <c r="A46" t="str">
        <f t="shared" si="0"/>
        <v>CAMPT22</v>
      </c>
      <c r="B46" s="2" t="s">
        <v>103</v>
      </c>
      <c r="C46" s="3" t="s">
        <v>17</v>
      </c>
      <c r="D46" s="3" t="s">
        <v>104</v>
      </c>
      <c r="E46" s="3" t="s">
        <v>13</v>
      </c>
      <c r="F46" s="3" t="s">
        <v>14</v>
      </c>
      <c r="G46" t="str">
        <f t="shared" si="1"/>
        <v>left outer join tenant_vw_dataobjects_attr a1309 
on p.dataobject_id=a1309.dataobject_id and a1309.attr_id=1309</v>
      </c>
      <c r="H46" t="str">
        <f t="shared" si="2"/>
        <v>a1309.textvalue 'CAMPT22',</v>
      </c>
      <c r="I46" s="9" t="s">
        <v>94</v>
      </c>
    </row>
    <row r="47" spans="1:9" ht="25.2" customHeight="1" x14ac:dyDescent="0.3">
      <c r="A47" t="str">
        <f t="shared" si="0"/>
        <v>CAMPT23</v>
      </c>
      <c r="B47" s="4" t="s">
        <v>105</v>
      </c>
      <c r="C47" s="5" t="s">
        <v>17</v>
      </c>
      <c r="D47" s="5" t="s">
        <v>106</v>
      </c>
      <c r="E47" s="5" t="s">
        <v>13</v>
      </c>
      <c r="F47" s="5" t="s">
        <v>14</v>
      </c>
      <c r="G47" t="str">
        <f t="shared" si="1"/>
        <v>left outer join tenant_vw_dataobjects_attr a1310 
on p.dataobject_id=a1310.dataobject_id and a1310.attr_id=1310</v>
      </c>
      <c r="H47" t="str">
        <f t="shared" si="2"/>
        <v>a1310.textvalue 'CAMPT23',</v>
      </c>
      <c r="I47" s="9" t="s">
        <v>94</v>
      </c>
    </row>
    <row r="48" spans="1:9" ht="25.2" customHeight="1" x14ac:dyDescent="0.3">
      <c r="A48" t="str">
        <f t="shared" si="0"/>
        <v>CAMPT24</v>
      </c>
      <c r="B48" s="2" t="s">
        <v>107</v>
      </c>
      <c r="C48" s="3" t="s">
        <v>17</v>
      </c>
      <c r="D48" s="3" t="s">
        <v>108</v>
      </c>
      <c r="E48" s="3" t="s">
        <v>13</v>
      </c>
      <c r="F48" s="3" t="s">
        <v>14</v>
      </c>
      <c r="G48" t="str">
        <f t="shared" si="1"/>
        <v>left outer join tenant_vw_dataobjects_attr a1311 
on p.dataobject_id=a1311.dataobject_id and a1311.attr_id=1311</v>
      </c>
      <c r="H48" t="str">
        <f t="shared" si="2"/>
        <v>a1311.textvalue 'CAMPT24',</v>
      </c>
      <c r="I48" s="9" t="s">
        <v>94</v>
      </c>
    </row>
    <row r="49" spans="1:9" ht="25.2" customHeight="1" x14ac:dyDescent="0.3">
      <c r="A49" t="str">
        <f t="shared" si="0"/>
        <v>CAMPT25</v>
      </c>
      <c r="B49" s="4" t="s">
        <v>109</v>
      </c>
      <c r="C49" s="5" t="s">
        <v>17</v>
      </c>
      <c r="D49" s="5" t="s">
        <v>110</v>
      </c>
      <c r="E49" s="5" t="s">
        <v>13</v>
      </c>
      <c r="F49" s="5" t="s">
        <v>14</v>
      </c>
      <c r="G49" t="str">
        <f t="shared" si="1"/>
        <v>left outer join tenant_vw_dataobjects_attr a1312 
on p.dataobject_id=a1312.dataobject_id and a1312.attr_id=1312</v>
      </c>
      <c r="H49" t="str">
        <f t="shared" si="2"/>
        <v>a1312.textvalue 'CAMPT25',</v>
      </c>
      <c r="I49" s="9" t="s">
        <v>94</v>
      </c>
    </row>
    <row r="50" spans="1:9" ht="25.2" customHeight="1" x14ac:dyDescent="0.3">
      <c r="A50" t="str">
        <f t="shared" si="0"/>
        <v>CAMPT26</v>
      </c>
      <c r="B50" s="2" t="s">
        <v>111</v>
      </c>
      <c r="C50" s="3" t="s">
        <v>17</v>
      </c>
      <c r="D50" s="3" t="s">
        <v>112</v>
      </c>
      <c r="E50" s="3" t="s">
        <v>13</v>
      </c>
      <c r="F50" s="3" t="s">
        <v>14</v>
      </c>
      <c r="G50" t="str">
        <f t="shared" si="1"/>
        <v>left outer join tenant_vw_dataobjects_attr a897 
on p.dataobject_id=a897.dataobject_id and a897.attr_id=897</v>
      </c>
      <c r="H50" t="str">
        <f t="shared" si="2"/>
        <v>a897.textvalue 'CAMPT26',</v>
      </c>
      <c r="I50" s="9" t="s">
        <v>94</v>
      </c>
    </row>
    <row r="51" spans="1:9" ht="25.2" customHeight="1" x14ac:dyDescent="0.3">
      <c r="A51" t="str">
        <f t="shared" si="0"/>
        <v>CAMPT27</v>
      </c>
      <c r="B51" s="4" t="s">
        <v>113</v>
      </c>
      <c r="C51" s="5" t="s">
        <v>17</v>
      </c>
      <c r="D51" s="5" t="s">
        <v>114</v>
      </c>
      <c r="E51" s="5" t="s">
        <v>13</v>
      </c>
      <c r="F51" s="5" t="s">
        <v>14</v>
      </c>
      <c r="G51" t="str">
        <f t="shared" si="1"/>
        <v>left outer join tenant_vw_dataobjects_attr a1313 
on p.dataobject_id=a1313.dataobject_id and a1313.attr_id=1313</v>
      </c>
      <c r="H51" t="str">
        <f t="shared" si="2"/>
        <v>a1313.textvalue 'CAMPT27',</v>
      </c>
      <c r="I51" s="9" t="s">
        <v>94</v>
      </c>
    </row>
    <row r="52" spans="1:9" ht="25.2" customHeight="1" x14ac:dyDescent="0.3">
      <c r="A52" t="str">
        <f t="shared" si="0"/>
        <v>CAMPT28</v>
      </c>
      <c r="B52" s="2" t="s">
        <v>115</v>
      </c>
      <c r="C52" s="3" t="s">
        <v>17</v>
      </c>
      <c r="D52" s="3" t="s">
        <v>116</v>
      </c>
      <c r="E52" s="3" t="s">
        <v>13</v>
      </c>
      <c r="F52" s="3" t="s">
        <v>14</v>
      </c>
      <c r="G52" t="str">
        <f t="shared" si="1"/>
        <v>left outer join tenant_vw_dataobjects_attr a1314 
on p.dataobject_id=a1314.dataobject_id and a1314.attr_id=1314</v>
      </c>
      <c r="H52" t="str">
        <f t="shared" si="2"/>
        <v>a1314.textvalue 'CAMPT28',</v>
      </c>
      <c r="I52" s="9" t="s">
        <v>94</v>
      </c>
    </row>
    <row r="53" spans="1:9" ht="25.2" customHeight="1" x14ac:dyDescent="0.3">
      <c r="A53" t="str">
        <f t="shared" si="0"/>
        <v>CAMPT29</v>
      </c>
      <c r="B53" s="4" t="s">
        <v>117</v>
      </c>
      <c r="C53" s="5" t="s">
        <v>17</v>
      </c>
      <c r="D53" s="5" t="s">
        <v>118</v>
      </c>
      <c r="E53" s="5" t="s">
        <v>13</v>
      </c>
      <c r="F53" s="5" t="s">
        <v>14</v>
      </c>
      <c r="G53" t="str">
        <f t="shared" si="1"/>
        <v>left outer join tenant_vw_dataobjects_attr a1315 
on p.dataobject_id=a1315.dataobject_id and a1315.attr_id=1315</v>
      </c>
      <c r="H53" t="str">
        <f t="shared" si="2"/>
        <v>a1315.textvalue 'CAMPT29',</v>
      </c>
      <c r="I53" s="9" t="s">
        <v>94</v>
      </c>
    </row>
    <row r="54" spans="1:9" ht="25.2" customHeight="1" x14ac:dyDescent="0.3">
      <c r="A54" t="str">
        <f t="shared" si="0"/>
        <v>CAMPT30</v>
      </c>
      <c r="B54" s="2" t="s">
        <v>119</v>
      </c>
      <c r="C54" s="3" t="s">
        <v>17</v>
      </c>
      <c r="D54" s="3" t="s">
        <v>120</v>
      </c>
      <c r="E54" s="3" t="s">
        <v>13</v>
      </c>
      <c r="F54" s="3" t="s">
        <v>14</v>
      </c>
      <c r="G54" t="str">
        <f t="shared" si="1"/>
        <v>left outer join tenant_vw_dataobjects_attr a1316 
on p.dataobject_id=a1316.dataobject_id and a1316.attr_id=1316</v>
      </c>
      <c r="H54" t="str">
        <f t="shared" si="2"/>
        <v>a1316.textvalue 'CAMPT30',</v>
      </c>
      <c r="I54" s="9" t="s">
        <v>94</v>
      </c>
    </row>
    <row r="55" spans="1:9" ht="25.2" customHeight="1" x14ac:dyDescent="0.3">
      <c r="A55" t="str">
        <f t="shared" si="0"/>
        <v>CAMPT31</v>
      </c>
      <c r="B55" s="4" t="s">
        <v>121</v>
      </c>
      <c r="C55" s="5" t="s">
        <v>17</v>
      </c>
      <c r="D55" s="5" t="s">
        <v>122</v>
      </c>
      <c r="E55" s="5" t="s">
        <v>13</v>
      </c>
      <c r="F55" s="5" t="s">
        <v>14</v>
      </c>
      <c r="G55" t="str">
        <f t="shared" si="1"/>
        <v>left outer join tenant_vw_dataobjects_attr a1317 
on p.dataobject_id=a1317.dataobject_id and a1317.attr_id=1317</v>
      </c>
      <c r="H55" t="str">
        <f t="shared" si="2"/>
        <v>a1317.textvalue 'CAMPT31',</v>
      </c>
      <c r="I55" s="9" t="s">
        <v>94</v>
      </c>
    </row>
    <row r="56" spans="1:9" ht="25.2" customHeight="1" x14ac:dyDescent="0.3">
      <c r="A56" t="str">
        <f t="shared" si="0"/>
        <v>CAMPT32</v>
      </c>
      <c r="B56" s="2" t="s">
        <v>123</v>
      </c>
      <c r="C56" s="3" t="s">
        <v>17</v>
      </c>
      <c r="D56" s="3" t="s">
        <v>124</v>
      </c>
      <c r="E56" s="3" t="s">
        <v>13</v>
      </c>
      <c r="F56" s="3" t="s">
        <v>14</v>
      </c>
      <c r="G56" t="str">
        <f t="shared" si="1"/>
        <v>left outer join tenant_vw_dataobjects_attr a1318 
on p.dataobject_id=a1318.dataobject_id and a1318.attr_id=1318</v>
      </c>
      <c r="H56" t="str">
        <f t="shared" si="2"/>
        <v>a1318.textvalue 'CAMPT32',</v>
      </c>
      <c r="I56" s="9" t="s">
        <v>94</v>
      </c>
    </row>
    <row r="57" spans="1:9" ht="25.2" customHeight="1" x14ac:dyDescent="0.3">
      <c r="A57" t="str">
        <f t="shared" si="0"/>
        <v>CAMPT33</v>
      </c>
      <c r="B57" s="4" t="s">
        <v>125</v>
      </c>
      <c r="C57" s="5" t="s">
        <v>17</v>
      </c>
      <c r="D57" s="5" t="s">
        <v>126</v>
      </c>
      <c r="E57" s="5" t="s">
        <v>13</v>
      </c>
      <c r="F57" s="5" t="s">
        <v>14</v>
      </c>
      <c r="G57" t="str">
        <f t="shared" si="1"/>
        <v>left outer join tenant_vw_dataobjects_attr a1319 
on p.dataobject_id=a1319.dataobject_id and a1319.attr_id=1319</v>
      </c>
      <c r="H57" t="str">
        <f t="shared" si="2"/>
        <v>a1319.textvalue 'CAMPT33',</v>
      </c>
      <c r="I57" s="9" t="s">
        <v>94</v>
      </c>
    </row>
    <row r="58" spans="1:9" ht="25.2" customHeight="1" x14ac:dyDescent="0.3">
      <c r="A58" t="str">
        <f t="shared" si="0"/>
        <v>CAMPT34</v>
      </c>
      <c r="B58" s="2" t="s">
        <v>127</v>
      </c>
      <c r="C58" s="3" t="s">
        <v>17</v>
      </c>
      <c r="D58" s="3" t="s">
        <v>128</v>
      </c>
      <c r="E58" s="3" t="s">
        <v>13</v>
      </c>
      <c r="F58" s="3" t="s">
        <v>14</v>
      </c>
      <c r="G58" t="str">
        <f t="shared" si="1"/>
        <v>left outer join tenant_vw_dataobjects_attr a1320 
on p.dataobject_id=a1320.dataobject_id and a1320.attr_id=1320</v>
      </c>
      <c r="H58" t="str">
        <f t="shared" si="2"/>
        <v>a1320.textvalue 'CAMPT34',</v>
      </c>
      <c r="I58" s="9" t="s">
        <v>94</v>
      </c>
    </row>
    <row r="59" spans="1:9" ht="25.2" customHeight="1" x14ac:dyDescent="0.3">
      <c r="A59" t="str">
        <f t="shared" si="0"/>
        <v>CAMPT35</v>
      </c>
      <c r="B59" s="4" t="s">
        <v>129</v>
      </c>
      <c r="C59" s="5" t="s">
        <v>17</v>
      </c>
      <c r="D59" s="5" t="s">
        <v>130</v>
      </c>
      <c r="E59" s="5" t="s">
        <v>13</v>
      </c>
      <c r="F59" s="5" t="s">
        <v>14</v>
      </c>
      <c r="G59" t="str">
        <f t="shared" si="1"/>
        <v>left outer join tenant_vw_dataobjects_attr a1321 
on p.dataobject_id=a1321.dataobject_id and a1321.attr_id=1321</v>
      </c>
      <c r="H59" t="str">
        <f t="shared" si="2"/>
        <v>a1321.textvalue 'CAMPT35',</v>
      </c>
      <c r="I59" s="9" t="s">
        <v>94</v>
      </c>
    </row>
    <row r="60" spans="1:9" ht="25.2" customHeight="1" x14ac:dyDescent="0.3">
      <c r="A60" t="str">
        <f t="shared" si="0"/>
        <v>CAMPT36</v>
      </c>
      <c r="B60" s="2" t="s">
        <v>131</v>
      </c>
      <c r="C60" s="3" t="s">
        <v>17</v>
      </c>
      <c r="D60" s="3" t="s">
        <v>132</v>
      </c>
      <c r="E60" s="3" t="s">
        <v>13</v>
      </c>
      <c r="F60" s="3" t="s">
        <v>14</v>
      </c>
      <c r="G60" t="str">
        <f t="shared" si="1"/>
        <v>left outer join tenant_vw_dataobjects_attr a1322 
on p.dataobject_id=a1322.dataobject_id and a1322.attr_id=1322</v>
      </c>
      <c r="H60" t="str">
        <f t="shared" si="2"/>
        <v>a1322.textvalue 'CAMPT36',</v>
      </c>
      <c r="I60" s="9" t="s">
        <v>133</v>
      </c>
    </row>
    <row r="61" spans="1:9" ht="25.2" customHeight="1" x14ac:dyDescent="0.3">
      <c r="A61" t="str">
        <f t="shared" si="0"/>
        <v>CAMPT37</v>
      </c>
      <c r="B61" s="4" t="s">
        <v>134</v>
      </c>
      <c r="C61" s="5" t="s">
        <v>17</v>
      </c>
      <c r="D61" s="5" t="s">
        <v>135</v>
      </c>
      <c r="E61" s="5" t="s">
        <v>13</v>
      </c>
      <c r="F61" s="5" t="s">
        <v>14</v>
      </c>
      <c r="G61" t="str">
        <f t="shared" si="1"/>
        <v>left outer join tenant_vw_dataobjects_attr a1323 
on p.dataobject_id=a1323.dataobject_id and a1323.attr_id=1323</v>
      </c>
      <c r="H61" t="str">
        <f t="shared" si="2"/>
        <v>a1323.textvalue 'CAMPT37',</v>
      </c>
      <c r="I61" s="9" t="s">
        <v>133</v>
      </c>
    </row>
    <row r="62" spans="1:9" ht="25.2" customHeight="1" x14ac:dyDescent="0.3">
      <c r="A62" t="str">
        <f t="shared" si="0"/>
        <v>CAMPT38</v>
      </c>
      <c r="B62" s="2" t="s">
        <v>136</v>
      </c>
      <c r="C62" s="3" t="s">
        <v>17</v>
      </c>
      <c r="D62" s="3" t="s">
        <v>137</v>
      </c>
      <c r="E62" s="3" t="s">
        <v>13</v>
      </c>
      <c r="F62" s="3" t="s">
        <v>14</v>
      </c>
      <c r="G62" t="str">
        <f t="shared" si="1"/>
        <v>left outer join tenant_vw_dataobjects_attr a1324 
on p.dataobject_id=a1324.dataobject_id and a1324.attr_id=1324</v>
      </c>
      <c r="H62" t="str">
        <f t="shared" si="2"/>
        <v>a1324.textvalue 'CAMPT38',</v>
      </c>
      <c r="I62" s="9" t="s">
        <v>133</v>
      </c>
    </row>
    <row r="63" spans="1:9" ht="25.2" customHeight="1" x14ac:dyDescent="0.3">
      <c r="A63" t="str">
        <f t="shared" si="0"/>
        <v>CAMPT39</v>
      </c>
      <c r="B63" s="4" t="s">
        <v>138</v>
      </c>
      <c r="C63" s="5" t="s">
        <v>17</v>
      </c>
      <c r="D63" s="5" t="s">
        <v>139</v>
      </c>
      <c r="E63" s="5" t="s">
        <v>13</v>
      </c>
      <c r="F63" s="5" t="s">
        <v>14</v>
      </c>
      <c r="G63" t="str">
        <f t="shared" si="1"/>
        <v>left outer join tenant_vw_dataobjects_attr a1325 
on p.dataobject_id=a1325.dataobject_id and a1325.attr_id=1325</v>
      </c>
      <c r="H63" t="str">
        <f t="shared" si="2"/>
        <v>a1325.textvalue 'CAMPT39',</v>
      </c>
      <c r="I63" s="9" t="s">
        <v>133</v>
      </c>
    </row>
    <row r="64" spans="1:9" ht="25.2" customHeight="1" x14ac:dyDescent="0.3">
      <c r="A64" t="str">
        <f t="shared" si="0"/>
        <v>CAMPT40</v>
      </c>
      <c r="B64" s="4" t="s">
        <v>140</v>
      </c>
      <c r="C64" s="5" t="s">
        <v>17</v>
      </c>
      <c r="D64" s="5" t="s">
        <v>141</v>
      </c>
      <c r="E64" s="5" t="s">
        <v>13</v>
      </c>
      <c r="F64" s="5" t="s">
        <v>14</v>
      </c>
      <c r="G64" t="str">
        <f t="shared" si="1"/>
        <v>left outer join tenant_vw_dataobjects_attr a1326 
on p.dataobject_id=a1326.dataobject_id and a1326.attr_id=1326</v>
      </c>
      <c r="H64" t="str">
        <f t="shared" si="2"/>
        <v>a1326.textvalue 'CAMPT40',</v>
      </c>
      <c r="I64" s="9" t="s">
        <v>133</v>
      </c>
    </row>
    <row r="65" spans="1:9" ht="25.2" customHeight="1" x14ac:dyDescent="0.3">
      <c r="A65" t="str">
        <f t="shared" si="0"/>
        <v>CAMPT41</v>
      </c>
      <c r="B65" s="2" t="s">
        <v>142</v>
      </c>
      <c r="C65" s="3" t="s">
        <v>17</v>
      </c>
      <c r="D65" s="3" t="s">
        <v>143</v>
      </c>
      <c r="E65" s="3" t="s">
        <v>13</v>
      </c>
      <c r="F65" s="3" t="s">
        <v>14</v>
      </c>
      <c r="G65" t="str">
        <f t="shared" si="1"/>
        <v>left outer join tenant_vw_dataobjects_attr a1327 
on p.dataobject_id=a1327.dataobject_id and a1327.attr_id=1327</v>
      </c>
      <c r="H65" t="str">
        <f t="shared" si="2"/>
        <v>a1327.textvalue 'CAMPT41',</v>
      </c>
      <c r="I65" s="9" t="s">
        <v>133</v>
      </c>
    </row>
    <row r="66" spans="1:9" ht="25.2" customHeight="1" x14ac:dyDescent="0.3">
      <c r="A66" t="str">
        <f t="shared" si="0"/>
        <v>CAMPT42</v>
      </c>
      <c r="B66" s="4" t="s">
        <v>144</v>
      </c>
      <c r="C66" s="5" t="s">
        <v>17</v>
      </c>
      <c r="D66" s="5" t="s">
        <v>145</v>
      </c>
      <c r="E66" s="5" t="s">
        <v>13</v>
      </c>
      <c r="F66" s="5" t="s">
        <v>14</v>
      </c>
      <c r="G66" t="str">
        <f t="shared" si="1"/>
        <v>left outer join tenant_vw_dataobjects_attr a1328 
on p.dataobject_id=a1328.dataobject_id and a1328.attr_id=1328</v>
      </c>
      <c r="H66" t="str">
        <f t="shared" si="2"/>
        <v>a1328.textvalue 'CAMPT42',</v>
      </c>
      <c r="I66" s="9" t="s">
        <v>133</v>
      </c>
    </row>
    <row r="67" spans="1:9" ht="25.2" customHeight="1" x14ac:dyDescent="0.3">
      <c r="A67" t="str">
        <f t="shared" si="0"/>
        <v>CAMPT43</v>
      </c>
      <c r="B67" s="2" t="s">
        <v>146</v>
      </c>
      <c r="C67" s="3" t="s">
        <v>17</v>
      </c>
      <c r="D67" s="3" t="s">
        <v>147</v>
      </c>
      <c r="E67" s="3" t="s">
        <v>13</v>
      </c>
      <c r="F67" s="3" t="s">
        <v>14</v>
      </c>
      <c r="G67" t="str">
        <f t="shared" si="1"/>
        <v>left outer join tenant_vw_dataobjects_attr a1329 
on p.dataobject_id=a1329.dataobject_id and a1329.attr_id=1329</v>
      </c>
      <c r="H67" t="str">
        <f t="shared" si="2"/>
        <v>a1329.textvalue 'CAMPT43',</v>
      </c>
      <c r="I67" s="9" t="s">
        <v>133</v>
      </c>
    </row>
    <row r="68" spans="1:9" ht="25.2" customHeight="1" x14ac:dyDescent="0.3">
      <c r="A68" t="str">
        <f t="shared" ref="A68:A123" si="3">IF(MID(B68,5,5)="Certi","CERT",IF(MID(B68,5,5)="Notas","NOTA","CAMP"))&amp;LEFT(C68,1)&amp;MID(B68,1,2)</f>
        <v>CAMPT44</v>
      </c>
      <c r="B68" s="4" t="s">
        <v>148</v>
      </c>
      <c r="C68" s="5" t="s">
        <v>17</v>
      </c>
      <c r="D68" s="5" t="s">
        <v>149</v>
      </c>
      <c r="E68" s="5" t="s">
        <v>13</v>
      </c>
      <c r="F68" s="5" t="s">
        <v>14</v>
      </c>
      <c r="G68" t="str">
        <f t="shared" ref="G68:G123" si="4">IF(C68="LIST","left outer join tenant_vw_dataobjects_attr_list al"&amp;D68&amp;" 
 inner join tenant_vw_attributes_list lv"&amp;D68&amp;" on al"&amp;D68&amp;".custattrlistval_id=lv"&amp;D68&amp;".custattrlistval_id
 on p.dataobject_id=al"&amp;D68&amp;".dataobject_id and al"&amp;D68&amp;".attr_id="&amp;D68,"left outer join tenant_vw_dataobjects_attr a"&amp;D68&amp;" 
on p.dataobject_id=a"&amp;D68&amp;".dataobject_id and a"&amp;D68&amp;".attr_id="&amp;D68)</f>
        <v>left outer join tenant_vw_dataobjects_attr a1330 
on p.dataobject_id=a1330.dataobject_id and a1330.attr_id=1330</v>
      </c>
      <c r="H68" t="str">
        <f t="shared" ref="H68:H123" si="5">IF(C68="LIST","lv"&amp;D68&amp;".label '"&amp;A68&amp;"',",IF(C68="TEXT","a"&amp;D68&amp;".textvalue '"&amp;A68&amp;"',","NOVA"))</f>
        <v>a1330.textvalue 'CAMPT44',</v>
      </c>
      <c r="I68" s="9" t="s">
        <v>133</v>
      </c>
    </row>
    <row r="69" spans="1:9" ht="25.2" customHeight="1" x14ac:dyDescent="0.3">
      <c r="A69" t="str">
        <f t="shared" si="3"/>
        <v>CAMPT45</v>
      </c>
      <c r="B69" s="2" t="s">
        <v>150</v>
      </c>
      <c r="C69" s="3" t="s">
        <v>17</v>
      </c>
      <c r="D69" s="3" t="s">
        <v>151</v>
      </c>
      <c r="E69" s="3" t="s">
        <v>13</v>
      </c>
      <c r="F69" s="3" t="s">
        <v>14</v>
      </c>
      <c r="G69" t="str">
        <f t="shared" si="4"/>
        <v>left outer join tenant_vw_dataobjects_attr a1331 
on p.dataobject_id=a1331.dataobject_id and a1331.attr_id=1331</v>
      </c>
      <c r="H69" t="str">
        <f t="shared" si="5"/>
        <v>a1331.textvalue 'CAMPT45',</v>
      </c>
      <c r="I69" s="9" t="s">
        <v>133</v>
      </c>
    </row>
    <row r="70" spans="1:9" ht="25.2" customHeight="1" x14ac:dyDescent="0.3">
      <c r="A70" t="str">
        <f t="shared" si="3"/>
        <v>CAMPT46</v>
      </c>
      <c r="B70" s="4" t="s">
        <v>152</v>
      </c>
      <c r="C70" s="5" t="s">
        <v>17</v>
      </c>
      <c r="D70" s="5" t="s">
        <v>153</v>
      </c>
      <c r="E70" s="5" t="s">
        <v>13</v>
      </c>
      <c r="F70" s="5" t="s">
        <v>14</v>
      </c>
      <c r="G70" t="str">
        <f t="shared" si="4"/>
        <v>left outer join tenant_vw_dataobjects_attr a1332 
on p.dataobject_id=a1332.dataobject_id and a1332.attr_id=1332</v>
      </c>
      <c r="H70" t="str">
        <f t="shared" si="5"/>
        <v>a1332.textvalue 'CAMPT46',</v>
      </c>
      <c r="I70" s="9" t="s">
        <v>133</v>
      </c>
    </row>
    <row r="71" spans="1:9" ht="25.2" customHeight="1" x14ac:dyDescent="0.3">
      <c r="A71" t="str">
        <f t="shared" si="3"/>
        <v>CAMPT47</v>
      </c>
      <c r="B71" s="2" t="s">
        <v>154</v>
      </c>
      <c r="C71" s="3" t="s">
        <v>17</v>
      </c>
      <c r="D71" s="3" t="s">
        <v>155</v>
      </c>
      <c r="E71" s="3" t="s">
        <v>13</v>
      </c>
      <c r="F71" s="3" t="s">
        <v>14</v>
      </c>
      <c r="G71" t="str">
        <f t="shared" si="4"/>
        <v>left outer join tenant_vw_dataobjects_attr a1333 
on p.dataobject_id=a1333.dataobject_id and a1333.attr_id=1333</v>
      </c>
      <c r="H71" t="str">
        <f t="shared" si="5"/>
        <v>a1333.textvalue 'CAMPT47',</v>
      </c>
      <c r="I71" s="9" t="s">
        <v>133</v>
      </c>
    </row>
    <row r="72" spans="1:9" ht="25.2" customHeight="1" x14ac:dyDescent="0.3">
      <c r="A72" t="str">
        <f t="shared" si="3"/>
        <v>CAMPT48</v>
      </c>
      <c r="B72" s="4" t="s">
        <v>156</v>
      </c>
      <c r="C72" s="5" t="s">
        <v>17</v>
      </c>
      <c r="D72" s="5" t="s">
        <v>157</v>
      </c>
      <c r="E72" s="5" t="s">
        <v>13</v>
      </c>
      <c r="F72" s="5" t="s">
        <v>14</v>
      </c>
      <c r="G72" t="str">
        <f t="shared" si="4"/>
        <v>left outer join tenant_vw_dataobjects_attr a1334 
on p.dataobject_id=a1334.dataobject_id and a1334.attr_id=1334</v>
      </c>
      <c r="H72" t="str">
        <f t="shared" si="5"/>
        <v>a1334.textvalue 'CAMPT48',</v>
      </c>
      <c r="I72" s="9" t="s">
        <v>133</v>
      </c>
    </row>
    <row r="73" spans="1:9" ht="25.2" customHeight="1" x14ac:dyDescent="0.3">
      <c r="A73" t="str">
        <f t="shared" si="3"/>
        <v>CAMPT49</v>
      </c>
      <c r="B73" s="2" t="s">
        <v>158</v>
      </c>
      <c r="C73" s="3" t="s">
        <v>17</v>
      </c>
      <c r="D73" s="3" t="s">
        <v>159</v>
      </c>
      <c r="E73" s="3" t="s">
        <v>13</v>
      </c>
      <c r="F73" s="3" t="s">
        <v>14</v>
      </c>
      <c r="G73" t="str">
        <f t="shared" si="4"/>
        <v>left outer join tenant_vw_dataobjects_attr a1335 
on p.dataobject_id=a1335.dataobject_id and a1335.attr_id=1335</v>
      </c>
      <c r="H73" t="str">
        <f t="shared" si="5"/>
        <v>a1335.textvalue 'CAMPT49',</v>
      </c>
      <c r="I73" s="9" t="s">
        <v>133</v>
      </c>
    </row>
    <row r="74" spans="1:9" ht="25.2" customHeight="1" x14ac:dyDescent="0.3">
      <c r="A74" t="str">
        <f t="shared" si="3"/>
        <v>CAMPT50</v>
      </c>
      <c r="B74" s="2" t="s">
        <v>160</v>
      </c>
      <c r="C74" s="3" t="s">
        <v>17</v>
      </c>
      <c r="D74" s="3" t="s">
        <v>161</v>
      </c>
      <c r="E74" s="3" t="s">
        <v>13</v>
      </c>
      <c r="F74" s="3" t="s">
        <v>14</v>
      </c>
      <c r="G74" t="str">
        <f t="shared" si="4"/>
        <v>left outer join tenant_vw_dataobjects_attr a1336 
on p.dataobject_id=a1336.dataobject_id and a1336.attr_id=1336</v>
      </c>
      <c r="H74" t="str">
        <f t="shared" si="5"/>
        <v>a1336.textvalue 'CAMPT50',</v>
      </c>
      <c r="I74" s="9" t="s">
        <v>133</v>
      </c>
    </row>
    <row r="75" spans="1:9" ht="25.2" customHeight="1" x14ac:dyDescent="0.3">
      <c r="A75" t="str">
        <f t="shared" si="3"/>
        <v>CAMPT51</v>
      </c>
      <c r="B75" s="4" t="s">
        <v>162</v>
      </c>
      <c r="C75" s="5" t="s">
        <v>17</v>
      </c>
      <c r="D75" s="5" t="s">
        <v>163</v>
      </c>
      <c r="E75" s="5" t="s">
        <v>13</v>
      </c>
      <c r="F75" s="5" t="s">
        <v>14</v>
      </c>
      <c r="G75" t="str">
        <f t="shared" si="4"/>
        <v>left outer join tenant_vw_dataobjects_attr a1337 
on p.dataobject_id=a1337.dataobject_id and a1337.attr_id=1337</v>
      </c>
      <c r="H75" t="str">
        <f t="shared" si="5"/>
        <v>a1337.textvalue 'CAMPT51',</v>
      </c>
      <c r="I75" s="9" t="s">
        <v>133</v>
      </c>
    </row>
    <row r="76" spans="1:9" ht="25.2" customHeight="1" x14ac:dyDescent="0.3">
      <c r="A76" t="str">
        <f t="shared" si="3"/>
        <v>CAMPT52</v>
      </c>
      <c r="B76" s="2" t="s">
        <v>164</v>
      </c>
      <c r="C76" s="3" t="s">
        <v>17</v>
      </c>
      <c r="D76" s="3" t="s">
        <v>165</v>
      </c>
      <c r="E76" s="3" t="s">
        <v>13</v>
      </c>
      <c r="F76" s="3" t="s">
        <v>14</v>
      </c>
      <c r="G76" t="str">
        <f t="shared" si="4"/>
        <v>left outer join tenant_vw_dataobjects_attr a1338 
on p.dataobject_id=a1338.dataobject_id and a1338.attr_id=1338</v>
      </c>
      <c r="H76" t="str">
        <f t="shared" si="5"/>
        <v>a1338.textvalue 'CAMPT52',</v>
      </c>
      <c r="I76" s="9" t="s">
        <v>133</v>
      </c>
    </row>
    <row r="77" spans="1:9" ht="25.2" customHeight="1" x14ac:dyDescent="0.3">
      <c r="A77" t="str">
        <f t="shared" si="3"/>
        <v>CAMPT53</v>
      </c>
      <c r="B77" s="4" t="s">
        <v>166</v>
      </c>
      <c r="C77" s="5" t="s">
        <v>17</v>
      </c>
      <c r="D77" s="5" t="s">
        <v>167</v>
      </c>
      <c r="E77" s="5" t="s">
        <v>13</v>
      </c>
      <c r="F77" s="5" t="s">
        <v>14</v>
      </c>
      <c r="G77" t="str">
        <f t="shared" si="4"/>
        <v>left outer join tenant_vw_dataobjects_attr a1339 
on p.dataobject_id=a1339.dataobject_id and a1339.attr_id=1339</v>
      </c>
      <c r="H77" t="str">
        <f t="shared" si="5"/>
        <v>a1339.textvalue 'CAMPT53',</v>
      </c>
      <c r="I77" s="9" t="s">
        <v>133</v>
      </c>
    </row>
    <row r="78" spans="1:9" ht="25.2" customHeight="1" x14ac:dyDescent="0.3">
      <c r="A78" t="str">
        <f t="shared" si="3"/>
        <v>CAMPT54</v>
      </c>
      <c r="B78" s="2" t="s">
        <v>168</v>
      </c>
      <c r="C78" s="3" t="s">
        <v>17</v>
      </c>
      <c r="D78" s="3" t="s">
        <v>169</v>
      </c>
      <c r="E78" s="3" t="s">
        <v>13</v>
      </c>
      <c r="F78" s="3" t="s">
        <v>14</v>
      </c>
      <c r="G78" t="str">
        <f t="shared" si="4"/>
        <v>left outer join tenant_vw_dataobjects_attr a1340 
on p.dataobject_id=a1340.dataobject_id and a1340.attr_id=1340</v>
      </c>
      <c r="H78" t="str">
        <f t="shared" si="5"/>
        <v>a1340.textvalue 'CAMPT54',</v>
      </c>
      <c r="I78" s="9" t="s">
        <v>133</v>
      </c>
    </row>
    <row r="79" spans="1:9" ht="25.2" customHeight="1" x14ac:dyDescent="0.3">
      <c r="A79" t="str">
        <f t="shared" si="3"/>
        <v>CAMPT55</v>
      </c>
      <c r="B79" s="4" t="s">
        <v>170</v>
      </c>
      <c r="C79" s="5" t="s">
        <v>17</v>
      </c>
      <c r="D79" s="5" t="s">
        <v>171</v>
      </c>
      <c r="E79" s="5" t="s">
        <v>13</v>
      </c>
      <c r="F79" s="5" t="s">
        <v>14</v>
      </c>
      <c r="G79" t="str">
        <f t="shared" si="4"/>
        <v>left outer join tenant_vw_dataobjects_attr a1341 
on p.dataobject_id=a1341.dataobject_id and a1341.attr_id=1341</v>
      </c>
      <c r="H79" t="str">
        <f t="shared" si="5"/>
        <v>a1341.textvalue 'CAMPT55',</v>
      </c>
      <c r="I79" s="9" t="s">
        <v>172</v>
      </c>
    </row>
    <row r="80" spans="1:9" ht="25.2" customHeight="1" x14ac:dyDescent="0.3">
      <c r="A80" t="str">
        <f t="shared" si="3"/>
        <v>CAMPT56</v>
      </c>
      <c r="B80" s="2" t="s">
        <v>173</v>
      </c>
      <c r="C80" s="3" t="s">
        <v>17</v>
      </c>
      <c r="D80" s="3" t="s">
        <v>174</v>
      </c>
      <c r="E80" s="3" t="s">
        <v>13</v>
      </c>
      <c r="F80" s="3" t="s">
        <v>14</v>
      </c>
      <c r="G80" t="str">
        <f t="shared" si="4"/>
        <v>left outer join tenant_vw_dataobjects_attr a1342 
on p.dataobject_id=a1342.dataobject_id and a1342.attr_id=1342</v>
      </c>
      <c r="H80" t="str">
        <f t="shared" si="5"/>
        <v>a1342.textvalue 'CAMPT56',</v>
      </c>
      <c r="I80" s="9" t="s">
        <v>172</v>
      </c>
    </row>
    <row r="81" spans="1:9" ht="25.2" customHeight="1" x14ac:dyDescent="0.3">
      <c r="A81" t="str">
        <f t="shared" si="3"/>
        <v>CAMPT57</v>
      </c>
      <c r="B81" s="4" t="s">
        <v>175</v>
      </c>
      <c r="C81" s="5" t="s">
        <v>17</v>
      </c>
      <c r="D81" s="5" t="s">
        <v>176</v>
      </c>
      <c r="E81" s="5" t="s">
        <v>13</v>
      </c>
      <c r="F81" s="5" t="s">
        <v>14</v>
      </c>
      <c r="G81" t="str">
        <f t="shared" si="4"/>
        <v>left outer join tenant_vw_dataobjects_attr a1343 
on p.dataobject_id=a1343.dataobject_id and a1343.attr_id=1343</v>
      </c>
      <c r="H81" t="str">
        <f t="shared" si="5"/>
        <v>a1343.textvalue 'CAMPT57',</v>
      </c>
      <c r="I81" s="9" t="s">
        <v>172</v>
      </c>
    </row>
    <row r="82" spans="1:9" ht="25.2" customHeight="1" x14ac:dyDescent="0.3">
      <c r="A82" t="str">
        <f t="shared" si="3"/>
        <v>CAMPT58</v>
      </c>
      <c r="B82" s="2" t="s">
        <v>177</v>
      </c>
      <c r="C82" s="3" t="s">
        <v>17</v>
      </c>
      <c r="D82" s="3" t="s">
        <v>178</v>
      </c>
      <c r="E82" s="3" t="s">
        <v>13</v>
      </c>
      <c r="F82" s="3" t="s">
        <v>14</v>
      </c>
      <c r="G82" t="str">
        <f t="shared" si="4"/>
        <v>left outer join tenant_vw_dataobjects_attr a1344 
on p.dataobject_id=a1344.dataobject_id and a1344.attr_id=1344</v>
      </c>
      <c r="H82" t="str">
        <f t="shared" si="5"/>
        <v>a1344.textvalue 'CAMPT58',</v>
      </c>
      <c r="I82" s="9" t="s">
        <v>172</v>
      </c>
    </row>
    <row r="83" spans="1:9" ht="25.2" customHeight="1" x14ac:dyDescent="0.3">
      <c r="A83" t="str">
        <f t="shared" si="3"/>
        <v>CAMPT59</v>
      </c>
      <c r="B83" s="4" t="s">
        <v>179</v>
      </c>
      <c r="C83" s="5" t="s">
        <v>17</v>
      </c>
      <c r="D83" s="5" t="s">
        <v>180</v>
      </c>
      <c r="E83" s="5" t="s">
        <v>13</v>
      </c>
      <c r="F83" s="5" t="s">
        <v>14</v>
      </c>
      <c r="G83" t="str">
        <f t="shared" si="4"/>
        <v>left outer join tenant_vw_dataobjects_attr a1345 
on p.dataobject_id=a1345.dataobject_id and a1345.attr_id=1345</v>
      </c>
      <c r="H83" t="str">
        <f t="shared" si="5"/>
        <v>a1345.textvalue 'CAMPT59',</v>
      </c>
      <c r="I83" s="9" t="s">
        <v>172</v>
      </c>
    </row>
    <row r="84" spans="1:9" ht="25.2" customHeight="1" x14ac:dyDescent="0.3">
      <c r="A84" t="str">
        <f t="shared" si="3"/>
        <v>CAMPT60</v>
      </c>
      <c r="B84" s="4" t="s">
        <v>181</v>
      </c>
      <c r="C84" s="5" t="s">
        <v>17</v>
      </c>
      <c r="D84" s="5" t="s">
        <v>182</v>
      </c>
      <c r="E84" s="5" t="s">
        <v>13</v>
      </c>
      <c r="F84" s="5" t="s">
        <v>14</v>
      </c>
      <c r="G84" t="str">
        <f t="shared" si="4"/>
        <v>left outer join tenant_vw_dataobjects_attr a1346 
on p.dataobject_id=a1346.dataobject_id and a1346.attr_id=1346</v>
      </c>
      <c r="H84" t="str">
        <f t="shared" si="5"/>
        <v>a1346.textvalue 'CAMPT60',</v>
      </c>
      <c r="I84" s="9" t="s">
        <v>172</v>
      </c>
    </row>
    <row r="85" spans="1:9" ht="25.2" customHeight="1" x14ac:dyDescent="0.3">
      <c r="A85" t="str">
        <f t="shared" si="3"/>
        <v>CAMPT61</v>
      </c>
      <c r="B85" s="2" t="s">
        <v>183</v>
      </c>
      <c r="C85" s="3" t="s">
        <v>17</v>
      </c>
      <c r="D85" s="3" t="s">
        <v>184</v>
      </c>
      <c r="E85" s="3" t="s">
        <v>13</v>
      </c>
      <c r="F85" s="3" t="s">
        <v>14</v>
      </c>
      <c r="G85" t="str">
        <f t="shared" si="4"/>
        <v>left outer join tenant_vw_dataobjects_attr a1347 
on p.dataobject_id=a1347.dataobject_id and a1347.attr_id=1347</v>
      </c>
      <c r="H85" t="str">
        <f t="shared" si="5"/>
        <v>a1347.textvalue 'CAMPT61',</v>
      </c>
      <c r="I85" s="9" t="s">
        <v>172</v>
      </c>
    </row>
    <row r="86" spans="1:9" ht="25.2" customHeight="1" x14ac:dyDescent="0.3">
      <c r="A86" t="str">
        <f t="shared" si="3"/>
        <v>CAMPT62</v>
      </c>
      <c r="B86" s="4" t="s">
        <v>185</v>
      </c>
      <c r="C86" s="5" t="s">
        <v>17</v>
      </c>
      <c r="D86" s="5" t="s">
        <v>186</v>
      </c>
      <c r="E86" s="5" t="s">
        <v>13</v>
      </c>
      <c r="F86" s="5" t="s">
        <v>14</v>
      </c>
      <c r="G86" t="str">
        <f t="shared" si="4"/>
        <v>left outer join tenant_vw_dataobjects_attr a1348 
on p.dataobject_id=a1348.dataobject_id and a1348.attr_id=1348</v>
      </c>
      <c r="H86" t="str">
        <f t="shared" si="5"/>
        <v>a1348.textvalue 'CAMPT62',</v>
      </c>
      <c r="I86" s="9" t="s">
        <v>172</v>
      </c>
    </row>
    <row r="87" spans="1:9" ht="25.2" customHeight="1" x14ac:dyDescent="0.3">
      <c r="A87" t="str">
        <f t="shared" si="3"/>
        <v>CAMPT63</v>
      </c>
      <c r="B87" s="2" t="s">
        <v>187</v>
      </c>
      <c r="C87" s="3" t="s">
        <v>17</v>
      </c>
      <c r="D87" s="3" t="s">
        <v>188</v>
      </c>
      <c r="E87" s="3" t="s">
        <v>13</v>
      </c>
      <c r="F87" s="3" t="s">
        <v>14</v>
      </c>
      <c r="G87" t="str">
        <f t="shared" si="4"/>
        <v>left outer join tenant_vw_dataobjects_attr a1349 
on p.dataobject_id=a1349.dataobject_id and a1349.attr_id=1349</v>
      </c>
      <c r="H87" t="str">
        <f t="shared" si="5"/>
        <v>a1349.textvalue 'CAMPT63',</v>
      </c>
      <c r="I87" s="9" t="s">
        <v>172</v>
      </c>
    </row>
    <row r="88" spans="1:9" ht="25.2" customHeight="1" x14ac:dyDescent="0.3">
      <c r="A88" t="str">
        <f t="shared" si="3"/>
        <v>CAMPT64</v>
      </c>
      <c r="B88" s="4" t="s">
        <v>189</v>
      </c>
      <c r="C88" s="5" t="s">
        <v>17</v>
      </c>
      <c r="D88" s="5" t="s">
        <v>190</v>
      </c>
      <c r="E88" s="5" t="s">
        <v>13</v>
      </c>
      <c r="F88" s="5" t="s">
        <v>14</v>
      </c>
      <c r="G88" t="str">
        <f t="shared" si="4"/>
        <v>left outer join tenant_vw_dataobjects_attr a1350 
on p.dataobject_id=a1350.dataobject_id and a1350.attr_id=1350</v>
      </c>
      <c r="H88" t="str">
        <f t="shared" si="5"/>
        <v>a1350.textvalue 'CAMPT64',</v>
      </c>
      <c r="I88" s="9" t="s">
        <v>172</v>
      </c>
    </row>
    <row r="89" spans="1:9" ht="25.2" customHeight="1" x14ac:dyDescent="0.3">
      <c r="A89" t="str">
        <f t="shared" si="3"/>
        <v>CAMPT65</v>
      </c>
      <c r="B89" s="2" t="s">
        <v>191</v>
      </c>
      <c r="C89" s="3" t="s">
        <v>17</v>
      </c>
      <c r="D89" s="3" t="s">
        <v>192</v>
      </c>
      <c r="E89" s="3" t="s">
        <v>13</v>
      </c>
      <c r="F89" s="3" t="s">
        <v>14</v>
      </c>
      <c r="G89" t="str">
        <f t="shared" si="4"/>
        <v>left outer join tenant_vw_dataobjects_attr a1351 
on p.dataobject_id=a1351.dataobject_id and a1351.attr_id=1351</v>
      </c>
      <c r="H89" t="str">
        <f t="shared" si="5"/>
        <v>a1351.textvalue 'CAMPT65',</v>
      </c>
      <c r="I89" s="9" t="s">
        <v>172</v>
      </c>
    </row>
    <row r="90" spans="1:9" ht="25.2" customHeight="1" x14ac:dyDescent="0.3">
      <c r="A90" t="str">
        <f t="shared" si="3"/>
        <v>CAMPT66</v>
      </c>
      <c r="B90" s="4" t="s">
        <v>193</v>
      </c>
      <c r="C90" s="5" t="s">
        <v>17</v>
      </c>
      <c r="D90" s="5" t="s">
        <v>194</v>
      </c>
      <c r="E90" s="5" t="s">
        <v>13</v>
      </c>
      <c r="F90" s="5" t="s">
        <v>14</v>
      </c>
      <c r="G90" t="str">
        <f t="shared" si="4"/>
        <v>left outer join tenant_vw_dataobjects_attr a1352 
on p.dataobject_id=a1352.dataobject_id and a1352.attr_id=1352</v>
      </c>
      <c r="H90" t="str">
        <f t="shared" si="5"/>
        <v>a1352.textvalue 'CAMPT66',</v>
      </c>
      <c r="I90" s="9" t="s">
        <v>172</v>
      </c>
    </row>
    <row r="91" spans="1:9" ht="25.2" customHeight="1" x14ac:dyDescent="0.3">
      <c r="A91" t="str">
        <f t="shared" si="3"/>
        <v>CAMPT67</v>
      </c>
      <c r="B91" s="2" t="s">
        <v>195</v>
      </c>
      <c r="C91" s="3" t="s">
        <v>17</v>
      </c>
      <c r="D91" s="3" t="s">
        <v>196</v>
      </c>
      <c r="E91" s="3" t="s">
        <v>13</v>
      </c>
      <c r="F91" s="3" t="s">
        <v>14</v>
      </c>
      <c r="G91" t="str">
        <f t="shared" si="4"/>
        <v>left outer join tenant_vw_dataobjects_attr a1353 
on p.dataobject_id=a1353.dataobject_id and a1353.attr_id=1353</v>
      </c>
      <c r="H91" t="str">
        <f t="shared" si="5"/>
        <v>a1353.textvalue 'CAMPT67',</v>
      </c>
      <c r="I91" s="9" t="s">
        <v>172</v>
      </c>
    </row>
    <row r="92" spans="1:9" ht="25.2" customHeight="1" x14ac:dyDescent="0.3">
      <c r="A92" t="str">
        <f t="shared" si="3"/>
        <v>CAMPT68</v>
      </c>
      <c r="B92" s="4" t="s">
        <v>197</v>
      </c>
      <c r="C92" s="5" t="s">
        <v>17</v>
      </c>
      <c r="D92" s="5" t="s">
        <v>198</v>
      </c>
      <c r="E92" s="5" t="s">
        <v>13</v>
      </c>
      <c r="F92" s="5" t="s">
        <v>14</v>
      </c>
      <c r="G92" t="str">
        <f t="shared" si="4"/>
        <v>left outer join tenant_vw_dataobjects_attr a1354 
on p.dataobject_id=a1354.dataobject_id and a1354.attr_id=1354</v>
      </c>
      <c r="H92" t="str">
        <f t="shared" si="5"/>
        <v>a1354.textvalue 'CAMPT68',</v>
      </c>
      <c r="I92" s="9" t="s">
        <v>172</v>
      </c>
    </row>
    <row r="93" spans="1:9" ht="25.2" customHeight="1" x14ac:dyDescent="0.3">
      <c r="A93" t="str">
        <f t="shared" si="3"/>
        <v>CAMPT69</v>
      </c>
      <c r="B93" s="2" t="s">
        <v>199</v>
      </c>
      <c r="C93" s="3" t="s">
        <v>17</v>
      </c>
      <c r="D93" s="3" t="s">
        <v>200</v>
      </c>
      <c r="E93" s="3" t="s">
        <v>13</v>
      </c>
      <c r="F93" s="3" t="s">
        <v>14</v>
      </c>
      <c r="G93" t="str">
        <f t="shared" si="4"/>
        <v>left outer join tenant_vw_dataobjects_attr a1355 
on p.dataobject_id=a1355.dataobject_id and a1355.attr_id=1355</v>
      </c>
      <c r="H93" t="str">
        <f t="shared" si="5"/>
        <v>a1355.textvalue 'CAMPT69',</v>
      </c>
      <c r="I93" s="9" t="s">
        <v>172</v>
      </c>
    </row>
    <row r="94" spans="1:9" ht="25.2" customHeight="1" x14ac:dyDescent="0.3">
      <c r="A94" t="str">
        <f t="shared" si="3"/>
        <v>CAMPT70</v>
      </c>
      <c r="B94" s="2" t="s">
        <v>201</v>
      </c>
      <c r="C94" s="3" t="s">
        <v>17</v>
      </c>
      <c r="D94" s="3" t="s">
        <v>202</v>
      </c>
      <c r="E94" s="3" t="s">
        <v>13</v>
      </c>
      <c r="F94" s="3" t="s">
        <v>14</v>
      </c>
      <c r="G94" t="str">
        <f t="shared" si="4"/>
        <v>left outer join tenant_vw_dataobjects_attr a1356 
on p.dataobject_id=a1356.dataobject_id and a1356.attr_id=1356</v>
      </c>
      <c r="H94" t="str">
        <f t="shared" si="5"/>
        <v>a1356.textvalue 'CAMPT70',</v>
      </c>
      <c r="I94" s="9" t="s">
        <v>172</v>
      </c>
    </row>
    <row r="95" spans="1:9" ht="25.2" customHeight="1" x14ac:dyDescent="0.3">
      <c r="A95" t="str">
        <f t="shared" si="3"/>
        <v>CAMPT71</v>
      </c>
      <c r="B95" s="4" t="s">
        <v>203</v>
      </c>
      <c r="C95" s="5" t="s">
        <v>17</v>
      </c>
      <c r="D95" s="5" t="s">
        <v>204</v>
      </c>
      <c r="E95" s="5" t="s">
        <v>13</v>
      </c>
      <c r="F95" s="5" t="s">
        <v>14</v>
      </c>
      <c r="G95" t="str">
        <f t="shared" si="4"/>
        <v>left outer join tenant_vw_dataobjects_attr a1357 
on p.dataobject_id=a1357.dataobject_id and a1357.attr_id=1357</v>
      </c>
      <c r="H95" t="str">
        <f t="shared" si="5"/>
        <v>a1357.textvalue 'CAMPT71',</v>
      </c>
      <c r="I95" s="9" t="s">
        <v>172</v>
      </c>
    </row>
    <row r="96" spans="1:9" ht="25.2" customHeight="1" x14ac:dyDescent="0.3">
      <c r="A96" t="str">
        <f t="shared" si="3"/>
        <v>CAMPT72</v>
      </c>
      <c r="B96" s="2" t="s">
        <v>205</v>
      </c>
      <c r="C96" s="3" t="s">
        <v>17</v>
      </c>
      <c r="D96" s="3" t="s">
        <v>206</v>
      </c>
      <c r="E96" s="3" t="s">
        <v>13</v>
      </c>
      <c r="F96" s="3" t="s">
        <v>14</v>
      </c>
      <c r="G96" t="str">
        <f t="shared" si="4"/>
        <v>left outer join tenant_vw_dataobjects_attr a1358 
on p.dataobject_id=a1358.dataobject_id and a1358.attr_id=1358</v>
      </c>
      <c r="H96" t="str">
        <f t="shared" si="5"/>
        <v>a1358.textvalue 'CAMPT72',</v>
      </c>
      <c r="I96" s="9" t="s">
        <v>172</v>
      </c>
    </row>
    <row r="97" spans="1:9" ht="25.2" customHeight="1" x14ac:dyDescent="0.3">
      <c r="A97" t="str">
        <f t="shared" si="3"/>
        <v>CAMPT73</v>
      </c>
      <c r="B97" s="4" t="s">
        <v>207</v>
      </c>
      <c r="C97" s="5" t="s">
        <v>17</v>
      </c>
      <c r="D97" s="5" t="s">
        <v>208</v>
      </c>
      <c r="E97" s="5" t="s">
        <v>13</v>
      </c>
      <c r="F97" s="5" t="s">
        <v>14</v>
      </c>
      <c r="G97" t="str">
        <f t="shared" si="4"/>
        <v>left outer join tenant_vw_dataobjects_attr a1359 
on p.dataobject_id=a1359.dataobject_id and a1359.attr_id=1359</v>
      </c>
      <c r="H97" t="str">
        <f t="shared" si="5"/>
        <v>a1359.textvalue 'CAMPT73',</v>
      </c>
      <c r="I97" s="9" t="s">
        <v>172</v>
      </c>
    </row>
    <row r="98" spans="1:9" ht="25.2" customHeight="1" x14ac:dyDescent="0.3">
      <c r="A98" t="str">
        <f t="shared" si="3"/>
        <v>CAMPT74</v>
      </c>
      <c r="B98" s="2" t="s">
        <v>209</v>
      </c>
      <c r="C98" s="3" t="s">
        <v>17</v>
      </c>
      <c r="D98" s="3" t="s">
        <v>210</v>
      </c>
      <c r="E98" s="3" t="s">
        <v>13</v>
      </c>
      <c r="F98" s="3" t="s">
        <v>14</v>
      </c>
      <c r="G98" t="str">
        <f t="shared" si="4"/>
        <v>left outer join tenant_vw_dataobjects_attr a1360 
on p.dataobject_id=a1360.dataobject_id and a1360.attr_id=1360</v>
      </c>
      <c r="H98" t="str">
        <f t="shared" si="5"/>
        <v>a1360.textvalue 'CAMPT74',</v>
      </c>
      <c r="I98" s="9" t="s">
        <v>211</v>
      </c>
    </row>
    <row r="99" spans="1:9" ht="25.2" customHeight="1" x14ac:dyDescent="0.3">
      <c r="A99" t="str">
        <f t="shared" si="3"/>
        <v>CAMPT75</v>
      </c>
      <c r="B99" s="4" t="s">
        <v>212</v>
      </c>
      <c r="C99" s="5" t="s">
        <v>17</v>
      </c>
      <c r="D99" s="5" t="s">
        <v>213</v>
      </c>
      <c r="E99" s="5" t="s">
        <v>13</v>
      </c>
      <c r="F99" s="5" t="s">
        <v>14</v>
      </c>
      <c r="G99" t="str">
        <f t="shared" si="4"/>
        <v>left outer join tenant_vw_dataobjects_attr a1361 
on p.dataobject_id=a1361.dataobject_id and a1361.attr_id=1361</v>
      </c>
      <c r="H99" t="str">
        <f t="shared" si="5"/>
        <v>a1361.textvalue 'CAMPT75',</v>
      </c>
      <c r="I99" s="9" t="s">
        <v>211</v>
      </c>
    </row>
    <row r="100" spans="1:9" ht="25.2" customHeight="1" x14ac:dyDescent="0.3">
      <c r="A100" t="str">
        <f t="shared" si="3"/>
        <v>CAMPT76</v>
      </c>
      <c r="B100" s="2" t="s">
        <v>214</v>
      </c>
      <c r="C100" s="3" t="s">
        <v>17</v>
      </c>
      <c r="D100" s="3" t="s">
        <v>215</v>
      </c>
      <c r="E100" s="3" t="s">
        <v>13</v>
      </c>
      <c r="F100" s="3" t="s">
        <v>14</v>
      </c>
      <c r="G100" t="str">
        <f t="shared" si="4"/>
        <v>left outer join tenant_vw_dataobjects_attr a1362 
on p.dataobject_id=a1362.dataobject_id and a1362.attr_id=1362</v>
      </c>
      <c r="H100" t="str">
        <f t="shared" si="5"/>
        <v>a1362.textvalue 'CAMPT76',</v>
      </c>
      <c r="I100" s="9" t="s">
        <v>211</v>
      </c>
    </row>
    <row r="101" spans="1:9" ht="25.2" customHeight="1" x14ac:dyDescent="0.3">
      <c r="A101" t="str">
        <f t="shared" si="3"/>
        <v>CAMPT77</v>
      </c>
      <c r="B101" s="4" t="s">
        <v>216</v>
      </c>
      <c r="C101" s="5" t="s">
        <v>17</v>
      </c>
      <c r="D101" s="5" t="s">
        <v>217</v>
      </c>
      <c r="E101" s="5" t="s">
        <v>13</v>
      </c>
      <c r="F101" s="5" t="s">
        <v>14</v>
      </c>
      <c r="G101" t="str">
        <f t="shared" si="4"/>
        <v>left outer join tenant_vw_dataobjects_attr a1363 
on p.dataobject_id=a1363.dataobject_id and a1363.attr_id=1363</v>
      </c>
      <c r="H101" t="str">
        <f t="shared" si="5"/>
        <v>a1363.textvalue 'CAMPT77',</v>
      </c>
      <c r="I101" s="9" t="s">
        <v>211</v>
      </c>
    </row>
    <row r="102" spans="1:9" ht="25.2" customHeight="1" x14ac:dyDescent="0.3">
      <c r="A102" t="str">
        <f t="shared" si="3"/>
        <v>CAMPT78</v>
      </c>
      <c r="B102" s="2" t="s">
        <v>218</v>
      </c>
      <c r="C102" s="3" t="s">
        <v>17</v>
      </c>
      <c r="D102" s="3" t="s">
        <v>219</v>
      </c>
      <c r="E102" s="3" t="s">
        <v>13</v>
      </c>
      <c r="F102" s="3" t="s">
        <v>14</v>
      </c>
      <c r="G102" t="str">
        <f t="shared" si="4"/>
        <v>left outer join tenant_vw_dataobjects_attr a1364 
on p.dataobject_id=a1364.dataobject_id and a1364.attr_id=1364</v>
      </c>
      <c r="H102" t="str">
        <f t="shared" si="5"/>
        <v>a1364.textvalue 'CAMPT78',</v>
      </c>
      <c r="I102" s="9" t="s">
        <v>211</v>
      </c>
    </row>
    <row r="103" spans="1:9" ht="25.2" customHeight="1" x14ac:dyDescent="0.3">
      <c r="A103" t="str">
        <f t="shared" si="3"/>
        <v>CAMPT79</v>
      </c>
      <c r="B103" s="4" t="s">
        <v>220</v>
      </c>
      <c r="C103" s="5" t="s">
        <v>17</v>
      </c>
      <c r="D103" s="5" t="s">
        <v>221</v>
      </c>
      <c r="E103" s="5" t="s">
        <v>13</v>
      </c>
      <c r="F103" s="5" t="s">
        <v>14</v>
      </c>
      <c r="G103" t="str">
        <f t="shared" si="4"/>
        <v>left outer join tenant_vw_dataobjects_attr a1365 
on p.dataobject_id=a1365.dataobject_id and a1365.attr_id=1365</v>
      </c>
      <c r="H103" t="str">
        <f t="shared" si="5"/>
        <v>a1365.textvalue 'CAMPT79',</v>
      </c>
      <c r="I103" s="9" t="s">
        <v>211</v>
      </c>
    </row>
    <row r="104" spans="1:9" ht="25.2" customHeight="1" x14ac:dyDescent="0.3">
      <c r="A104" t="str">
        <f t="shared" si="3"/>
        <v>CAMPT80</v>
      </c>
      <c r="B104" s="4" t="s">
        <v>222</v>
      </c>
      <c r="C104" s="5" t="s">
        <v>17</v>
      </c>
      <c r="D104" s="5" t="s">
        <v>223</v>
      </c>
      <c r="E104" s="5" t="s">
        <v>13</v>
      </c>
      <c r="F104" s="5" t="s">
        <v>14</v>
      </c>
      <c r="G104" t="str">
        <f t="shared" si="4"/>
        <v>left outer join tenant_vw_dataobjects_attr a1366 
on p.dataobject_id=a1366.dataobject_id and a1366.attr_id=1366</v>
      </c>
      <c r="H104" t="str">
        <f t="shared" si="5"/>
        <v>a1366.textvalue 'CAMPT80',</v>
      </c>
      <c r="I104" s="9" t="s">
        <v>211</v>
      </c>
    </row>
    <row r="105" spans="1:9" ht="25.2" customHeight="1" x14ac:dyDescent="0.3">
      <c r="A105" t="str">
        <f t="shared" si="3"/>
        <v>CAMPT81</v>
      </c>
      <c r="B105" s="2" t="s">
        <v>224</v>
      </c>
      <c r="C105" s="3" t="s">
        <v>17</v>
      </c>
      <c r="D105" s="3" t="s">
        <v>225</v>
      </c>
      <c r="E105" s="3" t="s">
        <v>13</v>
      </c>
      <c r="F105" s="3" t="s">
        <v>14</v>
      </c>
      <c r="G105" t="str">
        <f t="shared" si="4"/>
        <v>left outer join tenant_vw_dataobjects_attr a1367 
on p.dataobject_id=a1367.dataobject_id and a1367.attr_id=1367</v>
      </c>
      <c r="H105" t="str">
        <f t="shared" si="5"/>
        <v>a1367.textvalue 'CAMPT81',</v>
      </c>
      <c r="I105" s="9" t="s">
        <v>211</v>
      </c>
    </row>
    <row r="106" spans="1:9" ht="25.2" customHeight="1" x14ac:dyDescent="0.3">
      <c r="A106" t="str">
        <f t="shared" si="3"/>
        <v>CAMPT82</v>
      </c>
      <c r="B106" s="4" t="s">
        <v>226</v>
      </c>
      <c r="C106" s="5" t="s">
        <v>17</v>
      </c>
      <c r="D106" s="5" t="s">
        <v>227</v>
      </c>
      <c r="E106" s="5" t="s">
        <v>13</v>
      </c>
      <c r="F106" s="5" t="s">
        <v>14</v>
      </c>
      <c r="G106" t="str">
        <f t="shared" si="4"/>
        <v>left outer join tenant_vw_dataobjects_attr a1368 
on p.dataobject_id=a1368.dataobject_id and a1368.attr_id=1368</v>
      </c>
      <c r="H106" t="str">
        <f t="shared" si="5"/>
        <v>a1368.textvalue 'CAMPT82',</v>
      </c>
      <c r="I106" s="9" t="s">
        <v>211</v>
      </c>
    </row>
    <row r="107" spans="1:9" ht="25.2" customHeight="1" x14ac:dyDescent="0.3">
      <c r="A107" t="str">
        <f t="shared" si="3"/>
        <v>CAMPT83</v>
      </c>
      <c r="B107" s="2" t="s">
        <v>228</v>
      </c>
      <c r="C107" s="3" t="s">
        <v>17</v>
      </c>
      <c r="D107" s="3" t="s">
        <v>229</v>
      </c>
      <c r="E107" s="3" t="s">
        <v>13</v>
      </c>
      <c r="F107" s="3" t="s">
        <v>14</v>
      </c>
      <c r="G107" t="str">
        <f t="shared" si="4"/>
        <v>left outer join tenant_vw_dataobjects_attr a1369 
on p.dataobject_id=a1369.dataobject_id and a1369.attr_id=1369</v>
      </c>
      <c r="H107" t="str">
        <f t="shared" si="5"/>
        <v>a1369.textvalue 'CAMPT83',</v>
      </c>
      <c r="I107" s="9" t="s">
        <v>211</v>
      </c>
    </row>
    <row r="108" spans="1:9" ht="25.2" customHeight="1" x14ac:dyDescent="0.3">
      <c r="A108" t="str">
        <f t="shared" si="3"/>
        <v>CAMPT84</v>
      </c>
      <c r="B108" s="4" t="s">
        <v>230</v>
      </c>
      <c r="C108" s="5" t="s">
        <v>17</v>
      </c>
      <c r="D108" s="5" t="s">
        <v>231</v>
      </c>
      <c r="E108" s="5" t="s">
        <v>13</v>
      </c>
      <c r="F108" s="5" t="s">
        <v>14</v>
      </c>
      <c r="G108" t="str">
        <f t="shared" si="4"/>
        <v>left outer join tenant_vw_dataobjects_attr a1370 
on p.dataobject_id=a1370.dataobject_id and a1370.attr_id=1370</v>
      </c>
      <c r="H108" t="str">
        <f t="shared" si="5"/>
        <v>a1370.textvalue 'CAMPT84',</v>
      </c>
      <c r="I108" s="9" t="s">
        <v>211</v>
      </c>
    </row>
    <row r="109" spans="1:9" ht="25.2" customHeight="1" x14ac:dyDescent="0.3">
      <c r="A109" t="str">
        <f t="shared" si="3"/>
        <v>CAMPT85</v>
      </c>
      <c r="B109" s="2" t="s">
        <v>232</v>
      </c>
      <c r="C109" s="3" t="s">
        <v>17</v>
      </c>
      <c r="D109" s="3" t="s">
        <v>233</v>
      </c>
      <c r="E109" s="3" t="s">
        <v>13</v>
      </c>
      <c r="F109" s="3" t="s">
        <v>14</v>
      </c>
      <c r="G109" t="str">
        <f t="shared" si="4"/>
        <v>left outer join tenant_vw_dataobjects_attr a1371 
on p.dataobject_id=a1371.dataobject_id and a1371.attr_id=1371</v>
      </c>
      <c r="H109" t="str">
        <f t="shared" si="5"/>
        <v>a1371.textvalue 'CAMPT85',</v>
      </c>
      <c r="I109" s="9" t="s">
        <v>211</v>
      </c>
    </row>
    <row r="110" spans="1:9" ht="25.2" customHeight="1" x14ac:dyDescent="0.3">
      <c r="A110" t="str">
        <f t="shared" si="3"/>
        <v>CAMPT86</v>
      </c>
      <c r="B110" s="4" t="s">
        <v>234</v>
      </c>
      <c r="C110" s="5" t="s">
        <v>17</v>
      </c>
      <c r="D110" s="5" t="s">
        <v>235</v>
      </c>
      <c r="E110" s="5" t="s">
        <v>13</v>
      </c>
      <c r="F110" s="5" t="s">
        <v>14</v>
      </c>
      <c r="G110" t="str">
        <f t="shared" si="4"/>
        <v>left outer join tenant_vw_dataobjects_attr a1372 
on p.dataobject_id=a1372.dataobject_id and a1372.attr_id=1372</v>
      </c>
      <c r="H110" t="str">
        <f t="shared" si="5"/>
        <v>a1372.textvalue 'CAMPT86',</v>
      </c>
      <c r="I110" s="9" t="s">
        <v>211</v>
      </c>
    </row>
    <row r="111" spans="1:9" ht="25.2" customHeight="1" x14ac:dyDescent="0.3">
      <c r="A111" t="str">
        <f t="shared" si="3"/>
        <v>CAMPT87</v>
      </c>
      <c r="B111" s="2" t="s">
        <v>236</v>
      </c>
      <c r="C111" s="3" t="s">
        <v>17</v>
      </c>
      <c r="D111" s="3" t="s">
        <v>237</v>
      </c>
      <c r="E111" s="3" t="s">
        <v>13</v>
      </c>
      <c r="F111" s="3" t="s">
        <v>14</v>
      </c>
      <c r="G111" t="str">
        <f t="shared" si="4"/>
        <v>left outer join tenant_vw_dataobjects_attr a1373 
on p.dataobject_id=a1373.dataobject_id and a1373.attr_id=1373</v>
      </c>
      <c r="H111" t="str">
        <f t="shared" si="5"/>
        <v>a1373.textvalue 'CAMPT87',</v>
      </c>
      <c r="I111" s="9" t="s">
        <v>211</v>
      </c>
    </row>
    <row r="112" spans="1:9" ht="25.2" customHeight="1" x14ac:dyDescent="0.3">
      <c r="A112" t="str">
        <f t="shared" si="3"/>
        <v>CAMPT88</v>
      </c>
      <c r="B112" s="4" t="s">
        <v>238</v>
      </c>
      <c r="C112" s="5" t="s">
        <v>17</v>
      </c>
      <c r="D112" s="5" t="s">
        <v>239</v>
      </c>
      <c r="E112" s="5" t="s">
        <v>13</v>
      </c>
      <c r="F112" s="5" t="s">
        <v>14</v>
      </c>
      <c r="G112" t="str">
        <f t="shared" si="4"/>
        <v>left outer join tenant_vw_dataobjects_attr a1374 
on p.dataobject_id=a1374.dataobject_id and a1374.attr_id=1374</v>
      </c>
      <c r="H112" t="str">
        <f t="shared" si="5"/>
        <v>a1374.textvalue 'CAMPT88',</v>
      </c>
      <c r="I112" s="9" t="s">
        <v>211</v>
      </c>
    </row>
    <row r="113" spans="1:9" ht="25.2" customHeight="1" x14ac:dyDescent="0.3">
      <c r="A113" t="str">
        <f t="shared" si="3"/>
        <v>CAMPT89</v>
      </c>
      <c r="B113" s="2" t="s">
        <v>240</v>
      </c>
      <c r="C113" s="3" t="s">
        <v>17</v>
      </c>
      <c r="D113" s="3" t="s">
        <v>241</v>
      </c>
      <c r="E113" s="3" t="s">
        <v>13</v>
      </c>
      <c r="F113" s="3" t="s">
        <v>14</v>
      </c>
      <c r="G113" t="str">
        <f t="shared" si="4"/>
        <v>left outer join tenant_vw_dataobjects_attr a1375 
on p.dataobject_id=a1375.dataobject_id and a1375.attr_id=1375</v>
      </c>
      <c r="H113" t="str">
        <f t="shared" si="5"/>
        <v>a1375.textvalue 'CAMPT89',</v>
      </c>
      <c r="I113" s="9" t="s">
        <v>211</v>
      </c>
    </row>
    <row r="114" spans="1:9" ht="25.2" customHeight="1" x14ac:dyDescent="0.3">
      <c r="A114" t="str">
        <f t="shared" si="3"/>
        <v>CAMPT90</v>
      </c>
      <c r="B114" s="4" t="s">
        <v>242</v>
      </c>
      <c r="C114" s="5" t="s">
        <v>17</v>
      </c>
      <c r="D114" s="5" t="s">
        <v>243</v>
      </c>
      <c r="E114" s="5" t="s">
        <v>13</v>
      </c>
      <c r="F114" s="5" t="s">
        <v>14</v>
      </c>
      <c r="G114" t="str">
        <f t="shared" si="4"/>
        <v>left outer join tenant_vw_dataobjects_attr a1376 
on p.dataobject_id=a1376.dataobject_id and a1376.attr_id=1376</v>
      </c>
      <c r="H114" t="str">
        <f t="shared" si="5"/>
        <v>a1376.textvalue 'CAMPT90',</v>
      </c>
      <c r="I114" s="9" t="s">
        <v>211</v>
      </c>
    </row>
    <row r="115" spans="1:9" ht="25.2" customHeight="1" x14ac:dyDescent="0.3">
      <c r="A115" t="str">
        <f t="shared" si="3"/>
        <v>CAMPT91</v>
      </c>
      <c r="B115" s="2" t="s">
        <v>244</v>
      </c>
      <c r="C115" s="3" t="s">
        <v>17</v>
      </c>
      <c r="D115" s="3" t="s">
        <v>245</v>
      </c>
      <c r="E115" s="3" t="s">
        <v>13</v>
      </c>
      <c r="F115" s="3" t="s">
        <v>14</v>
      </c>
      <c r="G115" t="str">
        <f t="shared" si="4"/>
        <v>left outer join tenant_vw_dataobjects_attr a1377 
on p.dataobject_id=a1377.dataobject_id and a1377.attr_id=1377</v>
      </c>
      <c r="H115" t="str">
        <f t="shared" si="5"/>
        <v>a1377.textvalue 'CAMPT91',</v>
      </c>
      <c r="I115" s="9" t="s">
        <v>211</v>
      </c>
    </row>
    <row r="116" spans="1:9" ht="25.2" customHeight="1" x14ac:dyDescent="0.3">
      <c r="A116" t="str">
        <f t="shared" si="3"/>
        <v>CAMPT92</v>
      </c>
      <c r="B116" s="4" t="s">
        <v>246</v>
      </c>
      <c r="C116" s="5" t="s">
        <v>17</v>
      </c>
      <c r="D116" s="5" t="s">
        <v>247</v>
      </c>
      <c r="E116" s="5" t="s">
        <v>13</v>
      </c>
      <c r="F116" s="5" t="s">
        <v>14</v>
      </c>
      <c r="G116" t="str">
        <f t="shared" si="4"/>
        <v>left outer join tenant_vw_dataobjects_attr a1378 
on p.dataobject_id=a1378.dataobject_id and a1378.attr_id=1378</v>
      </c>
      <c r="H116" t="str">
        <f t="shared" si="5"/>
        <v>a1378.textvalue 'CAMPT92',</v>
      </c>
      <c r="I116" s="9" t="s">
        <v>211</v>
      </c>
    </row>
    <row r="117" spans="1:9" ht="25.2" customHeight="1" x14ac:dyDescent="0.3">
      <c r="A117" t="str">
        <f t="shared" si="3"/>
        <v>CAMPT93</v>
      </c>
      <c r="B117" s="2" t="s">
        <v>248</v>
      </c>
      <c r="C117" s="3" t="s">
        <v>17</v>
      </c>
      <c r="D117" s="3" t="s">
        <v>249</v>
      </c>
      <c r="E117" s="3" t="s">
        <v>13</v>
      </c>
      <c r="F117" s="3" t="s">
        <v>14</v>
      </c>
      <c r="G117" t="str">
        <f t="shared" si="4"/>
        <v>left outer join tenant_vw_dataobjects_attr a1379 
on p.dataobject_id=a1379.dataobject_id and a1379.attr_id=1379</v>
      </c>
      <c r="H117" t="str">
        <f t="shared" si="5"/>
        <v>a1379.textvalue 'CAMPT93',</v>
      </c>
      <c r="I117" s="9" t="s">
        <v>211</v>
      </c>
    </row>
    <row r="118" spans="1:9" ht="25.2" customHeight="1" x14ac:dyDescent="0.3">
      <c r="A118" t="str">
        <f t="shared" si="3"/>
        <v>CAMPT94</v>
      </c>
      <c r="B118" s="4" t="s">
        <v>250</v>
      </c>
      <c r="C118" s="5" t="s">
        <v>17</v>
      </c>
      <c r="D118" s="5" t="s">
        <v>251</v>
      </c>
      <c r="E118" s="5" t="s">
        <v>13</v>
      </c>
      <c r="F118" s="5" t="s">
        <v>14</v>
      </c>
      <c r="G118" t="str">
        <f t="shared" si="4"/>
        <v>left outer join tenant_vw_dataobjects_attr a1380 
on p.dataobject_id=a1380.dataobject_id and a1380.attr_id=1380</v>
      </c>
      <c r="H118" t="str">
        <f t="shared" si="5"/>
        <v>a1380.textvalue 'CAMPT94',</v>
      </c>
      <c r="I118" s="9" t="s">
        <v>211</v>
      </c>
    </row>
    <row r="119" spans="1:9" ht="25.2" customHeight="1" x14ac:dyDescent="0.3">
      <c r="A119" t="str">
        <f t="shared" si="3"/>
        <v>CAMPT95</v>
      </c>
      <c r="B119" s="2" t="s">
        <v>252</v>
      </c>
      <c r="C119" s="3" t="s">
        <v>17</v>
      </c>
      <c r="D119" s="3" t="s">
        <v>253</v>
      </c>
      <c r="E119" s="3" t="s">
        <v>13</v>
      </c>
      <c r="F119" s="3" t="s">
        <v>14</v>
      </c>
      <c r="G119" t="str">
        <f t="shared" si="4"/>
        <v>left outer join tenant_vw_dataobjects_attr a1381 
on p.dataobject_id=a1381.dataobject_id and a1381.attr_id=1381</v>
      </c>
      <c r="H119" t="str">
        <f t="shared" si="5"/>
        <v>a1381.textvalue 'CAMPT95',</v>
      </c>
      <c r="I119" s="9" t="s">
        <v>211</v>
      </c>
    </row>
    <row r="120" spans="1:9" ht="25.2" customHeight="1" x14ac:dyDescent="0.3">
      <c r="A120" t="str">
        <f t="shared" si="3"/>
        <v>CAMPT96</v>
      </c>
      <c r="B120" s="4" t="s">
        <v>254</v>
      </c>
      <c r="C120" s="5" t="s">
        <v>17</v>
      </c>
      <c r="D120" s="5" t="s">
        <v>255</v>
      </c>
      <c r="E120" s="5" t="s">
        <v>13</v>
      </c>
      <c r="F120" s="5" t="s">
        <v>14</v>
      </c>
      <c r="G120" t="str">
        <f t="shared" si="4"/>
        <v>left outer join tenant_vw_dataobjects_attr a1382 
on p.dataobject_id=a1382.dataobject_id and a1382.attr_id=1382</v>
      </c>
      <c r="H120" t="str">
        <f t="shared" si="5"/>
        <v>a1382.textvalue 'CAMPT96',</v>
      </c>
      <c r="I120" s="9" t="s">
        <v>211</v>
      </c>
    </row>
    <row r="121" spans="1:9" ht="25.2" customHeight="1" x14ac:dyDescent="0.3">
      <c r="A121" t="str">
        <f t="shared" si="3"/>
        <v>CAMPT97</v>
      </c>
      <c r="B121" s="2" t="s">
        <v>256</v>
      </c>
      <c r="C121" s="3" t="s">
        <v>17</v>
      </c>
      <c r="D121" s="3" t="s">
        <v>257</v>
      </c>
      <c r="E121" s="3" t="s">
        <v>13</v>
      </c>
      <c r="F121" s="3" t="s">
        <v>14</v>
      </c>
      <c r="G121" t="str">
        <f t="shared" si="4"/>
        <v>left outer join tenant_vw_dataobjects_attr a1383 
on p.dataobject_id=a1383.dataobject_id and a1383.attr_id=1383</v>
      </c>
      <c r="H121" t="str">
        <f t="shared" si="5"/>
        <v>a1383.textvalue 'CAMPT97',</v>
      </c>
      <c r="I121" s="9" t="s">
        <v>211</v>
      </c>
    </row>
    <row r="122" spans="1:9" ht="25.2" customHeight="1" x14ac:dyDescent="0.3">
      <c r="A122" t="str">
        <f t="shared" si="3"/>
        <v>CAMPT98</v>
      </c>
      <c r="B122" s="4" t="s">
        <v>258</v>
      </c>
      <c r="C122" s="5" t="s">
        <v>17</v>
      </c>
      <c r="D122" s="5" t="s">
        <v>259</v>
      </c>
      <c r="E122" s="5" t="s">
        <v>13</v>
      </c>
      <c r="F122" s="5" t="s">
        <v>14</v>
      </c>
      <c r="G122" t="str">
        <f t="shared" si="4"/>
        <v>left outer join tenant_vw_dataobjects_attr a1384 
on p.dataobject_id=a1384.dataobject_id and a1384.attr_id=1384</v>
      </c>
      <c r="H122" t="str">
        <f t="shared" si="5"/>
        <v>a1384.textvalue 'CAMPT98',</v>
      </c>
      <c r="I122" s="9" t="s">
        <v>211</v>
      </c>
    </row>
    <row r="123" spans="1:9" ht="25.2" customHeight="1" x14ac:dyDescent="0.3">
      <c r="A123" t="str">
        <f t="shared" si="3"/>
        <v>CAMPT99</v>
      </c>
      <c r="B123" s="2" t="s">
        <v>260</v>
      </c>
      <c r="C123" s="3" t="s">
        <v>17</v>
      </c>
      <c r="D123" s="3" t="s">
        <v>261</v>
      </c>
      <c r="E123" s="3" t="s">
        <v>13</v>
      </c>
      <c r="F123" s="3" t="s">
        <v>14</v>
      </c>
      <c r="G123" t="str">
        <f t="shared" si="4"/>
        <v>left outer join tenant_vw_dataobjects_attr a1385 
on p.dataobject_id=a1385.dataobject_id and a1385.attr_id=1385</v>
      </c>
      <c r="H123" t="str">
        <f t="shared" si="5"/>
        <v>a1385.textvalue 'CAMPT99',</v>
      </c>
      <c r="I123" s="9" t="s">
        <v>211</v>
      </c>
    </row>
  </sheetData>
  <autoFilter ref="A2:I123" xr:uid="{00000000-0009-0000-0000-000000000000}"/>
  <mergeCells count="1">
    <mergeCell ref="B1:F1"/>
  </mergeCells>
  <pageMargins left="0.5" right="0.5" top="0.5" bottom="0.8" header="0.5" footer="0.5"/>
  <pageSetup paperSize="9" orientation="portrait" r:id="rId1"/>
  <ignoredErrors>
    <ignoredError sqref="B1:F2 B3:F29 B30:F32 B33:F43 B44:F63 B64:F73 B74:F83 B84:F93 B94:F103 B104:F1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3"/>
  <sheetViews>
    <sheetView showGridLines="0" topLeftCell="A49" workbookViewId="0">
      <selection activeCell="B4" sqref="B4"/>
    </sheetView>
  </sheetViews>
  <sheetFormatPr defaultRowHeight="15.6" x14ac:dyDescent="0.3"/>
  <cols>
    <col min="1" max="11" width="16.69921875" customWidth="1"/>
  </cols>
  <sheetData>
    <row r="1" spans="1:19" ht="71.7" customHeight="1" x14ac:dyDescent="0.3">
      <c r="A1" s="32" t="s">
        <v>262</v>
      </c>
      <c r="B1" s="33"/>
      <c r="C1" s="33"/>
      <c r="D1" s="33"/>
      <c r="E1" s="33"/>
      <c r="F1" s="33"/>
      <c r="G1" s="33"/>
      <c r="H1" s="33"/>
      <c r="I1" s="33"/>
      <c r="J1" s="33"/>
      <c r="K1" s="33"/>
      <c r="M1" s="34" t="s">
        <v>263</v>
      </c>
      <c r="N1" s="34"/>
      <c r="O1" s="34"/>
      <c r="P1" s="34"/>
      <c r="Q1" s="34"/>
      <c r="R1" s="34"/>
      <c r="S1" s="34"/>
    </row>
    <row r="2" spans="1:19" ht="25.2" customHeight="1" x14ac:dyDescent="0.3">
      <c r="A2" s="1" t="s">
        <v>264</v>
      </c>
      <c r="B2" s="1" t="s">
        <v>265</v>
      </c>
      <c r="C2" s="1" t="s">
        <v>266</v>
      </c>
      <c r="D2" s="1" t="s">
        <v>267</v>
      </c>
      <c r="E2" s="1" t="s">
        <v>268</v>
      </c>
      <c r="F2" s="1" t="s">
        <v>269</v>
      </c>
      <c r="G2" s="1" t="s">
        <v>270</v>
      </c>
      <c r="H2" s="1" t="s">
        <v>271</v>
      </c>
      <c r="I2" s="1" t="s">
        <v>272</v>
      </c>
      <c r="J2" s="1" t="s">
        <v>273</v>
      </c>
      <c r="K2" s="1" t="s">
        <v>274</v>
      </c>
    </row>
    <row r="3" spans="1:19" ht="25.2" customHeight="1" x14ac:dyDescent="0.3">
      <c r="A3" s="6">
        <v>147</v>
      </c>
      <c r="B3" s="6">
        <v>912</v>
      </c>
      <c r="C3" s="3" t="s">
        <v>10</v>
      </c>
      <c r="D3" s="3" t="s">
        <v>13</v>
      </c>
      <c r="E3" s="3" t="s">
        <v>14</v>
      </c>
      <c r="F3" s="3" t="s">
        <v>14</v>
      </c>
      <c r="G3" s="3" t="s">
        <v>13</v>
      </c>
      <c r="H3" s="3" t="s">
        <v>13</v>
      </c>
      <c r="I3" s="3" t="s">
        <v>14</v>
      </c>
      <c r="J3" s="6">
        <v>100</v>
      </c>
      <c r="K3" s="3" t="s">
        <v>10</v>
      </c>
    </row>
    <row r="4" spans="1:19" ht="25.2" customHeight="1" x14ac:dyDescent="0.3">
      <c r="A4" s="7">
        <v>147</v>
      </c>
      <c r="B4" s="7">
        <v>895</v>
      </c>
      <c r="C4" s="5" t="s">
        <v>16</v>
      </c>
      <c r="D4" s="5" t="s">
        <v>13</v>
      </c>
      <c r="E4" s="5" t="s">
        <v>14</v>
      </c>
      <c r="F4" s="5" t="s">
        <v>14</v>
      </c>
      <c r="G4" s="5" t="s">
        <v>14</v>
      </c>
      <c r="H4" s="5" t="s">
        <v>13</v>
      </c>
      <c r="I4" s="5" t="s">
        <v>14</v>
      </c>
      <c r="J4" s="7">
        <v>100</v>
      </c>
      <c r="K4" s="5" t="s">
        <v>16</v>
      </c>
    </row>
    <row r="5" spans="1:19" ht="25.2" customHeight="1" x14ac:dyDescent="0.3">
      <c r="A5" s="6">
        <v>147</v>
      </c>
      <c r="B5" s="6">
        <v>946</v>
      </c>
      <c r="C5" s="3" t="s">
        <v>19</v>
      </c>
      <c r="D5" s="3" t="s">
        <v>14</v>
      </c>
      <c r="E5" s="3" t="s">
        <v>14</v>
      </c>
      <c r="F5" s="3" t="s">
        <v>14</v>
      </c>
      <c r="G5" s="3" t="s">
        <v>13</v>
      </c>
      <c r="H5" s="3" t="s">
        <v>13</v>
      </c>
      <c r="I5" s="3" t="s">
        <v>14</v>
      </c>
      <c r="J5" s="6">
        <v>100</v>
      </c>
      <c r="K5" s="3" t="s">
        <v>19</v>
      </c>
    </row>
    <row r="6" spans="1:19" ht="25.2" customHeight="1" x14ac:dyDescent="0.3">
      <c r="A6" s="7">
        <v>147</v>
      </c>
      <c r="B6" s="7">
        <v>1272</v>
      </c>
      <c r="C6" s="5" t="s">
        <v>21</v>
      </c>
      <c r="D6" s="5" t="s">
        <v>13</v>
      </c>
      <c r="E6" s="5" t="s">
        <v>14</v>
      </c>
      <c r="F6" s="5" t="s">
        <v>14</v>
      </c>
      <c r="G6" s="5" t="s">
        <v>13</v>
      </c>
      <c r="H6" s="5" t="s">
        <v>13</v>
      </c>
      <c r="I6" s="5" t="s">
        <v>14</v>
      </c>
      <c r="J6" s="7">
        <v>100</v>
      </c>
      <c r="K6" s="5" t="s">
        <v>21</v>
      </c>
    </row>
    <row r="7" spans="1:19" ht="25.2" customHeight="1" x14ac:dyDescent="0.3">
      <c r="A7" s="6">
        <v>147</v>
      </c>
      <c r="B7" s="6">
        <v>1273</v>
      </c>
      <c r="C7" s="3" t="s">
        <v>23</v>
      </c>
      <c r="D7" s="3" t="s">
        <v>13</v>
      </c>
      <c r="E7" s="3" t="s">
        <v>14</v>
      </c>
      <c r="F7" s="3" t="s">
        <v>14</v>
      </c>
      <c r="G7" s="3" t="s">
        <v>14</v>
      </c>
      <c r="H7" s="3" t="s">
        <v>13</v>
      </c>
      <c r="I7" s="3" t="s">
        <v>14</v>
      </c>
      <c r="J7" s="6">
        <v>100</v>
      </c>
      <c r="K7" s="3" t="s">
        <v>23</v>
      </c>
    </row>
    <row r="8" spans="1:19" ht="25.2" customHeight="1" x14ac:dyDescent="0.3">
      <c r="A8" s="7">
        <v>147</v>
      </c>
      <c r="B8" s="7">
        <v>943</v>
      </c>
      <c r="C8" s="5" t="s">
        <v>25</v>
      </c>
      <c r="D8" s="5" t="s">
        <v>14</v>
      </c>
      <c r="E8" s="5" t="s">
        <v>14</v>
      </c>
      <c r="F8" s="5" t="s">
        <v>14</v>
      </c>
      <c r="G8" s="5" t="s">
        <v>13</v>
      </c>
      <c r="H8" s="5" t="s">
        <v>13</v>
      </c>
      <c r="I8" s="5" t="s">
        <v>14</v>
      </c>
      <c r="J8" s="7">
        <v>100</v>
      </c>
      <c r="K8" s="5" t="s">
        <v>25</v>
      </c>
    </row>
    <row r="9" spans="1:19" ht="25.2" customHeight="1" x14ac:dyDescent="0.3">
      <c r="A9" s="6">
        <v>147</v>
      </c>
      <c r="B9" s="6">
        <v>925</v>
      </c>
      <c r="C9" s="3" t="s">
        <v>27</v>
      </c>
      <c r="D9" s="3" t="s">
        <v>14</v>
      </c>
      <c r="E9" s="3" t="s">
        <v>14</v>
      </c>
      <c r="F9" s="3" t="s">
        <v>14</v>
      </c>
      <c r="G9" s="3" t="s">
        <v>13</v>
      </c>
      <c r="H9" s="3" t="s">
        <v>13</v>
      </c>
      <c r="I9" s="3" t="s">
        <v>14</v>
      </c>
      <c r="J9" s="6">
        <v>100</v>
      </c>
      <c r="K9" s="3" t="s">
        <v>27</v>
      </c>
    </row>
    <row r="10" spans="1:19" ht="25.2" customHeight="1" x14ac:dyDescent="0.3">
      <c r="A10" s="7">
        <v>147</v>
      </c>
      <c r="B10" s="7">
        <v>1276</v>
      </c>
      <c r="C10" s="5" t="s">
        <v>29</v>
      </c>
      <c r="D10" s="5" t="s">
        <v>13</v>
      </c>
      <c r="E10" s="5" t="s">
        <v>14</v>
      </c>
      <c r="F10" s="5" t="s">
        <v>14</v>
      </c>
      <c r="G10" s="5" t="s">
        <v>13</v>
      </c>
      <c r="H10" s="5" t="s">
        <v>13</v>
      </c>
      <c r="I10" s="5" t="s">
        <v>14</v>
      </c>
      <c r="J10" s="7">
        <v>100</v>
      </c>
      <c r="K10" s="5" t="s">
        <v>29</v>
      </c>
    </row>
    <row r="11" spans="1:19" ht="25.2" customHeight="1" x14ac:dyDescent="0.3">
      <c r="A11" s="6">
        <v>147</v>
      </c>
      <c r="B11" s="6">
        <v>1277</v>
      </c>
      <c r="C11" s="3" t="s">
        <v>32</v>
      </c>
      <c r="D11" s="3" t="s">
        <v>13</v>
      </c>
      <c r="E11" s="3" t="s">
        <v>14</v>
      </c>
      <c r="F11" s="3" t="s">
        <v>14</v>
      </c>
      <c r="G11" s="3" t="s">
        <v>14</v>
      </c>
      <c r="H11" s="3" t="s">
        <v>13</v>
      </c>
      <c r="I11" s="3" t="s">
        <v>14</v>
      </c>
      <c r="J11" s="6">
        <v>100</v>
      </c>
      <c r="K11" s="3" t="s">
        <v>32</v>
      </c>
    </row>
    <row r="12" spans="1:19" ht="25.2" customHeight="1" x14ac:dyDescent="0.3">
      <c r="A12" s="7">
        <v>147</v>
      </c>
      <c r="B12" s="7">
        <v>1278</v>
      </c>
      <c r="C12" s="5" t="s">
        <v>34</v>
      </c>
      <c r="D12" s="5" t="s">
        <v>13</v>
      </c>
      <c r="E12" s="5" t="s">
        <v>14</v>
      </c>
      <c r="F12" s="5" t="s">
        <v>14</v>
      </c>
      <c r="G12" s="5" t="s">
        <v>13</v>
      </c>
      <c r="H12" s="5" t="s">
        <v>13</v>
      </c>
      <c r="I12" s="5" t="s">
        <v>14</v>
      </c>
      <c r="J12" s="7">
        <v>100</v>
      </c>
      <c r="K12" s="5" t="s">
        <v>34</v>
      </c>
    </row>
    <row r="13" spans="1:19" ht="25.2" customHeight="1" x14ac:dyDescent="0.3">
      <c r="A13" s="6">
        <v>147</v>
      </c>
      <c r="B13" s="6">
        <v>1279</v>
      </c>
      <c r="C13" s="3" t="s">
        <v>36</v>
      </c>
      <c r="D13" s="3" t="s">
        <v>13</v>
      </c>
      <c r="E13" s="3" t="s">
        <v>14</v>
      </c>
      <c r="F13" s="3" t="s">
        <v>14</v>
      </c>
      <c r="G13" s="3" t="s">
        <v>14</v>
      </c>
      <c r="H13" s="3" t="s">
        <v>13</v>
      </c>
      <c r="I13" s="3" t="s">
        <v>14</v>
      </c>
      <c r="J13" s="6">
        <v>100</v>
      </c>
      <c r="K13" s="3" t="s">
        <v>36</v>
      </c>
    </row>
    <row r="14" spans="1:19" ht="25.2" customHeight="1" x14ac:dyDescent="0.3">
      <c r="A14" s="7">
        <v>147</v>
      </c>
      <c r="B14" s="7">
        <v>927</v>
      </c>
      <c r="C14" s="5" t="s">
        <v>38</v>
      </c>
      <c r="D14" s="5" t="s">
        <v>14</v>
      </c>
      <c r="E14" s="5" t="s">
        <v>14</v>
      </c>
      <c r="F14" s="5" t="s">
        <v>14</v>
      </c>
      <c r="G14" s="5" t="s">
        <v>13</v>
      </c>
      <c r="H14" s="5" t="s">
        <v>13</v>
      </c>
      <c r="I14" s="5" t="s">
        <v>14</v>
      </c>
      <c r="J14" s="7">
        <v>100</v>
      </c>
      <c r="K14" s="5" t="s">
        <v>38</v>
      </c>
    </row>
    <row r="15" spans="1:19" ht="25.2" customHeight="1" x14ac:dyDescent="0.3">
      <c r="A15" s="6">
        <v>147</v>
      </c>
      <c r="B15" s="6">
        <v>941</v>
      </c>
      <c r="C15" s="3" t="s">
        <v>40</v>
      </c>
      <c r="D15" s="3" t="s">
        <v>14</v>
      </c>
      <c r="E15" s="3" t="s">
        <v>14</v>
      </c>
      <c r="F15" s="3" t="s">
        <v>14</v>
      </c>
      <c r="G15" s="3" t="s">
        <v>13</v>
      </c>
      <c r="H15" s="3" t="s">
        <v>13</v>
      </c>
      <c r="I15" s="3" t="s">
        <v>14</v>
      </c>
      <c r="J15" s="6">
        <v>100</v>
      </c>
      <c r="K15" s="3" t="s">
        <v>40</v>
      </c>
    </row>
    <row r="16" spans="1:19" ht="25.2" customHeight="1" x14ac:dyDescent="0.3">
      <c r="A16" s="7">
        <v>147</v>
      </c>
      <c r="B16" s="7">
        <v>1280</v>
      </c>
      <c r="C16" s="5" t="s">
        <v>42</v>
      </c>
      <c r="D16" s="5" t="s">
        <v>13</v>
      </c>
      <c r="E16" s="5" t="s">
        <v>14</v>
      </c>
      <c r="F16" s="5" t="s">
        <v>14</v>
      </c>
      <c r="G16" s="5" t="s">
        <v>13</v>
      </c>
      <c r="H16" s="5" t="s">
        <v>13</v>
      </c>
      <c r="I16" s="5" t="s">
        <v>14</v>
      </c>
      <c r="J16" s="7">
        <v>100</v>
      </c>
      <c r="K16" s="5" t="s">
        <v>42</v>
      </c>
    </row>
    <row r="17" spans="1:11" ht="25.2" customHeight="1" x14ac:dyDescent="0.3">
      <c r="A17" s="6">
        <v>147</v>
      </c>
      <c r="B17" s="6">
        <v>1281</v>
      </c>
      <c r="C17" s="3" t="s">
        <v>44</v>
      </c>
      <c r="D17" s="3" t="s">
        <v>13</v>
      </c>
      <c r="E17" s="3" t="s">
        <v>14</v>
      </c>
      <c r="F17" s="3" t="s">
        <v>14</v>
      </c>
      <c r="G17" s="3" t="s">
        <v>14</v>
      </c>
      <c r="H17" s="3" t="s">
        <v>13</v>
      </c>
      <c r="I17" s="3" t="s">
        <v>14</v>
      </c>
      <c r="J17" s="6">
        <v>100</v>
      </c>
      <c r="K17" s="3" t="s">
        <v>44</v>
      </c>
    </row>
    <row r="18" spans="1:11" ht="25.2" customHeight="1" x14ac:dyDescent="0.3">
      <c r="A18" s="7">
        <v>147</v>
      </c>
      <c r="B18" s="7">
        <v>935</v>
      </c>
      <c r="C18" s="5" t="s">
        <v>46</v>
      </c>
      <c r="D18" s="5" t="s">
        <v>14</v>
      </c>
      <c r="E18" s="5" t="s">
        <v>14</v>
      </c>
      <c r="F18" s="5" t="s">
        <v>14</v>
      </c>
      <c r="G18" s="5" t="s">
        <v>13</v>
      </c>
      <c r="H18" s="5" t="s">
        <v>13</v>
      </c>
      <c r="I18" s="5" t="s">
        <v>14</v>
      </c>
      <c r="J18" s="7">
        <v>100</v>
      </c>
      <c r="K18" s="5" t="s">
        <v>46</v>
      </c>
    </row>
    <row r="19" spans="1:11" ht="25.2" customHeight="1" x14ac:dyDescent="0.3">
      <c r="A19" s="6">
        <v>147</v>
      </c>
      <c r="B19" s="6">
        <v>1282</v>
      </c>
      <c r="C19" s="3" t="s">
        <v>48</v>
      </c>
      <c r="D19" s="3" t="s">
        <v>13</v>
      </c>
      <c r="E19" s="3" t="s">
        <v>14</v>
      </c>
      <c r="F19" s="3" t="s">
        <v>14</v>
      </c>
      <c r="G19" s="3" t="s">
        <v>13</v>
      </c>
      <c r="H19" s="3" t="s">
        <v>13</v>
      </c>
      <c r="I19" s="3" t="s">
        <v>14</v>
      </c>
      <c r="J19" s="6">
        <v>100</v>
      </c>
      <c r="K19" s="3" t="s">
        <v>48</v>
      </c>
    </row>
    <row r="20" spans="1:11" ht="25.2" customHeight="1" x14ac:dyDescent="0.3">
      <c r="A20" s="7">
        <v>147</v>
      </c>
      <c r="B20" s="7">
        <v>1283</v>
      </c>
      <c r="C20" s="5" t="s">
        <v>50</v>
      </c>
      <c r="D20" s="5" t="s">
        <v>13</v>
      </c>
      <c r="E20" s="5" t="s">
        <v>14</v>
      </c>
      <c r="F20" s="5" t="s">
        <v>14</v>
      </c>
      <c r="G20" s="5" t="s">
        <v>14</v>
      </c>
      <c r="H20" s="5" t="s">
        <v>13</v>
      </c>
      <c r="I20" s="5" t="s">
        <v>14</v>
      </c>
      <c r="J20" s="7">
        <v>100</v>
      </c>
      <c r="K20" s="5" t="s">
        <v>50</v>
      </c>
    </row>
    <row r="21" spans="1:11" ht="25.2" customHeight="1" x14ac:dyDescent="0.3">
      <c r="A21" s="6">
        <v>147</v>
      </c>
      <c r="B21" s="6">
        <v>1284</v>
      </c>
      <c r="C21" s="3" t="s">
        <v>52</v>
      </c>
      <c r="D21" s="3" t="s">
        <v>13</v>
      </c>
      <c r="E21" s="3" t="s">
        <v>14</v>
      </c>
      <c r="F21" s="3" t="s">
        <v>14</v>
      </c>
      <c r="G21" s="3" t="s">
        <v>13</v>
      </c>
      <c r="H21" s="3" t="s">
        <v>13</v>
      </c>
      <c r="I21" s="3" t="s">
        <v>14</v>
      </c>
      <c r="J21" s="6">
        <v>100</v>
      </c>
      <c r="K21" s="3" t="s">
        <v>52</v>
      </c>
    </row>
    <row r="22" spans="1:11" ht="25.2" customHeight="1" x14ac:dyDescent="0.3">
      <c r="A22" s="7">
        <v>147</v>
      </c>
      <c r="B22" s="7">
        <v>893</v>
      </c>
      <c r="C22" s="5" t="s">
        <v>54</v>
      </c>
      <c r="D22" s="5" t="s">
        <v>14</v>
      </c>
      <c r="E22" s="5" t="s">
        <v>14</v>
      </c>
      <c r="F22" s="5" t="s">
        <v>14</v>
      </c>
      <c r="G22" s="5" t="s">
        <v>13</v>
      </c>
      <c r="H22" s="5" t="s">
        <v>13</v>
      </c>
      <c r="I22" s="5" t="s">
        <v>14</v>
      </c>
      <c r="J22" s="7">
        <v>100</v>
      </c>
      <c r="K22" s="5" t="s">
        <v>54</v>
      </c>
    </row>
    <row r="23" spans="1:11" ht="25.2" customHeight="1" x14ac:dyDescent="0.3">
      <c r="A23" s="6">
        <v>147</v>
      </c>
      <c r="B23" s="6">
        <v>1285</v>
      </c>
      <c r="C23" s="3" t="s">
        <v>56</v>
      </c>
      <c r="D23" s="3" t="s">
        <v>13</v>
      </c>
      <c r="E23" s="3" t="s">
        <v>14</v>
      </c>
      <c r="F23" s="3" t="s">
        <v>14</v>
      </c>
      <c r="G23" s="3" t="s">
        <v>14</v>
      </c>
      <c r="H23" s="3" t="s">
        <v>13</v>
      </c>
      <c r="I23" s="3" t="s">
        <v>14</v>
      </c>
      <c r="J23" s="6">
        <v>100</v>
      </c>
      <c r="K23" s="3" t="s">
        <v>56</v>
      </c>
    </row>
    <row r="24" spans="1:11" ht="25.2" customHeight="1" x14ac:dyDescent="0.3">
      <c r="A24" s="7">
        <v>147</v>
      </c>
      <c r="B24" s="7">
        <v>1286</v>
      </c>
      <c r="C24" s="5" t="s">
        <v>58</v>
      </c>
      <c r="D24" s="5" t="s">
        <v>13</v>
      </c>
      <c r="E24" s="5" t="s">
        <v>14</v>
      </c>
      <c r="F24" s="5" t="s">
        <v>14</v>
      </c>
      <c r="G24" s="5" t="s">
        <v>13</v>
      </c>
      <c r="H24" s="5" t="s">
        <v>13</v>
      </c>
      <c r="I24" s="5" t="s">
        <v>14</v>
      </c>
      <c r="J24" s="7">
        <v>100</v>
      </c>
      <c r="K24" s="5" t="s">
        <v>58</v>
      </c>
    </row>
    <row r="25" spans="1:11" ht="25.2" customHeight="1" x14ac:dyDescent="0.3">
      <c r="A25" s="6">
        <v>147</v>
      </c>
      <c r="B25" s="6">
        <v>876</v>
      </c>
      <c r="C25" s="3" t="s">
        <v>60</v>
      </c>
      <c r="D25" s="3" t="s">
        <v>14</v>
      </c>
      <c r="E25" s="3" t="s">
        <v>14</v>
      </c>
      <c r="F25" s="3" t="s">
        <v>14</v>
      </c>
      <c r="G25" s="3" t="s">
        <v>13</v>
      </c>
      <c r="H25" s="3" t="s">
        <v>13</v>
      </c>
      <c r="I25" s="3" t="s">
        <v>14</v>
      </c>
      <c r="J25" s="6">
        <v>100</v>
      </c>
      <c r="K25" s="3" t="s">
        <v>60</v>
      </c>
    </row>
    <row r="26" spans="1:11" ht="25.2" customHeight="1" x14ac:dyDescent="0.3">
      <c r="A26" s="7">
        <v>147</v>
      </c>
      <c r="B26" s="7">
        <v>1287</v>
      </c>
      <c r="C26" s="5" t="s">
        <v>62</v>
      </c>
      <c r="D26" s="5" t="s">
        <v>13</v>
      </c>
      <c r="E26" s="5" t="s">
        <v>14</v>
      </c>
      <c r="F26" s="5" t="s">
        <v>14</v>
      </c>
      <c r="G26" s="5" t="s">
        <v>14</v>
      </c>
      <c r="H26" s="5" t="s">
        <v>13</v>
      </c>
      <c r="I26" s="5" t="s">
        <v>14</v>
      </c>
      <c r="J26" s="7">
        <v>100</v>
      </c>
      <c r="K26" s="5" t="s">
        <v>62</v>
      </c>
    </row>
    <row r="27" spans="1:11" ht="25.2" customHeight="1" x14ac:dyDescent="0.3">
      <c r="A27" s="6">
        <v>147</v>
      </c>
      <c r="B27" s="6">
        <v>1288</v>
      </c>
      <c r="C27" s="3" t="s">
        <v>64</v>
      </c>
      <c r="D27" s="3" t="s">
        <v>13</v>
      </c>
      <c r="E27" s="3" t="s">
        <v>14</v>
      </c>
      <c r="F27" s="3" t="s">
        <v>14</v>
      </c>
      <c r="G27" s="3" t="s">
        <v>13</v>
      </c>
      <c r="H27" s="3" t="s">
        <v>13</v>
      </c>
      <c r="I27" s="3" t="s">
        <v>14</v>
      </c>
      <c r="J27" s="6">
        <v>100</v>
      </c>
      <c r="K27" s="3" t="s">
        <v>64</v>
      </c>
    </row>
    <row r="28" spans="1:11" ht="25.2" customHeight="1" x14ac:dyDescent="0.3">
      <c r="A28" s="7">
        <v>147</v>
      </c>
      <c r="B28" s="7">
        <v>1289</v>
      </c>
      <c r="C28" s="5" t="s">
        <v>66</v>
      </c>
      <c r="D28" s="5" t="s">
        <v>13</v>
      </c>
      <c r="E28" s="5" t="s">
        <v>14</v>
      </c>
      <c r="F28" s="5" t="s">
        <v>14</v>
      </c>
      <c r="G28" s="5" t="s">
        <v>14</v>
      </c>
      <c r="H28" s="5" t="s">
        <v>13</v>
      </c>
      <c r="I28" s="5" t="s">
        <v>14</v>
      </c>
      <c r="J28" s="7">
        <v>100</v>
      </c>
      <c r="K28" s="5" t="s">
        <v>66</v>
      </c>
    </row>
    <row r="29" spans="1:11" ht="25.2" customHeight="1" x14ac:dyDescent="0.3">
      <c r="A29" s="6">
        <v>147</v>
      </c>
      <c r="B29" s="6">
        <v>894</v>
      </c>
      <c r="C29" s="3" t="s">
        <v>68</v>
      </c>
      <c r="D29" s="3" t="s">
        <v>14</v>
      </c>
      <c r="E29" s="3" t="s">
        <v>14</v>
      </c>
      <c r="F29" s="3" t="s">
        <v>14</v>
      </c>
      <c r="G29" s="3" t="s">
        <v>13</v>
      </c>
      <c r="H29" s="3" t="s">
        <v>13</v>
      </c>
      <c r="I29" s="3" t="s">
        <v>14</v>
      </c>
      <c r="J29" s="6">
        <v>100</v>
      </c>
      <c r="K29" s="3" t="s">
        <v>68</v>
      </c>
    </row>
    <row r="30" spans="1:11" ht="25.2" customHeight="1" x14ac:dyDescent="0.3">
      <c r="A30" s="7">
        <v>147</v>
      </c>
      <c r="B30" s="7">
        <v>1291</v>
      </c>
      <c r="C30" s="5" t="s">
        <v>72</v>
      </c>
      <c r="D30" s="5" t="s">
        <v>13</v>
      </c>
      <c r="E30" s="5" t="s">
        <v>14</v>
      </c>
      <c r="F30" s="5" t="s">
        <v>14</v>
      </c>
      <c r="G30" s="5" t="s">
        <v>14</v>
      </c>
      <c r="H30" s="5" t="s">
        <v>13</v>
      </c>
      <c r="I30" s="5" t="s">
        <v>14</v>
      </c>
      <c r="J30" s="7">
        <v>100</v>
      </c>
      <c r="K30" s="5" t="s">
        <v>72</v>
      </c>
    </row>
    <row r="31" spans="1:11" ht="25.2" customHeight="1" x14ac:dyDescent="0.3">
      <c r="A31" s="6">
        <v>147</v>
      </c>
      <c r="B31" s="6">
        <v>939</v>
      </c>
      <c r="C31" s="3" t="s">
        <v>74</v>
      </c>
      <c r="D31" s="3" t="s">
        <v>14</v>
      </c>
      <c r="E31" s="3" t="s">
        <v>14</v>
      </c>
      <c r="F31" s="3" t="s">
        <v>14</v>
      </c>
      <c r="G31" s="3" t="s">
        <v>13</v>
      </c>
      <c r="H31" s="3" t="s">
        <v>13</v>
      </c>
      <c r="I31" s="3" t="s">
        <v>14</v>
      </c>
      <c r="J31" s="6">
        <v>100</v>
      </c>
      <c r="K31" s="3" t="s">
        <v>74</v>
      </c>
    </row>
    <row r="32" spans="1:11" ht="25.2" customHeight="1" x14ac:dyDescent="0.3">
      <c r="A32" s="7">
        <v>147</v>
      </c>
      <c r="B32" s="7">
        <v>1298</v>
      </c>
      <c r="C32" s="5" t="s">
        <v>76</v>
      </c>
      <c r="D32" s="5" t="s">
        <v>14</v>
      </c>
      <c r="E32" s="5" t="s">
        <v>14</v>
      </c>
      <c r="F32" s="5" t="s">
        <v>14</v>
      </c>
      <c r="G32" s="5" t="s">
        <v>13</v>
      </c>
      <c r="H32" s="5" t="s">
        <v>13</v>
      </c>
      <c r="I32" s="5" t="s">
        <v>14</v>
      </c>
      <c r="J32" s="7">
        <v>100</v>
      </c>
      <c r="K32" s="5" t="s">
        <v>76</v>
      </c>
    </row>
    <row r="33" spans="1:11" ht="25.2" customHeight="1" x14ac:dyDescent="0.3">
      <c r="A33" s="6">
        <v>147</v>
      </c>
      <c r="B33" s="6">
        <v>1292</v>
      </c>
      <c r="C33" s="3" t="s">
        <v>78</v>
      </c>
      <c r="D33" s="3" t="s">
        <v>13</v>
      </c>
      <c r="E33" s="3" t="s">
        <v>14</v>
      </c>
      <c r="F33" s="3" t="s">
        <v>14</v>
      </c>
      <c r="G33" s="3" t="s">
        <v>13</v>
      </c>
      <c r="H33" s="3" t="s">
        <v>13</v>
      </c>
      <c r="I33" s="3" t="s">
        <v>14</v>
      </c>
      <c r="J33" s="6">
        <v>100</v>
      </c>
      <c r="K33" s="3" t="s">
        <v>78</v>
      </c>
    </row>
    <row r="34" spans="1:11" ht="25.2" customHeight="1" x14ac:dyDescent="0.3">
      <c r="A34" s="7">
        <v>147</v>
      </c>
      <c r="B34" s="7">
        <v>1293</v>
      </c>
      <c r="C34" s="5" t="s">
        <v>80</v>
      </c>
      <c r="D34" s="5" t="s">
        <v>13</v>
      </c>
      <c r="E34" s="5" t="s">
        <v>14</v>
      </c>
      <c r="F34" s="5" t="s">
        <v>14</v>
      </c>
      <c r="G34" s="5" t="s">
        <v>14</v>
      </c>
      <c r="H34" s="5" t="s">
        <v>13</v>
      </c>
      <c r="I34" s="5" t="s">
        <v>14</v>
      </c>
      <c r="J34" s="7">
        <v>100</v>
      </c>
      <c r="K34" s="5" t="s">
        <v>80</v>
      </c>
    </row>
    <row r="35" spans="1:11" ht="25.2" customHeight="1" x14ac:dyDescent="0.3">
      <c r="A35" s="6">
        <v>147</v>
      </c>
      <c r="B35" s="6">
        <v>1299</v>
      </c>
      <c r="C35" s="3" t="s">
        <v>82</v>
      </c>
      <c r="D35" s="3" t="s">
        <v>14</v>
      </c>
      <c r="E35" s="3" t="s">
        <v>14</v>
      </c>
      <c r="F35" s="3" t="s">
        <v>14</v>
      </c>
      <c r="G35" s="3" t="s">
        <v>13</v>
      </c>
      <c r="H35" s="3" t="s">
        <v>13</v>
      </c>
      <c r="I35" s="3" t="s">
        <v>14</v>
      </c>
      <c r="J35" s="6">
        <v>100</v>
      </c>
      <c r="K35" s="3" t="s">
        <v>82</v>
      </c>
    </row>
    <row r="36" spans="1:11" ht="25.2" customHeight="1" x14ac:dyDescent="0.3">
      <c r="A36" s="7">
        <v>147</v>
      </c>
      <c r="B36" s="7">
        <v>1300</v>
      </c>
      <c r="C36" s="5" t="s">
        <v>84</v>
      </c>
      <c r="D36" s="5" t="s">
        <v>14</v>
      </c>
      <c r="E36" s="5" t="s">
        <v>14</v>
      </c>
      <c r="F36" s="5" t="s">
        <v>14</v>
      </c>
      <c r="G36" s="5" t="s">
        <v>13</v>
      </c>
      <c r="H36" s="5" t="s">
        <v>13</v>
      </c>
      <c r="I36" s="5" t="s">
        <v>14</v>
      </c>
      <c r="J36" s="7">
        <v>100</v>
      </c>
      <c r="K36" s="5" t="s">
        <v>84</v>
      </c>
    </row>
    <row r="37" spans="1:11" ht="25.2" customHeight="1" x14ac:dyDescent="0.3">
      <c r="A37" s="6">
        <v>147</v>
      </c>
      <c r="B37" s="6">
        <v>1301</v>
      </c>
      <c r="C37" s="3" t="s">
        <v>86</v>
      </c>
      <c r="D37" s="3" t="s">
        <v>14</v>
      </c>
      <c r="E37" s="3" t="s">
        <v>14</v>
      </c>
      <c r="F37" s="3" t="s">
        <v>14</v>
      </c>
      <c r="G37" s="3" t="s">
        <v>13</v>
      </c>
      <c r="H37" s="3" t="s">
        <v>13</v>
      </c>
      <c r="I37" s="3" t="s">
        <v>14</v>
      </c>
      <c r="J37" s="6">
        <v>100</v>
      </c>
      <c r="K37" s="3" t="s">
        <v>86</v>
      </c>
    </row>
    <row r="38" spans="1:11" ht="25.2" customHeight="1" x14ac:dyDescent="0.3">
      <c r="A38" s="7">
        <v>147</v>
      </c>
      <c r="B38" s="7">
        <v>1302</v>
      </c>
      <c r="C38" s="5" t="s">
        <v>88</v>
      </c>
      <c r="D38" s="5" t="s">
        <v>14</v>
      </c>
      <c r="E38" s="5" t="s">
        <v>14</v>
      </c>
      <c r="F38" s="5" t="s">
        <v>14</v>
      </c>
      <c r="G38" s="5" t="s">
        <v>13</v>
      </c>
      <c r="H38" s="5" t="s">
        <v>13</v>
      </c>
      <c r="I38" s="5" t="s">
        <v>14</v>
      </c>
      <c r="J38" s="7">
        <v>100</v>
      </c>
      <c r="K38" s="5" t="s">
        <v>88</v>
      </c>
    </row>
    <row r="39" spans="1:11" ht="25.2" customHeight="1" x14ac:dyDescent="0.3">
      <c r="A39" s="6">
        <v>147</v>
      </c>
      <c r="B39" s="6">
        <v>1303</v>
      </c>
      <c r="C39" s="3" t="s">
        <v>90</v>
      </c>
      <c r="D39" s="3" t="s">
        <v>14</v>
      </c>
      <c r="E39" s="3" t="s">
        <v>14</v>
      </c>
      <c r="F39" s="3" t="s">
        <v>14</v>
      </c>
      <c r="G39" s="3" t="s">
        <v>13</v>
      </c>
      <c r="H39" s="3" t="s">
        <v>13</v>
      </c>
      <c r="I39" s="3" t="s">
        <v>14</v>
      </c>
      <c r="J39" s="6">
        <v>100</v>
      </c>
      <c r="K39" s="3" t="s">
        <v>90</v>
      </c>
    </row>
    <row r="40" spans="1:11" ht="25.2" customHeight="1" x14ac:dyDescent="0.3">
      <c r="A40" s="7">
        <v>147</v>
      </c>
      <c r="B40" s="7">
        <v>1304</v>
      </c>
      <c r="C40" s="5" t="s">
        <v>92</v>
      </c>
      <c r="D40" s="5" t="s">
        <v>14</v>
      </c>
      <c r="E40" s="5" t="s">
        <v>14</v>
      </c>
      <c r="F40" s="5" t="s">
        <v>14</v>
      </c>
      <c r="G40" s="5" t="s">
        <v>13</v>
      </c>
      <c r="H40" s="5" t="s">
        <v>13</v>
      </c>
      <c r="I40" s="5" t="s">
        <v>14</v>
      </c>
      <c r="J40" s="7">
        <v>100</v>
      </c>
      <c r="K40" s="5" t="s">
        <v>92</v>
      </c>
    </row>
    <row r="41" spans="1:11" ht="25.2" customHeight="1" x14ac:dyDescent="0.3">
      <c r="A41" s="6">
        <v>147</v>
      </c>
      <c r="B41" s="6">
        <v>1305</v>
      </c>
      <c r="C41" s="3" t="s">
        <v>95</v>
      </c>
      <c r="D41" s="3" t="s">
        <v>14</v>
      </c>
      <c r="E41" s="3" t="s">
        <v>14</v>
      </c>
      <c r="F41" s="3" t="s">
        <v>14</v>
      </c>
      <c r="G41" s="3" t="s">
        <v>13</v>
      </c>
      <c r="H41" s="3" t="s">
        <v>13</v>
      </c>
      <c r="I41" s="3" t="s">
        <v>14</v>
      </c>
      <c r="J41" s="6">
        <v>100</v>
      </c>
      <c r="K41" s="3" t="s">
        <v>95</v>
      </c>
    </row>
    <row r="42" spans="1:11" ht="25.2" customHeight="1" x14ac:dyDescent="0.3">
      <c r="A42" s="7">
        <v>147</v>
      </c>
      <c r="B42" s="7">
        <v>1306</v>
      </c>
      <c r="C42" s="5" t="s">
        <v>97</v>
      </c>
      <c r="D42" s="5" t="s">
        <v>14</v>
      </c>
      <c r="E42" s="5" t="s">
        <v>14</v>
      </c>
      <c r="F42" s="5" t="s">
        <v>14</v>
      </c>
      <c r="G42" s="5" t="s">
        <v>13</v>
      </c>
      <c r="H42" s="5" t="s">
        <v>13</v>
      </c>
      <c r="I42" s="5" t="s">
        <v>14</v>
      </c>
      <c r="J42" s="7">
        <v>100</v>
      </c>
      <c r="K42" s="5" t="s">
        <v>97</v>
      </c>
    </row>
    <row r="43" spans="1:11" ht="25.2" customHeight="1" x14ac:dyDescent="0.3">
      <c r="A43" s="6">
        <v>147</v>
      </c>
      <c r="B43" s="6">
        <v>1307</v>
      </c>
      <c r="C43" s="3" t="s">
        <v>99</v>
      </c>
      <c r="D43" s="3" t="s">
        <v>14</v>
      </c>
      <c r="E43" s="3" t="s">
        <v>14</v>
      </c>
      <c r="F43" s="3" t="s">
        <v>14</v>
      </c>
      <c r="G43" s="3" t="s">
        <v>13</v>
      </c>
      <c r="H43" s="3" t="s">
        <v>13</v>
      </c>
      <c r="I43" s="3" t="s">
        <v>14</v>
      </c>
      <c r="J43" s="6">
        <v>100</v>
      </c>
      <c r="K43" s="3" t="s">
        <v>99</v>
      </c>
    </row>
    <row r="44" spans="1:11" ht="25.2" customHeight="1" x14ac:dyDescent="0.3">
      <c r="A44" s="7">
        <v>147</v>
      </c>
      <c r="B44" s="7">
        <v>1308</v>
      </c>
      <c r="C44" s="5" t="s">
        <v>101</v>
      </c>
      <c r="D44" s="5" t="s">
        <v>14</v>
      </c>
      <c r="E44" s="5" t="s">
        <v>14</v>
      </c>
      <c r="F44" s="5" t="s">
        <v>14</v>
      </c>
      <c r="G44" s="5" t="s">
        <v>13</v>
      </c>
      <c r="H44" s="5" t="s">
        <v>13</v>
      </c>
      <c r="I44" s="5" t="s">
        <v>14</v>
      </c>
      <c r="J44" s="7">
        <v>100</v>
      </c>
      <c r="K44" s="5" t="s">
        <v>101</v>
      </c>
    </row>
    <row r="45" spans="1:11" ht="25.2" customHeight="1" x14ac:dyDescent="0.3">
      <c r="A45" s="6">
        <v>147</v>
      </c>
      <c r="B45" s="6">
        <v>1310</v>
      </c>
      <c r="C45" s="3" t="s">
        <v>105</v>
      </c>
      <c r="D45" s="3" t="s">
        <v>14</v>
      </c>
      <c r="E45" s="3" t="s">
        <v>14</v>
      </c>
      <c r="F45" s="3" t="s">
        <v>14</v>
      </c>
      <c r="G45" s="3" t="s">
        <v>13</v>
      </c>
      <c r="H45" s="3" t="s">
        <v>13</v>
      </c>
      <c r="I45" s="3" t="s">
        <v>14</v>
      </c>
      <c r="J45" s="6">
        <v>100</v>
      </c>
      <c r="K45" s="3" t="s">
        <v>105</v>
      </c>
    </row>
    <row r="46" spans="1:11" ht="25.2" customHeight="1" x14ac:dyDescent="0.3">
      <c r="A46" s="7">
        <v>147</v>
      </c>
      <c r="B46" s="7">
        <v>1311</v>
      </c>
      <c r="C46" s="5" t="s">
        <v>107</v>
      </c>
      <c r="D46" s="5" t="s">
        <v>14</v>
      </c>
      <c r="E46" s="5" t="s">
        <v>14</v>
      </c>
      <c r="F46" s="5" t="s">
        <v>14</v>
      </c>
      <c r="G46" s="5" t="s">
        <v>13</v>
      </c>
      <c r="H46" s="5" t="s">
        <v>13</v>
      </c>
      <c r="I46" s="5" t="s">
        <v>14</v>
      </c>
      <c r="J46" s="7">
        <v>100</v>
      </c>
      <c r="K46" s="5" t="s">
        <v>107</v>
      </c>
    </row>
    <row r="47" spans="1:11" ht="25.2" customHeight="1" x14ac:dyDescent="0.3">
      <c r="A47" s="6">
        <v>147</v>
      </c>
      <c r="B47" s="6">
        <v>1312</v>
      </c>
      <c r="C47" s="3" t="s">
        <v>109</v>
      </c>
      <c r="D47" s="3" t="s">
        <v>14</v>
      </c>
      <c r="E47" s="3" t="s">
        <v>14</v>
      </c>
      <c r="F47" s="3" t="s">
        <v>14</v>
      </c>
      <c r="G47" s="3" t="s">
        <v>13</v>
      </c>
      <c r="H47" s="3" t="s">
        <v>13</v>
      </c>
      <c r="I47" s="3" t="s">
        <v>14</v>
      </c>
      <c r="J47" s="6">
        <v>100</v>
      </c>
      <c r="K47" s="3" t="s">
        <v>109</v>
      </c>
    </row>
    <row r="48" spans="1:11" ht="25.2" customHeight="1" x14ac:dyDescent="0.3">
      <c r="A48" s="7">
        <v>147</v>
      </c>
      <c r="B48" s="7">
        <v>897</v>
      </c>
      <c r="C48" s="5" t="s">
        <v>111</v>
      </c>
      <c r="D48" s="5" t="s">
        <v>14</v>
      </c>
      <c r="E48" s="5" t="s">
        <v>14</v>
      </c>
      <c r="F48" s="5" t="s">
        <v>14</v>
      </c>
      <c r="G48" s="5" t="s">
        <v>13</v>
      </c>
      <c r="H48" s="5" t="s">
        <v>13</v>
      </c>
      <c r="I48" s="5" t="s">
        <v>14</v>
      </c>
      <c r="J48" s="7">
        <v>100</v>
      </c>
      <c r="K48" s="5" t="s">
        <v>111</v>
      </c>
    </row>
    <row r="49" spans="1:11" ht="25.2" customHeight="1" x14ac:dyDescent="0.3">
      <c r="A49" s="6">
        <v>147</v>
      </c>
      <c r="B49" s="6">
        <v>1313</v>
      </c>
      <c r="C49" s="3" t="s">
        <v>113</v>
      </c>
      <c r="D49" s="3" t="s">
        <v>14</v>
      </c>
      <c r="E49" s="3" t="s">
        <v>14</v>
      </c>
      <c r="F49" s="3" t="s">
        <v>14</v>
      </c>
      <c r="G49" s="3" t="s">
        <v>13</v>
      </c>
      <c r="H49" s="3" t="s">
        <v>13</v>
      </c>
      <c r="I49" s="3" t="s">
        <v>14</v>
      </c>
      <c r="J49" s="6">
        <v>100</v>
      </c>
      <c r="K49" s="3" t="s">
        <v>113</v>
      </c>
    </row>
    <row r="50" spans="1:11" ht="25.2" customHeight="1" x14ac:dyDescent="0.3">
      <c r="A50" s="7">
        <v>147</v>
      </c>
      <c r="B50" s="7">
        <v>1314</v>
      </c>
      <c r="C50" s="5" t="s">
        <v>115</v>
      </c>
      <c r="D50" s="5" t="s">
        <v>14</v>
      </c>
      <c r="E50" s="5" t="s">
        <v>14</v>
      </c>
      <c r="F50" s="5" t="s">
        <v>14</v>
      </c>
      <c r="G50" s="5" t="s">
        <v>13</v>
      </c>
      <c r="H50" s="5" t="s">
        <v>13</v>
      </c>
      <c r="I50" s="5" t="s">
        <v>14</v>
      </c>
      <c r="J50" s="7">
        <v>100</v>
      </c>
      <c r="K50" s="5" t="s">
        <v>115</v>
      </c>
    </row>
    <row r="51" spans="1:11" ht="25.2" customHeight="1" x14ac:dyDescent="0.3">
      <c r="A51" s="6">
        <v>147</v>
      </c>
      <c r="B51" s="6">
        <v>1315</v>
      </c>
      <c r="C51" s="3" t="s">
        <v>117</v>
      </c>
      <c r="D51" s="3" t="s">
        <v>14</v>
      </c>
      <c r="E51" s="3" t="s">
        <v>14</v>
      </c>
      <c r="F51" s="3" t="s">
        <v>14</v>
      </c>
      <c r="G51" s="3" t="s">
        <v>13</v>
      </c>
      <c r="H51" s="3" t="s">
        <v>13</v>
      </c>
      <c r="I51" s="3" t="s">
        <v>14</v>
      </c>
      <c r="J51" s="6">
        <v>100</v>
      </c>
      <c r="K51" s="3" t="s">
        <v>117</v>
      </c>
    </row>
    <row r="52" spans="1:11" ht="25.2" customHeight="1" x14ac:dyDescent="0.3">
      <c r="A52" s="7">
        <v>147</v>
      </c>
      <c r="B52" s="7">
        <v>1316</v>
      </c>
      <c r="C52" s="5" t="s">
        <v>119</v>
      </c>
      <c r="D52" s="5" t="s">
        <v>14</v>
      </c>
      <c r="E52" s="5" t="s">
        <v>14</v>
      </c>
      <c r="F52" s="5" t="s">
        <v>14</v>
      </c>
      <c r="G52" s="5" t="s">
        <v>13</v>
      </c>
      <c r="H52" s="5" t="s">
        <v>13</v>
      </c>
      <c r="I52" s="5" t="s">
        <v>14</v>
      </c>
      <c r="J52" s="7">
        <v>100</v>
      </c>
      <c r="K52" s="5" t="s">
        <v>119</v>
      </c>
    </row>
    <row r="53" spans="1:11" ht="25.2" customHeight="1" x14ac:dyDescent="0.3">
      <c r="A53" s="6">
        <v>147</v>
      </c>
      <c r="B53" s="6">
        <v>1317</v>
      </c>
      <c r="C53" s="3" t="s">
        <v>121</v>
      </c>
      <c r="D53" s="3" t="s">
        <v>14</v>
      </c>
      <c r="E53" s="3" t="s">
        <v>14</v>
      </c>
      <c r="F53" s="3" t="s">
        <v>14</v>
      </c>
      <c r="G53" s="3" t="s">
        <v>13</v>
      </c>
      <c r="H53" s="3" t="s">
        <v>13</v>
      </c>
      <c r="I53" s="3" t="s">
        <v>14</v>
      </c>
      <c r="J53" s="6">
        <v>100</v>
      </c>
      <c r="K53" s="3" t="s">
        <v>121</v>
      </c>
    </row>
    <row r="54" spans="1:11" ht="25.2" customHeight="1" x14ac:dyDescent="0.3">
      <c r="A54" s="7">
        <v>147</v>
      </c>
      <c r="B54" s="7">
        <v>1318</v>
      </c>
      <c r="C54" s="5" t="s">
        <v>123</v>
      </c>
      <c r="D54" s="5" t="s">
        <v>14</v>
      </c>
      <c r="E54" s="5" t="s">
        <v>14</v>
      </c>
      <c r="F54" s="5" t="s">
        <v>14</v>
      </c>
      <c r="G54" s="5" t="s">
        <v>13</v>
      </c>
      <c r="H54" s="5" t="s">
        <v>13</v>
      </c>
      <c r="I54" s="5" t="s">
        <v>14</v>
      </c>
      <c r="J54" s="7">
        <v>100</v>
      </c>
      <c r="K54" s="5" t="s">
        <v>123</v>
      </c>
    </row>
    <row r="55" spans="1:11" ht="25.2" customHeight="1" x14ac:dyDescent="0.3">
      <c r="A55" s="6">
        <v>147</v>
      </c>
      <c r="B55" s="6">
        <v>1319</v>
      </c>
      <c r="C55" s="3" t="s">
        <v>125</v>
      </c>
      <c r="D55" s="3" t="s">
        <v>14</v>
      </c>
      <c r="E55" s="3" t="s">
        <v>14</v>
      </c>
      <c r="F55" s="3" t="s">
        <v>14</v>
      </c>
      <c r="G55" s="3" t="s">
        <v>13</v>
      </c>
      <c r="H55" s="3" t="s">
        <v>13</v>
      </c>
      <c r="I55" s="3" t="s">
        <v>14</v>
      </c>
      <c r="J55" s="6">
        <v>100</v>
      </c>
      <c r="K55" s="3" t="s">
        <v>125</v>
      </c>
    </row>
    <row r="56" spans="1:11" ht="25.2" customHeight="1" x14ac:dyDescent="0.3">
      <c r="A56" s="7">
        <v>147</v>
      </c>
      <c r="B56" s="7">
        <v>1320</v>
      </c>
      <c r="C56" s="5" t="s">
        <v>127</v>
      </c>
      <c r="D56" s="5" t="s">
        <v>14</v>
      </c>
      <c r="E56" s="5" t="s">
        <v>14</v>
      </c>
      <c r="F56" s="5" t="s">
        <v>14</v>
      </c>
      <c r="G56" s="5" t="s">
        <v>13</v>
      </c>
      <c r="H56" s="5" t="s">
        <v>14</v>
      </c>
      <c r="I56" s="5" t="s">
        <v>14</v>
      </c>
      <c r="J56" s="7">
        <v>100</v>
      </c>
      <c r="K56" s="5" t="s">
        <v>127</v>
      </c>
    </row>
    <row r="57" spans="1:11" ht="25.2" customHeight="1" x14ac:dyDescent="0.3">
      <c r="A57" s="6">
        <v>147</v>
      </c>
      <c r="B57" s="6">
        <v>1321</v>
      </c>
      <c r="C57" s="3" t="s">
        <v>129</v>
      </c>
      <c r="D57" s="3" t="s">
        <v>14</v>
      </c>
      <c r="E57" s="3" t="s">
        <v>14</v>
      </c>
      <c r="F57" s="3" t="s">
        <v>14</v>
      </c>
      <c r="G57" s="3" t="s">
        <v>13</v>
      </c>
      <c r="H57" s="3" t="s">
        <v>13</v>
      </c>
      <c r="I57" s="3" t="s">
        <v>14</v>
      </c>
      <c r="J57" s="6">
        <v>100</v>
      </c>
      <c r="K57" s="3" t="s">
        <v>129</v>
      </c>
    </row>
    <row r="58" spans="1:11" ht="25.2" customHeight="1" x14ac:dyDescent="0.3">
      <c r="A58" s="7">
        <v>147</v>
      </c>
      <c r="B58" s="7">
        <v>1322</v>
      </c>
      <c r="C58" s="5" t="s">
        <v>131</v>
      </c>
      <c r="D58" s="5" t="s">
        <v>14</v>
      </c>
      <c r="E58" s="5" t="s">
        <v>14</v>
      </c>
      <c r="F58" s="5" t="s">
        <v>14</v>
      </c>
      <c r="G58" s="5" t="s">
        <v>13</v>
      </c>
      <c r="H58" s="5" t="s">
        <v>13</v>
      </c>
      <c r="I58" s="5" t="s">
        <v>14</v>
      </c>
      <c r="J58" s="7">
        <v>100</v>
      </c>
      <c r="K58" s="5" t="s">
        <v>131</v>
      </c>
    </row>
    <row r="59" spans="1:11" ht="25.2" customHeight="1" x14ac:dyDescent="0.3">
      <c r="A59" s="6">
        <v>147</v>
      </c>
      <c r="B59" s="6">
        <v>1323</v>
      </c>
      <c r="C59" s="3" t="s">
        <v>134</v>
      </c>
      <c r="D59" s="3" t="s">
        <v>14</v>
      </c>
      <c r="E59" s="3" t="s">
        <v>14</v>
      </c>
      <c r="F59" s="3" t="s">
        <v>14</v>
      </c>
      <c r="G59" s="3" t="s">
        <v>13</v>
      </c>
      <c r="H59" s="3" t="s">
        <v>13</v>
      </c>
      <c r="I59" s="3" t="s">
        <v>14</v>
      </c>
      <c r="J59" s="6">
        <v>100</v>
      </c>
      <c r="K59" s="3" t="s">
        <v>134</v>
      </c>
    </row>
    <row r="60" spans="1:11" ht="25.2" customHeight="1" x14ac:dyDescent="0.3">
      <c r="A60" s="7">
        <v>147</v>
      </c>
      <c r="B60" s="7">
        <v>1324</v>
      </c>
      <c r="C60" s="5" t="s">
        <v>136</v>
      </c>
      <c r="D60" s="5" t="s">
        <v>14</v>
      </c>
      <c r="E60" s="5" t="s">
        <v>14</v>
      </c>
      <c r="F60" s="5" t="s">
        <v>14</v>
      </c>
      <c r="G60" s="5" t="s">
        <v>13</v>
      </c>
      <c r="H60" s="5" t="s">
        <v>13</v>
      </c>
      <c r="I60" s="5" t="s">
        <v>14</v>
      </c>
      <c r="J60" s="7">
        <v>100</v>
      </c>
      <c r="K60" s="5" t="s">
        <v>136</v>
      </c>
    </row>
    <row r="61" spans="1:11" ht="25.2" customHeight="1" x14ac:dyDescent="0.3">
      <c r="A61" s="6">
        <v>147</v>
      </c>
      <c r="B61" s="6">
        <v>1325</v>
      </c>
      <c r="C61" s="3" t="s">
        <v>138</v>
      </c>
      <c r="D61" s="3" t="s">
        <v>14</v>
      </c>
      <c r="E61" s="3" t="s">
        <v>14</v>
      </c>
      <c r="F61" s="3" t="s">
        <v>14</v>
      </c>
      <c r="G61" s="3" t="s">
        <v>13</v>
      </c>
      <c r="H61" s="3" t="s">
        <v>13</v>
      </c>
      <c r="I61" s="3" t="s">
        <v>14</v>
      </c>
      <c r="J61" s="6">
        <v>100</v>
      </c>
      <c r="K61" s="3" t="s">
        <v>138</v>
      </c>
    </row>
    <row r="62" spans="1:11" ht="25.2" customHeight="1" x14ac:dyDescent="0.3">
      <c r="A62" s="7">
        <v>147</v>
      </c>
      <c r="B62" s="7">
        <v>1326</v>
      </c>
      <c r="C62" s="5" t="s">
        <v>140</v>
      </c>
      <c r="D62" s="5" t="s">
        <v>14</v>
      </c>
      <c r="E62" s="5" t="s">
        <v>14</v>
      </c>
      <c r="F62" s="5" t="s">
        <v>14</v>
      </c>
      <c r="G62" s="5" t="s">
        <v>13</v>
      </c>
      <c r="H62" s="5" t="s">
        <v>13</v>
      </c>
      <c r="I62" s="5" t="s">
        <v>14</v>
      </c>
      <c r="J62" s="7">
        <v>100</v>
      </c>
      <c r="K62" s="5" t="s">
        <v>140</v>
      </c>
    </row>
    <row r="63" spans="1:11" ht="25.2" customHeight="1" x14ac:dyDescent="0.3">
      <c r="A63" s="6">
        <v>147</v>
      </c>
      <c r="B63" s="6">
        <v>1327</v>
      </c>
      <c r="C63" s="3" t="s">
        <v>142</v>
      </c>
      <c r="D63" s="3" t="s">
        <v>14</v>
      </c>
      <c r="E63" s="3" t="s">
        <v>14</v>
      </c>
      <c r="F63" s="3" t="s">
        <v>14</v>
      </c>
      <c r="G63" s="3" t="s">
        <v>13</v>
      </c>
      <c r="H63" s="3" t="s">
        <v>13</v>
      </c>
      <c r="I63" s="3" t="s">
        <v>14</v>
      </c>
      <c r="J63" s="6">
        <v>100</v>
      </c>
      <c r="K63" s="3" t="s">
        <v>142</v>
      </c>
    </row>
    <row r="64" spans="1:11" ht="25.2" customHeight="1" x14ac:dyDescent="0.3">
      <c r="A64" s="7">
        <v>147</v>
      </c>
      <c r="B64" s="7">
        <v>1328</v>
      </c>
      <c r="C64" s="5" t="s">
        <v>144</v>
      </c>
      <c r="D64" s="5" t="s">
        <v>14</v>
      </c>
      <c r="E64" s="5" t="s">
        <v>14</v>
      </c>
      <c r="F64" s="5" t="s">
        <v>14</v>
      </c>
      <c r="G64" s="5" t="s">
        <v>13</v>
      </c>
      <c r="H64" s="5" t="s">
        <v>13</v>
      </c>
      <c r="I64" s="5" t="s">
        <v>14</v>
      </c>
      <c r="J64" s="7">
        <v>100</v>
      </c>
      <c r="K64" s="5" t="s">
        <v>144</v>
      </c>
    </row>
    <row r="65" spans="1:11" ht="25.2" customHeight="1" x14ac:dyDescent="0.3">
      <c r="A65" s="6">
        <v>147</v>
      </c>
      <c r="B65" s="6">
        <v>1329</v>
      </c>
      <c r="C65" s="3" t="s">
        <v>146</v>
      </c>
      <c r="D65" s="3" t="s">
        <v>14</v>
      </c>
      <c r="E65" s="3" t="s">
        <v>14</v>
      </c>
      <c r="F65" s="3" t="s">
        <v>14</v>
      </c>
      <c r="G65" s="3" t="s">
        <v>13</v>
      </c>
      <c r="H65" s="3" t="s">
        <v>13</v>
      </c>
      <c r="I65" s="3" t="s">
        <v>14</v>
      </c>
      <c r="J65" s="6">
        <v>100</v>
      </c>
      <c r="K65" s="3" t="s">
        <v>146</v>
      </c>
    </row>
    <row r="66" spans="1:11" ht="25.2" customHeight="1" x14ac:dyDescent="0.3">
      <c r="A66" s="7">
        <v>147</v>
      </c>
      <c r="B66" s="7">
        <v>1330</v>
      </c>
      <c r="C66" s="5" t="s">
        <v>148</v>
      </c>
      <c r="D66" s="5" t="s">
        <v>14</v>
      </c>
      <c r="E66" s="5" t="s">
        <v>14</v>
      </c>
      <c r="F66" s="5" t="s">
        <v>14</v>
      </c>
      <c r="G66" s="5" t="s">
        <v>13</v>
      </c>
      <c r="H66" s="5" t="s">
        <v>13</v>
      </c>
      <c r="I66" s="5" t="s">
        <v>14</v>
      </c>
      <c r="J66" s="7">
        <v>100</v>
      </c>
      <c r="K66" s="5" t="s">
        <v>148</v>
      </c>
    </row>
    <row r="67" spans="1:11" ht="25.2" customHeight="1" x14ac:dyDescent="0.3">
      <c r="A67" s="6">
        <v>147</v>
      </c>
      <c r="B67" s="6">
        <v>1331</v>
      </c>
      <c r="C67" s="3" t="s">
        <v>150</v>
      </c>
      <c r="D67" s="3" t="s">
        <v>14</v>
      </c>
      <c r="E67" s="3" t="s">
        <v>14</v>
      </c>
      <c r="F67" s="3" t="s">
        <v>14</v>
      </c>
      <c r="G67" s="3" t="s">
        <v>13</v>
      </c>
      <c r="H67" s="3" t="s">
        <v>13</v>
      </c>
      <c r="I67" s="3" t="s">
        <v>14</v>
      </c>
      <c r="J67" s="6">
        <v>100</v>
      </c>
      <c r="K67" s="3" t="s">
        <v>150</v>
      </c>
    </row>
    <row r="68" spans="1:11" ht="25.2" customHeight="1" x14ac:dyDescent="0.3">
      <c r="A68" s="7">
        <v>147</v>
      </c>
      <c r="B68" s="7">
        <v>1332</v>
      </c>
      <c r="C68" s="5" t="s">
        <v>152</v>
      </c>
      <c r="D68" s="5" t="s">
        <v>14</v>
      </c>
      <c r="E68" s="5" t="s">
        <v>14</v>
      </c>
      <c r="F68" s="5" t="s">
        <v>14</v>
      </c>
      <c r="G68" s="5" t="s">
        <v>13</v>
      </c>
      <c r="H68" s="5" t="s">
        <v>13</v>
      </c>
      <c r="I68" s="5" t="s">
        <v>14</v>
      </c>
      <c r="J68" s="7">
        <v>100</v>
      </c>
      <c r="K68" s="5" t="s">
        <v>152</v>
      </c>
    </row>
    <row r="69" spans="1:11" ht="25.2" customHeight="1" x14ac:dyDescent="0.3">
      <c r="A69" s="6">
        <v>147</v>
      </c>
      <c r="B69" s="6">
        <v>1333</v>
      </c>
      <c r="C69" s="3" t="s">
        <v>154</v>
      </c>
      <c r="D69" s="3" t="s">
        <v>14</v>
      </c>
      <c r="E69" s="3" t="s">
        <v>14</v>
      </c>
      <c r="F69" s="3" t="s">
        <v>14</v>
      </c>
      <c r="G69" s="3" t="s">
        <v>13</v>
      </c>
      <c r="H69" s="3" t="s">
        <v>13</v>
      </c>
      <c r="I69" s="3" t="s">
        <v>14</v>
      </c>
      <c r="J69" s="6">
        <v>100</v>
      </c>
      <c r="K69" s="3" t="s">
        <v>154</v>
      </c>
    </row>
    <row r="70" spans="1:11" ht="25.2" customHeight="1" x14ac:dyDescent="0.3">
      <c r="A70" s="7">
        <v>147</v>
      </c>
      <c r="B70" s="7">
        <v>1334</v>
      </c>
      <c r="C70" s="5" t="s">
        <v>156</v>
      </c>
      <c r="D70" s="5" t="s">
        <v>14</v>
      </c>
      <c r="E70" s="5" t="s">
        <v>14</v>
      </c>
      <c r="F70" s="5" t="s">
        <v>14</v>
      </c>
      <c r="G70" s="5" t="s">
        <v>13</v>
      </c>
      <c r="H70" s="5" t="s">
        <v>13</v>
      </c>
      <c r="I70" s="5" t="s">
        <v>14</v>
      </c>
      <c r="J70" s="7">
        <v>100</v>
      </c>
      <c r="K70" s="5" t="s">
        <v>156</v>
      </c>
    </row>
    <row r="71" spans="1:11" ht="25.2" customHeight="1" x14ac:dyDescent="0.3">
      <c r="A71" s="6">
        <v>147</v>
      </c>
      <c r="B71" s="6">
        <v>1335</v>
      </c>
      <c r="C71" s="3" t="s">
        <v>158</v>
      </c>
      <c r="D71" s="3" t="s">
        <v>14</v>
      </c>
      <c r="E71" s="3" t="s">
        <v>14</v>
      </c>
      <c r="F71" s="3" t="s">
        <v>14</v>
      </c>
      <c r="G71" s="3" t="s">
        <v>13</v>
      </c>
      <c r="H71" s="3" t="s">
        <v>13</v>
      </c>
      <c r="I71" s="3" t="s">
        <v>14</v>
      </c>
      <c r="J71" s="6">
        <v>100</v>
      </c>
      <c r="K71" s="3" t="s">
        <v>158</v>
      </c>
    </row>
    <row r="72" spans="1:11" ht="25.2" customHeight="1" x14ac:dyDescent="0.3">
      <c r="A72" s="7">
        <v>147</v>
      </c>
      <c r="B72" s="7">
        <v>1336</v>
      </c>
      <c r="C72" s="5" t="s">
        <v>160</v>
      </c>
      <c r="D72" s="5" t="s">
        <v>14</v>
      </c>
      <c r="E72" s="5" t="s">
        <v>14</v>
      </c>
      <c r="F72" s="5" t="s">
        <v>14</v>
      </c>
      <c r="G72" s="5" t="s">
        <v>13</v>
      </c>
      <c r="H72" s="5" t="s">
        <v>13</v>
      </c>
      <c r="I72" s="5" t="s">
        <v>14</v>
      </c>
      <c r="J72" s="7">
        <v>100</v>
      </c>
      <c r="K72" s="5" t="s">
        <v>160</v>
      </c>
    </row>
    <row r="73" spans="1:11" ht="25.2" customHeight="1" x14ac:dyDescent="0.3">
      <c r="A73" s="6">
        <v>147</v>
      </c>
      <c r="B73" s="6">
        <v>1337</v>
      </c>
      <c r="C73" s="3" t="s">
        <v>162</v>
      </c>
      <c r="D73" s="3" t="s">
        <v>14</v>
      </c>
      <c r="E73" s="3" t="s">
        <v>14</v>
      </c>
      <c r="F73" s="3" t="s">
        <v>14</v>
      </c>
      <c r="G73" s="3" t="s">
        <v>13</v>
      </c>
      <c r="H73" s="3" t="s">
        <v>13</v>
      </c>
      <c r="I73" s="3" t="s">
        <v>14</v>
      </c>
      <c r="J73" s="6">
        <v>100</v>
      </c>
      <c r="K73" s="3" t="s">
        <v>162</v>
      </c>
    </row>
    <row r="74" spans="1:11" ht="25.2" customHeight="1" x14ac:dyDescent="0.3">
      <c r="A74" s="7">
        <v>147</v>
      </c>
      <c r="B74" s="7">
        <v>1338</v>
      </c>
      <c r="C74" s="5" t="s">
        <v>164</v>
      </c>
      <c r="D74" s="5" t="s">
        <v>14</v>
      </c>
      <c r="E74" s="5" t="s">
        <v>14</v>
      </c>
      <c r="F74" s="5" t="s">
        <v>14</v>
      </c>
      <c r="G74" s="5" t="s">
        <v>13</v>
      </c>
      <c r="H74" s="5" t="s">
        <v>13</v>
      </c>
      <c r="I74" s="5" t="s">
        <v>14</v>
      </c>
      <c r="J74" s="7">
        <v>100</v>
      </c>
      <c r="K74" s="5" t="s">
        <v>164</v>
      </c>
    </row>
    <row r="75" spans="1:11" ht="25.2" customHeight="1" x14ac:dyDescent="0.3">
      <c r="A75" s="6">
        <v>147</v>
      </c>
      <c r="B75" s="6">
        <v>1339</v>
      </c>
      <c r="C75" s="3" t="s">
        <v>166</v>
      </c>
      <c r="D75" s="3" t="s">
        <v>14</v>
      </c>
      <c r="E75" s="3" t="s">
        <v>14</v>
      </c>
      <c r="F75" s="3" t="s">
        <v>14</v>
      </c>
      <c r="G75" s="3" t="s">
        <v>13</v>
      </c>
      <c r="H75" s="3" t="s">
        <v>13</v>
      </c>
      <c r="I75" s="3" t="s">
        <v>14</v>
      </c>
      <c r="J75" s="6">
        <v>100</v>
      </c>
      <c r="K75" s="3" t="s">
        <v>166</v>
      </c>
    </row>
    <row r="76" spans="1:11" ht="25.2" customHeight="1" x14ac:dyDescent="0.3">
      <c r="A76" s="7">
        <v>147</v>
      </c>
      <c r="B76" s="7">
        <v>1340</v>
      </c>
      <c r="C76" s="5" t="s">
        <v>168</v>
      </c>
      <c r="D76" s="5" t="s">
        <v>14</v>
      </c>
      <c r="E76" s="5" t="s">
        <v>14</v>
      </c>
      <c r="F76" s="5" t="s">
        <v>14</v>
      </c>
      <c r="G76" s="5" t="s">
        <v>13</v>
      </c>
      <c r="H76" s="5" t="s">
        <v>13</v>
      </c>
      <c r="I76" s="5" t="s">
        <v>14</v>
      </c>
      <c r="J76" s="7">
        <v>100</v>
      </c>
      <c r="K76" s="5" t="s">
        <v>168</v>
      </c>
    </row>
    <row r="77" spans="1:11" ht="25.2" customHeight="1" x14ac:dyDescent="0.3">
      <c r="A77" s="6">
        <v>147</v>
      </c>
      <c r="B77" s="6">
        <v>1341</v>
      </c>
      <c r="C77" s="3" t="s">
        <v>170</v>
      </c>
      <c r="D77" s="3" t="s">
        <v>14</v>
      </c>
      <c r="E77" s="3" t="s">
        <v>14</v>
      </c>
      <c r="F77" s="3" t="s">
        <v>14</v>
      </c>
      <c r="G77" s="3" t="s">
        <v>13</v>
      </c>
      <c r="H77" s="3" t="s">
        <v>13</v>
      </c>
      <c r="I77" s="3" t="s">
        <v>14</v>
      </c>
      <c r="J77" s="6">
        <v>100</v>
      </c>
      <c r="K77" s="3" t="s">
        <v>170</v>
      </c>
    </row>
    <row r="78" spans="1:11" ht="25.2" customHeight="1" x14ac:dyDescent="0.3">
      <c r="A78" s="7">
        <v>147</v>
      </c>
      <c r="B78" s="7">
        <v>1342</v>
      </c>
      <c r="C78" s="5" t="s">
        <v>173</v>
      </c>
      <c r="D78" s="5" t="s">
        <v>14</v>
      </c>
      <c r="E78" s="5" t="s">
        <v>14</v>
      </c>
      <c r="F78" s="5" t="s">
        <v>14</v>
      </c>
      <c r="G78" s="5" t="s">
        <v>13</v>
      </c>
      <c r="H78" s="5" t="s">
        <v>13</v>
      </c>
      <c r="I78" s="5" t="s">
        <v>14</v>
      </c>
      <c r="J78" s="7">
        <v>100</v>
      </c>
      <c r="K78" s="5" t="s">
        <v>173</v>
      </c>
    </row>
    <row r="79" spans="1:11" ht="25.2" customHeight="1" x14ac:dyDescent="0.3">
      <c r="A79" s="6">
        <v>147</v>
      </c>
      <c r="B79" s="6">
        <v>1343</v>
      </c>
      <c r="C79" s="3" t="s">
        <v>175</v>
      </c>
      <c r="D79" s="3" t="s">
        <v>14</v>
      </c>
      <c r="E79" s="3" t="s">
        <v>14</v>
      </c>
      <c r="F79" s="3" t="s">
        <v>14</v>
      </c>
      <c r="G79" s="3" t="s">
        <v>13</v>
      </c>
      <c r="H79" s="3" t="s">
        <v>13</v>
      </c>
      <c r="I79" s="3" t="s">
        <v>14</v>
      </c>
      <c r="J79" s="6">
        <v>100</v>
      </c>
      <c r="K79" s="3" t="s">
        <v>175</v>
      </c>
    </row>
    <row r="80" spans="1:11" ht="25.2" customHeight="1" x14ac:dyDescent="0.3">
      <c r="A80" s="7">
        <v>147</v>
      </c>
      <c r="B80" s="7">
        <v>1344</v>
      </c>
      <c r="C80" s="5" t="s">
        <v>177</v>
      </c>
      <c r="D80" s="5" t="s">
        <v>14</v>
      </c>
      <c r="E80" s="5" t="s">
        <v>14</v>
      </c>
      <c r="F80" s="5" t="s">
        <v>14</v>
      </c>
      <c r="G80" s="5" t="s">
        <v>13</v>
      </c>
      <c r="H80" s="5" t="s">
        <v>13</v>
      </c>
      <c r="I80" s="5" t="s">
        <v>14</v>
      </c>
      <c r="J80" s="7">
        <v>100</v>
      </c>
      <c r="K80" s="5" t="s">
        <v>177</v>
      </c>
    </row>
    <row r="81" spans="1:11" ht="25.2" customHeight="1" x14ac:dyDescent="0.3">
      <c r="A81" s="6">
        <v>147</v>
      </c>
      <c r="B81" s="6">
        <v>1345</v>
      </c>
      <c r="C81" s="3" t="s">
        <v>179</v>
      </c>
      <c r="D81" s="3" t="s">
        <v>14</v>
      </c>
      <c r="E81" s="3" t="s">
        <v>14</v>
      </c>
      <c r="F81" s="3" t="s">
        <v>14</v>
      </c>
      <c r="G81" s="3" t="s">
        <v>13</v>
      </c>
      <c r="H81" s="3" t="s">
        <v>13</v>
      </c>
      <c r="I81" s="3" t="s">
        <v>14</v>
      </c>
      <c r="J81" s="6">
        <v>100</v>
      </c>
      <c r="K81" s="3" t="s">
        <v>179</v>
      </c>
    </row>
    <row r="82" spans="1:11" ht="25.2" customHeight="1" x14ac:dyDescent="0.3">
      <c r="A82" s="7">
        <v>147</v>
      </c>
      <c r="B82" s="7">
        <v>1346</v>
      </c>
      <c r="C82" s="5" t="s">
        <v>181</v>
      </c>
      <c r="D82" s="5" t="s">
        <v>14</v>
      </c>
      <c r="E82" s="5" t="s">
        <v>14</v>
      </c>
      <c r="F82" s="5" t="s">
        <v>14</v>
      </c>
      <c r="G82" s="5" t="s">
        <v>13</v>
      </c>
      <c r="H82" s="5" t="s">
        <v>13</v>
      </c>
      <c r="I82" s="5" t="s">
        <v>14</v>
      </c>
      <c r="J82" s="7">
        <v>100</v>
      </c>
      <c r="K82" s="5" t="s">
        <v>181</v>
      </c>
    </row>
    <row r="83" spans="1:11" ht="25.2" customHeight="1" x14ac:dyDescent="0.3">
      <c r="A83" s="6">
        <v>147</v>
      </c>
      <c r="B83" s="6">
        <v>1347</v>
      </c>
      <c r="C83" s="3" t="s">
        <v>183</v>
      </c>
      <c r="D83" s="3" t="s">
        <v>14</v>
      </c>
      <c r="E83" s="3" t="s">
        <v>14</v>
      </c>
      <c r="F83" s="3" t="s">
        <v>14</v>
      </c>
      <c r="G83" s="3" t="s">
        <v>13</v>
      </c>
      <c r="H83" s="3" t="s">
        <v>13</v>
      </c>
      <c r="I83" s="3" t="s">
        <v>14</v>
      </c>
      <c r="J83" s="6">
        <v>100</v>
      </c>
      <c r="K83" s="3" t="s">
        <v>183</v>
      </c>
    </row>
    <row r="84" spans="1:11" ht="25.2" customHeight="1" x14ac:dyDescent="0.3">
      <c r="A84" s="7">
        <v>147</v>
      </c>
      <c r="B84" s="7">
        <v>1348</v>
      </c>
      <c r="C84" s="5" t="s">
        <v>185</v>
      </c>
      <c r="D84" s="5" t="s">
        <v>14</v>
      </c>
      <c r="E84" s="5" t="s">
        <v>14</v>
      </c>
      <c r="F84" s="5" t="s">
        <v>14</v>
      </c>
      <c r="G84" s="5" t="s">
        <v>13</v>
      </c>
      <c r="H84" s="5" t="s">
        <v>13</v>
      </c>
      <c r="I84" s="5" t="s">
        <v>14</v>
      </c>
      <c r="J84" s="7">
        <v>100</v>
      </c>
      <c r="K84" s="5" t="s">
        <v>185</v>
      </c>
    </row>
    <row r="85" spans="1:11" ht="25.2" customHeight="1" x14ac:dyDescent="0.3">
      <c r="A85" s="6">
        <v>147</v>
      </c>
      <c r="B85" s="6">
        <v>1349</v>
      </c>
      <c r="C85" s="3" t="s">
        <v>187</v>
      </c>
      <c r="D85" s="3" t="s">
        <v>14</v>
      </c>
      <c r="E85" s="3" t="s">
        <v>14</v>
      </c>
      <c r="F85" s="3" t="s">
        <v>14</v>
      </c>
      <c r="G85" s="3" t="s">
        <v>13</v>
      </c>
      <c r="H85" s="3" t="s">
        <v>13</v>
      </c>
      <c r="I85" s="3" t="s">
        <v>14</v>
      </c>
      <c r="J85" s="6">
        <v>100</v>
      </c>
      <c r="K85" s="3" t="s">
        <v>187</v>
      </c>
    </row>
    <row r="86" spans="1:11" ht="25.2" customHeight="1" x14ac:dyDescent="0.3">
      <c r="A86" s="7">
        <v>147</v>
      </c>
      <c r="B86" s="7">
        <v>1350</v>
      </c>
      <c r="C86" s="5" t="s">
        <v>189</v>
      </c>
      <c r="D86" s="5" t="s">
        <v>14</v>
      </c>
      <c r="E86" s="5" t="s">
        <v>14</v>
      </c>
      <c r="F86" s="5" t="s">
        <v>14</v>
      </c>
      <c r="G86" s="5" t="s">
        <v>13</v>
      </c>
      <c r="H86" s="5" t="s">
        <v>13</v>
      </c>
      <c r="I86" s="5" t="s">
        <v>14</v>
      </c>
      <c r="J86" s="7">
        <v>100</v>
      </c>
      <c r="K86" s="5" t="s">
        <v>189</v>
      </c>
    </row>
    <row r="87" spans="1:11" ht="25.2" customHeight="1" x14ac:dyDescent="0.3">
      <c r="A87" s="6">
        <v>147</v>
      </c>
      <c r="B87" s="6">
        <v>1351</v>
      </c>
      <c r="C87" s="3" t="s">
        <v>191</v>
      </c>
      <c r="D87" s="3" t="s">
        <v>14</v>
      </c>
      <c r="E87" s="3" t="s">
        <v>14</v>
      </c>
      <c r="F87" s="3" t="s">
        <v>14</v>
      </c>
      <c r="G87" s="3" t="s">
        <v>13</v>
      </c>
      <c r="H87" s="3" t="s">
        <v>13</v>
      </c>
      <c r="I87" s="3" t="s">
        <v>14</v>
      </c>
      <c r="J87" s="6">
        <v>100</v>
      </c>
      <c r="K87" s="3" t="s">
        <v>191</v>
      </c>
    </row>
    <row r="88" spans="1:11" ht="25.2" customHeight="1" x14ac:dyDescent="0.3">
      <c r="A88" s="7">
        <v>147</v>
      </c>
      <c r="B88" s="7">
        <v>1352</v>
      </c>
      <c r="C88" s="5" t="s">
        <v>193</v>
      </c>
      <c r="D88" s="5" t="s">
        <v>14</v>
      </c>
      <c r="E88" s="5" t="s">
        <v>14</v>
      </c>
      <c r="F88" s="5" t="s">
        <v>14</v>
      </c>
      <c r="G88" s="5" t="s">
        <v>13</v>
      </c>
      <c r="H88" s="5" t="s">
        <v>13</v>
      </c>
      <c r="I88" s="5" t="s">
        <v>14</v>
      </c>
      <c r="J88" s="7">
        <v>100</v>
      </c>
      <c r="K88" s="5" t="s">
        <v>193</v>
      </c>
    </row>
    <row r="89" spans="1:11" ht="25.2" customHeight="1" x14ac:dyDescent="0.3">
      <c r="A89" s="6">
        <v>147</v>
      </c>
      <c r="B89" s="6">
        <v>1353</v>
      </c>
      <c r="C89" s="3" t="s">
        <v>195</v>
      </c>
      <c r="D89" s="3" t="s">
        <v>14</v>
      </c>
      <c r="E89" s="3" t="s">
        <v>14</v>
      </c>
      <c r="F89" s="3" t="s">
        <v>14</v>
      </c>
      <c r="G89" s="3" t="s">
        <v>13</v>
      </c>
      <c r="H89" s="3" t="s">
        <v>13</v>
      </c>
      <c r="I89" s="3" t="s">
        <v>14</v>
      </c>
      <c r="J89" s="6">
        <v>100</v>
      </c>
      <c r="K89" s="3" t="s">
        <v>195</v>
      </c>
    </row>
    <row r="90" spans="1:11" ht="25.2" customHeight="1" x14ac:dyDescent="0.3">
      <c r="A90" s="7">
        <v>147</v>
      </c>
      <c r="B90" s="7">
        <v>1354</v>
      </c>
      <c r="C90" s="5" t="s">
        <v>197</v>
      </c>
      <c r="D90" s="5" t="s">
        <v>14</v>
      </c>
      <c r="E90" s="5" t="s">
        <v>14</v>
      </c>
      <c r="F90" s="5" t="s">
        <v>14</v>
      </c>
      <c r="G90" s="5" t="s">
        <v>13</v>
      </c>
      <c r="H90" s="5" t="s">
        <v>13</v>
      </c>
      <c r="I90" s="5" t="s">
        <v>14</v>
      </c>
      <c r="J90" s="7">
        <v>100</v>
      </c>
      <c r="K90" s="5" t="s">
        <v>197</v>
      </c>
    </row>
    <row r="91" spans="1:11" ht="25.2" customHeight="1" x14ac:dyDescent="0.3">
      <c r="A91" s="6">
        <v>147</v>
      </c>
      <c r="B91" s="6">
        <v>1355</v>
      </c>
      <c r="C91" s="3" t="s">
        <v>199</v>
      </c>
      <c r="D91" s="3" t="s">
        <v>14</v>
      </c>
      <c r="E91" s="3" t="s">
        <v>14</v>
      </c>
      <c r="F91" s="3" t="s">
        <v>14</v>
      </c>
      <c r="G91" s="3" t="s">
        <v>13</v>
      </c>
      <c r="H91" s="3" t="s">
        <v>13</v>
      </c>
      <c r="I91" s="3" t="s">
        <v>14</v>
      </c>
      <c r="J91" s="6">
        <v>100</v>
      </c>
      <c r="K91" s="3" t="s">
        <v>199</v>
      </c>
    </row>
    <row r="92" spans="1:11" ht="25.2" customHeight="1" x14ac:dyDescent="0.3">
      <c r="A92" s="7">
        <v>147</v>
      </c>
      <c r="B92" s="7">
        <v>1356</v>
      </c>
      <c r="C92" s="5" t="s">
        <v>201</v>
      </c>
      <c r="D92" s="5" t="s">
        <v>14</v>
      </c>
      <c r="E92" s="5" t="s">
        <v>14</v>
      </c>
      <c r="F92" s="5" t="s">
        <v>14</v>
      </c>
      <c r="G92" s="5" t="s">
        <v>13</v>
      </c>
      <c r="H92" s="5" t="s">
        <v>13</v>
      </c>
      <c r="I92" s="5" t="s">
        <v>14</v>
      </c>
      <c r="J92" s="7">
        <v>100</v>
      </c>
      <c r="K92" s="5" t="s">
        <v>201</v>
      </c>
    </row>
    <row r="93" spans="1:11" ht="25.2" customHeight="1" x14ac:dyDescent="0.3">
      <c r="A93" s="6">
        <v>147</v>
      </c>
      <c r="B93" s="6">
        <v>1357</v>
      </c>
      <c r="C93" s="3" t="s">
        <v>203</v>
      </c>
      <c r="D93" s="3" t="s">
        <v>14</v>
      </c>
      <c r="E93" s="3" t="s">
        <v>14</v>
      </c>
      <c r="F93" s="3" t="s">
        <v>14</v>
      </c>
      <c r="G93" s="3" t="s">
        <v>13</v>
      </c>
      <c r="H93" s="3" t="s">
        <v>13</v>
      </c>
      <c r="I93" s="3" t="s">
        <v>14</v>
      </c>
      <c r="J93" s="6">
        <v>100</v>
      </c>
      <c r="K93" s="3" t="s">
        <v>203</v>
      </c>
    </row>
    <row r="94" spans="1:11" ht="25.2" customHeight="1" x14ac:dyDescent="0.3">
      <c r="A94" s="7">
        <v>147</v>
      </c>
      <c r="B94" s="7">
        <v>1358</v>
      </c>
      <c r="C94" s="5" t="s">
        <v>205</v>
      </c>
      <c r="D94" s="5" t="s">
        <v>14</v>
      </c>
      <c r="E94" s="5" t="s">
        <v>14</v>
      </c>
      <c r="F94" s="5" t="s">
        <v>14</v>
      </c>
      <c r="G94" s="5" t="s">
        <v>13</v>
      </c>
      <c r="H94" s="5" t="s">
        <v>13</v>
      </c>
      <c r="I94" s="5" t="s">
        <v>14</v>
      </c>
      <c r="J94" s="7">
        <v>100</v>
      </c>
      <c r="K94" s="5" t="s">
        <v>205</v>
      </c>
    </row>
    <row r="95" spans="1:11" ht="25.2" customHeight="1" x14ac:dyDescent="0.3">
      <c r="A95" s="6">
        <v>147</v>
      </c>
      <c r="B95" s="6">
        <v>1359</v>
      </c>
      <c r="C95" s="3" t="s">
        <v>207</v>
      </c>
      <c r="D95" s="3" t="s">
        <v>14</v>
      </c>
      <c r="E95" s="3" t="s">
        <v>14</v>
      </c>
      <c r="F95" s="3" t="s">
        <v>14</v>
      </c>
      <c r="G95" s="3" t="s">
        <v>13</v>
      </c>
      <c r="H95" s="3" t="s">
        <v>13</v>
      </c>
      <c r="I95" s="3" t="s">
        <v>14</v>
      </c>
      <c r="J95" s="6">
        <v>100</v>
      </c>
      <c r="K95" s="3" t="s">
        <v>207</v>
      </c>
    </row>
    <row r="96" spans="1:11" ht="25.2" customHeight="1" x14ac:dyDescent="0.3">
      <c r="A96" s="7">
        <v>147</v>
      </c>
      <c r="B96" s="7">
        <v>1360</v>
      </c>
      <c r="C96" s="5" t="s">
        <v>209</v>
      </c>
      <c r="D96" s="5" t="s">
        <v>14</v>
      </c>
      <c r="E96" s="5" t="s">
        <v>14</v>
      </c>
      <c r="F96" s="5" t="s">
        <v>14</v>
      </c>
      <c r="G96" s="5" t="s">
        <v>13</v>
      </c>
      <c r="H96" s="5" t="s">
        <v>13</v>
      </c>
      <c r="I96" s="5" t="s">
        <v>14</v>
      </c>
      <c r="J96" s="7">
        <v>100</v>
      </c>
      <c r="K96" s="5" t="s">
        <v>209</v>
      </c>
    </row>
    <row r="97" spans="1:11" ht="25.2" customHeight="1" x14ac:dyDescent="0.3">
      <c r="A97" s="6">
        <v>147</v>
      </c>
      <c r="B97" s="6">
        <v>1361</v>
      </c>
      <c r="C97" s="3" t="s">
        <v>212</v>
      </c>
      <c r="D97" s="3" t="s">
        <v>14</v>
      </c>
      <c r="E97" s="3" t="s">
        <v>14</v>
      </c>
      <c r="F97" s="3" t="s">
        <v>14</v>
      </c>
      <c r="G97" s="3" t="s">
        <v>13</v>
      </c>
      <c r="H97" s="3" t="s">
        <v>13</v>
      </c>
      <c r="I97" s="3" t="s">
        <v>14</v>
      </c>
      <c r="J97" s="6">
        <v>100</v>
      </c>
      <c r="K97" s="3" t="s">
        <v>212</v>
      </c>
    </row>
    <row r="98" spans="1:11" ht="25.2" customHeight="1" x14ac:dyDescent="0.3">
      <c r="A98" s="7">
        <v>147</v>
      </c>
      <c r="B98" s="7">
        <v>1362</v>
      </c>
      <c r="C98" s="5" t="s">
        <v>214</v>
      </c>
      <c r="D98" s="5" t="s">
        <v>14</v>
      </c>
      <c r="E98" s="5" t="s">
        <v>14</v>
      </c>
      <c r="F98" s="5" t="s">
        <v>14</v>
      </c>
      <c r="G98" s="5" t="s">
        <v>13</v>
      </c>
      <c r="H98" s="5" t="s">
        <v>13</v>
      </c>
      <c r="I98" s="5" t="s">
        <v>14</v>
      </c>
      <c r="J98" s="7">
        <v>100</v>
      </c>
      <c r="K98" s="5" t="s">
        <v>214</v>
      </c>
    </row>
    <row r="99" spans="1:11" ht="25.2" customHeight="1" x14ac:dyDescent="0.3">
      <c r="A99" s="6">
        <v>147</v>
      </c>
      <c r="B99" s="6">
        <v>1363</v>
      </c>
      <c r="C99" s="3" t="s">
        <v>216</v>
      </c>
      <c r="D99" s="3" t="s">
        <v>14</v>
      </c>
      <c r="E99" s="3" t="s">
        <v>14</v>
      </c>
      <c r="F99" s="3" t="s">
        <v>14</v>
      </c>
      <c r="G99" s="3" t="s">
        <v>13</v>
      </c>
      <c r="H99" s="3" t="s">
        <v>13</v>
      </c>
      <c r="I99" s="3" t="s">
        <v>14</v>
      </c>
      <c r="J99" s="6">
        <v>100</v>
      </c>
      <c r="K99" s="3" t="s">
        <v>216</v>
      </c>
    </row>
    <row r="100" spans="1:11" ht="25.2" customHeight="1" x14ac:dyDescent="0.3">
      <c r="A100" s="7">
        <v>147</v>
      </c>
      <c r="B100" s="7">
        <v>1364</v>
      </c>
      <c r="C100" s="5" t="s">
        <v>218</v>
      </c>
      <c r="D100" s="5" t="s">
        <v>14</v>
      </c>
      <c r="E100" s="5" t="s">
        <v>14</v>
      </c>
      <c r="F100" s="5" t="s">
        <v>14</v>
      </c>
      <c r="G100" s="5" t="s">
        <v>13</v>
      </c>
      <c r="H100" s="5" t="s">
        <v>13</v>
      </c>
      <c r="I100" s="5" t="s">
        <v>14</v>
      </c>
      <c r="J100" s="7">
        <v>100</v>
      </c>
      <c r="K100" s="5" t="s">
        <v>218</v>
      </c>
    </row>
    <row r="101" spans="1:11" ht="25.2" customHeight="1" x14ac:dyDescent="0.3">
      <c r="A101" s="6">
        <v>147</v>
      </c>
      <c r="B101" s="6">
        <v>1365</v>
      </c>
      <c r="C101" s="3" t="s">
        <v>220</v>
      </c>
      <c r="D101" s="3" t="s">
        <v>14</v>
      </c>
      <c r="E101" s="3" t="s">
        <v>14</v>
      </c>
      <c r="F101" s="3" t="s">
        <v>14</v>
      </c>
      <c r="G101" s="3" t="s">
        <v>13</v>
      </c>
      <c r="H101" s="3" t="s">
        <v>13</v>
      </c>
      <c r="I101" s="3" t="s">
        <v>14</v>
      </c>
      <c r="J101" s="6">
        <v>100</v>
      </c>
      <c r="K101" s="3" t="s">
        <v>220</v>
      </c>
    </row>
    <row r="102" spans="1:11" ht="25.2" customHeight="1" x14ac:dyDescent="0.3">
      <c r="A102" s="7">
        <v>147</v>
      </c>
      <c r="B102" s="7">
        <v>1366</v>
      </c>
      <c r="C102" s="5" t="s">
        <v>222</v>
      </c>
      <c r="D102" s="5" t="s">
        <v>14</v>
      </c>
      <c r="E102" s="5" t="s">
        <v>14</v>
      </c>
      <c r="F102" s="5" t="s">
        <v>14</v>
      </c>
      <c r="G102" s="5" t="s">
        <v>13</v>
      </c>
      <c r="H102" s="5" t="s">
        <v>13</v>
      </c>
      <c r="I102" s="5" t="s">
        <v>14</v>
      </c>
      <c r="J102" s="7">
        <v>100</v>
      </c>
      <c r="K102" s="5" t="s">
        <v>222</v>
      </c>
    </row>
    <row r="103" spans="1:11" ht="25.2" customHeight="1" x14ac:dyDescent="0.3">
      <c r="A103" s="6">
        <v>147</v>
      </c>
      <c r="B103" s="6">
        <v>1367</v>
      </c>
      <c r="C103" s="3" t="s">
        <v>224</v>
      </c>
      <c r="D103" s="3" t="s">
        <v>14</v>
      </c>
      <c r="E103" s="3" t="s">
        <v>14</v>
      </c>
      <c r="F103" s="3" t="s">
        <v>14</v>
      </c>
      <c r="G103" s="3" t="s">
        <v>13</v>
      </c>
      <c r="H103" s="3" t="s">
        <v>13</v>
      </c>
      <c r="I103" s="3" t="s">
        <v>14</v>
      </c>
      <c r="J103" s="6">
        <v>100</v>
      </c>
      <c r="K103" s="3" t="s">
        <v>224</v>
      </c>
    </row>
    <row r="104" spans="1:11" ht="25.2" customHeight="1" x14ac:dyDescent="0.3">
      <c r="A104" s="7">
        <v>147</v>
      </c>
      <c r="B104" s="7">
        <v>1368</v>
      </c>
      <c r="C104" s="5" t="s">
        <v>226</v>
      </c>
      <c r="D104" s="5" t="s">
        <v>14</v>
      </c>
      <c r="E104" s="5" t="s">
        <v>14</v>
      </c>
      <c r="F104" s="5" t="s">
        <v>14</v>
      </c>
      <c r="G104" s="5" t="s">
        <v>13</v>
      </c>
      <c r="H104" s="5" t="s">
        <v>13</v>
      </c>
      <c r="I104" s="5" t="s">
        <v>14</v>
      </c>
      <c r="J104" s="7">
        <v>100</v>
      </c>
      <c r="K104" s="5" t="s">
        <v>226</v>
      </c>
    </row>
    <row r="105" spans="1:11" ht="25.2" customHeight="1" x14ac:dyDescent="0.3">
      <c r="A105" s="6">
        <v>147</v>
      </c>
      <c r="B105" s="6">
        <v>1369</v>
      </c>
      <c r="C105" s="3" t="s">
        <v>228</v>
      </c>
      <c r="D105" s="3" t="s">
        <v>14</v>
      </c>
      <c r="E105" s="3" t="s">
        <v>14</v>
      </c>
      <c r="F105" s="3" t="s">
        <v>14</v>
      </c>
      <c r="G105" s="3" t="s">
        <v>13</v>
      </c>
      <c r="H105" s="3" t="s">
        <v>13</v>
      </c>
      <c r="I105" s="3" t="s">
        <v>14</v>
      </c>
      <c r="J105" s="6">
        <v>100</v>
      </c>
      <c r="K105" s="3" t="s">
        <v>228</v>
      </c>
    </row>
    <row r="106" spans="1:11" ht="25.2" customHeight="1" x14ac:dyDescent="0.3">
      <c r="A106" s="7">
        <v>147</v>
      </c>
      <c r="B106" s="7">
        <v>1370</v>
      </c>
      <c r="C106" s="5" t="s">
        <v>230</v>
      </c>
      <c r="D106" s="5" t="s">
        <v>14</v>
      </c>
      <c r="E106" s="5" t="s">
        <v>14</v>
      </c>
      <c r="F106" s="5" t="s">
        <v>14</v>
      </c>
      <c r="G106" s="5" t="s">
        <v>13</v>
      </c>
      <c r="H106" s="5" t="s">
        <v>13</v>
      </c>
      <c r="I106" s="5" t="s">
        <v>14</v>
      </c>
      <c r="J106" s="7">
        <v>100</v>
      </c>
      <c r="K106" s="5" t="s">
        <v>230</v>
      </c>
    </row>
    <row r="107" spans="1:11" ht="25.2" customHeight="1" x14ac:dyDescent="0.3">
      <c r="A107" s="6">
        <v>147</v>
      </c>
      <c r="B107" s="6">
        <v>1371</v>
      </c>
      <c r="C107" s="3" t="s">
        <v>232</v>
      </c>
      <c r="D107" s="3" t="s">
        <v>14</v>
      </c>
      <c r="E107" s="3" t="s">
        <v>14</v>
      </c>
      <c r="F107" s="3" t="s">
        <v>14</v>
      </c>
      <c r="G107" s="3" t="s">
        <v>13</v>
      </c>
      <c r="H107" s="3" t="s">
        <v>13</v>
      </c>
      <c r="I107" s="3" t="s">
        <v>14</v>
      </c>
      <c r="J107" s="6">
        <v>100</v>
      </c>
      <c r="K107" s="3" t="s">
        <v>232</v>
      </c>
    </row>
    <row r="108" spans="1:11" ht="25.2" customHeight="1" x14ac:dyDescent="0.3">
      <c r="A108" s="7">
        <v>147</v>
      </c>
      <c r="B108" s="7">
        <v>1372</v>
      </c>
      <c r="C108" s="5" t="s">
        <v>234</v>
      </c>
      <c r="D108" s="5" t="s">
        <v>14</v>
      </c>
      <c r="E108" s="5" t="s">
        <v>14</v>
      </c>
      <c r="F108" s="5" t="s">
        <v>14</v>
      </c>
      <c r="G108" s="5" t="s">
        <v>13</v>
      </c>
      <c r="H108" s="5" t="s">
        <v>13</v>
      </c>
      <c r="I108" s="5" t="s">
        <v>14</v>
      </c>
      <c r="J108" s="7">
        <v>100</v>
      </c>
      <c r="K108" s="5" t="s">
        <v>234</v>
      </c>
    </row>
    <row r="109" spans="1:11" ht="25.2" customHeight="1" x14ac:dyDescent="0.3">
      <c r="A109" s="6">
        <v>147</v>
      </c>
      <c r="B109" s="6">
        <v>1373</v>
      </c>
      <c r="C109" s="3" t="s">
        <v>236</v>
      </c>
      <c r="D109" s="3" t="s">
        <v>14</v>
      </c>
      <c r="E109" s="3" t="s">
        <v>14</v>
      </c>
      <c r="F109" s="3" t="s">
        <v>14</v>
      </c>
      <c r="G109" s="3" t="s">
        <v>13</v>
      </c>
      <c r="H109" s="3" t="s">
        <v>13</v>
      </c>
      <c r="I109" s="3" t="s">
        <v>14</v>
      </c>
      <c r="J109" s="6">
        <v>100</v>
      </c>
      <c r="K109" s="3" t="s">
        <v>236</v>
      </c>
    </row>
    <row r="110" spans="1:11" ht="25.2" customHeight="1" x14ac:dyDescent="0.3">
      <c r="A110" s="7">
        <v>147</v>
      </c>
      <c r="B110" s="7">
        <v>1374</v>
      </c>
      <c r="C110" s="5" t="s">
        <v>238</v>
      </c>
      <c r="D110" s="5" t="s">
        <v>14</v>
      </c>
      <c r="E110" s="5" t="s">
        <v>14</v>
      </c>
      <c r="F110" s="5" t="s">
        <v>14</v>
      </c>
      <c r="G110" s="5" t="s">
        <v>13</v>
      </c>
      <c r="H110" s="5" t="s">
        <v>13</v>
      </c>
      <c r="I110" s="5" t="s">
        <v>14</v>
      </c>
      <c r="J110" s="7">
        <v>100</v>
      </c>
      <c r="K110" s="5" t="s">
        <v>238</v>
      </c>
    </row>
    <row r="111" spans="1:11" ht="25.2" customHeight="1" x14ac:dyDescent="0.3">
      <c r="A111" s="6">
        <v>147</v>
      </c>
      <c r="B111" s="6">
        <v>1375</v>
      </c>
      <c r="C111" s="3" t="s">
        <v>240</v>
      </c>
      <c r="D111" s="3" t="s">
        <v>14</v>
      </c>
      <c r="E111" s="3" t="s">
        <v>14</v>
      </c>
      <c r="F111" s="3" t="s">
        <v>14</v>
      </c>
      <c r="G111" s="3" t="s">
        <v>13</v>
      </c>
      <c r="H111" s="3" t="s">
        <v>13</v>
      </c>
      <c r="I111" s="3" t="s">
        <v>14</v>
      </c>
      <c r="J111" s="6">
        <v>100</v>
      </c>
      <c r="K111" s="3" t="s">
        <v>240</v>
      </c>
    </row>
    <row r="112" spans="1:11" ht="25.2" customHeight="1" x14ac:dyDescent="0.3">
      <c r="A112" s="7">
        <v>147</v>
      </c>
      <c r="B112" s="7">
        <v>1376</v>
      </c>
      <c r="C112" s="5" t="s">
        <v>242</v>
      </c>
      <c r="D112" s="5" t="s">
        <v>14</v>
      </c>
      <c r="E112" s="5" t="s">
        <v>14</v>
      </c>
      <c r="F112" s="5" t="s">
        <v>14</v>
      </c>
      <c r="G112" s="5" t="s">
        <v>13</v>
      </c>
      <c r="H112" s="5" t="s">
        <v>13</v>
      </c>
      <c r="I112" s="5" t="s">
        <v>14</v>
      </c>
      <c r="J112" s="7">
        <v>100</v>
      </c>
      <c r="K112" s="5" t="s">
        <v>242</v>
      </c>
    </row>
    <row r="113" spans="1:11" ht="25.2" customHeight="1" x14ac:dyDescent="0.3">
      <c r="A113" s="6">
        <v>147</v>
      </c>
      <c r="B113" s="6">
        <v>1377</v>
      </c>
      <c r="C113" s="3" t="s">
        <v>244</v>
      </c>
      <c r="D113" s="3" t="s">
        <v>14</v>
      </c>
      <c r="E113" s="3" t="s">
        <v>14</v>
      </c>
      <c r="F113" s="3" t="s">
        <v>14</v>
      </c>
      <c r="G113" s="3" t="s">
        <v>13</v>
      </c>
      <c r="H113" s="3" t="s">
        <v>13</v>
      </c>
      <c r="I113" s="3" t="s">
        <v>14</v>
      </c>
      <c r="J113" s="6">
        <v>100</v>
      </c>
      <c r="K113" s="3" t="s">
        <v>244</v>
      </c>
    </row>
    <row r="114" spans="1:11" ht="25.2" customHeight="1" x14ac:dyDescent="0.3">
      <c r="A114" s="7">
        <v>147</v>
      </c>
      <c r="B114" s="7">
        <v>1378</v>
      </c>
      <c r="C114" s="5" t="s">
        <v>246</v>
      </c>
      <c r="D114" s="5" t="s">
        <v>14</v>
      </c>
      <c r="E114" s="5" t="s">
        <v>14</v>
      </c>
      <c r="F114" s="5" t="s">
        <v>14</v>
      </c>
      <c r="G114" s="5" t="s">
        <v>13</v>
      </c>
      <c r="H114" s="5" t="s">
        <v>13</v>
      </c>
      <c r="I114" s="5" t="s">
        <v>14</v>
      </c>
      <c r="J114" s="7">
        <v>100</v>
      </c>
      <c r="K114" s="5" t="s">
        <v>246</v>
      </c>
    </row>
    <row r="115" spans="1:11" ht="25.2" customHeight="1" x14ac:dyDescent="0.3">
      <c r="A115" s="6">
        <v>147</v>
      </c>
      <c r="B115" s="6">
        <v>1379</v>
      </c>
      <c r="C115" s="3" t="s">
        <v>248</v>
      </c>
      <c r="D115" s="3" t="s">
        <v>14</v>
      </c>
      <c r="E115" s="3" t="s">
        <v>14</v>
      </c>
      <c r="F115" s="3" t="s">
        <v>14</v>
      </c>
      <c r="G115" s="3" t="s">
        <v>13</v>
      </c>
      <c r="H115" s="3" t="s">
        <v>13</v>
      </c>
      <c r="I115" s="3" t="s">
        <v>14</v>
      </c>
      <c r="J115" s="6">
        <v>100</v>
      </c>
      <c r="K115" s="3" t="s">
        <v>248</v>
      </c>
    </row>
    <row r="116" spans="1:11" ht="25.2" customHeight="1" x14ac:dyDescent="0.3">
      <c r="A116" s="7">
        <v>147</v>
      </c>
      <c r="B116" s="7">
        <v>1380</v>
      </c>
      <c r="C116" s="5" t="s">
        <v>250</v>
      </c>
      <c r="D116" s="5" t="s">
        <v>14</v>
      </c>
      <c r="E116" s="5" t="s">
        <v>14</v>
      </c>
      <c r="F116" s="5" t="s">
        <v>14</v>
      </c>
      <c r="G116" s="5" t="s">
        <v>13</v>
      </c>
      <c r="H116" s="5" t="s">
        <v>13</v>
      </c>
      <c r="I116" s="5" t="s">
        <v>14</v>
      </c>
      <c r="J116" s="7">
        <v>100</v>
      </c>
      <c r="K116" s="5" t="s">
        <v>250</v>
      </c>
    </row>
    <row r="117" spans="1:11" ht="25.2" customHeight="1" x14ac:dyDescent="0.3">
      <c r="A117" s="6">
        <v>147</v>
      </c>
      <c r="B117" s="6">
        <v>1381</v>
      </c>
      <c r="C117" s="3" t="s">
        <v>252</v>
      </c>
      <c r="D117" s="3" t="s">
        <v>14</v>
      </c>
      <c r="E117" s="3" t="s">
        <v>14</v>
      </c>
      <c r="F117" s="3" t="s">
        <v>14</v>
      </c>
      <c r="G117" s="3" t="s">
        <v>13</v>
      </c>
      <c r="H117" s="3" t="s">
        <v>13</v>
      </c>
      <c r="I117" s="3" t="s">
        <v>14</v>
      </c>
      <c r="J117" s="6">
        <v>100</v>
      </c>
      <c r="K117" s="3" t="s">
        <v>252</v>
      </c>
    </row>
    <row r="118" spans="1:11" ht="25.2" customHeight="1" x14ac:dyDescent="0.3">
      <c r="A118" s="7">
        <v>147</v>
      </c>
      <c r="B118" s="7">
        <v>1382</v>
      </c>
      <c r="C118" s="5" t="s">
        <v>254</v>
      </c>
      <c r="D118" s="5" t="s">
        <v>14</v>
      </c>
      <c r="E118" s="5" t="s">
        <v>14</v>
      </c>
      <c r="F118" s="5" t="s">
        <v>14</v>
      </c>
      <c r="G118" s="5" t="s">
        <v>13</v>
      </c>
      <c r="H118" s="5" t="s">
        <v>13</v>
      </c>
      <c r="I118" s="5" t="s">
        <v>14</v>
      </c>
      <c r="J118" s="7">
        <v>100</v>
      </c>
      <c r="K118" s="5" t="s">
        <v>254</v>
      </c>
    </row>
    <row r="119" spans="1:11" ht="25.2" customHeight="1" x14ac:dyDescent="0.3">
      <c r="A119" s="6">
        <v>147</v>
      </c>
      <c r="B119" s="6">
        <v>1383</v>
      </c>
      <c r="C119" s="3" t="s">
        <v>256</v>
      </c>
      <c r="D119" s="3" t="s">
        <v>14</v>
      </c>
      <c r="E119" s="3" t="s">
        <v>14</v>
      </c>
      <c r="F119" s="3" t="s">
        <v>14</v>
      </c>
      <c r="G119" s="3" t="s">
        <v>13</v>
      </c>
      <c r="H119" s="3" t="s">
        <v>13</v>
      </c>
      <c r="I119" s="3" t="s">
        <v>14</v>
      </c>
      <c r="J119" s="6">
        <v>100</v>
      </c>
      <c r="K119" s="3" t="s">
        <v>256</v>
      </c>
    </row>
    <row r="120" spans="1:11" ht="25.2" customHeight="1" x14ac:dyDescent="0.3">
      <c r="A120" s="7">
        <v>147</v>
      </c>
      <c r="B120" s="7">
        <v>1384</v>
      </c>
      <c r="C120" s="5" t="s">
        <v>258</v>
      </c>
      <c r="D120" s="5" t="s">
        <v>14</v>
      </c>
      <c r="E120" s="5" t="s">
        <v>14</v>
      </c>
      <c r="F120" s="5" t="s">
        <v>14</v>
      </c>
      <c r="G120" s="5" t="s">
        <v>13</v>
      </c>
      <c r="H120" s="5" t="s">
        <v>13</v>
      </c>
      <c r="I120" s="5" t="s">
        <v>14</v>
      </c>
      <c r="J120" s="7">
        <v>100</v>
      </c>
      <c r="K120" s="5" t="s">
        <v>258</v>
      </c>
    </row>
    <row r="121" spans="1:11" ht="25.2" customHeight="1" x14ac:dyDescent="0.3">
      <c r="A121" s="6">
        <v>147</v>
      </c>
      <c r="B121" s="6">
        <v>1385</v>
      </c>
      <c r="C121" s="3" t="s">
        <v>260</v>
      </c>
      <c r="D121" s="3" t="s">
        <v>14</v>
      </c>
      <c r="E121" s="3" t="s">
        <v>14</v>
      </c>
      <c r="F121" s="3" t="s">
        <v>14</v>
      </c>
      <c r="G121" s="3" t="s">
        <v>13</v>
      </c>
      <c r="H121" s="3" t="s">
        <v>13</v>
      </c>
      <c r="I121" s="3" t="s">
        <v>14</v>
      </c>
      <c r="J121" s="6">
        <v>100</v>
      </c>
      <c r="K121" s="3" t="s">
        <v>260</v>
      </c>
    </row>
    <row r="122" spans="1:11" ht="25.2" customHeight="1" x14ac:dyDescent="0.3">
      <c r="A122" s="7">
        <v>147</v>
      </c>
      <c r="B122" s="7">
        <v>1294</v>
      </c>
      <c r="C122" s="5" t="s">
        <v>275</v>
      </c>
      <c r="D122" s="5" t="s">
        <v>14</v>
      </c>
      <c r="E122" s="5" t="s">
        <v>14</v>
      </c>
      <c r="F122" s="5" t="s">
        <v>14</v>
      </c>
      <c r="G122" s="5" t="s">
        <v>13</v>
      </c>
      <c r="H122" s="5" t="s">
        <v>13</v>
      </c>
      <c r="I122" s="5" t="s">
        <v>14</v>
      </c>
      <c r="J122" s="7">
        <v>100</v>
      </c>
      <c r="K122" s="5" t="s">
        <v>275</v>
      </c>
    </row>
    <row r="123" spans="1:11" ht="25.2" customHeight="1" x14ac:dyDescent="0.3">
      <c r="A123" s="6">
        <v>147</v>
      </c>
      <c r="B123" s="6">
        <v>1295</v>
      </c>
      <c r="C123" s="3" t="s">
        <v>276</v>
      </c>
      <c r="D123" s="3" t="s">
        <v>14</v>
      </c>
      <c r="E123" s="3" t="s">
        <v>14</v>
      </c>
      <c r="F123" s="3" t="s">
        <v>14</v>
      </c>
      <c r="G123" s="3" t="s">
        <v>13</v>
      </c>
      <c r="H123" s="3" t="s">
        <v>13</v>
      </c>
      <c r="I123" s="3" t="s">
        <v>14</v>
      </c>
      <c r="J123" s="6">
        <v>100</v>
      </c>
      <c r="K123" s="3" t="s">
        <v>276</v>
      </c>
    </row>
    <row r="124" spans="1:11" ht="25.2" customHeight="1" x14ac:dyDescent="0.3">
      <c r="A124" s="7">
        <v>147</v>
      </c>
      <c r="B124" s="7">
        <v>1296</v>
      </c>
      <c r="C124" s="5" t="s">
        <v>277</v>
      </c>
      <c r="D124" s="5" t="s">
        <v>14</v>
      </c>
      <c r="E124" s="5" t="s">
        <v>14</v>
      </c>
      <c r="F124" s="5" t="s">
        <v>14</v>
      </c>
      <c r="G124" s="5" t="s">
        <v>13</v>
      </c>
      <c r="H124" s="5" t="s">
        <v>13</v>
      </c>
      <c r="I124" s="5" t="s">
        <v>14</v>
      </c>
      <c r="J124" s="7">
        <v>100</v>
      </c>
      <c r="K124" s="5" t="s">
        <v>277</v>
      </c>
    </row>
    <row r="125" spans="1:11" ht="25.2" customHeight="1" x14ac:dyDescent="0.3">
      <c r="A125" s="6">
        <v>147</v>
      </c>
      <c r="B125" s="6">
        <v>1297</v>
      </c>
      <c r="C125" s="3" t="s">
        <v>278</v>
      </c>
      <c r="D125" s="3" t="s">
        <v>14</v>
      </c>
      <c r="E125" s="3" t="s">
        <v>14</v>
      </c>
      <c r="F125" s="3" t="s">
        <v>14</v>
      </c>
      <c r="G125" s="3" t="s">
        <v>13</v>
      </c>
      <c r="H125" s="3" t="s">
        <v>13</v>
      </c>
      <c r="I125" s="3" t="s">
        <v>14</v>
      </c>
      <c r="J125" s="6">
        <v>100</v>
      </c>
      <c r="K125" s="3" t="s">
        <v>278</v>
      </c>
    </row>
    <row r="126" spans="1:11" ht="25.2" customHeight="1" x14ac:dyDescent="0.3">
      <c r="A126" s="7">
        <v>147</v>
      </c>
      <c r="B126" s="7">
        <v>1679</v>
      </c>
      <c r="C126" s="5" t="s">
        <v>279</v>
      </c>
      <c r="D126" s="5" t="s">
        <v>14</v>
      </c>
      <c r="E126" s="5" t="s">
        <v>14</v>
      </c>
      <c r="F126" s="5" t="s">
        <v>14</v>
      </c>
      <c r="G126" s="5" t="s">
        <v>13</v>
      </c>
      <c r="H126" s="5" t="s">
        <v>13</v>
      </c>
      <c r="I126" s="5" t="s">
        <v>14</v>
      </c>
      <c r="J126" s="7">
        <v>100</v>
      </c>
      <c r="K126" s="5"/>
    </row>
    <row r="127" spans="1:11" ht="25.2" customHeight="1" x14ac:dyDescent="0.3">
      <c r="A127" s="6">
        <v>147</v>
      </c>
      <c r="B127" s="6">
        <v>1680</v>
      </c>
      <c r="C127" s="3" t="s">
        <v>280</v>
      </c>
      <c r="D127" s="3" t="s">
        <v>14</v>
      </c>
      <c r="E127" s="3" t="s">
        <v>14</v>
      </c>
      <c r="F127" s="3" t="s">
        <v>14</v>
      </c>
      <c r="G127" s="3" t="s">
        <v>13</v>
      </c>
      <c r="H127" s="3" t="s">
        <v>13</v>
      </c>
      <c r="I127" s="3" t="s">
        <v>14</v>
      </c>
      <c r="J127" s="6">
        <v>100</v>
      </c>
      <c r="K127" s="3"/>
    </row>
    <row r="128" spans="1:11" ht="25.2" customHeight="1" x14ac:dyDescent="0.3">
      <c r="A128" s="7">
        <v>147</v>
      </c>
      <c r="B128" s="7">
        <v>1681</v>
      </c>
      <c r="C128" s="5" t="s">
        <v>281</v>
      </c>
      <c r="D128" s="5" t="s">
        <v>14</v>
      </c>
      <c r="E128" s="5" t="s">
        <v>14</v>
      </c>
      <c r="F128" s="5" t="s">
        <v>14</v>
      </c>
      <c r="G128" s="5" t="s">
        <v>13</v>
      </c>
      <c r="H128" s="5" t="s">
        <v>13</v>
      </c>
      <c r="I128" s="5" t="s">
        <v>14</v>
      </c>
      <c r="J128" s="7">
        <v>100</v>
      </c>
      <c r="K128" s="5"/>
    </row>
    <row r="129" spans="1:11" ht="25.2" customHeight="1" x14ac:dyDescent="0.3">
      <c r="A129" s="6">
        <v>147</v>
      </c>
      <c r="B129" s="6">
        <v>1669</v>
      </c>
      <c r="C129" s="3" t="s">
        <v>282</v>
      </c>
      <c r="D129" s="3" t="s">
        <v>14</v>
      </c>
      <c r="E129" s="3" t="s">
        <v>14</v>
      </c>
      <c r="F129" s="3" t="s">
        <v>14</v>
      </c>
      <c r="G129" s="3" t="s">
        <v>13</v>
      </c>
      <c r="H129" s="3" t="s">
        <v>13</v>
      </c>
      <c r="I129" s="3" t="s">
        <v>14</v>
      </c>
      <c r="J129" s="6">
        <v>100</v>
      </c>
      <c r="K129" s="3"/>
    </row>
    <row r="130" spans="1:11" ht="25.2" customHeight="1" x14ac:dyDescent="0.3">
      <c r="A130" s="7">
        <v>147</v>
      </c>
      <c r="B130" s="7">
        <v>1673</v>
      </c>
      <c r="C130" s="5" t="s">
        <v>283</v>
      </c>
      <c r="D130" s="5" t="s">
        <v>14</v>
      </c>
      <c r="E130" s="5" t="s">
        <v>14</v>
      </c>
      <c r="F130" s="5" t="s">
        <v>14</v>
      </c>
      <c r="G130" s="5" t="s">
        <v>13</v>
      </c>
      <c r="H130" s="5" t="s">
        <v>13</v>
      </c>
      <c r="I130" s="5" t="s">
        <v>14</v>
      </c>
      <c r="J130" s="7">
        <v>100</v>
      </c>
      <c r="K130" s="5"/>
    </row>
    <row r="131" spans="1:11" ht="25.2" customHeight="1" x14ac:dyDescent="0.3">
      <c r="A131" s="6">
        <v>147</v>
      </c>
      <c r="B131" s="6">
        <v>1670</v>
      </c>
      <c r="C131" s="3" t="s">
        <v>284</v>
      </c>
      <c r="D131" s="3" t="s">
        <v>14</v>
      </c>
      <c r="E131" s="3" t="s">
        <v>14</v>
      </c>
      <c r="F131" s="3" t="s">
        <v>14</v>
      </c>
      <c r="G131" s="3" t="s">
        <v>13</v>
      </c>
      <c r="H131" s="3" t="s">
        <v>13</v>
      </c>
      <c r="I131" s="3" t="s">
        <v>14</v>
      </c>
      <c r="J131" s="6">
        <v>100</v>
      </c>
      <c r="K131" s="3"/>
    </row>
    <row r="132" spans="1:11" ht="25.2" customHeight="1" x14ac:dyDescent="0.3">
      <c r="A132" s="7">
        <v>147</v>
      </c>
      <c r="B132" s="7">
        <v>1671</v>
      </c>
      <c r="C132" s="5" t="s">
        <v>285</v>
      </c>
      <c r="D132" s="5" t="s">
        <v>14</v>
      </c>
      <c r="E132" s="5" t="s">
        <v>14</v>
      </c>
      <c r="F132" s="5" t="s">
        <v>14</v>
      </c>
      <c r="G132" s="5" t="s">
        <v>13</v>
      </c>
      <c r="H132" s="5" t="s">
        <v>13</v>
      </c>
      <c r="I132" s="5" t="s">
        <v>14</v>
      </c>
      <c r="J132" s="7">
        <v>100</v>
      </c>
      <c r="K132" s="5"/>
    </row>
    <row r="133" spans="1:11" ht="25.2" customHeight="1" x14ac:dyDescent="0.3">
      <c r="A133" s="6">
        <v>147</v>
      </c>
      <c r="B133" s="6">
        <v>1672</v>
      </c>
      <c r="C133" s="3" t="s">
        <v>286</v>
      </c>
      <c r="D133" s="3" t="s">
        <v>14</v>
      </c>
      <c r="E133" s="3" t="s">
        <v>14</v>
      </c>
      <c r="F133" s="3" t="s">
        <v>14</v>
      </c>
      <c r="G133" s="3" t="s">
        <v>13</v>
      </c>
      <c r="H133" s="3" t="s">
        <v>13</v>
      </c>
      <c r="I133" s="3" t="s">
        <v>14</v>
      </c>
      <c r="J133" s="6">
        <v>100</v>
      </c>
      <c r="K133" s="3"/>
    </row>
  </sheetData>
  <mergeCells count="2">
    <mergeCell ref="A1:K1"/>
    <mergeCell ref="M1:S1"/>
  </mergeCells>
  <pageMargins left="0.5" right="0.5" top="0.5" bottom="0.8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135"/>
  <sheetViews>
    <sheetView showGridLines="0" topLeftCell="H1" workbookViewId="0">
      <selection activeCell="D128" sqref="D128:D135"/>
    </sheetView>
  </sheetViews>
  <sheetFormatPr defaultRowHeight="15.6" x14ac:dyDescent="0.3"/>
  <cols>
    <col min="1" max="1" width="10.19921875" bestFit="1" customWidth="1"/>
    <col min="2" max="6" width="16.69921875" customWidth="1"/>
    <col min="7" max="7" width="40.59765625" customWidth="1"/>
    <col min="8" max="8" width="23.69921875" bestFit="1" customWidth="1"/>
  </cols>
  <sheetData>
    <row r="1" spans="1:10" ht="37.950000000000003" customHeight="1" x14ac:dyDescent="0.3">
      <c r="B1" s="32" t="s">
        <v>0</v>
      </c>
      <c r="C1" s="33"/>
      <c r="D1" s="33"/>
      <c r="E1" s="33"/>
      <c r="F1" s="33"/>
    </row>
    <row r="2" spans="1:10" ht="25.2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8" t="s">
        <v>9</v>
      </c>
      <c r="J2" s="8" t="s">
        <v>287</v>
      </c>
    </row>
    <row r="3" spans="1:10" ht="25.2" hidden="1" customHeight="1" x14ac:dyDescent="0.3">
      <c r="A3" t="str">
        <f>IF(MID(B3,5,5)="Certi","CERT",IF(MID(B3,5,5)="Notas","NOTA","CAMP"))&amp;LEFT(C3,1)&amp;IF(FIND(".",B3)=3,"0","")&amp;MID(B3,1,FIND(".",B3)-1)</f>
        <v>CERTL001</v>
      </c>
      <c r="B3" s="2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t="str">
        <f t="shared" ref="G3:G34" si="0">IF(C3="LIST","left outer join tenant_vw_dataobjects_attr_list al"&amp;D3&amp;" 
 inner join tenant_vw_attributes_list lv"&amp;D3&amp;" on al"&amp;D3&amp;".custattrlistval_id=lv"&amp;D3&amp;".custattrlistval_id
 on p.dataobject_id=al"&amp;D3&amp;".dataobject_id and al"&amp;D3&amp;".attr_id="&amp;D3,"left outer join tenant_vw_dataobjects_attr a"&amp;D3&amp;" 
on p.dataobject_id=a"&amp;D3&amp;".dataobject_id and a"&amp;D3&amp;".attr_id="&amp;D3)</f>
        <v>left outer join tenant_vw_dataobjects_attr_list al912 
 inner join tenant_vw_attributes_list lv912 on al912.custattrlistval_id=lv912.custattrlistval_id
 on p.dataobject_id=al912.dataobject_id and al912.attr_id=912</v>
      </c>
      <c r="H3" t="str">
        <f t="shared" ref="H3:H34" si="1">IF(C3="LIST","lv"&amp;D3&amp;".label '"&amp;A3&amp;"',",IF(C3="TEXT","a"&amp;D3&amp;".textvalue '"&amp;A3&amp;"',","NOVA"))</f>
        <v>lv912.label 'CERTL001',</v>
      </c>
      <c r="I3" s="9" t="s">
        <v>15</v>
      </c>
      <c r="J3">
        <v>1</v>
      </c>
    </row>
    <row r="4" spans="1:10" ht="25.2" hidden="1" customHeight="1" x14ac:dyDescent="0.3">
      <c r="A4" t="str">
        <f t="shared" ref="A4:A67" si="2">IF(MID(B4,5,5)="Certi","CERT",IF(MID(B4,5,5)="Notas","NOTA","CAMP"))&amp;LEFT(C4,1)&amp;IF(FIND(".",B4)=3,"0","")&amp;MID(B4,1,FIND(".",B4)-1)</f>
        <v>NOTAT001</v>
      </c>
      <c r="B4" s="4" t="s">
        <v>16</v>
      </c>
      <c r="C4" s="5" t="s">
        <v>17</v>
      </c>
      <c r="D4" s="5" t="s">
        <v>18</v>
      </c>
      <c r="E4" s="5" t="s">
        <v>13</v>
      </c>
      <c r="F4" s="5" t="s">
        <v>14</v>
      </c>
      <c r="G4" t="str">
        <f t="shared" si="0"/>
        <v>left outer join tenant_vw_dataobjects_attr a895 
on p.dataobject_id=a895.dataobject_id and a895.attr_id=895</v>
      </c>
      <c r="H4" t="str">
        <f t="shared" si="1"/>
        <v>a895.textvalue 'NOTAT001',</v>
      </c>
      <c r="I4" s="9" t="s">
        <v>15</v>
      </c>
      <c r="J4">
        <v>1</v>
      </c>
    </row>
    <row r="5" spans="1:10" ht="25.2" hidden="1" customHeight="1" x14ac:dyDescent="0.3">
      <c r="A5" t="str">
        <f t="shared" si="2"/>
        <v>CAMPT001</v>
      </c>
      <c r="B5" s="2" t="s">
        <v>19</v>
      </c>
      <c r="C5" s="3" t="s">
        <v>17</v>
      </c>
      <c r="D5" s="3" t="s">
        <v>20</v>
      </c>
      <c r="E5" s="3" t="s">
        <v>13</v>
      </c>
      <c r="F5" s="3" t="s">
        <v>14</v>
      </c>
      <c r="G5" t="str">
        <f t="shared" si="0"/>
        <v>left outer join tenant_vw_dataobjects_attr a946 
on p.dataobject_id=a946.dataobject_id and a946.attr_id=946</v>
      </c>
      <c r="H5" t="str">
        <f t="shared" si="1"/>
        <v>a946.textvalue 'CAMPT001',</v>
      </c>
      <c r="I5" s="9" t="s">
        <v>15</v>
      </c>
      <c r="J5">
        <v>1</v>
      </c>
    </row>
    <row r="6" spans="1:10" ht="25.2" hidden="1" customHeight="1" x14ac:dyDescent="0.3">
      <c r="A6" t="str">
        <f t="shared" si="2"/>
        <v>CAMPT002</v>
      </c>
      <c r="B6" s="4" t="s">
        <v>25</v>
      </c>
      <c r="C6" s="5" t="s">
        <v>17</v>
      </c>
      <c r="D6" s="5" t="s">
        <v>26</v>
      </c>
      <c r="E6" s="5" t="s">
        <v>13</v>
      </c>
      <c r="F6" s="5" t="s">
        <v>14</v>
      </c>
      <c r="G6" t="str">
        <f t="shared" si="0"/>
        <v>left outer join tenant_vw_dataobjects_attr a943 
on p.dataobject_id=a943.dataobject_id and a943.attr_id=943</v>
      </c>
      <c r="H6" t="str">
        <f t="shared" si="1"/>
        <v>a943.textvalue 'CAMPT002',</v>
      </c>
      <c r="I6" s="9" t="s">
        <v>15</v>
      </c>
      <c r="J6">
        <v>1</v>
      </c>
    </row>
    <row r="7" spans="1:10" ht="25.2" hidden="1" customHeight="1" x14ac:dyDescent="0.3">
      <c r="A7" t="str">
        <f t="shared" si="2"/>
        <v>CAMPT003</v>
      </c>
      <c r="B7" s="2" t="s">
        <v>27</v>
      </c>
      <c r="C7" s="3" t="s">
        <v>17</v>
      </c>
      <c r="D7" s="3" t="s">
        <v>28</v>
      </c>
      <c r="E7" s="3" t="s">
        <v>13</v>
      </c>
      <c r="F7" s="3" t="s">
        <v>14</v>
      </c>
      <c r="G7" t="str">
        <f t="shared" si="0"/>
        <v>left outer join tenant_vw_dataobjects_attr a925 
on p.dataobject_id=a925.dataobject_id and a925.attr_id=925</v>
      </c>
      <c r="H7" t="str">
        <f t="shared" si="1"/>
        <v>a925.textvalue 'CAMPT003',</v>
      </c>
      <c r="I7" s="9" t="s">
        <v>15</v>
      </c>
      <c r="J7">
        <v>1</v>
      </c>
    </row>
    <row r="8" spans="1:10" ht="25.2" hidden="1" customHeight="1" x14ac:dyDescent="0.3">
      <c r="A8" t="str">
        <f t="shared" si="2"/>
        <v>CAMPT004</v>
      </c>
      <c r="B8" s="4" t="s">
        <v>38</v>
      </c>
      <c r="C8" s="5" t="s">
        <v>17</v>
      </c>
      <c r="D8" s="5" t="s">
        <v>39</v>
      </c>
      <c r="E8" s="5" t="s">
        <v>13</v>
      </c>
      <c r="F8" s="5" t="s">
        <v>14</v>
      </c>
      <c r="G8" t="str">
        <f t="shared" si="0"/>
        <v>left outer join tenant_vw_dataobjects_attr a927 
on p.dataobject_id=a927.dataobject_id and a927.attr_id=927</v>
      </c>
      <c r="H8" t="str">
        <f t="shared" si="1"/>
        <v>a927.textvalue 'CAMPT004',</v>
      </c>
      <c r="I8" s="9" t="s">
        <v>15</v>
      </c>
      <c r="J8">
        <v>1</v>
      </c>
    </row>
    <row r="9" spans="1:10" ht="25.2" hidden="1" customHeight="1" x14ac:dyDescent="0.3">
      <c r="A9" t="str">
        <f t="shared" si="2"/>
        <v>CAMPT005</v>
      </c>
      <c r="B9" s="2" t="s">
        <v>40</v>
      </c>
      <c r="C9" s="3" t="s">
        <v>17</v>
      </c>
      <c r="D9" s="3" t="s">
        <v>41</v>
      </c>
      <c r="E9" s="3" t="s">
        <v>13</v>
      </c>
      <c r="F9" s="3" t="s">
        <v>14</v>
      </c>
      <c r="G9" t="str">
        <f t="shared" si="0"/>
        <v>left outer join tenant_vw_dataobjects_attr a941 
on p.dataobject_id=a941.dataobject_id and a941.attr_id=941</v>
      </c>
      <c r="H9" t="str">
        <f t="shared" si="1"/>
        <v>a941.textvalue 'CAMPT005',</v>
      </c>
      <c r="I9" s="9" t="s">
        <v>15</v>
      </c>
      <c r="J9">
        <v>1</v>
      </c>
    </row>
    <row r="10" spans="1:10" ht="25.2" hidden="1" customHeight="1" x14ac:dyDescent="0.3">
      <c r="A10" t="str">
        <f t="shared" si="2"/>
        <v>CAMPT006</v>
      </c>
      <c r="B10" s="4" t="s">
        <v>46</v>
      </c>
      <c r="C10" s="5" t="s">
        <v>17</v>
      </c>
      <c r="D10" s="5" t="s">
        <v>47</v>
      </c>
      <c r="E10" s="5" t="s">
        <v>13</v>
      </c>
      <c r="F10" s="5" t="s">
        <v>14</v>
      </c>
      <c r="G10" t="str">
        <f t="shared" si="0"/>
        <v>left outer join tenant_vw_dataobjects_attr a935 
on p.dataobject_id=a935.dataobject_id and a935.attr_id=935</v>
      </c>
      <c r="H10" t="str">
        <f t="shared" si="1"/>
        <v>a935.textvalue 'CAMPT006',</v>
      </c>
      <c r="I10" s="9" t="s">
        <v>15</v>
      </c>
      <c r="J10">
        <v>1</v>
      </c>
    </row>
    <row r="11" spans="1:10" ht="25.2" hidden="1" customHeight="1" x14ac:dyDescent="0.3">
      <c r="A11" t="str">
        <f t="shared" si="2"/>
        <v>CAMPT007</v>
      </c>
      <c r="B11" s="4" t="s">
        <v>54</v>
      </c>
      <c r="C11" s="5" t="s">
        <v>17</v>
      </c>
      <c r="D11" s="5" t="s">
        <v>55</v>
      </c>
      <c r="E11" s="5" t="s">
        <v>13</v>
      </c>
      <c r="F11" s="5" t="s">
        <v>14</v>
      </c>
      <c r="G11" t="str">
        <f t="shared" si="0"/>
        <v>left outer join tenant_vw_dataobjects_attr a893 
on p.dataobject_id=a893.dataobject_id and a893.attr_id=893</v>
      </c>
      <c r="H11" t="str">
        <f t="shared" si="1"/>
        <v>a893.textvalue 'CAMPT007',</v>
      </c>
      <c r="I11" s="9" t="s">
        <v>15</v>
      </c>
      <c r="J11">
        <v>1</v>
      </c>
    </row>
    <row r="12" spans="1:10" ht="25.2" hidden="1" customHeight="1" x14ac:dyDescent="0.3">
      <c r="A12" t="str">
        <f t="shared" si="2"/>
        <v>CERTL002</v>
      </c>
      <c r="B12" s="4" t="s">
        <v>21</v>
      </c>
      <c r="C12" s="5" t="s">
        <v>11</v>
      </c>
      <c r="D12" s="5" t="s">
        <v>22</v>
      </c>
      <c r="E12" s="5" t="s">
        <v>13</v>
      </c>
      <c r="F12" s="5" t="s">
        <v>14</v>
      </c>
      <c r="G12" t="str">
        <f t="shared" si="0"/>
        <v>left outer join tenant_vw_dataobjects_attr_list al1272 
 inner join tenant_vw_attributes_list lv1272 on al1272.custattrlistval_id=lv1272.custattrlistval_id
 on p.dataobject_id=al1272.dataobject_id and al1272.attr_id=1272</v>
      </c>
      <c r="H12" t="str">
        <f t="shared" si="1"/>
        <v>lv1272.label 'CERTL002',</v>
      </c>
      <c r="I12" s="9" t="s">
        <v>15</v>
      </c>
      <c r="J12">
        <v>2</v>
      </c>
    </row>
    <row r="13" spans="1:10" ht="25.2" hidden="1" customHeight="1" x14ac:dyDescent="0.3">
      <c r="A13" t="str">
        <f t="shared" si="2"/>
        <v>NOTAT002</v>
      </c>
      <c r="B13" s="2" t="s">
        <v>23</v>
      </c>
      <c r="C13" s="3" t="s">
        <v>17</v>
      </c>
      <c r="D13" s="3" t="s">
        <v>24</v>
      </c>
      <c r="E13" s="3" t="s">
        <v>13</v>
      </c>
      <c r="F13" s="3" t="s">
        <v>14</v>
      </c>
      <c r="G13" t="str">
        <f t="shared" si="0"/>
        <v>left outer join tenant_vw_dataobjects_attr a1273 
on p.dataobject_id=a1273.dataobject_id and a1273.attr_id=1273</v>
      </c>
      <c r="H13" t="str">
        <f t="shared" si="1"/>
        <v>a1273.textvalue 'NOTAT002',</v>
      </c>
      <c r="I13" s="9" t="s">
        <v>15</v>
      </c>
      <c r="J13">
        <v>2</v>
      </c>
    </row>
    <row r="14" spans="1:10" ht="25.2" hidden="1" customHeight="1" x14ac:dyDescent="0.3">
      <c r="A14" t="str">
        <f t="shared" si="2"/>
        <v>CAMPT008</v>
      </c>
      <c r="B14" s="2" t="s">
        <v>60</v>
      </c>
      <c r="C14" s="3" t="s">
        <v>17</v>
      </c>
      <c r="D14" s="3" t="s">
        <v>61</v>
      </c>
      <c r="E14" s="3" t="s">
        <v>13</v>
      </c>
      <c r="F14" s="3" t="s">
        <v>14</v>
      </c>
      <c r="G14" t="str">
        <f t="shared" si="0"/>
        <v>left outer join tenant_vw_dataobjects_attr a876 
on p.dataobject_id=a876.dataobject_id and a876.attr_id=876</v>
      </c>
      <c r="H14" t="str">
        <f t="shared" si="1"/>
        <v>a876.textvalue 'CAMPT008',</v>
      </c>
      <c r="I14" s="9" t="s">
        <v>15</v>
      </c>
      <c r="J14">
        <v>2</v>
      </c>
    </row>
    <row r="15" spans="1:10" ht="25.2" hidden="1" customHeight="1" x14ac:dyDescent="0.3">
      <c r="A15" t="str">
        <f t="shared" si="2"/>
        <v>CAMPT009</v>
      </c>
      <c r="B15" s="2" t="s">
        <v>68</v>
      </c>
      <c r="C15" s="3" t="s">
        <v>17</v>
      </c>
      <c r="D15" s="3" t="s">
        <v>69</v>
      </c>
      <c r="E15" s="3" t="s">
        <v>13</v>
      </c>
      <c r="F15" s="3" t="s">
        <v>14</v>
      </c>
      <c r="G15" t="str">
        <f t="shared" si="0"/>
        <v>left outer join tenant_vw_dataobjects_attr a894 
on p.dataobject_id=a894.dataobject_id and a894.attr_id=894</v>
      </c>
      <c r="H15" t="str">
        <f t="shared" si="1"/>
        <v>a894.textvalue 'CAMPT009',</v>
      </c>
      <c r="I15" s="9" t="s">
        <v>15</v>
      </c>
      <c r="J15">
        <v>2</v>
      </c>
    </row>
    <row r="16" spans="1:10" ht="25.2" hidden="1" customHeight="1" x14ac:dyDescent="0.3">
      <c r="A16" t="str">
        <f t="shared" si="2"/>
        <v>CAMPT010</v>
      </c>
      <c r="B16" s="4" t="s">
        <v>74</v>
      </c>
      <c r="C16" s="5" t="s">
        <v>17</v>
      </c>
      <c r="D16" s="5" t="s">
        <v>75</v>
      </c>
      <c r="E16" s="5" t="s">
        <v>13</v>
      </c>
      <c r="F16" s="5" t="s">
        <v>14</v>
      </c>
      <c r="G16" t="str">
        <f t="shared" si="0"/>
        <v>left outer join tenant_vw_dataobjects_attr a939 
on p.dataobject_id=a939.dataobject_id and a939.attr_id=939</v>
      </c>
      <c r="H16" t="str">
        <f t="shared" si="1"/>
        <v>a939.textvalue 'CAMPT010',</v>
      </c>
      <c r="I16" s="9" t="s">
        <v>15</v>
      </c>
      <c r="J16">
        <v>2</v>
      </c>
    </row>
    <row r="17" spans="1:10" ht="25.2" hidden="1" customHeight="1" x14ac:dyDescent="0.3">
      <c r="A17" t="str">
        <f t="shared" si="2"/>
        <v>CAMPT011</v>
      </c>
      <c r="B17" s="2" t="s">
        <v>76</v>
      </c>
      <c r="C17" s="3" t="s">
        <v>17</v>
      </c>
      <c r="D17" s="3" t="s">
        <v>77</v>
      </c>
      <c r="E17" s="3" t="s">
        <v>13</v>
      </c>
      <c r="F17" s="3" t="s">
        <v>14</v>
      </c>
      <c r="G17" t="str">
        <f t="shared" si="0"/>
        <v>left outer join tenant_vw_dataobjects_attr a1298 
on p.dataobject_id=a1298.dataobject_id and a1298.attr_id=1298</v>
      </c>
      <c r="H17" t="str">
        <f t="shared" si="1"/>
        <v>a1298.textvalue 'CAMPT011',</v>
      </c>
      <c r="I17" s="9" t="s">
        <v>15</v>
      </c>
      <c r="J17">
        <v>2</v>
      </c>
    </row>
    <row r="18" spans="1:10" ht="25.2" hidden="1" customHeight="1" x14ac:dyDescent="0.3">
      <c r="A18" t="str">
        <f t="shared" si="2"/>
        <v>CAMPT012</v>
      </c>
      <c r="B18" s="4" t="s">
        <v>82</v>
      </c>
      <c r="C18" s="5" t="s">
        <v>17</v>
      </c>
      <c r="D18" s="5" t="s">
        <v>83</v>
      </c>
      <c r="E18" s="5" t="s">
        <v>13</v>
      </c>
      <c r="F18" s="5" t="s">
        <v>14</v>
      </c>
      <c r="G18" t="str">
        <f t="shared" si="0"/>
        <v>left outer join tenant_vw_dataobjects_attr a1299 
on p.dataobject_id=a1299.dataobject_id and a1299.attr_id=1299</v>
      </c>
      <c r="H18" t="str">
        <f t="shared" si="1"/>
        <v>a1299.textvalue 'CAMPT012',</v>
      </c>
      <c r="I18" s="9" t="s">
        <v>15</v>
      </c>
      <c r="J18">
        <v>2</v>
      </c>
    </row>
    <row r="19" spans="1:10" ht="25.2" hidden="1" customHeight="1" x14ac:dyDescent="0.3">
      <c r="A19" t="str">
        <f t="shared" si="2"/>
        <v>CAMPT014</v>
      </c>
      <c r="B19" s="4" t="s">
        <v>86</v>
      </c>
      <c r="C19" s="5" t="s">
        <v>17</v>
      </c>
      <c r="D19" s="5" t="s">
        <v>87</v>
      </c>
      <c r="E19" s="5" t="s">
        <v>13</v>
      </c>
      <c r="F19" s="5" t="s">
        <v>14</v>
      </c>
      <c r="G19" t="str">
        <f t="shared" si="0"/>
        <v>left outer join tenant_vw_dataobjects_attr a1301 
on p.dataobject_id=a1301.dataobject_id and a1301.attr_id=1301</v>
      </c>
      <c r="H19" t="str">
        <f t="shared" si="1"/>
        <v>a1301.textvalue 'CAMPT014',</v>
      </c>
      <c r="I19" s="9" t="s">
        <v>15</v>
      </c>
      <c r="J19">
        <v>2</v>
      </c>
    </row>
    <row r="20" spans="1:10" ht="25.2" hidden="1" customHeight="1" x14ac:dyDescent="0.3">
      <c r="A20" t="str">
        <f t="shared" si="2"/>
        <v>CAMPT015</v>
      </c>
      <c r="B20" s="2" t="s">
        <v>88</v>
      </c>
      <c r="C20" s="3" t="s">
        <v>17</v>
      </c>
      <c r="D20" s="3" t="s">
        <v>89</v>
      </c>
      <c r="E20" s="3" t="s">
        <v>13</v>
      </c>
      <c r="F20" s="3" t="s">
        <v>14</v>
      </c>
      <c r="G20" t="str">
        <f t="shared" si="0"/>
        <v>left outer join tenant_vw_dataobjects_attr a1302 
on p.dataobject_id=a1302.dataobject_id and a1302.attr_id=1302</v>
      </c>
      <c r="H20" t="str">
        <f t="shared" si="1"/>
        <v>a1302.textvalue 'CAMPT015',</v>
      </c>
      <c r="I20" s="9" t="s">
        <v>15</v>
      </c>
      <c r="J20">
        <v>2</v>
      </c>
    </row>
    <row r="21" spans="1:10" ht="25.2" hidden="1" customHeight="1" x14ac:dyDescent="0.3">
      <c r="A21" t="str">
        <f t="shared" si="2"/>
        <v>CAMPT016</v>
      </c>
      <c r="B21" s="4" t="s">
        <v>90</v>
      </c>
      <c r="C21" s="5" t="s">
        <v>17</v>
      </c>
      <c r="D21" s="5" t="s">
        <v>91</v>
      </c>
      <c r="E21" s="5" t="s">
        <v>13</v>
      </c>
      <c r="F21" s="5" t="s">
        <v>14</v>
      </c>
      <c r="G21" t="str">
        <f t="shared" si="0"/>
        <v>left outer join tenant_vw_dataobjects_attr a1303 
on p.dataobject_id=a1303.dataobject_id and a1303.attr_id=1303</v>
      </c>
      <c r="H21" t="str">
        <f t="shared" si="1"/>
        <v>a1303.textvalue 'CAMPT016',</v>
      </c>
      <c r="I21" s="9" t="s">
        <v>15</v>
      </c>
      <c r="J21">
        <v>2</v>
      </c>
    </row>
    <row r="22" spans="1:10" ht="25.2" hidden="1" customHeight="1" x14ac:dyDescent="0.3">
      <c r="A22" t="str">
        <f t="shared" si="2"/>
        <v>CAMPT017</v>
      </c>
      <c r="B22" s="2" t="s">
        <v>92</v>
      </c>
      <c r="C22" s="3" t="s">
        <v>17</v>
      </c>
      <c r="D22" s="3" t="s">
        <v>93</v>
      </c>
      <c r="E22" s="3" t="s">
        <v>13</v>
      </c>
      <c r="F22" s="3" t="s">
        <v>14</v>
      </c>
      <c r="G22" t="str">
        <f t="shared" si="0"/>
        <v>left outer join tenant_vw_dataobjects_attr a1304 
on p.dataobject_id=a1304.dataobject_id and a1304.attr_id=1304</v>
      </c>
      <c r="H22" t="str">
        <f t="shared" si="1"/>
        <v>a1304.textvalue 'CAMPT017',</v>
      </c>
      <c r="I22" s="9" t="s">
        <v>15</v>
      </c>
      <c r="J22">
        <v>2</v>
      </c>
    </row>
    <row r="23" spans="1:10" ht="25.2" hidden="1" customHeight="1" x14ac:dyDescent="0.3">
      <c r="A23" t="str">
        <f t="shared" si="2"/>
        <v>CAMPT018</v>
      </c>
      <c r="B23" s="4" t="s">
        <v>95</v>
      </c>
      <c r="C23" s="5" t="s">
        <v>17</v>
      </c>
      <c r="D23" s="5" t="s">
        <v>96</v>
      </c>
      <c r="E23" s="5" t="s">
        <v>13</v>
      </c>
      <c r="F23" s="5" t="s">
        <v>14</v>
      </c>
      <c r="G23" t="str">
        <f t="shared" si="0"/>
        <v>left outer join tenant_vw_dataobjects_attr a1305 
on p.dataobject_id=a1305.dataobject_id and a1305.attr_id=1305</v>
      </c>
      <c r="H23" t="str">
        <f t="shared" si="1"/>
        <v>a1305.textvalue 'CAMPT018',</v>
      </c>
      <c r="I23" s="9" t="s">
        <v>15</v>
      </c>
      <c r="J23">
        <v>2</v>
      </c>
    </row>
    <row r="24" spans="1:10" ht="25.2" hidden="1" customHeight="1" x14ac:dyDescent="0.3">
      <c r="A24" t="str">
        <f t="shared" si="2"/>
        <v>CAMPT019</v>
      </c>
      <c r="B24" s="2" t="s">
        <v>97</v>
      </c>
      <c r="C24" s="3" t="s">
        <v>17</v>
      </c>
      <c r="D24" s="3" t="s">
        <v>98</v>
      </c>
      <c r="E24" s="3" t="s">
        <v>13</v>
      </c>
      <c r="F24" s="3" t="s">
        <v>14</v>
      </c>
      <c r="G24" t="str">
        <f t="shared" si="0"/>
        <v>left outer join tenant_vw_dataobjects_attr a1306 
on p.dataobject_id=a1306.dataobject_id and a1306.attr_id=1306</v>
      </c>
      <c r="H24" t="str">
        <f t="shared" si="1"/>
        <v>a1306.textvalue 'CAMPT019',</v>
      </c>
      <c r="I24" s="9" t="s">
        <v>15</v>
      </c>
      <c r="J24">
        <v>2</v>
      </c>
    </row>
    <row r="25" spans="1:10" ht="25.2" hidden="1" customHeight="1" x14ac:dyDescent="0.3">
      <c r="A25" t="str">
        <f t="shared" si="2"/>
        <v>CAMPT020</v>
      </c>
      <c r="B25" s="2" t="s">
        <v>99</v>
      </c>
      <c r="C25" s="3" t="s">
        <v>17</v>
      </c>
      <c r="D25" s="3" t="s">
        <v>100</v>
      </c>
      <c r="E25" s="3" t="s">
        <v>13</v>
      </c>
      <c r="F25" s="3" t="s">
        <v>14</v>
      </c>
      <c r="G25" t="str">
        <f t="shared" si="0"/>
        <v>left outer join tenant_vw_dataobjects_attr a1307 
on p.dataobject_id=a1307.dataobject_id and a1307.attr_id=1307</v>
      </c>
      <c r="H25" t="str">
        <f t="shared" si="1"/>
        <v>a1307.textvalue 'CAMPT020',</v>
      </c>
      <c r="I25" s="9" t="s">
        <v>15</v>
      </c>
      <c r="J25">
        <v>2</v>
      </c>
    </row>
    <row r="26" spans="1:10" ht="25.2" hidden="1" customHeight="1" x14ac:dyDescent="0.3">
      <c r="A26" t="str">
        <f t="shared" si="2"/>
        <v>CAMPT021</v>
      </c>
      <c r="B26" s="4" t="s">
        <v>101</v>
      </c>
      <c r="C26" s="5" t="s">
        <v>17</v>
      </c>
      <c r="D26" s="5" t="s">
        <v>102</v>
      </c>
      <c r="E26" s="5" t="s">
        <v>13</v>
      </c>
      <c r="F26" s="5" t="s">
        <v>14</v>
      </c>
      <c r="G26" t="str">
        <f t="shared" si="0"/>
        <v>left outer join tenant_vw_dataobjects_attr a1308 
on p.dataobject_id=a1308.dataobject_id and a1308.attr_id=1308</v>
      </c>
      <c r="H26" t="str">
        <f t="shared" si="1"/>
        <v>a1308.textvalue 'CAMPT021',</v>
      </c>
      <c r="I26" s="9" t="s">
        <v>15</v>
      </c>
      <c r="J26">
        <v>2</v>
      </c>
    </row>
    <row r="27" spans="1:10" ht="25.2" hidden="1" customHeight="1" x14ac:dyDescent="0.3">
      <c r="A27" t="str">
        <f t="shared" si="2"/>
        <v>CAMPT022</v>
      </c>
      <c r="B27" s="2" t="s">
        <v>103</v>
      </c>
      <c r="C27" s="3" t="s">
        <v>17</v>
      </c>
      <c r="D27" s="3" t="s">
        <v>104</v>
      </c>
      <c r="E27" s="3" t="s">
        <v>13</v>
      </c>
      <c r="F27" s="3" t="s">
        <v>14</v>
      </c>
      <c r="G27" t="str">
        <f t="shared" si="0"/>
        <v>left outer join tenant_vw_dataobjects_attr a1309 
on p.dataobject_id=a1309.dataobject_id and a1309.attr_id=1309</v>
      </c>
      <c r="H27" t="str">
        <f t="shared" si="1"/>
        <v>a1309.textvalue 'CAMPT022',</v>
      </c>
      <c r="I27" s="9" t="s">
        <v>15</v>
      </c>
      <c r="J27">
        <v>2</v>
      </c>
    </row>
    <row r="28" spans="1:10" ht="25.2" hidden="1" customHeight="1" x14ac:dyDescent="0.3">
      <c r="A28" t="str">
        <f t="shared" si="2"/>
        <v>CAMPT023</v>
      </c>
      <c r="B28" s="4" t="s">
        <v>105</v>
      </c>
      <c r="C28" s="5" t="s">
        <v>17</v>
      </c>
      <c r="D28" s="5" t="s">
        <v>106</v>
      </c>
      <c r="E28" s="5" t="s">
        <v>13</v>
      </c>
      <c r="F28" s="5" t="s">
        <v>14</v>
      </c>
      <c r="G28" t="str">
        <f t="shared" si="0"/>
        <v>left outer join tenant_vw_dataobjects_attr a1310 
on p.dataobject_id=a1310.dataobject_id and a1310.attr_id=1310</v>
      </c>
      <c r="H28" t="str">
        <f t="shared" si="1"/>
        <v>a1310.textvalue 'CAMPT023',</v>
      </c>
      <c r="I28" s="9" t="s">
        <v>15</v>
      </c>
      <c r="J28">
        <v>2</v>
      </c>
    </row>
    <row r="29" spans="1:10" ht="25.2" hidden="1" customHeight="1" x14ac:dyDescent="0.3">
      <c r="A29" t="str">
        <f t="shared" si="2"/>
        <v>CAMPT024</v>
      </c>
      <c r="B29" s="2" t="s">
        <v>107</v>
      </c>
      <c r="C29" s="3" t="s">
        <v>17</v>
      </c>
      <c r="D29" s="3" t="s">
        <v>108</v>
      </c>
      <c r="E29" s="3" t="s">
        <v>13</v>
      </c>
      <c r="F29" s="3" t="s">
        <v>14</v>
      </c>
      <c r="G29" t="str">
        <f t="shared" si="0"/>
        <v>left outer join tenant_vw_dataobjects_attr a1311 
on p.dataobject_id=a1311.dataobject_id and a1311.attr_id=1311</v>
      </c>
      <c r="H29" t="str">
        <f t="shared" si="1"/>
        <v>a1311.textvalue 'CAMPT024',</v>
      </c>
      <c r="I29" s="9" t="s">
        <v>15</v>
      </c>
      <c r="J29">
        <v>2</v>
      </c>
    </row>
    <row r="30" spans="1:10" ht="25.2" hidden="1" customHeight="1" x14ac:dyDescent="0.3">
      <c r="A30" t="str">
        <f t="shared" si="2"/>
        <v>CAMPT025</v>
      </c>
      <c r="B30" s="4" t="s">
        <v>109</v>
      </c>
      <c r="C30" s="5" t="s">
        <v>17</v>
      </c>
      <c r="D30" s="5" t="s">
        <v>110</v>
      </c>
      <c r="E30" s="5" t="s">
        <v>13</v>
      </c>
      <c r="F30" s="5" t="s">
        <v>14</v>
      </c>
      <c r="G30" t="str">
        <f t="shared" si="0"/>
        <v>left outer join tenant_vw_dataobjects_attr a1312 
on p.dataobject_id=a1312.dataobject_id and a1312.attr_id=1312</v>
      </c>
      <c r="H30" t="str">
        <f t="shared" si="1"/>
        <v>a1312.textvalue 'CAMPT025',</v>
      </c>
      <c r="I30" s="9" t="s">
        <v>15</v>
      </c>
      <c r="J30">
        <v>2</v>
      </c>
    </row>
    <row r="31" spans="1:10" ht="25.2" hidden="1" customHeight="1" x14ac:dyDescent="0.3">
      <c r="A31" t="str">
        <f t="shared" si="2"/>
        <v>CAMPT027</v>
      </c>
      <c r="B31" s="4" t="s">
        <v>113</v>
      </c>
      <c r="C31" s="5" t="s">
        <v>17</v>
      </c>
      <c r="D31" s="5" t="s">
        <v>114</v>
      </c>
      <c r="E31" s="5" t="s">
        <v>13</v>
      </c>
      <c r="F31" s="5" t="s">
        <v>14</v>
      </c>
      <c r="G31" t="str">
        <f t="shared" si="0"/>
        <v>left outer join tenant_vw_dataobjects_attr a1313 
on p.dataobject_id=a1313.dataobject_id and a1313.attr_id=1313</v>
      </c>
      <c r="H31" t="str">
        <f t="shared" si="1"/>
        <v>a1313.textvalue 'CAMPT027',</v>
      </c>
      <c r="I31" s="9" t="s">
        <v>15</v>
      </c>
      <c r="J31">
        <v>2</v>
      </c>
    </row>
    <row r="32" spans="1:10" ht="25.2" hidden="1" customHeight="1" x14ac:dyDescent="0.3">
      <c r="A32" t="str">
        <f t="shared" si="2"/>
        <v>CAMPT028</v>
      </c>
      <c r="B32" s="2" t="s">
        <v>115</v>
      </c>
      <c r="C32" s="3" t="s">
        <v>17</v>
      </c>
      <c r="D32" s="3" t="s">
        <v>116</v>
      </c>
      <c r="E32" s="3" t="s">
        <v>13</v>
      </c>
      <c r="F32" s="3" t="s">
        <v>14</v>
      </c>
      <c r="G32" t="str">
        <f t="shared" si="0"/>
        <v>left outer join tenant_vw_dataobjects_attr a1314 
on p.dataobject_id=a1314.dataobject_id and a1314.attr_id=1314</v>
      </c>
      <c r="H32" t="str">
        <f t="shared" si="1"/>
        <v>a1314.textvalue 'CAMPT028',</v>
      </c>
      <c r="I32" s="9" t="s">
        <v>15</v>
      </c>
      <c r="J32">
        <v>2</v>
      </c>
    </row>
    <row r="33" spans="1:10" ht="25.2" hidden="1" customHeight="1" x14ac:dyDescent="0.3">
      <c r="A33" t="str">
        <f t="shared" si="2"/>
        <v>CAMPT029</v>
      </c>
      <c r="B33" s="4" t="s">
        <v>117</v>
      </c>
      <c r="C33" s="5" t="s">
        <v>17</v>
      </c>
      <c r="D33" s="5" t="s">
        <v>118</v>
      </c>
      <c r="E33" s="5" t="s">
        <v>13</v>
      </c>
      <c r="F33" s="5" t="s">
        <v>14</v>
      </c>
      <c r="G33" t="str">
        <f t="shared" si="0"/>
        <v>left outer join tenant_vw_dataobjects_attr a1315 
on p.dataobject_id=a1315.dataobject_id and a1315.attr_id=1315</v>
      </c>
      <c r="H33" t="str">
        <f t="shared" si="1"/>
        <v>a1315.textvalue 'CAMPT029',</v>
      </c>
      <c r="I33" s="9" t="s">
        <v>15</v>
      </c>
      <c r="J33">
        <v>2</v>
      </c>
    </row>
    <row r="34" spans="1:10" ht="25.2" hidden="1" customHeight="1" x14ac:dyDescent="0.3">
      <c r="A34" t="str">
        <f t="shared" si="2"/>
        <v>CERTL003</v>
      </c>
      <c r="B34" s="4" t="s">
        <v>29</v>
      </c>
      <c r="C34" s="5" t="s">
        <v>11</v>
      </c>
      <c r="D34" s="5" t="s">
        <v>30</v>
      </c>
      <c r="E34" s="5" t="s">
        <v>13</v>
      </c>
      <c r="F34" s="5" t="s">
        <v>14</v>
      </c>
      <c r="G34" t="str">
        <f t="shared" si="0"/>
        <v>left outer join tenant_vw_dataobjects_attr_list al1276 
 inner join tenant_vw_attributes_list lv1276 on al1276.custattrlistval_id=lv1276.custattrlistval_id
 on p.dataobject_id=al1276.dataobject_id and al1276.attr_id=1276</v>
      </c>
      <c r="H34" t="str">
        <f t="shared" si="1"/>
        <v>lv1276.label 'CERTL003',</v>
      </c>
      <c r="I34" s="9" t="s">
        <v>288</v>
      </c>
      <c r="J34">
        <v>3</v>
      </c>
    </row>
    <row r="35" spans="1:10" ht="25.2" hidden="1" customHeight="1" x14ac:dyDescent="0.3">
      <c r="A35" t="str">
        <f t="shared" si="2"/>
        <v>NOTAT003</v>
      </c>
      <c r="B35" s="2" t="s">
        <v>32</v>
      </c>
      <c r="C35" s="3" t="s">
        <v>17</v>
      </c>
      <c r="D35" s="3" t="s">
        <v>33</v>
      </c>
      <c r="E35" s="3" t="s">
        <v>13</v>
      </c>
      <c r="F35" s="3" t="s">
        <v>14</v>
      </c>
      <c r="G35" t="str">
        <f t="shared" ref="G35:G65" si="3">IF(C35="LIST","left outer join tenant_vw_dataobjects_attr_list al"&amp;D35&amp;" 
 inner join tenant_vw_attributes_list lv"&amp;D35&amp;" on al"&amp;D35&amp;".custattrlistval_id=lv"&amp;D35&amp;".custattrlistval_id
 on p.dataobject_id=al"&amp;D35&amp;".dataobject_id and al"&amp;D35&amp;".attr_id="&amp;D35,"left outer join tenant_vw_dataobjects_attr a"&amp;D35&amp;" 
on p.dataobject_id=a"&amp;D35&amp;".dataobject_id and a"&amp;D35&amp;".attr_id="&amp;D35)</f>
        <v>left outer join tenant_vw_dataobjects_attr a1277 
on p.dataobject_id=a1277.dataobject_id and a1277.attr_id=1277</v>
      </c>
      <c r="H35" t="str">
        <f t="shared" ref="H35:H65" si="4">IF(C35="LIST","lv"&amp;D35&amp;".label '"&amp;A35&amp;"',",IF(C35="TEXT","a"&amp;D35&amp;".textvalue '"&amp;A35&amp;"',","NOVA"))</f>
        <v>a1277.textvalue 'NOTAT003',</v>
      </c>
      <c r="I35" s="9" t="s">
        <v>288</v>
      </c>
      <c r="J35">
        <v>3</v>
      </c>
    </row>
    <row r="36" spans="1:10" ht="25.2" hidden="1" customHeight="1" x14ac:dyDescent="0.3">
      <c r="A36" t="str">
        <f t="shared" si="2"/>
        <v>CAMPT030</v>
      </c>
      <c r="B36" s="2" t="s">
        <v>119</v>
      </c>
      <c r="C36" s="3" t="s">
        <v>17</v>
      </c>
      <c r="D36" s="3" t="s">
        <v>120</v>
      </c>
      <c r="E36" s="3" t="s">
        <v>13</v>
      </c>
      <c r="F36" s="3" t="s">
        <v>14</v>
      </c>
      <c r="G36" t="str">
        <f t="shared" si="3"/>
        <v>left outer join tenant_vw_dataobjects_attr a1316 
on p.dataobject_id=a1316.dataobject_id and a1316.attr_id=1316</v>
      </c>
      <c r="H36" t="str">
        <f t="shared" si="4"/>
        <v>a1316.textvalue 'CAMPT030',</v>
      </c>
      <c r="I36" s="9" t="s">
        <v>288</v>
      </c>
      <c r="J36">
        <v>3</v>
      </c>
    </row>
    <row r="37" spans="1:10" ht="25.2" hidden="1" customHeight="1" x14ac:dyDescent="0.3">
      <c r="A37" t="str">
        <f t="shared" si="2"/>
        <v>CAMPT031</v>
      </c>
      <c r="B37" s="4" t="s">
        <v>121</v>
      </c>
      <c r="C37" s="5" t="s">
        <v>17</v>
      </c>
      <c r="D37" s="5" t="s">
        <v>122</v>
      </c>
      <c r="E37" s="5" t="s">
        <v>13</v>
      </c>
      <c r="F37" s="5" t="s">
        <v>14</v>
      </c>
      <c r="G37" t="str">
        <f t="shared" si="3"/>
        <v>left outer join tenant_vw_dataobjects_attr a1317 
on p.dataobject_id=a1317.dataobject_id and a1317.attr_id=1317</v>
      </c>
      <c r="H37" t="str">
        <f t="shared" si="4"/>
        <v>a1317.textvalue 'CAMPT031',</v>
      </c>
      <c r="I37" s="9" t="s">
        <v>288</v>
      </c>
      <c r="J37">
        <v>3</v>
      </c>
    </row>
    <row r="38" spans="1:10" ht="25.2" hidden="1" customHeight="1" x14ac:dyDescent="0.3">
      <c r="A38" t="str">
        <f t="shared" si="2"/>
        <v>CAMPT032</v>
      </c>
      <c r="B38" s="2" t="s">
        <v>123</v>
      </c>
      <c r="C38" s="3" t="s">
        <v>17</v>
      </c>
      <c r="D38" s="3" t="s">
        <v>124</v>
      </c>
      <c r="E38" s="3" t="s">
        <v>13</v>
      </c>
      <c r="F38" s="3" t="s">
        <v>14</v>
      </c>
      <c r="G38" t="str">
        <f t="shared" si="3"/>
        <v>left outer join tenant_vw_dataobjects_attr a1318 
on p.dataobject_id=a1318.dataobject_id and a1318.attr_id=1318</v>
      </c>
      <c r="H38" t="str">
        <f t="shared" si="4"/>
        <v>a1318.textvalue 'CAMPT032',</v>
      </c>
      <c r="I38" s="9" t="s">
        <v>288</v>
      </c>
      <c r="J38">
        <v>3</v>
      </c>
    </row>
    <row r="39" spans="1:10" ht="25.2" hidden="1" customHeight="1" x14ac:dyDescent="0.3">
      <c r="A39" t="str">
        <f t="shared" si="2"/>
        <v>CAMPT033</v>
      </c>
      <c r="B39" s="4" t="s">
        <v>125</v>
      </c>
      <c r="C39" s="5" t="s">
        <v>17</v>
      </c>
      <c r="D39" s="5" t="s">
        <v>126</v>
      </c>
      <c r="E39" s="5" t="s">
        <v>13</v>
      </c>
      <c r="F39" s="5" t="s">
        <v>14</v>
      </c>
      <c r="G39" t="str">
        <f t="shared" si="3"/>
        <v>left outer join tenant_vw_dataobjects_attr a1319 
on p.dataobject_id=a1319.dataobject_id and a1319.attr_id=1319</v>
      </c>
      <c r="H39" t="str">
        <f t="shared" si="4"/>
        <v>a1319.textvalue 'CAMPT033',</v>
      </c>
      <c r="I39" s="9" t="s">
        <v>288</v>
      </c>
      <c r="J39">
        <v>3</v>
      </c>
    </row>
    <row r="40" spans="1:10" ht="25.2" hidden="1" customHeight="1" x14ac:dyDescent="0.3">
      <c r="A40" t="str">
        <f t="shared" si="2"/>
        <v>CAMPT034</v>
      </c>
      <c r="B40" s="2" t="s">
        <v>127</v>
      </c>
      <c r="C40" s="3" t="s">
        <v>17</v>
      </c>
      <c r="D40" s="3" t="s">
        <v>128</v>
      </c>
      <c r="E40" s="3" t="s">
        <v>13</v>
      </c>
      <c r="F40" s="3" t="s">
        <v>14</v>
      </c>
      <c r="G40" t="str">
        <f t="shared" si="3"/>
        <v>left outer join tenant_vw_dataobjects_attr a1320 
on p.dataobject_id=a1320.dataobject_id and a1320.attr_id=1320</v>
      </c>
      <c r="H40" t="str">
        <f t="shared" si="4"/>
        <v>a1320.textvalue 'CAMPT034',</v>
      </c>
      <c r="I40" s="9" t="s">
        <v>288</v>
      </c>
      <c r="J40">
        <v>3</v>
      </c>
    </row>
    <row r="41" spans="1:10" ht="25.2" hidden="1" customHeight="1" x14ac:dyDescent="0.3">
      <c r="A41" t="str">
        <f t="shared" si="2"/>
        <v>CAMPT035</v>
      </c>
      <c r="B41" s="4" t="s">
        <v>129</v>
      </c>
      <c r="C41" s="5" t="s">
        <v>17</v>
      </c>
      <c r="D41" s="5" t="s">
        <v>130</v>
      </c>
      <c r="E41" s="5" t="s">
        <v>13</v>
      </c>
      <c r="F41" s="5" t="s">
        <v>14</v>
      </c>
      <c r="G41" t="str">
        <f t="shared" si="3"/>
        <v>left outer join tenant_vw_dataobjects_attr a1321 
on p.dataobject_id=a1321.dataobject_id and a1321.attr_id=1321</v>
      </c>
      <c r="H41" t="str">
        <f t="shared" si="4"/>
        <v>a1321.textvalue 'CAMPT035',</v>
      </c>
      <c r="I41" s="9" t="s">
        <v>288</v>
      </c>
      <c r="J41">
        <v>3</v>
      </c>
    </row>
    <row r="42" spans="1:10" ht="25.2" hidden="1" customHeight="1" x14ac:dyDescent="0.3">
      <c r="A42" t="str">
        <f t="shared" si="2"/>
        <v>CAMPT036</v>
      </c>
      <c r="B42" s="2" t="s">
        <v>131</v>
      </c>
      <c r="C42" s="3" t="s">
        <v>17</v>
      </c>
      <c r="D42" s="3" t="s">
        <v>132</v>
      </c>
      <c r="E42" s="3" t="s">
        <v>13</v>
      </c>
      <c r="F42" s="3" t="s">
        <v>14</v>
      </c>
      <c r="G42" t="str">
        <f t="shared" si="3"/>
        <v>left outer join tenant_vw_dataobjects_attr a1322 
on p.dataobject_id=a1322.dataobject_id and a1322.attr_id=1322</v>
      </c>
      <c r="H42" t="str">
        <f t="shared" si="4"/>
        <v>a1322.textvalue 'CAMPT036',</v>
      </c>
      <c r="I42" s="9" t="s">
        <v>288</v>
      </c>
      <c r="J42">
        <v>3</v>
      </c>
    </row>
    <row r="43" spans="1:10" ht="25.2" hidden="1" customHeight="1" x14ac:dyDescent="0.3">
      <c r="A43" t="str">
        <f t="shared" si="2"/>
        <v>CAMPT037</v>
      </c>
      <c r="B43" s="4" t="s">
        <v>134</v>
      </c>
      <c r="C43" s="5" t="s">
        <v>17</v>
      </c>
      <c r="D43" s="5" t="s">
        <v>135</v>
      </c>
      <c r="E43" s="5" t="s">
        <v>13</v>
      </c>
      <c r="F43" s="5" t="s">
        <v>14</v>
      </c>
      <c r="G43" t="str">
        <f t="shared" si="3"/>
        <v>left outer join tenant_vw_dataobjects_attr a1323 
on p.dataobject_id=a1323.dataobject_id and a1323.attr_id=1323</v>
      </c>
      <c r="H43" t="str">
        <f t="shared" si="4"/>
        <v>a1323.textvalue 'CAMPT037',</v>
      </c>
      <c r="I43" s="9" t="s">
        <v>288</v>
      </c>
      <c r="J43">
        <v>3</v>
      </c>
    </row>
    <row r="44" spans="1:10" ht="25.2" hidden="1" customHeight="1" x14ac:dyDescent="0.3">
      <c r="A44" t="str">
        <f t="shared" si="2"/>
        <v>CAMPT038</v>
      </c>
      <c r="B44" s="2" t="s">
        <v>136</v>
      </c>
      <c r="C44" s="3" t="s">
        <v>17</v>
      </c>
      <c r="D44" s="3" t="s">
        <v>137</v>
      </c>
      <c r="E44" s="3" t="s">
        <v>13</v>
      </c>
      <c r="F44" s="3" t="s">
        <v>14</v>
      </c>
      <c r="G44" t="str">
        <f t="shared" si="3"/>
        <v>left outer join tenant_vw_dataobjects_attr a1324 
on p.dataobject_id=a1324.dataobject_id and a1324.attr_id=1324</v>
      </c>
      <c r="H44" t="str">
        <f t="shared" si="4"/>
        <v>a1324.textvalue 'CAMPT038',</v>
      </c>
      <c r="I44" s="9" t="s">
        <v>288</v>
      </c>
      <c r="J44">
        <v>3</v>
      </c>
    </row>
    <row r="45" spans="1:10" ht="25.2" hidden="1" customHeight="1" x14ac:dyDescent="0.3">
      <c r="A45" t="str">
        <f t="shared" si="2"/>
        <v>CERTL004</v>
      </c>
      <c r="B45" s="4" t="s">
        <v>34</v>
      </c>
      <c r="C45" s="5" t="s">
        <v>11</v>
      </c>
      <c r="D45" s="5" t="s">
        <v>35</v>
      </c>
      <c r="E45" s="5" t="s">
        <v>13</v>
      </c>
      <c r="F45" s="5" t="s">
        <v>14</v>
      </c>
      <c r="G45" t="str">
        <f t="shared" si="3"/>
        <v>left outer join tenant_vw_dataobjects_attr_list al1278 
 inner join tenant_vw_attributes_list lv1278 on al1278.custattrlistval_id=lv1278.custattrlistval_id
 on p.dataobject_id=al1278.dataobject_id and al1278.attr_id=1278</v>
      </c>
      <c r="H45" t="str">
        <f t="shared" si="4"/>
        <v>lv1278.label 'CERTL004',</v>
      </c>
      <c r="I45" s="9" t="s">
        <v>288</v>
      </c>
      <c r="J45">
        <v>4</v>
      </c>
    </row>
    <row r="46" spans="1:10" ht="25.2" hidden="1" customHeight="1" x14ac:dyDescent="0.3">
      <c r="A46" t="str">
        <f t="shared" si="2"/>
        <v>NOTAT004</v>
      </c>
      <c r="B46" s="2" t="s">
        <v>36</v>
      </c>
      <c r="C46" s="3" t="s">
        <v>17</v>
      </c>
      <c r="D46" s="3" t="s">
        <v>37</v>
      </c>
      <c r="E46" s="3" t="s">
        <v>13</v>
      </c>
      <c r="F46" s="3" t="s">
        <v>14</v>
      </c>
      <c r="G46" t="str">
        <f t="shared" si="3"/>
        <v>left outer join tenant_vw_dataobjects_attr a1279 
on p.dataobject_id=a1279.dataobject_id and a1279.attr_id=1279</v>
      </c>
      <c r="H46" t="str">
        <f t="shared" si="4"/>
        <v>a1279.textvalue 'NOTAT004',</v>
      </c>
      <c r="I46" s="9" t="s">
        <v>288</v>
      </c>
      <c r="J46">
        <v>4</v>
      </c>
    </row>
    <row r="47" spans="1:10" ht="25.2" hidden="1" customHeight="1" x14ac:dyDescent="0.3">
      <c r="A47" t="str">
        <f t="shared" si="2"/>
        <v>CAMPT039</v>
      </c>
      <c r="B47" s="4" t="s">
        <v>138</v>
      </c>
      <c r="C47" s="5" t="s">
        <v>17</v>
      </c>
      <c r="D47" s="5" t="s">
        <v>139</v>
      </c>
      <c r="E47" s="5" t="s">
        <v>13</v>
      </c>
      <c r="F47" s="5" t="s">
        <v>14</v>
      </c>
      <c r="G47" t="str">
        <f t="shared" si="3"/>
        <v>left outer join tenant_vw_dataobjects_attr a1325 
on p.dataobject_id=a1325.dataobject_id and a1325.attr_id=1325</v>
      </c>
      <c r="H47" t="str">
        <f t="shared" si="4"/>
        <v>a1325.textvalue 'CAMPT039',</v>
      </c>
      <c r="I47" s="9" t="s">
        <v>288</v>
      </c>
      <c r="J47">
        <v>4</v>
      </c>
    </row>
    <row r="48" spans="1:10" ht="25.2" hidden="1" customHeight="1" x14ac:dyDescent="0.3">
      <c r="A48" t="str">
        <f t="shared" si="2"/>
        <v>CAMPT040</v>
      </c>
      <c r="B48" s="4" t="s">
        <v>140</v>
      </c>
      <c r="C48" s="5" t="s">
        <v>17</v>
      </c>
      <c r="D48" s="5" t="s">
        <v>141</v>
      </c>
      <c r="E48" s="5" t="s">
        <v>13</v>
      </c>
      <c r="F48" s="5" t="s">
        <v>14</v>
      </c>
      <c r="G48" t="str">
        <f t="shared" si="3"/>
        <v>left outer join tenant_vw_dataobjects_attr a1326 
on p.dataobject_id=a1326.dataobject_id and a1326.attr_id=1326</v>
      </c>
      <c r="H48" t="str">
        <f t="shared" si="4"/>
        <v>a1326.textvalue 'CAMPT040',</v>
      </c>
      <c r="I48" s="9" t="s">
        <v>288</v>
      </c>
      <c r="J48">
        <v>4</v>
      </c>
    </row>
    <row r="49" spans="1:10" ht="25.2" hidden="1" customHeight="1" x14ac:dyDescent="0.3">
      <c r="A49" t="str">
        <f t="shared" si="2"/>
        <v>CAMPT041</v>
      </c>
      <c r="B49" s="2" t="s">
        <v>142</v>
      </c>
      <c r="C49" s="3" t="s">
        <v>17</v>
      </c>
      <c r="D49" s="3" t="s">
        <v>143</v>
      </c>
      <c r="E49" s="3" t="s">
        <v>13</v>
      </c>
      <c r="F49" s="3" t="s">
        <v>14</v>
      </c>
      <c r="G49" t="str">
        <f t="shared" si="3"/>
        <v>left outer join tenant_vw_dataobjects_attr a1327 
on p.dataobject_id=a1327.dataobject_id and a1327.attr_id=1327</v>
      </c>
      <c r="H49" t="str">
        <f t="shared" si="4"/>
        <v>a1327.textvalue 'CAMPT041',</v>
      </c>
      <c r="I49" s="9" t="s">
        <v>288</v>
      </c>
      <c r="J49">
        <v>4</v>
      </c>
    </row>
    <row r="50" spans="1:10" ht="25.2" hidden="1" customHeight="1" x14ac:dyDescent="0.3">
      <c r="A50" t="str">
        <f t="shared" si="2"/>
        <v>CAMPT042</v>
      </c>
      <c r="B50" s="4" t="s">
        <v>144</v>
      </c>
      <c r="C50" s="5" t="s">
        <v>17</v>
      </c>
      <c r="D50" s="5" t="s">
        <v>145</v>
      </c>
      <c r="E50" s="5" t="s">
        <v>13</v>
      </c>
      <c r="F50" s="5" t="s">
        <v>14</v>
      </c>
      <c r="G50" t="str">
        <f t="shared" si="3"/>
        <v>left outer join tenant_vw_dataobjects_attr a1328 
on p.dataobject_id=a1328.dataobject_id and a1328.attr_id=1328</v>
      </c>
      <c r="H50" t="str">
        <f t="shared" si="4"/>
        <v>a1328.textvalue 'CAMPT042',</v>
      </c>
      <c r="I50" s="9" t="s">
        <v>288</v>
      </c>
      <c r="J50">
        <v>4</v>
      </c>
    </row>
    <row r="51" spans="1:10" ht="25.2" hidden="1" customHeight="1" x14ac:dyDescent="0.3">
      <c r="A51" t="str">
        <f t="shared" si="2"/>
        <v>CAMPT043</v>
      </c>
      <c r="B51" s="2" t="s">
        <v>146</v>
      </c>
      <c r="C51" s="3" t="s">
        <v>17</v>
      </c>
      <c r="D51" s="3" t="s">
        <v>147</v>
      </c>
      <c r="E51" s="3" t="s">
        <v>13</v>
      </c>
      <c r="F51" s="3" t="s">
        <v>14</v>
      </c>
      <c r="G51" t="str">
        <f t="shared" si="3"/>
        <v>left outer join tenant_vw_dataobjects_attr a1329 
on p.dataobject_id=a1329.dataobject_id and a1329.attr_id=1329</v>
      </c>
      <c r="H51" t="str">
        <f t="shared" si="4"/>
        <v>a1329.textvalue 'CAMPT043',</v>
      </c>
      <c r="I51" s="9" t="s">
        <v>288</v>
      </c>
      <c r="J51">
        <v>4</v>
      </c>
    </row>
    <row r="52" spans="1:10" ht="25.2" hidden="1" customHeight="1" x14ac:dyDescent="0.3">
      <c r="A52" t="str">
        <f t="shared" si="2"/>
        <v>CAMPT044</v>
      </c>
      <c r="B52" s="4" t="s">
        <v>148</v>
      </c>
      <c r="C52" s="5" t="s">
        <v>17</v>
      </c>
      <c r="D52" s="5" t="s">
        <v>149</v>
      </c>
      <c r="E52" s="5" t="s">
        <v>13</v>
      </c>
      <c r="F52" s="5" t="s">
        <v>14</v>
      </c>
      <c r="G52" t="str">
        <f t="shared" si="3"/>
        <v>left outer join tenant_vw_dataobjects_attr a1330 
on p.dataobject_id=a1330.dataobject_id and a1330.attr_id=1330</v>
      </c>
      <c r="H52" t="str">
        <f t="shared" si="4"/>
        <v>a1330.textvalue 'CAMPT044',</v>
      </c>
      <c r="I52" s="9" t="s">
        <v>288</v>
      </c>
      <c r="J52">
        <v>4</v>
      </c>
    </row>
    <row r="53" spans="1:10" ht="25.2" hidden="1" customHeight="1" x14ac:dyDescent="0.3">
      <c r="A53" t="str">
        <f t="shared" si="2"/>
        <v>CAMPT045</v>
      </c>
      <c r="B53" s="2" t="s">
        <v>150</v>
      </c>
      <c r="C53" s="3" t="s">
        <v>17</v>
      </c>
      <c r="D53" s="3" t="s">
        <v>151</v>
      </c>
      <c r="E53" s="3" t="s">
        <v>13</v>
      </c>
      <c r="F53" s="3" t="s">
        <v>14</v>
      </c>
      <c r="G53" t="str">
        <f t="shared" si="3"/>
        <v>left outer join tenant_vw_dataobjects_attr a1331 
on p.dataobject_id=a1331.dataobject_id and a1331.attr_id=1331</v>
      </c>
      <c r="H53" t="str">
        <f t="shared" si="4"/>
        <v>a1331.textvalue 'CAMPT045',</v>
      </c>
      <c r="I53" s="9" t="s">
        <v>288</v>
      </c>
      <c r="J53">
        <v>4</v>
      </c>
    </row>
    <row r="54" spans="1:10" ht="25.2" hidden="1" customHeight="1" x14ac:dyDescent="0.3">
      <c r="A54" t="str">
        <f t="shared" si="2"/>
        <v>CAMPT046</v>
      </c>
      <c r="B54" s="4" t="s">
        <v>152</v>
      </c>
      <c r="C54" s="5" t="s">
        <v>17</v>
      </c>
      <c r="D54" s="5" t="s">
        <v>153</v>
      </c>
      <c r="E54" s="5" t="s">
        <v>13</v>
      </c>
      <c r="F54" s="5" t="s">
        <v>14</v>
      </c>
      <c r="G54" t="str">
        <f t="shared" si="3"/>
        <v>left outer join tenant_vw_dataobjects_attr a1332 
on p.dataobject_id=a1332.dataobject_id and a1332.attr_id=1332</v>
      </c>
      <c r="H54" t="str">
        <f t="shared" si="4"/>
        <v>a1332.textvalue 'CAMPT046',</v>
      </c>
      <c r="I54" s="9" t="s">
        <v>288</v>
      </c>
      <c r="J54">
        <v>4</v>
      </c>
    </row>
    <row r="55" spans="1:10" ht="25.2" hidden="1" customHeight="1" x14ac:dyDescent="0.3">
      <c r="A55" t="str">
        <f t="shared" si="2"/>
        <v>CAMPT047</v>
      </c>
      <c r="B55" s="2" t="s">
        <v>154</v>
      </c>
      <c r="C55" s="3" t="s">
        <v>17</v>
      </c>
      <c r="D55" s="3" t="s">
        <v>155</v>
      </c>
      <c r="E55" s="3" t="s">
        <v>13</v>
      </c>
      <c r="F55" s="3" t="s">
        <v>14</v>
      </c>
      <c r="G55" t="str">
        <f t="shared" si="3"/>
        <v>left outer join tenant_vw_dataobjects_attr a1333 
on p.dataobject_id=a1333.dataobject_id and a1333.attr_id=1333</v>
      </c>
      <c r="H55" t="str">
        <f t="shared" si="4"/>
        <v>a1333.textvalue 'CAMPT047',</v>
      </c>
      <c r="I55" s="9" t="s">
        <v>288</v>
      </c>
      <c r="J55">
        <v>4</v>
      </c>
    </row>
    <row r="56" spans="1:10" ht="25.2" hidden="1" customHeight="1" x14ac:dyDescent="0.3">
      <c r="A56" t="str">
        <f t="shared" si="2"/>
        <v>CAMPT048</v>
      </c>
      <c r="B56" s="4" t="s">
        <v>156</v>
      </c>
      <c r="C56" s="5" t="s">
        <v>17</v>
      </c>
      <c r="D56" s="5" t="s">
        <v>157</v>
      </c>
      <c r="E56" s="5" t="s">
        <v>13</v>
      </c>
      <c r="F56" s="5" t="s">
        <v>14</v>
      </c>
      <c r="G56" t="str">
        <f t="shared" si="3"/>
        <v>left outer join tenant_vw_dataobjects_attr a1334 
on p.dataobject_id=a1334.dataobject_id and a1334.attr_id=1334</v>
      </c>
      <c r="H56" t="str">
        <f t="shared" si="4"/>
        <v>a1334.textvalue 'CAMPT048',</v>
      </c>
      <c r="I56" s="9" t="s">
        <v>288</v>
      </c>
      <c r="J56">
        <v>4</v>
      </c>
    </row>
    <row r="57" spans="1:10" ht="25.2" hidden="1" customHeight="1" x14ac:dyDescent="0.3">
      <c r="A57" t="str">
        <f t="shared" si="2"/>
        <v>CAMPT049</v>
      </c>
      <c r="B57" s="2" t="s">
        <v>158</v>
      </c>
      <c r="C57" s="3" t="s">
        <v>17</v>
      </c>
      <c r="D57" s="3" t="s">
        <v>159</v>
      </c>
      <c r="E57" s="3" t="s">
        <v>13</v>
      </c>
      <c r="F57" s="3" t="s">
        <v>14</v>
      </c>
      <c r="G57" t="str">
        <f t="shared" si="3"/>
        <v>left outer join tenant_vw_dataobjects_attr a1335 
on p.dataobject_id=a1335.dataobject_id and a1335.attr_id=1335</v>
      </c>
      <c r="H57" t="str">
        <f t="shared" si="4"/>
        <v>a1335.textvalue 'CAMPT049',</v>
      </c>
      <c r="I57" s="9" t="s">
        <v>288</v>
      </c>
      <c r="J57">
        <v>4</v>
      </c>
    </row>
    <row r="58" spans="1:10" ht="25.2" hidden="1" customHeight="1" x14ac:dyDescent="0.3">
      <c r="A58" t="str">
        <f t="shared" si="2"/>
        <v>CAMPT050</v>
      </c>
      <c r="B58" s="2" t="s">
        <v>160</v>
      </c>
      <c r="C58" s="3" t="s">
        <v>17</v>
      </c>
      <c r="D58" s="3" t="s">
        <v>161</v>
      </c>
      <c r="E58" s="3" t="s">
        <v>13</v>
      </c>
      <c r="F58" s="3" t="s">
        <v>14</v>
      </c>
      <c r="G58" t="str">
        <f t="shared" si="3"/>
        <v>left outer join tenant_vw_dataobjects_attr a1336 
on p.dataobject_id=a1336.dataobject_id and a1336.attr_id=1336</v>
      </c>
      <c r="H58" t="str">
        <f t="shared" si="4"/>
        <v>a1336.textvalue 'CAMPT050',</v>
      </c>
      <c r="I58" s="9" t="s">
        <v>288</v>
      </c>
      <c r="J58">
        <v>4</v>
      </c>
    </row>
    <row r="59" spans="1:10" ht="25.2" hidden="1" customHeight="1" x14ac:dyDescent="0.3">
      <c r="A59" t="str">
        <f t="shared" si="2"/>
        <v>CERTL005</v>
      </c>
      <c r="B59" s="4" t="s">
        <v>42</v>
      </c>
      <c r="C59" s="5" t="s">
        <v>11</v>
      </c>
      <c r="D59" s="5" t="s">
        <v>43</v>
      </c>
      <c r="E59" s="5" t="s">
        <v>13</v>
      </c>
      <c r="F59" s="5" t="s">
        <v>14</v>
      </c>
      <c r="G59" t="str">
        <f t="shared" si="3"/>
        <v>left outer join tenant_vw_dataobjects_attr_list al1280 
 inner join tenant_vw_attributes_list lv1280 on al1280.custattrlistval_id=lv1280.custattrlistval_id
 on p.dataobject_id=al1280.dataobject_id and al1280.attr_id=1280</v>
      </c>
      <c r="H59" t="str">
        <f t="shared" si="4"/>
        <v>lv1280.label 'CERTL005',</v>
      </c>
      <c r="I59" s="9" t="s">
        <v>94</v>
      </c>
      <c r="J59">
        <v>5</v>
      </c>
    </row>
    <row r="60" spans="1:10" ht="25.2" hidden="1" customHeight="1" x14ac:dyDescent="0.3">
      <c r="A60" t="str">
        <f t="shared" si="2"/>
        <v>NOTAT005</v>
      </c>
      <c r="B60" s="2" t="s">
        <v>44</v>
      </c>
      <c r="C60" s="3" t="s">
        <v>17</v>
      </c>
      <c r="D60" s="3" t="s">
        <v>45</v>
      </c>
      <c r="E60" s="3" t="s">
        <v>13</v>
      </c>
      <c r="F60" s="3" t="s">
        <v>14</v>
      </c>
      <c r="G60" t="str">
        <f t="shared" si="3"/>
        <v>left outer join tenant_vw_dataobjects_attr a1281 
on p.dataobject_id=a1281.dataobject_id and a1281.attr_id=1281</v>
      </c>
      <c r="H60" t="str">
        <f t="shared" si="4"/>
        <v>a1281.textvalue 'NOTAT005',</v>
      </c>
      <c r="I60" s="9" t="s">
        <v>94</v>
      </c>
      <c r="J60">
        <v>5</v>
      </c>
    </row>
    <row r="61" spans="1:10" ht="25.2" hidden="1" customHeight="1" x14ac:dyDescent="0.3">
      <c r="A61" t="str">
        <f t="shared" si="2"/>
        <v>CAMPT013</v>
      </c>
      <c r="B61" s="2" t="s">
        <v>84</v>
      </c>
      <c r="C61" s="3" t="s">
        <v>17</v>
      </c>
      <c r="D61" s="3" t="s">
        <v>85</v>
      </c>
      <c r="E61" s="3" t="s">
        <v>13</v>
      </c>
      <c r="F61" s="3" t="s">
        <v>14</v>
      </c>
      <c r="G61" t="str">
        <f t="shared" si="3"/>
        <v>left outer join tenant_vw_dataobjects_attr a1300 
on p.dataobject_id=a1300.dataobject_id and a1300.attr_id=1300</v>
      </c>
      <c r="H61" t="str">
        <f t="shared" si="4"/>
        <v>a1300.textvalue 'CAMPT013',</v>
      </c>
      <c r="I61" s="9" t="s">
        <v>94</v>
      </c>
      <c r="J61">
        <v>5</v>
      </c>
    </row>
    <row r="62" spans="1:10" ht="25.2" hidden="1" customHeight="1" x14ac:dyDescent="0.3">
      <c r="A62" t="str">
        <f t="shared" si="2"/>
        <v>CAMPT026</v>
      </c>
      <c r="B62" s="2" t="s">
        <v>111</v>
      </c>
      <c r="C62" s="3" t="s">
        <v>17</v>
      </c>
      <c r="D62" s="3" t="s">
        <v>112</v>
      </c>
      <c r="E62" s="3" t="s">
        <v>13</v>
      </c>
      <c r="F62" s="3" t="s">
        <v>14</v>
      </c>
      <c r="G62" t="str">
        <f t="shared" si="3"/>
        <v>left outer join tenant_vw_dataobjects_attr a897 
on p.dataobject_id=a897.dataobject_id and a897.attr_id=897</v>
      </c>
      <c r="H62" t="str">
        <f t="shared" si="4"/>
        <v>a897.textvalue 'CAMPT026',</v>
      </c>
      <c r="I62" s="9" t="s">
        <v>94</v>
      </c>
      <c r="J62">
        <v>5</v>
      </c>
    </row>
    <row r="63" spans="1:10" ht="25.2" hidden="1" customHeight="1" x14ac:dyDescent="0.3">
      <c r="A63" t="str">
        <f t="shared" si="2"/>
        <v>CAMPT097</v>
      </c>
      <c r="B63" s="2" t="s">
        <v>256</v>
      </c>
      <c r="C63" s="3" t="s">
        <v>17</v>
      </c>
      <c r="D63" s="3" t="s">
        <v>257</v>
      </c>
      <c r="E63" s="3" t="s">
        <v>13</v>
      </c>
      <c r="F63" s="3" t="s">
        <v>14</v>
      </c>
      <c r="G63" t="str">
        <f t="shared" si="3"/>
        <v>left outer join tenant_vw_dataobjects_attr a1383 
on p.dataobject_id=a1383.dataobject_id and a1383.attr_id=1383</v>
      </c>
      <c r="H63" t="str">
        <f t="shared" si="4"/>
        <v>a1383.textvalue 'CAMPT097',</v>
      </c>
      <c r="I63" s="9" t="s">
        <v>94</v>
      </c>
      <c r="J63">
        <v>5</v>
      </c>
    </row>
    <row r="64" spans="1:10" ht="25.2" hidden="1" customHeight="1" x14ac:dyDescent="0.3">
      <c r="A64" t="str">
        <f t="shared" si="2"/>
        <v>CAMPT098</v>
      </c>
      <c r="B64" s="4" t="s">
        <v>258</v>
      </c>
      <c r="C64" s="5" t="s">
        <v>17</v>
      </c>
      <c r="D64" s="5" t="s">
        <v>259</v>
      </c>
      <c r="E64" s="5" t="s">
        <v>13</v>
      </c>
      <c r="F64" s="5" t="s">
        <v>14</v>
      </c>
      <c r="G64" t="str">
        <f t="shared" si="3"/>
        <v>left outer join tenant_vw_dataobjects_attr a1384 
on p.dataobject_id=a1384.dataobject_id and a1384.attr_id=1384</v>
      </c>
      <c r="H64" t="str">
        <f t="shared" si="4"/>
        <v>a1384.textvalue 'CAMPT098',</v>
      </c>
      <c r="I64" s="9" t="s">
        <v>94</v>
      </c>
      <c r="J64">
        <v>5</v>
      </c>
    </row>
    <row r="65" spans="1:10" ht="25.2" hidden="1" customHeight="1" x14ac:dyDescent="0.3">
      <c r="A65" t="str">
        <f t="shared" si="2"/>
        <v>CAMPT099</v>
      </c>
      <c r="B65" s="2" t="s">
        <v>260</v>
      </c>
      <c r="C65" s="3" t="s">
        <v>17</v>
      </c>
      <c r="D65" s="3" t="s">
        <v>261</v>
      </c>
      <c r="E65" s="3" t="s">
        <v>13</v>
      </c>
      <c r="F65" s="3" t="s">
        <v>14</v>
      </c>
      <c r="G65" t="str">
        <f t="shared" si="3"/>
        <v>left outer join tenant_vw_dataobjects_attr a1385 
on p.dataobject_id=a1385.dataobject_id and a1385.attr_id=1385</v>
      </c>
      <c r="H65" t="str">
        <f t="shared" si="4"/>
        <v>a1385.textvalue 'CAMPT099',</v>
      </c>
      <c r="I65" s="9" t="s">
        <v>94</v>
      </c>
      <c r="J65">
        <v>5</v>
      </c>
    </row>
    <row r="66" spans="1:10" ht="25.2" hidden="1" customHeight="1" x14ac:dyDescent="0.3">
      <c r="A66" t="str">
        <f t="shared" si="2"/>
        <v>CAMPT100</v>
      </c>
      <c r="B66" s="4" t="s">
        <v>275</v>
      </c>
      <c r="C66" s="3" t="s">
        <v>17</v>
      </c>
      <c r="D66" s="3">
        <v>1294</v>
      </c>
      <c r="E66" s="3" t="s">
        <v>13</v>
      </c>
      <c r="F66" s="3" t="s">
        <v>14</v>
      </c>
      <c r="G66" t="str">
        <f t="shared" ref="G66:G69" si="5">IF(C66="LIST","left outer join tenant_vw_dataobjects_attr_list al"&amp;D66&amp;" 
 inner join tenant_vw_attributes_list lv"&amp;D66&amp;" on al"&amp;D66&amp;".custattrlistval_id=lv"&amp;D66&amp;".custattrlistval_id
 on p.dataobject_id=al"&amp;D66&amp;".dataobject_id and al"&amp;D66&amp;".attr_id="&amp;D66,"left outer join tenant_vw_dataobjects_attr a"&amp;D66&amp;" 
on p.dataobject_id=a"&amp;D66&amp;".dataobject_id and a"&amp;D66&amp;".attr_id="&amp;D66)</f>
        <v>left outer join tenant_vw_dataobjects_attr a1294 
on p.dataobject_id=a1294.dataobject_id and a1294.attr_id=1294</v>
      </c>
      <c r="H66" t="str">
        <f t="shared" ref="H66:H69" si="6">IF(C66="LIST","lv"&amp;D66&amp;".label '"&amp;A66&amp;"',",IF(C66="TEXT","a"&amp;D66&amp;".textvalue '"&amp;A66&amp;"',","NOVA"))</f>
        <v>a1294.textvalue 'CAMPT100',</v>
      </c>
      <c r="I66" s="9" t="s">
        <v>94</v>
      </c>
      <c r="J66">
        <v>5</v>
      </c>
    </row>
    <row r="67" spans="1:10" ht="25.2" hidden="1" customHeight="1" x14ac:dyDescent="0.3">
      <c r="A67" t="str">
        <f t="shared" si="2"/>
        <v>CAMPT101</v>
      </c>
      <c r="B67" s="2" t="s">
        <v>276</v>
      </c>
      <c r="C67" s="3" t="s">
        <v>17</v>
      </c>
      <c r="D67" s="3">
        <v>1295</v>
      </c>
      <c r="E67" s="3" t="s">
        <v>13</v>
      </c>
      <c r="F67" s="3" t="s">
        <v>14</v>
      </c>
      <c r="G67" t="str">
        <f t="shared" si="5"/>
        <v>left outer join tenant_vw_dataobjects_attr a1295 
on p.dataobject_id=a1295.dataobject_id and a1295.attr_id=1295</v>
      </c>
      <c r="H67" t="str">
        <f t="shared" si="6"/>
        <v>a1295.textvalue 'CAMPT101',</v>
      </c>
      <c r="I67" s="9" t="s">
        <v>94</v>
      </c>
      <c r="J67">
        <v>5</v>
      </c>
    </row>
    <row r="68" spans="1:10" ht="25.2" hidden="1" customHeight="1" x14ac:dyDescent="0.3">
      <c r="A68" t="str">
        <f t="shared" ref="A68:A127" si="7">IF(MID(B68,5,5)="Certi","CERT",IF(MID(B68,5,5)="Notas","NOTA","CAMP"))&amp;LEFT(C68,1)&amp;IF(FIND(".",B68)=3,"0","")&amp;MID(B68,1,FIND(".",B68)-1)</f>
        <v>CAMPT102</v>
      </c>
      <c r="B68" s="4" t="s">
        <v>277</v>
      </c>
      <c r="C68" s="3" t="s">
        <v>17</v>
      </c>
      <c r="D68" s="3">
        <v>1296</v>
      </c>
      <c r="E68" s="3" t="s">
        <v>13</v>
      </c>
      <c r="F68" s="3" t="s">
        <v>14</v>
      </c>
      <c r="G68" t="str">
        <f t="shared" si="5"/>
        <v>left outer join tenant_vw_dataobjects_attr a1296 
on p.dataobject_id=a1296.dataobject_id and a1296.attr_id=1296</v>
      </c>
      <c r="H68" t="str">
        <f t="shared" si="6"/>
        <v>a1296.textvalue 'CAMPT102',</v>
      </c>
      <c r="I68" s="9" t="s">
        <v>94</v>
      </c>
      <c r="J68">
        <v>5</v>
      </c>
    </row>
    <row r="69" spans="1:10" ht="25.2" hidden="1" customHeight="1" x14ac:dyDescent="0.3">
      <c r="A69" t="str">
        <f t="shared" si="7"/>
        <v>CAMPT103</v>
      </c>
      <c r="B69" s="2" t="s">
        <v>278</v>
      </c>
      <c r="C69" s="3" t="s">
        <v>17</v>
      </c>
      <c r="D69" s="3">
        <v>1297</v>
      </c>
      <c r="E69" s="3" t="s">
        <v>13</v>
      </c>
      <c r="F69" s="3" t="s">
        <v>14</v>
      </c>
      <c r="G69" t="str">
        <f t="shared" si="5"/>
        <v>left outer join tenant_vw_dataobjects_attr a1297 
on p.dataobject_id=a1297.dataobject_id and a1297.attr_id=1297</v>
      </c>
      <c r="H69" t="str">
        <f t="shared" si="6"/>
        <v>a1297.textvalue 'CAMPT103',</v>
      </c>
      <c r="I69" s="9" t="s">
        <v>94</v>
      </c>
      <c r="J69">
        <v>5</v>
      </c>
    </row>
    <row r="70" spans="1:10" ht="25.2" hidden="1" customHeight="1" x14ac:dyDescent="0.3">
      <c r="A70" t="str">
        <f t="shared" si="7"/>
        <v>CERTL006</v>
      </c>
      <c r="B70" s="2" t="s">
        <v>48</v>
      </c>
      <c r="C70" s="3" t="s">
        <v>11</v>
      </c>
      <c r="D70" s="3" t="s">
        <v>49</v>
      </c>
      <c r="E70" s="3" t="s">
        <v>13</v>
      </c>
      <c r="F70" s="3" t="s">
        <v>14</v>
      </c>
      <c r="G70" t="str">
        <f t="shared" ref="G70:G101" si="8">IF(C70="LIST","left outer join tenant_vw_dataobjects_attr_list al"&amp;D70&amp;" 
 inner join tenant_vw_attributes_list lv"&amp;D70&amp;" on al"&amp;D70&amp;".custattrlistval_id=lv"&amp;D70&amp;".custattrlistval_id
 on p.dataobject_id=al"&amp;D70&amp;".dataobject_id and al"&amp;D70&amp;".attr_id="&amp;D70,"left outer join tenant_vw_dataobjects_attr a"&amp;D70&amp;" 
on p.dataobject_id=a"&amp;D70&amp;".dataobject_id and a"&amp;D70&amp;".attr_id="&amp;D70)</f>
        <v>left outer join tenant_vw_dataobjects_attr_list al1282 
 inner join tenant_vw_attributes_list lv1282 on al1282.custattrlistval_id=lv1282.custattrlistval_id
 on p.dataobject_id=al1282.dataobject_id and al1282.attr_id=1282</v>
      </c>
      <c r="H70" t="str">
        <f t="shared" ref="H70:H101" si="9">IF(C70="LIST","lv"&amp;D70&amp;".label '"&amp;A70&amp;"',",IF(C70="TEXT","a"&amp;D70&amp;".textvalue '"&amp;A70&amp;"',","NOVA"))</f>
        <v>lv1282.label 'CERTL006',</v>
      </c>
      <c r="I70" s="9" t="s">
        <v>94</v>
      </c>
      <c r="J70">
        <v>6</v>
      </c>
    </row>
    <row r="71" spans="1:10" ht="25.2" hidden="1" customHeight="1" x14ac:dyDescent="0.3">
      <c r="A71" t="str">
        <f t="shared" si="7"/>
        <v>NOTAT006</v>
      </c>
      <c r="B71" s="4" t="s">
        <v>50</v>
      </c>
      <c r="C71" s="5" t="s">
        <v>17</v>
      </c>
      <c r="D71" s="5" t="s">
        <v>51</v>
      </c>
      <c r="E71" s="5" t="s">
        <v>13</v>
      </c>
      <c r="F71" s="5" t="s">
        <v>14</v>
      </c>
      <c r="G71" t="str">
        <f t="shared" si="8"/>
        <v>left outer join tenant_vw_dataobjects_attr a1283 
on p.dataobject_id=a1283.dataobject_id and a1283.attr_id=1283</v>
      </c>
      <c r="H71" t="str">
        <f t="shared" si="9"/>
        <v>a1283.textvalue 'NOTAT006',</v>
      </c>
      <c r="I71" s="9" t="s">
        <v>94</v>
      </c>
      <c r="J71">
        <v>6</v>
      </c>
    </row>
    <row r="72" spans="1:10" ht="25.2" hidden="1" customHeight="1" x14ac:dyDescent="0.3">
      <c r="A72" t="str">
        <f t="shared" si="7"/>
        <v>CAMPT051</v>
      </c>
      <c r="B72" s="4" t="s">
        <v>162</v>
      </c>
      <c r="C72" s="5" t="s">
        <v>17</v>
      </c>
      <c r="D72" s="5" t="s">
        <v>163</v>
      </c>
      <c r="E72" s="5" t="s">
        <v>13</v>
      </c>
      <c r="F72" s="5" t="s">
        <v>14</v>
      </c>
      <c r="G72" t="str">
        <f t="shared" si="8"/>
        <v>left outer join tenant_vw_dataobjects_attr a1337 
on p.dataobject_id=a1337.dataobject_id and a1337.attr_id=1337</v>
      </c>
      <c r="H72" t="str">
        <f t="shared" si="9"/>
        <v>a1337.textvalue 'CAMPT051',</v>
      </c>
      <c r="I72" s="9" t="s">
        <v>94</v>
      </c>
      <c r="J72">
        <v>6</v>
      </c>
    </row>
    <row r="73" spans="1:10" ht="25.2" hidden="1" customHeight="1" x14ac:dyDescent="0.3">
      <c r="A73" t="str">
        <f t="shared" si="7"/>
        <v>CAMPT052</v>
      </c>
      <c r="B73" s="2" t="s">
        <v>164</v>
      </c>
      <c r="C73" s="3" t="s">
        <v>17</v>
      </c>
      <c r="D73" s="3" t="s">
        <v>165</v>
      </c>
      <c r="E73" s="3" t="s">
        <v>13</v>
      </c>
      <c r="F73" s="3" t="s">
        <v>14</v>
      </c>
      <c r="G73" t="str">
        <f t="shared" si="8"/>
        <v>left outer join tenant_vw_dataobjects_attr a1338 
on p.dataobject_id=a1338.dataobject_id and a1338.attr_id=1338</v>
      </c>
      <c r="H73" t="str">
        <f t="shared" si="9"/>
        <v>a1338.textvalue 'CAMPT052',</v>
      </c>
      <c r="I73" s="9" t="s">
        <v>94</v>
      </c>
      <c r="J73">
        <v>6</v>
      </c>
    </row>
    <row r="74" spans="1:10" ht="25.2" hidden="1" customHeight="1" x14ac:dyDescent="0.3">
      <c r="A74" t="str">
        <f t="shared" si="7"/>
        <v>CAMPT053</v>
      </c>
      <c r="B74" s="4" t="s">
        <v>166</v>
      </c>
      <c r="C74" s="5" t="s">
        <v>17</v>
      </c>
      <c r="D74" s="5" t="s">
        <v>167</v>
      </c>
      <c r="E74" s="5" t="s">
        <v>13</v>
      </c>
      <c r="F74" s="5" t="s">
        <v>14</v>
      </c>
      <c r="G74" t="str">
        <f t="shared" si="8"/>
        <v>left outer join tenant_vw_dataobjects_attr a1339 
on p.dataobject_id=a1339.dataobject_id and a1339.attr_id=1339</v>
      </c>
      <c r="H74" t="str">
        <f t="shared" si="9"/>
        <v>a1339.textvalue 'CAMPT053',</v>
      </c>
      <c r="I74" s="9" t="s">
        <v>94</v>
      </c>
      <c r="J74">
        <v>6</v>
      </c>
    </row>
    <row r="75" spans="1:10" ht="25.2" hidden="1" customHeight="1" x14ac:dyDescent="0.3">
      <c r="A75" t="str">
        <f t="shared" si="7"/>
        <v>CAMPT054</v>
      </c>
      <c r="B75" s="2" t="s">
        <v>168</v>
      </c>
      <c r="C75" s="3" t="s">
        <v>17</v>
      </c>
      <c r="D75" s="3" t="s">
        <v>169</v>
      </c>
      <c r="E75" s="3" t="s">
        <v>13</v>
      </c>
      <c r="F75" s="3" t="s">
        <v>14</v>
      </c>
      <c r="G75" t="str">
        <f t="shared" si="8"/>
        <v>left outer join tenant_vw_dataobjects_attr a1340 
on p.dataobject_id=a1340.dataobject_id and a1340.attr_id=1340</v>
      </c>
      <c r="H75" t="str">
        <f t="shared" si="9"/>
        <v>a1340.textvalue 'CAMPT054',</v>
      </c>
      <c r="I75" s="9" t="s">
        <v>94</v>
      </c>
      <c r="J75">
        <v>6</v>
      </c>
    </row>
    <row r="76" spans="1:10" ht="25.2" hidden="1" customHeight="1" x14ac:dyDescent="0.3">
      <c r="A76" t="str">
        <f t="shared" si="7"/>
        <v>CAMPT055</v>
      </c>
      <c r="B76" s="4" t="s">
        <v>170</v>
      </c>
      <c r="C76" s="5" t="s">
        <v>17</v>
      </c>
      <c r="D76" s="5" t="s">
        <v>171</v>
      </c>
      <c r="E76" s="5" t="s">
        <v>13</v>
      </c>
      <c r="F76" s="5" t="s">
        <v>14</v>
      </c>
      <c r="G76" t="str">
        <f t="shared" si="8"/>
        <v>left outer join tenant_vw_dataobjects_attr a1341 
on p.dataobject_id=a1341.dataobject_id and a1341.attr_id=1341</v>
      </c>
      <c r="H76" t="str">
        <f t="shared" si="9"/>
        <v>a1341.textvalue 'CAMPT055',</v>
      </c>
      <c r="I76" s="9" t="s">
        <v>94</v>
      </c>
      <c r="J76">
        <v>6</v>
      </c>
    </row>
    <row r="77" spans="1:10" ht="25.2" hidden="1" customHeight="1" x14ac:dyDescent="0.3">
      <c r="A77" t="str">
        <f t="shared" si="7"/>
        <v>CAMPT056</v>
      </c>
      <c r="B77" s="2" t="s">
        <v>173</v>
      </c>
      <c r="C77" s="3" t="s">
        <v>17</v>
      </c>
      <c r="D77" s="3" t="s">
        <v>174</v>
      </c>
      <c r="E77" s="3" t="s">
        <v>13</v>
      </c>
      <c r="F77" s="3" t="s">
        <v>14</v>
      </c>
      <c r="G77" t="str">
        <f t="shared" si="8"/>
        <v>left outer join tenant_vw_dataobjects_attr a1342 
on p.dataobject_id=a1342.dataobject_id and a1342.attr_id=1342</v>
      </c>
      <c r="H77" t="str">
        <f t="shared" si="9"/>
        <v>a1342.textvalue 'CAMPT056',</v>
      </c>
      <c r="I77" s="9" t="s">
        <v>94</v>
      </c>
      <c r="J77">
        <v>6</v>
      </c>
    </row>
    <row r="78" spans="1:10" ht="25.2" hidden="1" customHeight="1" x14ac:dyDescent="0.3">
      <c r="A78" t="str">
        <f t="shared" si="7"/>
        <v>CAMPT057</v>
      </c>
      <c r="B78" s="4" t="s">
        <v>175</v>
      </c>
      <c r="C78" s="5" t="s">
        <v>17</v>
      </c>
      <c r="D78" s="5" t="s">
        <v>176</v>
      </c>
      <c r="E78" s="5" t="s">
        <v>13</v>
      </c>
      <c r="F78" s="5" t="s">
        <v>14</v>
      </c>
      <c r="G78" t="str">
        <f t="shared" si="8"/>
        <v>left outer join tenant_vw_dataobjects_attr a1343 
on p.dataobject_id=a1343.dataobject_id and a1343.attr_id=1343</v>
      </c>
      <c r="H78" t="str">
        <f t="shared" si="9"/>
        <v>a1343.textvalue 'CAMPT057',</v>
      </c>
      <c r="I78" s="9" t="s">
        <v>94</v>
      </c>
      <c r="J78">
        <v>6</v>
      </c>
    </row>
    <row r="79" spans="1:10" ht="25.2" hidden="1" customHeight="1" x14ac:dyDescent="0.3">
      <c r="A79" t="str">
        <f t="shared" si="7"/>
        <v>CAMPT058</v>
      </c>
      <c r="B79" s="2" t="s">
        <v>177</v>
      </c>
      <c r="C79" s="3" t="s">
        <v>17</v>
      </c>
      <c r="D79" s="3" t="s">
        <v>178</v>
      </c>
      <c r="E79" s="3" t="s">
        <v>13</v>
      </c>
      <c r="F79" s="3" t="s">
        <v>14</v>
      </c>
      <c r="G79" t="str">
        <f t="shared" si="8"/>
        <v>left outer join tenant_vw_dataobjects_attr a1344 
on p.dataobject_id=a1344.dataobject_id and a1344.attr_id=1344</v>
      </c>
      <c r="H79" t="str">
        <f t="shared" si="9"/>
        <v>a1344.textvalue 'CAMPT058',</v>
      </c>
      <c r="I79" s="9" t="s">
        <v>94</v>
      </c>
      <c r="J79">
        <v>6</v>
      </c>
    </row>
    <row r="80" spans="1:10" ht="25.2" hidden="1" customHeight="1" x14ac:dyDescent="0.3">
      <c r="A80" t="str">
        <f t="shared" si="7"/>
        <v>CERTL007</v>
      </c>
      <c r="B80" s="2" t="s">
        <v>52</v>
      </c>
      <c r="C80" s="3" t="s">
        <v>11</v>
      </c>
      <c r="D80" s="3" t="s">
        <v>53</v>
      </c>
      <c r="E80" s="3" t="s">
        <v>13</v>
      </c>
      <c r="F80" s="3" t="s">
        <v>14</v>
      </c>
      <c r="G80" t="str">
        <f t="shared" si="8"/>
        <v>left outer join tenant_vw_dataobjects_attr_list al1284 
 inner join tenant_vw_attributes_list lv1284 on al1284.custattrlistval_id=lv1284.custattrlistval_id
 on p.dataobject_id=al1284.dataobject_id and al1284.attr_id=1284</v>
      </c>
      <c r="H80" t="str">
        <f t="shared" si="9"/>
        <v>lv1284.label 'CERTL007',</v>
      </c>
      <c r="I80" s="9" t="s">
        <v>133</v>
      </c>
      <c r="J80">
        <v>7</v>
      </c>
    </row>
    <row r="81" spans="1:10" ht="25.2" hidden="1" customHeight="1" x14ac:dyDescent="0.3">
      <c r="A81" t="str">
        <f t="shared" si="7"/>
        <v>NOTAT007</v>
      </c>
      <c r="B81" s="2" t="s">
        <v>56</v>
      </c>
      <c r="C81" s="3" t="s">
        <v>17</v>
      </c>
      <c r="D81" s="3" t="s">
        <v>57</v>
      </c>
      <c r="E81" s="3" t="s">
        <v>13</v>
      </c>
      <c r="F81" s="3" t="s">
        <v>14</v>
      </c>
      <c r="G81" t="str">
        <f t="shared" si="8"/>
        <v>left outer join tenant_vw_dataobjects_attr a1285 
on p.dataobject_id=a1285.dataobject_id and a1285.attr_id=1285</v>
      </c>
      <c r="H81" t="str">
        <f t="shared" si="9"/>
        <v>a1285.textvalue 'NOTAT007',</v>
      </c>
      <c r="I81" s="9" t="s">
        <v>133</v>
      </c>
      <c r="J81">
        <v>7</v>
      </c>
    </row>
    <row r="82" spans="1:10" ht="25.2" hidden="1" customHeight="1" x14ac:dyDescent="0.3">
      <c r="A82" t="str">
        <f t="shared" si="7"/>
        <v>CAMPT059</v>
      </c>
      <c r="B82" s="4" t="s">
        <v>179</v>
      </c>
      <c r="C82" s="5" t="s">
        <v>17</v>
      </c>
      <c r="D82" s="5" t="s">
        <v>180</v>
      </c>
      <c r="E82" s="5" t="s">
        <v>13</v>
      </c>
      <c r="F82" s="5" t="s">
        <v>14</v>
      </c>
      <c r="G82" t="str">
        <f t="shared" si="8"/>
        <v>left outer join tenant_vw_dataobjects_attr a1345 
on p.dataobject_id=a1345.dataobject_id and a1345.attr_id=1345</v>
      </c>
      <c r="H82" t="str">
        <f t="shared" si="9"/>
        <v>a1345.textvalue 'CAMPT059',</v>
      </c>
      <c r="I82" s="9" t="s">
        <v>133</v>
      </c>
      <c r="J82">
        <v>7</v>
      </c>
    </row>
    <row r="83" spans="1:10" ht="25.2" hidden="1" customHeight="1" x14ac:dyDescent="0.3">
      <c r="A83" t="str">
        <f t="shared" si="7"/>
        <v>CAMPT060</v>
      </c>
      <c r="B83" s="4" t="s">
        <v>181</v>
      </c>
      <c r="C83" s="5" t="s">
        <v>17</v>
      </c>
      <c r="D83" s="5" t="s">
        <v>182</v>
      </c>
      <c r="E83" s="5" t="s">
        <v>13</v>
      </c>
      <c r="F83" s="5" t="s">
        <v>14</v>
      </c>
      <c r="G83" t="str">
        <f t="shared" si="8"/>
        <v>left outer join tenant_vw_dataobjects_attr a1346 
on p.dataobject_id=a1346.dataobject_id and a1346.attr_id=1346</v>
      </c>
      <c r="H83" t="str">
        <f t="shared" si="9"/>
        <v>a1346.textvalue 'CAMPT060',</v>
      </c>
      <c r="I83" s="9" t="s">
        <v>133</v>
      </c>
      <c r="J83">
        <v>7</v>
      </c>
    </row>
    <row r="84" spans="1:10" ht="25.2" hidden="1" customHeight="1" x14ac:dyDescent="0.3">
      <c r="A84" t="str">
        <f t="shared" si="7"/>
        <v>CAMPT061</v>
      </c>
      <c r="B84" s="2" t="s">
        <v>183</v>
      </c>
      <c r="C84" s="3" t="s">
        <v>17</v>
      </c>
      <c r="D84" s="3" t="s">
        <v>184</v>
      </c>
      <c r="E84" s="3" t="s">
        <v>13</v>
      </c>
      <c r="F84" s="3" t="s">
        <v>14</v>
      </c>
      <c r="G84" t="str">
        <f t="shared" si="8"/>
        <v>left outer join tenant_vw_dataobjects_attr a1347 
on p.dataobject_id=a1347.dataobject_id and a1347.attr_id=1347</v>
      </c>
      <c r="H84" t="str">
        <f t="shared" si="9"/>
        <v>a1347.textvalue 'CAMPT061',</v>
      </c>
      <c r="I84" s="9" t="s">
        <v>133</v>
      </c>
      <c r="J84">
        <v>7</v>
      </c>
    </row>
    <row r="85" spans="1:10" ht="25.2" hidden="1" customHeight="1" x14ac:dyDescent="0.3">
      <c r="A85" t="str">
        <f t="shared" si="7"/>
        <v>CAMPT062</v>
      </c>
      <c r="B85" s="4" t="s">
        <v>185</v>
      </c>
      <c r="C85" s="5" t="s">
        <v>17</v>
      </c>
      <c r="D85" s="5" t="s">
        <v>186</v>
      </c>
      <c r="E85" s="5" t="s">
        <v>13</v>
      </c>
      <c r="F85" s="5" t="s">
        <v>14</v>
      </c>
      <c r="G85" t="str">
        <f t="shared" si="8"/>
        <v>left outer join tenant_vw_dataobjects_attr a1348 
on p.dataobject_id=a1348.dataobject_id and a1348.attr_id=1348</v>
      </c>
      <c r="H85" t="str">
        <f t="shared" si="9"/>
        <v>a1348.textvalue 'CAMPT062',</v>
      </c>
      <c r="I85" s="9" t="s">
        <v>133</v>
      </c>
      <c r="J85">
        <v>7</v>
      </c>
    </row>
    <row r="86" spans="1:10" ht="25.2" hidden="1" customHeight="1" x14ac:dyDescent="0.3">
      <c r="A86" t="str">
        <f t="shared" si="7"/>
        <v>CAMPT063</v>
      </c>
      <c r="B86" s="2" t="s">
        <v>187</v>
      </c>
      <c r="C86" s="3" t="s">
        <v>17</v>
      </c>
      <c r="D86" s="3" t="s">
        <v>188</v>
      </c>
      <c r="E86" s="3" t="s">
        <v>13</v>
      </c>
      <c r="F86" s="3" t="s">
        <v>14</v>
      </c>
      <c r="G86" t="str">
        <f t="shared" si="8"/>
        <v>left outer join tenant_vw_dataobjects_attr a1349 
on p.dataobject_id=a1349.dataobject_id and a1349.attr_id=1349</v>
      </c>
      <c r="H86" t="str">
        <f t="shared" si="9"/>
        <v>a1349.textvalue 'CAMPT063',</v>
      </c>
      <c r="I86" s="9" t="s">
        <v>133</v>
      </c>
      <c r="J86">
        <v>7</v>
      </c>
    </row>
    <row r="87" spans="1:10" ht="25.2" hidden="1" customHeight="1" x14ac:dyDescent="0.3">
      <c r="A87" t="str">
        <f t="shared" si="7"/>
        <v>CAMPT064</v>
      </c>
      <c r="B87" s="4" t="s">
        <v>189</v>
      </c>
      <c r="C87" s="5" t="s">
        <v>17</v>
      </c>
      <c r="D87" s="5" t="s">
        <v>190</v>
      </c>
      <c r="E87" s="5" t="s">
        <v>13</v>
      </c>
      <c r="F87" s="5" t="s">
        <v>14</v>
      </c>
      <c r="G87" t="str">
        <f t="shared" si="8"/>
        <v>left outer join tenant_vw_dataobjects_attr a1350 
on p.dataobject_id=a1350.dataobject_id and a1350.attr_id=1350</v>
      </c>
      <c r="H87" t="str">
        <f t="shared" si="9"/>
        <v>a1350.textvalue 'CAMPT064',</v>
      </c>
      <c r="I87" s="9" t="s">
        <v>133</v>
      </c>
      <c r="J87">
        <v>7</v>
      </c>
    </row>
    <row r="88" spans="1:10" ht="25.2" hidden="1" customHeight="1" x14ac:dyDescent="0.3">
      <c r="A88" t="str">
        <f t="shared" si="7"/>
        <v>CAMPT065</v>
      </c>
      <c r="B88" s="2" t="s">
        <v>191</v>
      </c>
      <c r="C88" s="3" t="s">
        <v>17</v>
      </c>
      <c r="D88" s="3" t="s">
        <v>192</v>
      </c>
      <c r="E88" s="3" t="s">
        <v>13</v>
      </c>
      <c r="F88" s="3" t="s">
        <v>14</v>
      </c>
      <c r="G88" t="str">
        <f t="shared" si="8"/>
        <v>left outer join tenant_vw_dataobjects_attr a1351 
on p.dataobject_id=a1351.dataobject_id and a1351.attr_id=1351</v>
      </c>
      <c r="H88" t="str">
        <f t="shared" si="9"/>
        <v>a1351.textvalue 'CAMPT065',</v>
      </c>
      <c r="I88" s="9" t="s">
        <v>133</v>
      </c>
      <c r="J88">
        <v>7</v>
      </c>
    </row>
    <row r="89" spans="1:10" ht="25.2" hidden="1" customHeight="1" x14ac:dyDescent="0.3">
      <c r="A89" t="str">
        <f t="shared" si="7"/>
        <v>CAMPT066</v>
      </c>
      <c r="B89" s="4" t="s">
        <v>193</v>
      </c>
      <c r="C89" s="5" t="s">
        <v>17</v>
      </c>
      <c r="D89" s="5" t="s">
        <v>194</v>
      </c>
      <c r="E89" s="5" t="s">
        <v>13</v>
      </c>
      <c r="F89" s="5" t="s">
        <v>14</v>
      </c>
      <c r="G89" t="str">
        <f t="shared" si="8"/>
        <v>left outer join tenant_vw_dataobjects_attr a1352 
on p.dataobject_id=a1352.dataobject_id and a1352.attr_id=1352</v>
      </c>
      <c r="H89" t="str">
        <f t="shared" si="9"/>
        <v>a1352.textvalue 'CAMPT066',</v>
      </c>
      <c r="I89" s="9" t="s">
        <v>133</v>
      </c>
      <c r="J89">
        <v>7</v>
      </c>
    </row>
    <row r="90" spans="1:10" ht="25.2" hidden="1" customHeight="1" x14ac:dyDescent="0.3">
      <c r="A90" t="str">
        <f t="shared" si="7"/>
        <v>CERTL008</v>
      </c>
      <c r="B90" s="4" t="s">
        <v>58</v>
      </c>
      <c r="C90" s="5" t="s">
        <v>11</v>
      </c>
      <c r="D90" s="5" t="s">
        <v>59</v>
      </c>
      <c r="E90" s="5" t="s">
        <v>13</v>
      </c>
      <c r="F90" s="5" t="s">
        <v>14</v>
      </c>
      <c r="G90" t="str">
        <f t="shared" si="8"/>
        <v>left outer join tenant_vw_dataobjects_attr_list al1286 
 inner join tenant_vw_attributes_list lv1286 on al1286.custattrlistval_id=lv1286.custattrlistval_id
 on p.dataobject_id=al1286.dataobject_id and al1286.attr_id=1286</v>
      </c>
      <c r="H90" t="str">
        <f t="shared" si="9"/>
        <v>lv1286.label 'CERTL008',</v>
      </c>
      <c r="I90" s="9" t="s">
        <v>133</v>
      </c>
      <c r="J90">
        <v>8</v>
      </c>
    </row>
    <row r="91" spans="1:10" ht="25.2" hidden="1" customHeight="1" x14ac:dyDescent="0.3">
      <c r="A91" t="str">
        <f t="shared" si="7"/>
        <v>NOTAT008</v>
      </c>
      <c r="B91" s="4" t="s">
        <v>62</v>
      </c>
      <c r="C91" s="5" t="s">
        <v>17</v>
      </c>
      <c r="D91" s="5" t="s">
        <v>63</v>
      </c>
      <c r="E91" s="5" t="s">
        <v>13</v>
      </c>
      <c r="F91" s="5" t="s">
        <v>14</v>
      </c>
      <c r="G91" t="str">
        <f t="shared" si="8"/>
        <v>left outer join tenant_vw_dataobjects_attr a1287 
on p.dataobject_id=a1287.dataobject_id and a1287.attr_id=1287</v>
      </c>
      <c r="H91" t="str">
        <f t="shared" si="9"/>
        <v>a1287.textvalue 'NOTAT008',</v>
      </c>
      <c r="I91" s="9" t="s">
        <v>133</v>
      </c>
      <c r="J91">
        <v>8</v>
      </c>
    </row>
    <row r="92" spans="1:10" ht="25.2" hidden="1" customHeight="1" x14ac:dyDescent="0.3">
      <c r="A92" t="str">
        <f t="shared" si="7"/>
        <v>CAMPT067</v>
      </c>
      <c r="B92" s="2" t="s">
        <v>195</v>
      </c>
      <c r="C92" s="3" t="s">
        <v>17</v>
      </c>
      <c r="D92" s="3" t="s">
        <v>196</v>
      </c>
      <c r="E92" s="3" t="s">
        <v>13</v>
      </c>
      <c r="F92" s="3" t="s">
        <v>14</v>
      </c>
      <c r="G92" t="str">
        <f t="shared" si="8"/>
        <v>left outer join tenant_vw_dataobjects_attr a1353 
on p.dataobject_id=a1353.dataobject_id and a1353.attr_id=1353</v>
      </c>
      <c r="H92" t="str">
        <f t="shared" si="9"/>
        <v>a1353.textvalue 'CAMPT067',</v>
      </c>
      <c r="I92" s="9" t="s">
        <v>133</v>
      </c>
      <c r="J92">
        <v>8</v>
      </c>
    </row>
    <row r="93" spans="1:10" ht="25.2" hidden="1" customHeight="1" x14ac:dyDescent="0.3">
      <c r="A93" t="str">
        <f t="shared" si="7"/>
        <v>CAMPT068</v>
      </c>
      <c r="B93" s="4" t="s">
        <v>197</v>
      </c>
      <c r="C93" s="5" t="s">
        <v>17</v>
      </c>
      <c r="D93" s="5" t="s">
        <v>198</v>
      </c>
      <c r="E93" s="5" t="s">
        <v>13</v>
      </c>
      <c r="F93" s="5" t="s">
        <v>14</v>
      </c>
      <c r="G93" t="str">
        <f t="shared" si="8"/>
        <v>left outer join tenant_vw_dataobjects_attr a1354 
on p.dataobject_id=a1354.dataobject_id and a1354.attr_id=1354</v>
      </c>
      <c r="H93" t="str">
        <f t="shared" si="9"/>
        <v>a1354.textvalue 'CAMPT068',</v>
      </c>
      <c r="I93" s="9" t="s">
        <v>133</v>
      </c>
      <c r="J93">
        <v>8</v>
      </c>
    </row>
    <row r="94" spans="1:10" ht="25.2" hidden="1" customHeight="1" x14ac:dyDescent="0.3">
      <c r="A94" t="str">
        <f t="shared" si="7"/>
        <v>CAMPT069</v>
      </c>
      <c r="B94" s="2" t="s">
        <v>199</v>
      </c>
      <c r="C94" s="3" t="s">
        <v>17</v>
      </c>
      <c r="D94" s="3" t="s">
        <v>200</v>
      </c>
      <c r="E94" s="3" t="s">
        <v>13</v>
      </c>
      <c r="F94" s="3" t="s">
        <v>14</v>
      </c>
      <c r="G94" t="str">
        <f t="shared" si="8"/>
        <v>left outer join tenant_vw_dataobjects_attr a1355 
on p.dataobject_id=a1355.dataobject_id and a1355.attr_id=1355</v>
      </c>
      <c r="H94" t="str">
        <f t="shared" si="9"/>
        <v>a1355.textvalue 'CAMPT069',</v>
      </c>
      <c r="I94" s="9" t="s">
        <v>133</v>
      </c>
      <c r="J94">
        <v>8</v>
      </c>
    </row>
    <row r="95" spans="1:10" ht="25.2" hidden="1" customHeight="1" x14ac:dyDescent="0.3">
      <c r="A95" t="str">
        <f t="shared" si="7"/>
        <v>CAMPT070</v>
      </c>
      <c r="B95" s="2" t="s">
        <v>201</v>
      </c>
      <c r="C95" s="3" t="s">
        <v>17</v>
      </c>
      <c r="D95" s="3" t="s">
        <v>202</v>
      </c>
      <c r="E95" s="3" t="s">
        <v>13</v>
      </c>
      <c r="F95" s="3" t="s">
        <v>14</v>
      </c>
      <c r="G95" t="str">
        <f t="shared" si="8"/>
        <v>left outer join tenant_vw_dataobjects_attr a1356 
on p.dataobject_id=a1356.dataobject_id and a1356.attr_id=1356</v>
      </c>
      <c r="H95" t="str">
        <f t="shared" si="9"/>
        <v>a1356.textvalue 'CAMPT070',</v>
      </c>
      <c r="I95" s="9" t="s">
        <v>133</v>
      </c>
      <c r="J95">
        <v>8</v>
      </c>
    </row>
    <row r="96" spans="1:10" ht="25.2" hidden="1" customHeight="1" x14ac:dyDescent="0.3">
      <c r="A96" t="str">
        <f t="shared" si="7"/>
        <v>CAMPT071</v>
      </c>
      <c r="B96" s="4" t="s">
        <v>203</v>
      </c>
      <c r="C96" s="5" t="s">
        <v>17</v>
      </c>
      <c r="D96" s="5" t="s">
        <v>204</v>
      </c>
      <c r="E96" s="5" t="s">
        <v>13</v>
      </c>
      <c r="F96" s="5" t="s">
        <v>14</v>
      </c>
      <c r="G96" t="str">
        <f t="shared" si="8"/>
        <v>left outer join tenant_vw_dataobjects_attr a1357 
on p.dataobject_id=a1357.dataobject_id and a1357.attr_id=1357</v>
      </c>
      <c r="H96" t="str">
        <f t="shared" si="9"/>
        <v>a1357.textvalue 'CAMPT071',</v>
      </c>
      <c r="I96" s="9" t="s">
        <v>133</v>
      </c>
      <c r="J96">
        <v>8</v>
      </c>
    </row>
    <row r="97" spans="1:10" ht="25.2" hidden="1" customHeight="1" x14ac:dyDescent="0.3">
      <c r="A97" t="str">
        <f t="shared" si="7"/>
        <v>CAMPT072</v>
      </c>
      <c r="B97" s="2" t="s">
        <v>205</v>
      </c>
      <c r="C97" s="3" t="s">
        <v>17</v>
      </c>
      <c r="D97" s="3" t="s">
        <v>206</v>
      </c>
      <c r="E97" s="3" t="s">
        <v>13</v>
      </c>
      <c r="F97" s="3" t="s">
        <v>14</v>
      </c>
      <c r="G97" t="str">
        <f t="shared" si="8"/>
        <v>left outer join tenant_vw_dataobjects_attr a1358 
on p.dataobject_id=a1358.dataobject_id and a1358.attr_id=1358</v>
      </c>
      <c r="H97" t="str">
        <f t="shared" si="9"/>
        <v>a1358.textvalue 'CAMPT072',</v>
      </c>
      <c r="I97" s="9" t="s">
        <v>133</v>
      </c>
      <c r="J97">
        <v>8</v>
      </c>
    </row>
    <row r="98" spans="1:10" ht="25.2" hidden="1" customHeight="1" x14ac:dyDescent="0.3">
      <c r="A98" t="str">
        <f t="shared" si="7"/>
        <v>CAMPT073</v>
      </c>
      <c r="B98" s="4" t="s">
        <v>207</v>
      </c>
      <c r="C98" s="5" t="s">
        <v>17</v>
      </c>
      <c r="D98" s="5" t="s">
        <v>208</v>
      </c>
      <c r="E98" s="5" t="s">
        <v>13</v>
      </c>
      <c r="F98" s="5" t="s">
        <v>14</v>
      </c>
      <c r="G98" t="str">
        <f t="shared" si="8"/>
        <v>left outer join tenant_vw_dataobjects_attr a1359 
on p.dataobject_id=a1359.dataobject_id and a1359.attr_id=1359</v>
      </c>
      <c r="H98" t="str">
        <f t="shared" si="9"/>
        <v>a1359.textvalue 'CAMPT073',</v>
      </c>
      <c r="I98" s="9" t="s">
        <v>133</v>
      </c>
      <c r="J98">
        <v>8</v>
      </c>
    </row>
    <row r="99" spans="1:10" ht="25.2" hidden="1" customHeight="1" x14ac:dyDescent="0.3">
      <c r="A99" t="str">
        <f t="shared" si="7"/>
        <v>CAMPT074</v>
      </c>
      <c r="B99" s="2" t="s">
        <v>209</v>
      </c>
      <c r="C99" s="3" t="s">
        <v>17</v>
      </c>
      <c r="D99" s="3" t="s">
        <v>210</v>
      </c>
      <c r="E99" s="3" t="s">
        <v>13</v>
      </c>
      <c r="F99" s="3" t="s">
        <v>14</v>
      </c>
      <c r="G99" t="str">
        <f t="shared" si="8"/>
        <v>left outer join tenant_vw_dataobjects_attr a1360 
on p.dataobject_id=a1360.dataobject_id and a1360.attr_id=1360</v>
      </c>
      <c r="H99" t="str">
        <f t="shared" si="9"/>
        <v>a1360.textvalue 'CAMPT074',</v>
      </c>
      <c r="I99" s="9" t="s">
        <v>133</v>
      </c>
      <c r="J99">
        <v>8</v>
      </c>
    </row>
    <row r="100" spans="1:10" ht="25.2" hidden="1" customHeight="1" x14ac:dyDescent="0.3">
      <c r="A100" t="str">
        <f t="shared" si="7"/>
        <v>CAMPT075</v>
      </c>
      <c r="B100" s="4" t="s">
        <v>212</v>
      </c>
      <c r="C100" s="5" t="s">
        <v>17</v>
      </c>
      <c r="D100" s="5" t="s">
        <v>213</v>
      </c>
      <c r="E100" s="5" t="s">
        <v>13</v>
      </c>
      <c r="F100" s="5" t="s">
        <v>14</v>
      </c>
      <c r="G100" t="str">
        <f t="shared" si="8"/>
        <v>left outer join tenant_vw_dataobjects_attr a1361 
on p.dataobject_id=a1361.dataobject_id and a1361.attr_id=1361</v>
      </c>
      <c r="H100" t="str">
        <f t="shared" si="9"/>
        <v>a1361.textvalue 'CAMPT075',</v>
      </c>
      <c r="I100" s="9" t="s">
        <v>133</v>
      </c>
      <c r="J100">
        <v>8</v>
      </c>
    </row>
    <row r="101" spans="1:10" ht="25.2" hidden="1" customHeight="1" x14ac:dyDescent="0.3">
      <c r="A101" t="str">
        <f t="shared" si="7"/>
        <v>CERTL009</v>
      </c>
      <c r="B101" s="2" t="s">
        <v>64</v>
      </c>
      <c r="C101" s="3" t="s">
        <v>11</v>
      </c>
      <c r="D101" s="3" t="s">
        <v>65</v>
      </c>
      <c r="E101" s="3" t="s">
        <v>13</v>
      </c>
      <c r="F101" s="3" t="s">
        <v>14</v>
      </c>
      <c r="G101" t="str">
        <f t="shared" si="8"/>
        <v>left outer join tenant_vw_dataobjects_attr_list al1288 
 inner join tenant_vw_attributes_list lv1288 on al1288.custattrlistval_id=lv1288.custattrlistval_id
 on p.dataobject_id=al1288.dataobject_id and al1288.attr_id=1288</v>
      </c>
      <c r="H101" t="str">
        <f t="shared" si="9"/>
        <v>lv1288.label 'CERTL009',</v>
      </c>
      <c r="I101" s="9" t="s">
        <v>172</v>
      </c>
      <c r="J101">
        <v>9</v>
      </c>
    </row>
    <row r="102" spans="1:10" ht="25.2" hidden="1" customHeight="1" x14ac:dyDescent="0.3">
      <c r="A102" t="str">
        <f t="shared" si="7"/>
        <v>NOTAT009</v>
      </c>
      <c r="B102" s="4" t="s">
        <v>66</v>
      </c>
      <c r="C102" s="5" t="s">
        <v>17</v>
      </c>
      <c r="D102" s="5" t="s">
        <v>67</v>
      </c>
      <c r="E102" s="5" t="s">
        <v>13</v>
      </c>
      <c r="F102" s="5" t="s">
        <v>14</v>
      </c>
      <c r="G102" t="str">
        <f t="shared" ref="G102:G124" si="10">IF(C102="LIST","left outer join tenant_vw_dataobjects_attr_list al"&amp;D102&amp;" 
 inner join tenant_vw_attributes_list lv"&amp;D102&amp;" on al"&amp;D102&amp;".custattrlistval_id=lv"&amp;D102&amp;".custattrlistval_id
 on p.dataobject_id=al"&amp;D102&amp;".dataobject_id and al"&amp;D102&amp;".attr_id="&amp;D102,"left outer join tenant_vw_dataobjects_attr a"&amp;D102&amp;" 
on p.dataobject_id=a"&amp;D102&amp;".dataobject_id and a"&amp;D102&amp;".attr_id="&amp;D102)</f>
        <v>left outer join tenant_vw_dataobjects_attr a1289 
on p.dataobject_id=a1289.dataobject_id and a1289.attr_id=1289</v>
      </c>
      <c r="H102" t="str">
        <f t="shared" ref="H102:H124" si="11">IF(C102="LIST","lv"&amp;D102&amp;".label '"&amp;A102&amp;"',",IF(C102="TEXT","a"&amp;D102&amp;".textvalue '"&amp;A102&amp;"',","NOVA"))</f>
        <v>a1289.textvalue 'NOTAT009',</v>
      </c>
      <c r="I102" s="9" t="s">
        <v>172</v>
      </c>
      <c r="J102">
        <v>9</v>
      </c>
    </row>
    <row r="103" spans="1:10" ht="25.2" hidden="1" customHeight="1" x14ac:dyDescent="0.3">
      <c r="A103" t="str">
        <f t="shared" si="7"/>
        <v>CAMPT076</v>
      </c>
      <c r="B103" s="2" t="s">
        <v>214</v>
      </c>
      <c r="C103" s="3" t="s">
        <v>17</v>
      </c>
      <c r="D103" s="3" t="s">
        <v>215</v>
      </c>
      <c r="E103" s="3" t="s">
        <v>13</v>
      </c>
      <c r="F103" s="3" t="s">
        <v>14</v>
      </c>
      <c r="G103" t="str">
        <f t="shared" si="10"/>
        <v>left outer join tenant_vw_dataobjects_attr a1362 
on p.dataobject_id=a1362.dataobject_id and a1362.attr_id=1362</v>
      </c>
      <c r="H103" t="str">
        <f t="shared" si="11"/>
        <v>a1362.textvalue 'CAMPT076',</v>
      </c>
      <c r="I103" s="9" t="s">
        <v>172</v>
      </c>
      <c r="J103">
        <v>9</v>
      </c>
    </row>
    <row r="104" spans="1:10" ht="25.2" hidden="1" customHeight="1" x14ac:dyDescent="0.3">
      <c r="A104" t="str">
        <f t="shared" si="7"/>
        <v>CAMPT077</v>
      </c>
      <c r="B104" s="4" t="s">
        <v>216</v>
      </c>
      <c r="C104" s="5" t="s">
        <v>17</v>
      </c>
      <c r="D104" s="5" t="s">
        <v>217</v>
      </c>
      <c r="E104" s="5" t="s">
        <v>13</v>
      </c>
      <c r="F104" s="5" t="s">
        <v>14</v>
      </c>
      <c r="G104" t="str">
        <f t="shared" si="10"/>
        <v>left outer join tenant_vw_dataobjects_attr a1363 
on p.dataobject_id=a1363.dataobject_id and a1363.attr_id=1363</v>
      </c>
      <c r="H104" t="str">
        <f t="shared" si="11"/>
        <v>a1363.textvalue 'CAMPT077',</v>
      </c>
      <c r="I104" s="9" t="s">
        <v>172</v>
      </c>
      <c r="J104">
        <v>9</v>
      </c>
    </row>
    <row r="105" spans="1:10" ht="25.2" hidden="1" customHeight="1" x14ac:dyDescent="0.3">
      <c r="A105" t="str">
        <f t="shared" si="7"/>
        <v>CAMPT078</v>
      </c>
      <c r="B105" s="2" t="s">
        <v>218</v>
      </c>
      <c r="C105" s="3" t="s">
        <v>17</v>
      </c>
      <c r="D105" s="3" t="s">
        <v>219</v>
      </c>
      <c r="E105" s="3" t="s">
        <v>13</v>
      </c>
      <c r="F105" s="3" t="s">
        <v>14</v>
      </c>
      <c r="G105" t="str">
        <f t="shared" si="10"/>
        <v>left outer join tenant_vw_dataobjects_attr a1364 
on p.dataobject_id=a1364.dataobject_id and a1364.attr_id=1364</v>
      </c>
      <c r="H105" t="str">
        <f t="shared" si="11"/>
        <v>a1364.textvalue 'CAMPT078',</v>
      </c>
      <c r="I105" s="9" t="s">
        <v>172</v>
      </c>
      <c r="J105">
        <v>9</v>
      </c>
    </row>
    <row r="106" spans="1:10" ht="25.2" hidden="1" customHeight="1" x14ac:dyDescent="0.3">
      <c r="A106" t="str">
        <f t="shared" si="7"/>
        <v>CAMPT079</v>
      </c>
      <c r="B106" s="4" t="s">
        <v>220</v>
      </c>
      <c r="C106" s="5" t="s">
        <v>17</v>
      </c>
      <c r="D106" s="5" t="s">
        <v>221</v>
      </c>
      <c r="E106" s="5" t="s">
        <v>13</v>
      </c>
      <c r="F106" s="5" t="s">
        <v>14</v>
      </c>
      <c r="G106" t="str">
        <f t="shared" si="10"/>
        <v>left outer join tenant_vw_dataobjects_attr a1365 
on p.dataobject_id=a1365.dataobject_id and a1365.attr_id=1365</v>
      </c>
      <c r="H106" t="str">
        <f t="shared" si="11"/>
        <v>a1365.textvalue 'CAMPT079',</v>
      </c>
      <c r="I106" s="9" t="s">
        <v>172</v>
      </c>
      <c r="J106">
        <v>9</v>
      </c>
    </row>
    <row r="107" spans="1:10" ht="25.2" hidden="1" customHeight="1" x14ac:dyDescent="0.3">
      <c r="A107" t="str">
        <f t="shared" si="7"/>
        <v>CAMPT080</v>
      </c>
      <c r="B107" s="4" t="s">
        <v>222</v>
      </c>
      <c r="C107" s="5" t="s">
        <v>17</v>
      </c>
      <c r="D107" s="5" t="s">
        <v>223</v>
      </c>
      <c r="E107" s="5" t="s">
        <v>13</v>
      </c>
      <c r="F107" s="5" t="s">
        <v>14</v>
      </c>
      <c r="G107" t="str">
        <f t="shared" si="10"/>
        <v>left outer join tenant_vw_dataobjects_attr a1366 
on p.dataobject_id=a1366.dataobject_id and a1366.attr_id=1366</v>
      </c>
      <c r="H107" t="str">
        <f t="shared" si="11"/>
        <v>a1366.textvalue 'CAMPT080',</v>
      </c>
      <c r="I107" s="9" t="s">
        <v>172</v>
      </c>
      <c r="J107">
        <v>9</v>
      </c>
    </row>
    <row r="108" spans="1:10" ht="25.2" hidden="1" customHeight="1" x14ac:dyDescent="0.3">
      <c r="A108" t="str">
        <f t="shared" si="7"/>
        <v>CAMPT081</v>
      </c>
      <c r="B108" s="2" t="s">
        <v>224</v>
      </c>
      <c r="C108" s="3" t="s">
        <v>17</v>
      </c>
      <c r="D108" s="3" t="s">
        <v>225</v>
      </c>
      <c r="E108" s="3" t="s">
        <v>13</v>
      </c>
      <c r="F108" s="3" t="s">
        <v>14</v>
      </c>
      <c r="G108" t="str">
        <f t="shared" si="10"/>
        <v>left outer join tenant_vw_dataobjects_attr a1367 
on p.dataobject_id=a1367.dataobject_id and a1367.attr_id=1367</v>
      </c>
      <c r="H108" t="str">
        <f t="shared" si="11"/>
        <v>a1367.textvalue 'CAMPT081',</v>
      </c>
      <c r="I108" s="9" t="s">
        <v>172</v>
      </c>
      <c r="J108">
        <v>9</v>
      </c>
    </row>
    <row r="109" spans="1:10" ht="25.2" hidden="1" customHeight="1" x14ac:dyDescent="0.3">
      <c r="A109" t="str">
        <f t="shared" si="7"/>
        <v>CAMPT082</v>
      </c>
      <c r="B109" s="4" t="s">
        <v>226</v>
      </c>
      <c r="C109" s="5" t="s">
        <v>17</v>
      </c>
      <c r="D109" s="5" t="s">
        <v>227</v>
      </c>
      <c r="E109" s="5" t="s">
        <v>13</v>
      </c>
      <c r="F109" s="5" t="s">
        <v>14</v>
      </c>
      <c r="G109" t="str">
        <f t="shared" si="10"/>
        <v>left outer join tenant_vw_dataobjects_attr a1368 
on p.dataobject_id=a1368.dataobject_id and a1368.attr_id=1368</v>
      </c>
      <c r="H109" t="str">
        <f t="shared" si="11"/>
        <v>a1368.textvalue 'CAMPT082',</v>
      </c>
      <c r="I109" s="9" t="s">
        <v>172</v>
      </c>
      <c r="J109">
        <v>9</v>
      </c>
    </row>
    <row r="110" spans="1:10" ht="25.2" hidden="1" customHeight="1" x14ac:dyDescent="0.3">
      <c r="A110" t="str">
        <f t="shared" si="7"/>
        <v>CAMPT083</v>
      </c>
      <c r="B110" s="2" t="s">
        <v>228</v>
      </c>
      <c r="C110" s="3" t="s">
        <v>17</v>
      </c>
      <c r="D110" s="3" t="s">
        <v>229</v>
      </c>
      <c r="E110" s="3" t="s">
        <v>13</v>
      </c>
      <c r="F110" s="3" t="s">
        <v>14</v>
      </c>
      <c r="G110" t="str">
        <f t="shared" si="10"/>
        <v>left outer join tenant_vw_dataobjects_attr a1369 
on p.dataobject_id=a1369.dataobject_id and a1369.attr_id=1369</v>
      </c>
      <c r="H110" t="str">
        <f t="shared" si="11"/>
        <v>a1369.textvalue 'CAMPT083',</v>
      </c>
      <c r="I110" s="9" t="s">
        <v>172</v>
      </c>
      <c r="J110">
        <v>9</v>
      </c>
    </row>
    <row r="111" spans="1:10" ht="25.2" hidden="1" customHeight="1" x14ac:dyDescent="0.3">
      <c r="A111" t="str">
        <f t="shared" si="7"/>
        <v>CAMPT084</v>
      </c>
      <c r="B111" s="4" t="s">
        <v>230</v>
      </c>
      <c r="C111" s="5" t="s">
        <v>17</v>
      </c>
      <c r="D111" s="5" t="s">
        <v>231</v>
      </c>
      <c r="E111" s="5" t="s">
        <v>13</v>
      </c>
      <c r="F111" s="5" t="s">
        <v>14</v>
      </c>
      <c r="G111" t="str">
        <f t="shared" si="10"/>
        <v>left outer join tenant_vw_dataobjects_attr a1370 
on p.dataobject_id=a1370.dataobject_id and a1370.attr_id=1370</v>
      </c>
      <c r="H111" t="str">
        <f t="shared" si="11"/>
        <v>a1370.textvalue 'CAMPT084',</v>
      </c>
      <c r="I111" s="9" t="s">
        <v>172</v>
      </c>
      <c r="J111">
        <v>9</v>
      </c>
    </row>
    <row r="112" spans="1:10" ht="25.2" hidden="1" customHeight="1" x14ac:dyDescent="0.3">
      <c r="A112" t="str">
        <f t="shared" si="7"/>
        <v>CAMPT085</v>
      </c>
      <c r="B112" s="2" t="s">
        <v>232</v>
      </c>
      <c r="C112" s="3" t="s">
        <v>17</v>
      </c>
      <c r="D112" s="3" t="s">
        <v>233</v>
      </c>
      <c r="E112" s="3" t="s">
        <v>13</v>
      </c>
      <c r="F112" s="3" t="s">
        <v>14</v>
      </c>
      <c r="G112" t="str">
        <f t="shared" si="10"/>
        <v>left outer join tenant_vw_dataobjects_attr a1371 
on p.dataobject_id=a1371.dataobject_id and a1371.attr_id=1371</v>
      </c>
      <c r="H112" t="str">
        <f t="shared" si="11"/>
        <v>a1371.textvalue 'CAMPT085',</v>
      </c>
      <c r="I112" s="9" t="s">
        <v>172</v>
      </c>
      <c r="J112">
        <v>9</v>
      </c>
    </row>
    <row r="113" spans="1:10" ht="25.2" hidden="1" customHeight="1" x14ac:dyDescent="0.3">
      <c r="A113" t="str">
        <f t="shared" si="7"/>
        <v>CAMPT086</v>
      </c>
      <c r="B113" s="4" t="s">
        <v>234</v>
      </c>
      <c r="C113" s="5" t="s">
        <v>17</v>
      </c>
      <c r="D113" s="5" t="s">
        <v>235</v>
      </c>
      <c r="E113" s="5" t="s">
        <v>13</v>
      </c>
      <c r="F113" s="5" t="s">
        <v>14</v>
      </c>
      <c r="G113" t="str">
        <f t="shared" si="10"/>
        <v>left outer join tenant_vw_dataobjects_attr a1372 
on p.dataobject_id=a1372.dataobject_id and a1372.attr_id=1372</v>
      </c>
      <c r="H113" t="str">
        <f t="shared" si="11"/>
        <v>a1372.textvalue 'CAMPT086',</v>
      </c>
      <c r="I113" s="9" t="s">
        <v>172</v>
      </c>
      <c r="J113">
        <v>9</v>
      </c>
    </row>
    <row r="114" spans="1:10" ht="25.2" hidden="1" customHeight="1" x14ac:dyDescent="0.3">
      <c r="A114" t="str">
        <f t="shared" si="7"/>
        <v>CAMPT087</v>
      </c>
      <c r="B114" s="2" t="s">
        <v>236</v>
      </c>
      <c r="C114" s="3" t="s">
        <v>17</v>
      </c>
      <c r="D114" s="3" t="s">
        <v>237</v>
      </c>
      <c r="E114" s="3" t="s">
        <v>13</v>
      </c>
      <c r="F114" s="3" t="s">
        <v>14</v>
      </c>
      <c r="G114" t="str">
        <f t="shared" si="10"/>
        <v>left outer join tenant_vw_dataobjects_attr a1373 
on p.dataobject_id=a1373.dataobject_id and a1373.attr_id=1373</v>
      </c>
      <c r="H114" t="str">
        <f t="shared" si="11"/>
        <v>a1373.textvalue 'CAMPT087',</v>
      </c>
      <c r="I114" s="9" t="s">
        <v>172</v>
      </c>
      <c r="J114">
        <v>9</v>
      </c>
    </row>
    <row r="115" spans="1:10" ht="25.2" hidden="1" customHeight="1" x14ac:dyDescent="0.3">
      <c r="A115" t="str">
        <f t="shared" si="7"/>
        <v>CAMPT088</v>
      </c>
      <c r="B115" s="4" t="s">
        <v>238</v>
      </c>
      <c r="C115" s="5" t="s">
        <v>17</v>
      </c>
      <c r="D115" s="5" t="s">
        <v>239</v>
      </c>
      <c r="E115" s="5" t="s">
        <v>13</v>
      </c>
      <c r="F115" s="5" t="s">
        <v>14</v>
      </c>
      <c r="G115" t="str">
        <f t="shared" si="10"/>
        <v>left outer join tenant_vw_dataobjects_attr a1374 
on p.dataobject_id=a1374.dataobject_id and a1374.attr_id=1374</v>
      </c>
      <c r="H115" t="str">
        <f t="shared" si="11"/>
        <v>a1374.textvalue 'CAMPT088',</v>
      </c>
      <c r="I115" s="9" t="s">
        <v>172</v>
      </c>
      <c r="J115">
        <v>9</v>
      </c>
    </row>
    <row r="116" spans="1:10" ht="25.2" hidden="1" customHeight="1" x14ac:dyDescent="0.3">
      <c r="A116" t="str">
        <f t="shared" si="7"/>
        <v>CAMPT089</v>
      </c>
      <c r="B116" s="2" t="s">
        <v>240</v>
      </c>
      <c r="C116" s="3" t="s">
        <v>17</v>
      </c>
      <c r="D116" s="3" t="s">
        <v>241</v>
      </c>
      <c r="E116" s="3" t="s">
        <v>13</v>
      </c>
      <c r="F116" s="3" t="s">
        <v>14</v>
      </c>
      <c r="G116" t="str">
        <f t="shared" si="10"/>
        <v>left outer join tenant_vw_dataobjects_attr a1375 
on p.dataobject_id=a1375.dataobject_id and a1375.attr_id=1375</v>
      </c>
      <c r="H116" t="str">
        <f t="shared" si="11"/>
        <v>a1375.textvalue 'CAMPT089',</v>
      </c>
      <c r="I116" s="9" t="s">
        <v>172</v>
      </c>
      <c r="J116">
        <v>9</v>
      </c>
    </row>
    <row r="117" spans="1:10" ht="25.2" hidden="1" customHeight="1" x14ac:dyDescent="0.3">
      <c r="A117" t="str">
        <f t="shared" si="7"/>
        <v>CAMPT090</v>
      </c>
      <c r="B117" s="4" t="s">
        <v>242</v>
      </c>
      <c r="C117" s="5" t="s">
        <v>17</v>
      </c>
      <c r="D117" s="5" t="s">
        <v>243</v>
      </c>
      <c r="E117" s="5" t="s">
        <v>13</v>
      </c>
      <c r="F117" s="5" t="s">
        <v>14</v>
      </c>
      <c r="G117" t="str">
        <f t="shared" si="10"/>
        <v>left outer join tenant_vw_dataobjects_attr a1376 
on p.dataobject_id=a1376.dataobject_id and a1376.attr_id=1376</v>
      </c>
      <c r="H117" t="str">
        <f t="shared" si="11"/>
        <v>a1376.textvalue 'CAMPT090',</v>
      </c>
      <c r="I117" s="9" t="s">
        <v>172</v>
      </c>
      <c r="J117">
        <v>9</v>
      </c>
    </row>
    <row r="118" spans="1:10" ht="25.2" hidden="1" customHeight="1" x14ac:dyDescent="0.3">
      <c r="A118" t="str">
        <f t="shared" si="7"/>
        <v>CERTL010</v>
      </c>
      <c r="B118" s="4" t="s">
        <v>289</v>
      </c>
      <c r="C118" s="5" t="s">
        <v>11</v>
      </c>
      <c r="D118" s="5" t="s">
        <v>71</v>
      </c>
      <c r="E118" s="5" t="s">
        <v>13</v>
      </c>
      <c r="F118" s="5" t="s">
        <v>14</v>
      </c>
      <c r="G118" t="str">
        <f t="shared" si="10"/>
        <v>left outer join tenant_vw_dataobjects_attr_list al1290 
 inner join tenant_vw_attributes_list lv1290 on al1290.custattrlistval_id=lv1290.custattrlistval_id
 on p.dataobject_id=al1290.dataobject_id and al1290.attr_id=1290</v>
      </c>
      <c r="H118" t="str">
        <f t="shared" si="11"/>
        <v>lv1290.label 'CERTL010',</v>
      </c>
      <c r="I118" s="9" t="s">
        <v>172</v>
      </c>
      <c r="J118">
        <v>10</v>
      </c>
    </row>
    <row r="119" spans="1:10" ht="25.2" hidden="1" customHeight="1" x14ac:dyDescent="0.3">
      <c r="A119" t="str">
        <f t="shared" si="7"/>
        <v>NOTAT010</v>
      </c>
      <c r="B119" s="2" t="s">
        <v>72</v>
      </c>
      <c r="C119" s="3" t="s">
        <v>17</v>
      </c>
      <c r="D119" s="3" t="s">
        <v>73</v>
      </c>
      <c r="E119" s="3" t="s">
        <v>13</v>
      </c>
      <c r="F119" s="3" t="s">
        <v>14</v>
      </c>
      <c r="G119" t="str">
        <f t="shared" si="10"/>
        <v>left outer join tenant_vw_dataobjects_attr a1291 
on p.dataobject_id=a1291.dataobject_id and a1291.attr_id=1291</v>
      </c>
      <c r="H119" t="str">
        <f t="shared" si="11"/>
        <v>a1291.textvalue 'NOTAT010',</v>
      </c>
      <c r="I119" s="9" t="s">
        <v>172</v>
      </c>
      <c r="J119">
        <v>10</v>
      </c>
    </row>
    <row r="120" spans="1:10" ht="25.2" hidden="1" customHeight="1" x14ac:dyDescent="0.3">
      <c r="A120" t="str">
        <f t="shared" si="7"/>
        <v>CAMPT091</v>
      </c>
      <c r="B120" s="2" t="s">
        <v>244</v>
      </c>
      <c r="C120" s="3" t="s">
        <v>17</v>
      </c>
      <c r="D120" s="3" t="s">
        <v>245</v>
      </c>
      <c r="E120" s="3" t="s">
        <v>13</v>
      </c>
      <c r="F120" s="3" t="s">
        <v>14</v>
      </c>
      <c r="G120" t="str">
        <f t="shared" si="10"/>
        <v>left outer join tenant_vw_dataobjects_attr a1377 
on p.dataobject_id=a1377.dataobject_id and a1377.attr_id=1377</v>
      </c>
      <c r="H120" t="str">
        <f t="shared" si="11"/>
        <v>a1377.textvalue 'CAMPT091',</v>
      </c>
      <c r="I120" s="9" t="s">
        <v>172</v>
      </c>
      <c r="J120">
        <v>10</v>
      </c>
    </row>
    <row r="121" spans="1:10" ht="25.2" hidden="1" customHeight="1" x14ac:dyDescent="0.3">
      <c r="A121" t="str">
        <f t="shared" si="7"/>
        <v>CAMPT092</v>
      </c>
      <c r="B121" s="4" t="s">
        <v>246</v>
      </c>
      <c r="C121" s="5" t="s">
        <v>17</v>
      </c>
      <c r="D121" s="5" t="s">
        <v>247</v>
      </c>
      <c r="E121" s="5" t="s">
        <v>13</v>
      </c>
      <c r="F121" s="5" t="s">
        <v>14</v>
      </c>
      <c r="G121" t="str">
        <f t="shared" si="10"/>
        <v>left outer join tenant_vw_dataobjects_attr a1378 
on p.dataobject_id=a1378.dataobject_id and a1378.attr_id=1378</v>
      </c>
      <c r="H121" t="str">
        <f t="shared" si="11"/>
        <v>a1378.textvalue 'CAMPT092',</v>
      </c>
      <c r="I121" s="9" t="s">
        <v>172</v>
      </c>
      <c r="J121">
        <v>10</v>
      </c>
    </row>
    <row r="122" spans="1:10" ht="25.2" hidden="1" customHeight="1" x14ac:dyDescent="0.3">
      <c r="A122" t="str">
        <f t="shared" si="7"/>
        <v>CAMPT093</v>
      </c>
      <c r="B122" s="2" t="s">
        <v>248</v>
      </c>
      <c r="C122" s="3" t="s">
        <v>17</v>
      </c>
      <c r="D122" s="3" t="s">
        <v>249</v>
      </c>
      <c r="E122" s="3" t="s">
        <v>13</v>
      </c>
      <c r="F122" s="3" t="s">
        <v>14</v>
      </c>
      <c r="G122" t="str">
        <f t="shared" si="10"/>
        <v>left outer join tenant_vw_dataobjects_attr a1379 
on p.dataobject_id=a1379.dataobject_id and a1379.attr_id=1379</v>
      </c>
      <c r="H122" t="str">
        <f t="shared" si="11"/>
        <v>a1379.textvalue 'CAMPT093',</v>
      </c>
      <c r="I122" s="9" t="s">
        <v>172</v>
      </c>
      <c r="J122">
        <v>10</v>
      </c>
    </row>
    <row r="123" spans="1:10" ht="25.2" hidden="1" customHeight="1" x14ac:dyDescent="0.3">
      <c r="A123" t="str">
        <f t="shared" si="7"/>
        <v>CERTL011</v>
      </c>
      <c r="B123" s="4" t="s">
        <v>78</v>
      </c>
      <c r="C123" s="5" t="s">
        <v>11</v>
      </c>
      <c r="D123" s="5" t="s">
        <v>79</v>
      </c>
      <c r="E123" s="5" t="s">
        <v>13</v>
      </c>
      <c r="F123" s="5" t="s">
        <v>14</v>
      </c>
      <c r="G123" t="str">
        <f t="shared" si="10"/>
        <v>left outer join tenant_vw_dataobjects_attr_list al1292 
 inner join tenant_vw_attributes_list lv1292 on al1292.custattrlistval_id=lv1292.custattrlistval_id
 on p.dataobject_id=al1292.dataobject_id and al1292.attr_id=1292</v>
      </c>
      <c r="H123" t="str">
        <f t="shared" si="11"/>
        <v>lv1292.label 'CERTL011',</v>
      </c>
      <c r="I123" s="9" t="s">
        <v>211</v>
      </c>
      <c r="J123">
        <v>11</v>
      </c>
    </row>
    <row r="124" spans="1:10" ht="25.2" hidden="1" customHeight="1" x14ac:dyDescent="0.3">
      <c r="A124" t="str">
        <f t="shared" si="7"/>
        <v>NOTAT011</v>
      </c>
      <c r="B124" s="2" t="s">
        <v>80</v>
      </c>
      <c r="C124" s="3" t="s">
        <v>17</v>
      </c>
      <c r="D124" s="3" t="s">
        <v>81</v>
      </c>
      <c r="E124" s="3" t="s">
        <v>13</v>
      </c>
      <c r="F124" s="3" t="s">
        <v>14</v>
      </c>
      <c r="G124" t="str">
        <f t="shared" si="10"/>
        <v>left outer join tenant_vw_dataobjects_attr a1293 
on p.dataobject_id=a1293.dataobject_id and a1293.attr_id=1293</v>
      </c>
      <c r="H124" t="str">
        <f t="shared" si="11"/>
        <v>a1293.textvalue 'NOTAT011',</v>
      </c>
      <c r="I124" s="9" t="s">
        <v>211</v>
      </c>
      <c r="J124">
        <v>11</v>
      </c>
    </row>
    <row r="125" spans="1:10" ht="25.2" hidden="1" customHeight="1" x14ac:dyDescent="0.3">
      <c r="A125" t="str">
        <f t="shared" si="7"/>
        <v>CAMPT094</v>
      </c>
      <c r="B125" s="4" t="s">
        <v>250</v>
      </c>
      <c r="C125" s="5" t="s">
        <v>17</v>
      </c>
      <c r="D125" s="5" t="s">
        <v>251</v>
      </c>
      <c r="E125" s="5" t="s">
        <v>13</v>
      </c>
      <c r="F125" s="5" t="s">
        <v>14</v>
      </c>
      <c r="G125" t="str">
        <f t="shared" ref="G125:G128" si="12">IF(C125="LIST","left outer join tenant_vw_dataobjects_attr_list al"&amp;D125&amp;" 
 inner join tenant_vw_attributes_list lv"&amp;D125&amp;" on al"&amp;D125&amp;".custattrlistval_id=lv"&amp;D125&amp;".custattrlistval_id
 on p.dataobject_id=al"&amp;D125&amp;".dataobject_id and al"&amp;D125&amp;".attr_id="&amp;D125,"left outer join tenant_vw_dataobjects_attr a"&amp;D125&amp;" 
on p.dataobject_id=a"&amp;D125&amp;".dataobject_id and a"&amp;D125&amp;".attr_id="&amp;D125)</f>
        <v>left outer join tenant_vw_dataobjects_attr a1380 
on p.dataobject_id=a1380.dataobject_id and a1380.attr_id=1380</v>
      </c>
      <c r="H125" t="str">
        <f t="shared" ref="H125:H128" si="13">IF(C125="LIST","lv"&amp;D125&amp;".label '"&amp;A125&amp;"',",IF(C125="TEXT","a"&amp;D125&amp;".textvalue '"&amp;A125&amp;"',","NOVA"))</f>
        <v>a1380.textvalue 'CAMPT094',</v>
      </c>
      <c r="I125" s="9" t="s">
        <v>211</v>
      </c>
      <c r="J125">
        <v>11</v>
      </c>
    </row>
    <row r="126" spans="1:10" ht="25.2" hidden="1" customHeight="1" x14ac:dyDescent="0.3">
      <c r="A126" t="str">
        <f t="shared" si="7"/>
        <v>CAMPT095</v>
      </c>
      <c r="B126" s="2" t="s">
        <v>252</v>
      </c>
      <c r="C126" s="3" t="s">
        <v>17</v>
      </c>
      <c r="D126" s="3" t="s">
        <v>253</v>
      </c>
      <c r="E126" s="3" t="s">
        <v>13</v>
      </c>
      <c r="F126" s="3" t="s">
        <v>14</v>
      </c>
      <c r="G126" t="str">
        <f t="shared" si="12"/>
        <v>left outer join tenant_vw_dataobjects_attr a1381 
on p.dataobject_id=a1381.dataobject_id and a1381.attr_id=1381</v>
      </c>
      <c r="H126" t="str">
        <f t="shared" si="13"/>
        <v>a1381.textvalue 'CAMPT095',</v>
      </c>
      <c r="I126" s="9" t="s">
        <v>211</v>
      </c>
      <c r="J126">
        <v>11</v>
      </c>
    </row>
    <row r="127" spans="1:10" ht="25.2" hidden="1" customHeight="1" x14ac:dyDescent="0.3">
      <c r="A127" t="str">
        <f t="shared" si="7"/>
        <v>CAMPT096</v>
      </c>
      <c r="B127" s="4" t="s">
        <v>254</v>
      </c>
      <c r="C127" s="5" t="s">
        <v>17</v>
      </c>
      <c r="D127" s="5" t="s">
        <v>255</v>
      </c>
      <c r="E127" s="5" t="s">
        <v>13</v>
      </c>
      <c r="F127" s="5" t="s">
        <v>14</v>
      </c>
      <c r="G127" t="str">
        <f t="shared" si="12"/>
        <v>left outer join tenant_vw_dataobjects_attr a1382 
on p.dataobject_id=a1382.dataobject_id and a1382.attr_id=1382</v>
      </c>
      <c r="H127" t="str">
        <f t="shared" si="13"/>
        <v>a1382.textvalue 'CAMPT096',</v>
      </c>
      <c r="I127" s="9" t="s">
        <v>211</v>
      </c>
      <c r="J127">
        <v>11</v>
      </c>
    </row>
    <row r="128" spans="1:10" ht="26.4" x14ac:dyDescent="0.3">
      <c r="A128" s="5" t="s">
        <v>279</v>
      </c>
      <c r="B128" s="5" t="s">
        <v>279</v>
      </c>
      <c r="C128" s="3" t="s">
        <v>11</v>
      </c>
      <c r="D128" s="3">
        <v>1679</v>
      </c>
      <c r="E128" s="3" t="s">
        <v>13</v>
      </c>
      <c r="F128" s="3" t="s">
        <v>14</v>
      </c>
      <c r="G128" t="str">
        <f t="shared" si="12"/>
        <v>left outer join tenant_vw_dataobjects_attr_list al1679 
 inner join tenant_vw_attributes_list lv1679 on al1679.custattrlistval_id=lv1679.custattrlistval_id
 on p.dataobject_id=al1679.dataobject_id and al1679.attr_id=1679</v>
      </c>
      <c r="H128" t="str">
        <f t="shared" si="13"/>
        <v>lv1679.label 'Campo Budget',</v>
      </c>
      <c r="I128" s="9" t="s">
        <v>290</v>
      </c>
      <c r="J128">
        <v>0</v>
      </c>
    </row>
    <row r="129" spans="1:10" ht="26.4" x14ac:dyDescent="0.3">
      <c r="A129" s="3" t="s">
        <v>280</v>
      </c>
      <c r="B129" s="3" t="s">
        <v>280</v>
      </c>
      <c r="C129" s="5" t="s">
        <v>11</v>
      </c>
      <c r="D129" s="5">
        <v>1680</v>
      </c>
      <c r="E129" s="5" t="s">
        <v>13</v>
      </c>
      <c r="F129" s="5" t="s">
        <v>14</v>
      </c>
      <c r="G129" t="str">
        <f t="shared" ref="G129:G135" si="14">IF(C129="LIST","left outer join tenant_vw_dataobjects_attr_list al"&amp;D129&amp;" 
 inner join tenant_vw_attributes_list lv"&amp;D129&amp;" on al"&amp;D129&amp;".custattrlistval_id=lv"&amp;D129&amp;".custattrlistval_id
 on p.dataobject_id=al"&amp;D129&amp;".dataobject_id and al"&amp;D129&amp;".attr_id="&amp;D129,"left outer join tenant_vw_dataobjects_attr a"&amp;D129&amp;" 
on p.dataobject_id=a"&amp;D129&amp;".dataobject_id and a"&amp;D129&amp;".attr_id="&amp;D129)</f>
        <v>left outer join tenant_vw_dataobjects_attr_list al1680 
 inner join tenant_vw_attributes_list lv1680 on al1680.custattrlistval_id=lv1680.custattrlistval_id
 on p.dataobject_id=al1680.dataobject_id and al1680.attr_id=1680</v>
      </c>
      <c r="H129" t="str">
        <f t="shared" ref="H129:H135" si="15">IF(C129="LIST","lv"&amp;D129&amp;".label '"&amp;A129&amp;"',",IF(C129="TEXT","a"&amp;D129&amp;".textvalue '"&amp;A129&amp;"',","NOVA"))</f>
        <v>lv1680.label 'Focal Points',</v>
      </c>
      <c r="I129" s="9" t="s">
        <v>290</v>
      </c>
      <c r="J129">
        <v>0</v>
      </c>
    </row>
    <row r="130" spans="1:10" ht="26.4" x14ac:dyDescent="0.3">
      <c r="A130" s="5" t="s">
        <v>281</v>
      </c>
      <c r="B130" s="5" t="s">
        <v>281</v>
      </c>
      <c r="C130" s="3" t="s">
        <v>11</v>
      </c>
      <c r="D130" s="3">
        <v>1681</v>
      </c>
      <c r="E130" s="3" t="s">
        <v>13</v>
      </c>
      <c r="F130" s="3" t="s">
        <v>14</v>
      </c>
      <c r="G130" t="str">
        <f t="shared" si="14"/>
        <v>left outer join tenant_vw_dataobjects_attr_list al1681 
 inner join tenant_vw_attributes_list lv1681 on al1681.custattrlistval_id=lv1681.custattrlistval_id
 on p.dataobject_id=al1681.dataobject_id and al1681.attr_id=1681</v>
      </c>
      <c r="H130" t="str">
        <f t="shared" si="15"/>
        <v>lv1681.label 'Planos',</v>
      </c>
      <c r="I130" s="9" t="s">
        <v>290</v>
      </c>
      <c r="J130">
        <v>0</v>
      </c>
    </row>
    <row r="131" spans="1:10" ht="26.4" x14ac:dyDescent="0.3">
      <c r="A131" s="3" t="s">
        <v>282</v>
      </c>
      <c r="B131" s="3" t="s">
        <v>282</v>
      </c>
      <c r="C131" s="5" t="s">
        <v>17</v>
      </c>
      <c r="D131" s="5">
        <v>1669</v>
      </c>
      <c r="E131" s="5" t="s">
        <v>13</v>
      </c>
      <c r="F131" s="5" t="s">
        <v>14</v>
      </c>
      <c r="G131" t="str">
        <f t="shared" si="14"/>
        <v>left outer join tenant_vw_dataobjects_attr a1669 
on p.dataobject_id=a1669.dataobject_id and a1669.attr_id=1669</v>
      </c>
      <c r="H131" t="str">
        <f t="shared" si="15"/>
        <v>a1669.textvalue 'Tech Lead',</v>
      </c>
      <c r="I131" s="9" t="s">
        <v>290</v>
      </c>
      <c r="J131">
        <v>0</v>
      </c>
    </row>
    <row r="132" spans="1:10" ht="26.4" x14ac:dyDescent="0.3">
      <c r="A132" s="5" t="s">
        <v>283</v>
      </c>
      <c r="B132" s="5" t="s">
        <v>283</v>
      </c>
      <c r="C132" s="3" t="s">
        <v>17</v>
      </c>
      <c r="D132" s="3">
        <v>1673</v>
      </c>
      <c r="E132" s="3" t="s">
        <v>13</v>
      </c>
      <c r="F132" s="3" t="s">
        <v>14</v>
      </c>
      <c r="G132" t="str">
        <f t="shared" si="14"/>
        <v>left outer join tenant_vw_dataobjects_attr a1673 
on p.dataobject_id=a1673.dataobject_id and a1673.attr_id=1673</v>
      </c>
      <c r="H132" t="str">
        <f t="shared" si="15"/>
        <v>a1673.textvalue 'Focal Point DevOps',</v>
      </c>
      <c r="I132" s="9" t="s">
        <v>290</v>
      </c>
      <c r="J132">
        <v>0</v>
      </c>
    </row>
    <row r="133" spans="1:10" ht="26.4" x14ac:dyDescent="0.3">
      <c r="A133" s="3" t="s">
        <v>284</v>
      </c>
      <c r="B133" s="3" t="s">
        <v>291</v>
      </c>
      <c r="C133" s="5" t="s">
        <v>17</v>
      </c>
      <c r="D133" s="5">
        <v>1670</v>
      </c>
      <c r="E133" s="5" t="s">
        <v>13</v>
      </c>
      <c r="F133" s="5" t="s">
        <v>14</v>
      </c>
      <c r="G133" t="str">
        <f t="shared" si="14"/>
        <v>left outer join tenant_vw_dataobjects_attr a1670 
on p.dataobject_id=a1670.dataobject_id and a1670.attr_id=1670</v>
      </c>
      <c r="H133" t="str">
        <f t="shared" si="15"/>
        <v>a1670.textvalue 'Focal Point SER',</v>
      </c>
      <c r="I133" s="9" t="s">
        <v>290</v>
      </c>
      <c r="J133">
        <v>0</v>
      </c>
    </row>
    <row r="134" spans="1:10" ht="26.4" x14ac:dyDescent="0.3">
      <c r="A134" s="5" t="s">
        <v>285</v>
      </c>
      <c r="B134" s="5" t="s">
        <v>285</v>
      </c>
      <c r="C134" s="3" t="s">
        <v>17</v>
      </c>
      <c r="D134" s="3">
        <v>1671</v>
      </c>
      <c r="E134" s="3" t="s">
        <v>13</v>
      </c>
      <c r="F134" s="3" t="s">
        <v>14</v>
      </c>
      <c r="G134" t="str">
        <f t="shared" si="14"/>
        <v>left outer join tenant_vw_dataobjects_attr a1671 
on p.dataobject_id=a1671.dataobject_id and a1671.attr_id=1671</v>
      </c>
      <c r="H134" t="str">
        <f t="shared" si="15"/>
        <v>a1671.textvalue 'Focal Point App Por',</v>
      </c>
      <c r="I134" s="9" t="s">
        <v>290</v>
      </c>
      <c r="J134">
        <v>0</v>
      </c>
    </row>
    <row r="135" spans="1:10" ht="26.4" x14ac:dyDescent="0.3">
      <c r="A135" s="3" t="s">
        <v>286</v>
      </c>
      <c r="B135" s="3" t="s">
        <v>286</v>
      </c>
      <c r="C135" s="5" t="s">
        <v>17</v>
      </c>
      <c r="D135" s="5">
        <v>1672</v>
      </c>
      <c r="E135" s="5" t="s">
        <v>13</v>
      </c>
      <c r="F135" s="5" t="s">
        <v>14</v>
      </c>
      <c r="G135" t="str">
        <f t="shared" si="14"/>
        <v>left outer join tenant_vw_dataobjects_attr a1672 
on p.dataobject_id=a1672.dataobject_id and a1672.attr_id=1672</v>
      </c>
      <c r="H135" t="str">
        <f t="shared" si="15"/>
        <v>a1672.textvalue 'App Opr Team',</v>
      </c>
      <c r="I135" s="9" t="s">
        <v>290</v>
      </c>
      <c r="J135">
        <v>0</v>
      </c>
    </row>
  </sheetData>
  <autoFilter ref="A2:I135" xr:uid="{00000000-0009-0000-0000-000002000000}">
    <filterColumn colId="8">
      <filters>
        <filter val="04_MAPA_ODR_0"/>
      </filters>
    </filterColumn>
  </autoFilter>
  <mergeCells count="1">
    <mergeCell ref="B1:F1"/>
  </mergeCells>
  <phoneticPr fontId="5" type="noConversion"/>
  <pageMargins left="0.5" right="0.5" top="0.5" bottom="0.8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2554-A42C-4FD4-B69B-9FB56066D588}">
  <dimension ref="A1:D127"/>
  <sheetViews>
    <sheetView tabSelected="1" topLeftCell="A66" zoomScale="110" zoomScaleNormal="110" workbookViewId="0">
      <selection activeCell="D52" sqref="D52"/>
    </sheetView>
  </sheetViews>
  <sheetFormatPr defaultRowHeight="20.7" customHeight="1" x14ac:dyDescent="0.3"/>
  <cols>
    <col min="1" max="1" width="17.5" bestFit="1" customWidth="1"/>
    <col min="2" max="2" width="135.8984375" bestFit="1" customWidth="1"/>
    <col min="3" max="3" width="73.09765625" customWidth="1"/>
    <col min="4" max="4" width="67" customWidth="1"/>
  </cols>
  <sheetData>
    <row r="1" spans="1:4" ht="20.7" customHeight="1" x14ac:dyDescent="0.3">
      <c r="A1" s="17"/>
      <c r="B1" s="18" t="s">
        <v>292</v>
      </c>
    </row>
    <row r="2" spans="1:4" ht="20.7" customHeight="1" x14ac:dyDescent="0.3">
      <c r="A2" s="26" t="s">
        <v>293</v>
      </c>
      <c r="B2" s="27" t="s">
        <v>294</v>
      </c>
      <c r="C2" s="27" t="s">
        <v>295</v>
      </c>
      <c r="D2" s="27" t="s">
        <v>296</v>
      </c>
    </row>
    <row r="3" spans="1:4" ht="25.2" customHeight="1" x14ac:dyDescent="0.3">
      <c r="A3" s="22" t="s">
        <v>297</v>
      </c>
      <c r="B3" s="15" t="s">
        <v>10</v>
      </c>
    </row>
    <row r="4" spans="1:4" ht="20.7" customHeight="1" x14ac:dyDescent="0.3">
      <c r="A4" s="16" t="s">
        <v>298</v>
      </c>
      <c r="B4" s="16" t="s">
        <v>16</v>
      </c>
    </row>
    <row r="5" spans="1:4" ht="25.2" customHeight="1" x14ac:dyDescent="0.3">
      <c r="A5" s="22" t="s">
        <v>299</v>
      </c>
      <c r="B5" s="15" t="s">
        <v>19</v>
      </c>
      <c r="C5" t="s">
        <v>300</v>
      </c>
      <c r="D5" t="s">
        <v>300</v>
      </c>
    </row>
    <row r="6" spans="1:4" ht="20.7" customHeight="1" x14ac:dyDescent="0.3">
      <c r="A6" s="16" t="s">
        <v>301</v>
      </c>
      <c r="B6" s="16" t="s">
        <v>25</v>
      </c>
      <c r="C6" t="s">
        <v>300</v>
      </c>
      <c r="D6" t="s">
        <v>300</v>
      </c>
    </row>
    <row r="7" spans="1:4" ht="25.2" customHeight="1" x14ac:dyDescent="0.3">
      <c r="A7" s="22" t="s">
        <v>302</v>
      </c>
      <c r="B7" s="15" t="s">
        <v>27</v>
      </c>
      <c r="C7" t="s">
        <v>300</v>
      </c>
      <c r="D7" t="s">
        <v>300</v>
      </c>
    </row>
    <row r="8" spans="1:4" ht="20.7" customHeight="1" x14ac:dyDescent="0.3">
      <c r="A8" s="16" t="s">
        <v>303</v>
      </c>
      <c r="B8" s="16" t="s">
        <v>38</v>
      </c>
      <c r="C8" t="s">
        <v>300</v>
      </c>
      <c r="D8" t="s">
        <v>300</v>
      </c>
    </row>
    <row r="9" spans="1:4" ht="25.2" customHeight="1" x14ac:dyDescent="0.3">
      <c r="A9" s="22" t="s">
        <v>304</v>
      </c>
      <c r="B9" s="15" t="s">
        <v>40</v>
      </c>
      <c r="C9" s="10" t="s">
        <v>300</v>
      </c>
      <c r="D9" s="10" t="s">
        <v>300</v>
      </c>
    </row>
    <row r="10" spans="1:4" ht="20.7" customHeight="1" x14ac:dyDescent="0.3">
      <c r="A10" s="16" t="s">
        <v>305</v>
      </c>
      <c r="B10" s="16" t="s">
        <v>46</v>
      </c>
      <c r="C10" t="s">
        <v>300</v>
      </c>
      <c r="D10" t="s">
        <v>300</v>
      </c>
    </row>
    <row r="11" spans="1:4" ht="25.2" customHeight="1" x14ac:dyDescent="0.3">
      <c r="A11" s="22" t="s">
        <v>306</v>
      </c>
      <c r="B11" s="15" t="s">
        <v>307</v>
      </c>
      <c r="C11" s="10" t="s">
        <v>300</v>
      </c>
      <c r="D11" s="10" t="s">
        <v>300</v>
      </c>
    </row>
    <row r="12" spans="1:4" ht="20.7" customHeight="1" x14ac:dyDescent="0.3">
      <c r="A12" s="26" t="s">
        <v>293</v>
      </c>
      <c r="B12" s="27" t="s">
        <v>308</v>
      </c>
    </row>
    <row r="13" spans="1:4" ht="20.7" customHeight="1" x14ac:dyDescent="0.3">
      <c r="A13" s="23" t="s">
        <v>309</v>
      </c>
      <c r="B13" s="16" t="s">
        <v>21</v>
      </c>
    </row>
    <row r="14" spans="1:4" ht="25.2" customHeight="1" x14ac:dyDescent="0.3">
      <c r="A14" s="21" t="s">
        <v>310</v>
      </c>
      <c r="B14" s="15" t="s">
        <v>23</v>
      </c>
    </row>
    <row r="15" spans="1:4" ht="46.8" x14ac:dyDescent="0.3">
      <c r="A15" s="23" t="s">
        <v>311</v>
      </c>
      <c r="B15" s="16" t="s">
        <v>312</v>
      </c>
      <c r="C15" s="28" t="s">
        <v>313</v>
      </c>
      <c r="D15" s="31" t="s">
        <v>314</v>
      </c>
    </row>
    <row r="16" spans="1:4" ht="46.8" x14ac:dyDescent="0.3">
      <c r="A16" s="21" t="s">
        <v>315</v>
      </c>
      <c r="B16" s="15" t="s">
        <v>316</v>
      </c>
      <c r="C16" s="28" t="s">
        <v>317</v>
      </c>
      <c r="D16" s="28" t="s">
        <v>318</v>
      </c>
    </row>
    <row r="17" spans="1:4" ht="31.2" x14ac:dyDescent="0.3">
      <c r="A17" s="23" t="s">
        <v>319</v>
      </c>
      <c r="B17" s="16" t="s">
        <v>320</v>
      </c>
      <c r="C17" s="29" t="s">
        <v>321</v>
      </c>
      <c r="D17" s="29" t="s">
        <v>322</v>
      </c>
    </row>
    <row r="18" spans="1:4" ht="25.2" customHeight="1" x14ac:dyDescent="0.3">
      <c r="A18" s="21" t="s">
        <v>323</v>
      </c>
      <c r="B18" s="15" t="s">
        <v>324</v>
      </c>
      <c r="C18" s="28" t="s">
        <v>325</v>
      </c>
      <c r="D18" s="28" t="s">
        <v>325</v>
      </c>
    </row>
    <row r="19" spans="1:4" ht="31.2" x14ac:dyDescent="0.3">
      <c r="A19" s="23" t="s">
        <v>326</v>
      </c>
      <c r="B19" s="16" t="s">
        <v>327</v>
      </c>
      <c r="C19" s="28" t="s">
        <v>328</v>
      </c>
      <c r="D19" s="28" t="s">
        <v>329</v>
      </c>
    </row>
    <row r="20" spans="1:4" ht="62.4" x14ac:dyDescent="0.3">
      <c r="A20" s="21" t="s">
        <v>330</v>
      </c>
      <c r="B20" s="15" t="s">
        <v>331</v>
      </c>
      <c r="C20" s="28" t="s">
        <v>332</v>
      </c>
      <c r="D20" s="28" t="s">
        <v>332</v>
      </c>
    </row>
    <row r="21" spans="1:4" ht="20.7" customHeight="1" x14ac:dyDescent="0.3">
      <c r="A21" s="23" t="s">
        <v>333</v>
      </c>
      <c r="B21" s="16" t="s">
        <v>334</v>
      </c>
      <c r="C21" s="28" t="s">
        <v>335</v>
      </c>
      <c r="D21" s="29" t="s">
        <v>336</v>
      </c>
    </row>
    <row r="22" spans="1:4" ht="20.7" customHeight="1" x14ac:dyDescent="0.3">
      <c r="A22" s="26" t="s">
        <v>293</v>
      </c>
      <c r="B22" s="27" t="s">
        <v>337</v>
      </c>
      <c r="C22" s="28"/>
    </row>
    <row r="23" spans="1:4" ht="25.2" customHeight="1" x14ac:dyDescent="0.3">
      <c r="A23" s="22" t="s">
        <v>338</v>
      </c>
      <c r="B23" s="15" t="s">
        <v>29</v>
      </c>
      <c r="C23" s="28"/>
    </row>
    <row r="24" spans="1:4" ht="20.7" customHeight="1" x14ac:dyDescent="0.3">
      <c r="A24" s="16" t="s">
        <v>339</v>
      </c>
      <c r="B24" s="16" t="s">
        <v>32</v>
      </c>
      <c r="C24" s="28"/>
    </row>
    <row r="25" spans="1:4" ht="25.2" customHeight="1" x14ac:dyDescent="0.3">
      <c r="A25" s="22" t="s">
        <v>340</v>
      </c>
      <c r="B25" s="15" t="s">
        <v>341</v>
      </c>
      <c r="C25" s="28" t="s">
        <v>342</v>
      </c>
      <c r="D25" s="29" t="s">
        <v>343</v>
      </c>
    </row>
    <row r="26" spans="1:4" ht="20.7" customHeight="1" x14ac:dyDescent="0.3">
      <c r="A26" s="16" t="s">
        <v>344</v>
      </c>
      <c r="B26" s="16" t="s">
        <v>345</v>
      </c>
      <c r="C26" s="29" t="s">
        <v>346</v>
      </c>
      <c r="D26" s="29" t="s">
        <v>347</v>
      </c>
    </row>
    <row r="27" spans="1:4" ht="25.2" customHeight="1" x14ac:dyDescent="0.3">
      <c r="A27" s="22" t="s">
        <v>348</v>
      </c>
      <c r="B27" s="15" t="s">
        <v>349</v>
      </c>
      <c r="C27" s="30" t="s">
        <v>350</v>
      </c>
      <c r="D27" s="30" t="s">
        <v>350</v>
      </c>
    </row>
    <row r="28" spans="1:4" ht="20.7" customHeight="1" x14ac:dyDescent="0.3">
      <c r="A28" s="16" t="s">
        <v>351</v>
      </c>
      <c r="B28" s="16" t="s">
        <v>352</v>
      </c>
      <c r="C28" s="28" t="s">
        <v>353</v>
      </c>
      <c r="D28" s="29" t="s">
        <v>353</v>
      </c>
    </row>
    <row r="29" spans="1:4" ht="25.2" customHeight="1" x14ac:dyDescent="0.3">
      <c r="A29" s="22" t="s">
        <v>354</v>
      </c>
      <c r="B29" s="15" t="s">
        <v>355</v>
      </c>
      <c r="C29" s="29" t="s">
        <v>356</v>
      </c>
      <c r="D29" s="29" t="s">
        <v>356</v>
      </c>
    </row>
    <row r="30" spans="1:4" ht="20.7" customHeight="1" x14ac:dyDescent="0.3">
      <c r="A30" s="16" t="s">
        <v>357</v>
      </c>
      <c r="B30" s="16" t="s">
        <v>358</v>
      </c>
      <c r="C30" s="29"/>
      <c r="D30" s="29" t="s">
        <v>336</v>
      </c>
    </row>
    <row r="31" spans="1:4" ht="25.2" customHeight="1" x14ac:dyDescent="0.3">
      <c r="A31" s="22" t="s">
        <v>359</v>
      </c>
      <c r="B31" s="15" t="s">
        <v>360</v>
      </c>
      <c r="C31" s="29"/>
      <c r="D31" s="29" t="s">
        <v>336</v>
      </c>
    </row>
    <row r="32" spans="1:4" ht="20.7" customHeight="1" x14ac:dyDescent="0.3">
      <c r="A32" s="16" t="s">
        <v>361</v>
      </c>
      <c r="B32" s="16" t="s">
        <v>362</v>
      </c>
      <c r="C32" s="29"/>
      <c r="D32" s="29" t="s">
        <v>336</v>
      </c>
    </row>
    <row r="33" spans="1:4" ht="20.7" customHeight="1" x14ac:dyDescent="0.3">
      <c r="A33" s="26" t="s">
        <v>293</v>
      </c>
      <c r="B33" s="27" t="s">
        <v>363</v>
      </c>
      <c r="C33" s="28"/>
    </row>
    <row r="34" spans="1:4" ht="25.2" customHeight="1" x14ac:dyDescent="0.3">
      <c r="A34" s="24" t="s">
        <v>364</v>
      </c>
      <c r="B34" s="19" t="s">
        <v>365</v>
      </c>
      <c r="C34" s="28"/>
    </row>
    <row r="35" spans="1:4" ht="20.7" customHeight="1" x14ac:dyDescent="0.3">
      <c r="A35" s="20" t="s">
        <v>366</v>
      </c>
      <c r="B35" s="20" t="s">
        <v>367</v>
      </c>
      <c r="C35" s="28"/>
    </row>
    <row r="36" spans="1:4" ht="78" x14ac:dyDescent="0.3">
      <c r="A36" s="24" t="s">
        <v>368</v>
      </c>
      <c r="B36" s="19" t="s">
        <v>369</v>
      </c>
      <c r="C36" s="28" t="s">
        <v>370</v>
      </c>
      <c r="D36" s="28" t="s">
        <v>371</v>
      </c>
    </row>
    <row r="37" spans="1:4" ht="46.8" x14ac:dyDescent="0.3">
      <c r="A37" s="20" t="s">
        <v>372</v>
      </c>
      <c r="B37" s="20" t="s">
        <v>373</v>
      </c>
      <c r="C37" s="28" t="s">
        <v>374</v>
      </c>
      <c r="D37" s="29" t="s">
        <v>375</v>
      </c>
    </row>
    <row r="38" spans="1:4" ht="25.2" customHeight="1" x14ac:dyDescent="0.3">
      <c r="A38" s="24" t="s">
        <v>376</v>
      </c>
      <c r="B38" s="19" t="s">
        <v>377</v>
      </c>
      <c r="C38" s="28" t="s">
        <v>378</v>
      </c>
      <c r="D38" s="28" t="s">
        <v>378</v>
      </c>
    </row>
    <row r="39" spans="1:4" ht="31.2" x14ac:dyDescent="0.3">
      <c r="A39" s="20" t="s">
        <v>379</v>
      </c>
      <c r="B39" s="20" t="s">
        <v>380</v>
      </c>
      <c r="C39" s="28" t="s">
        <v>381</v>
      </c>
      <c r="D39" s="28" t="s">
        <v>381</v>
      </c>
    </row>
    <row r="40" spans="1:4" ht="20.7" customHeight="1" x14ac:dyDescent="0.3">
      <c r="A40" s="26" t="s">
        <v>293</v>
      </c>
      <c r="B40" s="27" t="s">
        <v>382</v>
      </c>
      <c r="C40" s="28"/>
    </row>
    <row r="41" spans="1:4" ht="25.2" customHeight="1" x14ac:dyDescent="0.3">
      <c r="A41" s="22" t="s">
        <v>383</v>
      </c>
      <c r="B41" s="15" t="s">
        <v>384</v>
      </c>
      <c r="C41" s="28"/>
    </row>
    <row r="42" spans="1:4" ht="20.7" customHeight="1" x14ac:dyDescent="0.3">
      <c r="A42" s="16" t="s">
        <v>385</v>
      </c>
      <c r="B42" s="16" t="s">
        <v>386</v>
      </c>
      <c r="C42" s="28"/>
    </row>
    <row r="43" spans="1:4" ht="93.6" x14ac:dyDescent="0.3">
      <c r="A43" s="22" t="s">
        <v>387</v>
      </c>
      <c r="B43" s="15" t="s">
        <v>388</v>
      </c>
      <c r="C43" s="28" t="s">
        <v>389</v>
      </c>
      <c r="D43" s="29" t="s">
        <v>390</v>
      </c>
    </row>
    <row r="44" spans="1:4" ht="31.2" x14ac:dyDescent="0.3">
      <c r="A44" s="16" t="s">
        <v>391</v>
      </c>
      <c r="B44" s="16" t="s">
        <v>392</v>
      </c>
      <c r="C44" s="28" t="s">
        <v>393</v>
      </c>
      <c r="D44" s="28" t="s">
        <v>394</v>
      </c>
    </row>
    <row r="45" spans="1:4" ht="25.2" customHeight="1" x14ac:dyDescent="0.3">
      <c r="A45" s="22" t="s">
        <v>395</v>
      </c>
      <c r="B45" s="15" t="s">
        <v>396</v>
      </c>
      <c r="C45" s="28" t="s">
        <v>378</v>
      </c>
      <c r="D45" s="28" t="s">
        <v>378</v>
      </c>
    </row>
    <row r="46" spans="1:4" ht="20.7" customHeight="1" x14ac:dyDescent="0.3">
      <c r="A46" s="16" t="s">
        <v>397</v>
      </c>
      <c r="B46" s="16" t="s">
        <v>398</v>
      </c>
      <c r="C46" s="28" t="s">
        <v>378</v>
      </c>
      <c r="D46" s="28" t="s">
        <v>378</v>
      </c>
    </row>
    <row r="47" spans="1:4" ht="26.4" x14ac:dyDescent="0.3">
      <c r="A47" s="25" t="s">
        <v>399</v>
      </c>
      <c r="B47" s="25" t="s">
        <v>400</v>
      </c>
      <c r="C47" s="28" t="s">
        <v>401</v>
      </c>
      <c r="D47" s="29" t="s">
        <v>401</v>
      </c>
    </row>
    <row r="48" spans="1:4" ht="20.7" customHeight="1" x14ac:dyDescent="0.3">
      <c r="A48" s="26" t="s">
        <v>293</v>
      </c>
      <c r="B48" s="27" t="s">
        <v>402</v>
      </c>
      <c r="C48" s="28"/>
    </row>
    <row r="49" spans="1:4" ht="25.2" customHeight="1" x14ac:dyDescent="0.3">
      <c r="A49" s="22" t="s">
        <v>403</v>
      </c>
      <c r="B49" s="15" t="s">
        <v>42</v>
      </c>
      <c r="C49" s="28"/>
    </row>
    <row r="50" spans="1:4" ht="20.7" customHeight="1" x14ac:dyDescent="0.3">
      <c r="A50" s="16" t="s">
        <v>404</v>
      </c>
      <c r="B50" s="16" t="s">
        <v>44</v>
      </c>
      <c r="C50" s="28"/>
    </row>
    <row r="51" spans="1:4" ht="25.2" customHeight="1" x14ac:dyDescent="0.3">
      <c r="A51" s="22" t="s">
        <v>405</v>
      </c>
      <c r="B51" s="15" t="s">
        <v>406</v>
      </c>
      <c r="C51" s="28" t="s">
        <v>407</v>
      </c>
      <c r="D51" s="28" t="s">
        <v>407</v>
      </c>
    </row>
    <row r="52" spans="1:4" ht="20.7" customHeight="1" x14ac:dyDescent="0.3">
      <c r="A52" s="16" t="s">
        <v>408</v>
      </c>
      <c r="B52" s="16" t="s">
        <v>409</v>
      </c>
      <c r="C52" s="28" t="s">
        <v>410</v>
      </c>
      <c r="D52" s="28" t="s">
        <v>411</v>
      </c>
    </row>
    <row r="53" spans="1:4" ht="31.2" x14ac:dyDescent="0.3">
      <c r="A53" s="22" t="s">
        <v>412</v>
      </c>
      <c r="B53" s="15" t="s">
        <v>413</v>
      </c>
      <c r="C53" s="28" t="s">
        <v>414</v>
      </c>
      <c r="D53" s="29" t="s">
        <v>415</v>
      </c>
    </row>
    <row r="54" spans="1:4" ht="20.7" customHeight="1" x14ac:dyDescent="0.3">
      <c r="A54" s="16" t="s">
        <v>416</v>
      </c>
      <c r="B54" s="16" t="s">
        <v>417</v>
      </c>
      <c r="C54" s="28" t="s">
        <v>418</v>
      </c>
      <c r="D54" s="28" t="s">
        <v>418</v>
      </c>
    </row>
    <row r="55" spans="1:4" ht="31.2" x14ac:dyDescent="0.3">
      <c r="A55" s="22" t="s">
        <v>419</v>
      </c>
      <c r="B55" s="15" t="s">
        <v>420</v>
      </c>
      <c r="C55" s="28" t="s">
        <v>421</v>
      </c>
      <c r="D55" s="28" t="s">
        <v>422</v>
      </c>
    </row>
    <row r="56" spans="1:4" ht="20.7" customHeight="1" x14ac:dyDescent="0.3">
      <c r="A56" s="16" t="s">
        <v>423</v>
      </c>
      <c r="B56" s="16" t="s">
        <v>424</v>
      </c>
      <c r="C56" s="28" t="s">
        <v>425</v>
      </c>
      <c r="D56" s="28" t="s">
        <v>425</v>
      </c>
    </row>
    <row r="57" spans="1:4" ht="25.2" customHeight="1" x14ac:dyDescent="0.3">
      <c r="A57" s="22" t="s">
        <v>426</v>
      </c>
      <c r="B57" s="15" t="s">
        <v>427</v>
      </c>
      <c r="C57" s="28" t="s">
        <v>428</v>
      </c>
      <c r="D57" s="28" t="s">
        <v>428</v>
      </c>
    </row>
    <row r="58" spans="1:4" ht="20.7" customHeight="1" x14ac:dyDescent="0.3">
      <c r="A58" s="16" t="s">
        <v>429</v>
      </c>
      <c r="B58" s="16" t="s">
        <v>430</v>
      </c>
      <c r="C58" s="29"/>
      <c r="D58" s="29" t="s">
        <v>336</v>
      </c>
    </row>
    <row r="59" spans="1:4" ht="25.2" customHeight="1" x14ac:dyDescent="0.3">
      <c r="A59" s="22" t="s">
        <v>431</v>
      </c>
      <c r="B59" s="15" t="s">
        <v>432</v>
      </c>
      <c r="C59" s="28" t="s">
        <v>433</v>
      </c>
      <c r="D59" s="28" t="s">
        <v>433</v>
      </c>
    </row>
    <row r="60" spans="1:4" ht="20.7" customHeight="1" x14ac:dyDescent="0.3">
      <c r="A60" s="16" t="s">
        <v>434</v>
      </c>
      <c r="B60" s="16" t="s">
        <v>435</v>
      </c>
      <c r="C60" s="28" t="s">
        <v>425</v>
      </c>
      <c r="D60" s="28" t="s">
        <v>425</v>
      </c>
    </row>
    <row r="61" spans="1:4" ht="31.2" x14ac:dyDescent="0.3">
      <c r="A61" s="22" t="s">
        <v>436</v>
      </c>
      <c r="B61" s="15" t="s">
        <v>437</v>
      </c>
      <c r="C61" s="28" t="s">
        <v>438</v>
      </c>
      <c r="D61" s="29" t="s">
        <v>336</v>
      </c>
    </row>
    <row r="62" spans="1:4" ht="15.6" x14ac:dyDescent="0.3">
      <c r="A62" s="16" t="s">
        <v>439</v>
      </c>
      <c r="B62" s="16" t="s">
        <v>440</v>
      </c>
      <c r="C62" s="28" t="s">
        <v>441</v>
      </c>
      <c r="D62" s="28" t="s">
        <v>441</v>
      </c>
    </row>
    <row r="63" spans="1:4" ht="25.2" customHeight="1" x14ac:dyDescent="0.3">
      <c r="A63" s="22" t="s">
        <v>442</v>
      </c>
      <c r="B63" s="15" t="s">
        <v>443</v>
      </c>
      <c r="C63" s="28" t="s">
        <v>378</v>
      </c>
      <c r="D63" s="28" t="s">
        <v>378</v>
      </c>
    </row>
    <row r="64" spans="1:4" ht="20.7" customHeight="1" x14ac:dyDescent="0.3">
      <c r="A64" s="26" t="s">
        <v>293</v>
      </c>
      <c r="B64" s="27" t="s">
        <v>444</v>
      </c>
      <c r="C64" s="28"/>
    </row>
    <row r="65" spans="1:4" ht="20.7" customHeight="1" x14ac:dyDescent="0.3">
      <c r="A65" s="23" t="s">
        <v>445</v>
      </c>
      <c r="B65" s="16" t="s">
        <v>48</v>
      </c>
      <c r="C65" s="28"/>
    </row>
    <row r="66" spans="1:4" ht="25.2" customHeight="1" x14ac:dyDescent="0.3">
      <c r="A66" s="21" t="s">
        <v>446</v>
      </c>
      <c r="B66" s="15" t="s">
        <v>50</v>
      </c>
      <c r="C66" s="28"/>
    </row>
    <row r="67" spans="1:4" ht="31.2" x14ac:dyDescent="0.3">
      <c r="A67" s="23" t="s">
        <v>447</v>
      </c>
      <c r="B67" s="16" t="s">
        <v>448</v>
      </c>
      <c r="C67" s="28" t="s">
        <v>449</v>
      </c>
      <c r="D67" s="28" t="s">
        <v>450</v>
      </c>
    </row>
    <row r="68" spans="1:4" ht="25.2" customHeight="1" x14ac:dyDescent="0.3">
      <c r="A68" s="21" t="s">
        <v>451</v>
      </c>
      <c r="B68" s="15" t="s">
        <v>452</v>
      </c>
      <c r="C68" s="28" t="s">
        <v>453</v>
      </c>
      <c r="D68" s="28" t="s">
        <v>454</v>
      </c>
    </row>
    <row r="69" spans="1:4" ht="20.7" customHeight="1" x14ac:dyDescent="0.3">
      <c r="A69" s="23" t="s">
        <v>455</v>
      </c>
      <c r="B69" s="16" t="s">
        <v>456</v>
      </c>
      <c r="C69" t="s">
        <v>457</v>
      </c>
      <c r="D69" t="s">
        <v>457</v>
      </c>
    </row>
    <row r="70" spans="1:4" ht="15.6" x14ac:dyDescent="0.3">
      <c r="A70" s="21" t="s">
        <v>458</v>
      </c>
      <c r="B70" s="15" t="s">
        <v>459</v>
      </c>
      <c r="C70" s="29" t="s">
        <v>460</v>
      </c>
      <c r="D70" s="29" t="s">
        <v>460</v>
      </c>
    </row>
    <row r="71" spans="1:4" ht="15.6" x14ac:dyDescent="0.3">
      <c r="A71" s="23" t="s">
        <v>461</v>
      </c>
      <c r="B71" s="16" t="s">
        <v>462</v>
      </c>
      <c r="C71" s="28" t="s">
        <v>463</v>
      </c>
      <c r="D71" s="28" t="s">
        <v>463</v>
      </c>
    </row>
    <row r="72" spans="1:4" ht="25.2" customHeight="1" x14ac:dyDescent="0.3">
      <c r="A72" s="21" t="s">
        <v>464</v>
      </c>
      <c r="B72" s="15" t="s">
        <v>465</v>
      </c>
      <c r="C72" s="28" t="s">
        <v>466</v>
      </c>
      <c r="D72" s="29" t="s">
        <v>466</v>
      </c>
    </row>
    <row r="73" spans="1:4" ht="20.7" customHeight="1" x14ac:dyDescent="0.3">
      <c r="A73" s="23" t="s">
        <v>467</v>
      </c>
      <c r="B73" s="16" t="s">
        <v>468</v>
      </c>
      <c r="C73" s="28" t="s">
        <v>469</v>
      </c>
      <c r="D73" s="28" t="s">
        <v>469</v>
      </c>
    </row>
    <row r="74" spans="1:4" ht="46.8" x14ac:dyDescent="0.3">
      <c r="A74" s="21" t="s">
        <v>470</v>
      </c>
      <c r="B74" s="15" t="s">
        <v>471</v>
      </c>
      <c r="C74" s="28" t="s">
        <v>472</v>
      </c>
      <c r="D74" s="29" t="s">
        <v>473</v>
      </c>
    </row>
    <row r="75" spans="1:4" ht="20.7" customHeight="1" x14ac:dyDescent="0.3">
      <c r="A75" s="23" t="s">
        <v>474</v>
      </c>
      <c r="B75" s="16" t="s">
        <v>475</v>
      </c>
      <c r="C75" s="28" t="s">
        <v>425</v>
      </c>
      <c r="D75" s="28" t="s">
        <v>425</v>
      </c>
    </row>
    <row r="76" spans="1:4" ht="20.7" customHeight="1" x14ac:dyDescent="0.3">
      <c r="A76" s="26" t="s">
        <v>293</v>
      </c>
      <c r="B76" s="27" t="s">
        <v>476</v>
      </c>
      <c r="C76" s="28"/>
    </row>
    <row r="77" spans="1:4" ht="25.2" customHeight="1" x14ac:dyDescent="0.3">
      <c r="A77" s="22" t="s">
        <v>477</v>
      </c>
      <c r="B77" s="15" t="s">
        <v>52</v>
      </c>
      <c r="C77" s="28"/>
    </row>
    <row r="78" spans="1:4" ht="20.7" customHeight="1" x14ac:dyDescent="0.3">
      <c r="A78" s="16" t="s">
        <v>478</v>
      </c>
      <c r="B78" s="16" t="s">
        <v>56</v>
      </c>
      <c r="C78" s="28"/>
    </row>
    <row r="79" spans="1:4" ht="25.2" customHeight="1" x14ac:dyDescent="0.3">
      <c r="A79" s="22" t="s">
        <v>479</v>
      </c>
      <c r="B79" s="15" t="s">
        <v>480</v>
      </c>
      <c r="C79" s="28" t="s">
        <v>481</v>
      </c>
      <c r="D79" s="28" t="s">
        <v>482</v>
      </c>
    </row>
    <row r="80" spans="1:4" ht="20.7" customHeight="1" x14ac:dyDescent="0.3">
      <c r="A80" s="4"/>
      <c r="B80" s="4"/>
      <c r="C80" s="28"/>
    </row>
    <row r="81" spans="1:2" ht="25.2" customHeight="1" x14ac:dyDescent="0.3">
      <c r="B81" s="2"/>
    </row>
    <row r="82" spans="1:2" ht="20.7" customHeight="1" x14ac:dyDescent="0.3">
      <c r="A82" s="4"/>
      <c r="B82" s="4"/>
    </row>
    <row r="83" spans="1:2" ht="25.2" customHeight="1" x14ac:dyDescent="0.3">
      <c r="B83" s="2"/>
    </row>
    <row r="84" spans="1:2" ht="20.7" customHeight="1" x14ac:dyDescent="0.3">
      <c r="A84" s="4"/>
      <c r="B84" s="4"/>
    </row>
    <row r="85" spans="1:2" ht="25.2" customHeight="1" x14ac:dyDescent="0.3">
      <c r="B85" s="2"/>
    </row>
    <row r="86" spans="1:2" ht="20.7" customHeight="1" x14ac:dyDescent="0.3">
      <c r="A86" s="4"/>
      <c r="B86" s="4"/>
    </row>
    <row r="87" spans="1:2" ht="25.2" customHeight="1" x14ac:dyDescent="0.3">
      <c r="B87" s="2"/>
    </row>
    <row r="88" spans="1:2" ht="20.7" customHeight="1" x14ac:dyDescent="0.3">
      <c r="A88" s="4"/>
      <c r="B88" s="4"/>
    </row>
    <row r="89" spans="1:2" ht="25.2" customHeight="1" x14ac:dyDescent="0.3">
      <c r="B89" s="2"/>
    </row>
    <row r="90" spans="1:2" ht="20.7" customHeight="1" x14ac:dyDescent="0.3">
      <c r="A90" s="4"/>
      <c r="B90" s="4"/>
    </row>
    <row r="91" spans="1:2" ht="25.2" customHeight="1" x14ac:dyDescent="0.3">
      <c r="B91" s="2"/>
    </row>
    <row r="92" spans="1:2" ht="20.7" customHeight="1" x14ac:dyDescent="0.3">
      <c r="A92" s="4"/>
      <c r="B92" s="4"/>
    </row>
    <row r="93" spans="1:2" ht="25.2" customHeight="1" x14ac:dyDescent="0.3">
      <c r="B93" s="2"/>
    </row>
    <row r="94" spans="1:2" ht="20.7" customHeight="1" x14ac:dyDescent="0.3">
      <c r="A94" s="4"/>
      <c r="B94" s="4"/>
    </row>
    <row r="95" spans="1:2" ht="25.2" customHeight="1" x14ac:dyDescent="0.3">
      <c r="B95" s="2"/>
    </row>
    <row r="96" spans="1:2" ht="20.7" customHeight="1" x14ac:dyDescent="0.3">
      <c r="A96" s="4"/>
      <c r="B96" s="4"/>
    </row>
    <row r="97" spans="1:2" ht="25.2" customHeight="1" x14ac:dyDescent="0.3">
      <c r="B97" s="2"/>
    </row>
    <row r="98" spans="1:2" ht="20.7" customHeight="1" x14ac:dyDescent="0.3">
      <c r="A98" s="4"/>
      <c r="B98" s="4"/>
    </row>
    <row r="99" spans="1:2" ht="25.2" customHeight="1" x14ac:dyDescent="0.3">
      <c r="B99" s="2"/>
    </row>
    <row r="100" spans="1:2" ht="20.7" customHeight="1" x14ac:dyDescent="0.3">
      <c r="A100" s="4"/>
      <c r="B100" s="4"/>
    </row>
    <row r="101" spans="1:2" ht="25.2" customHeight="1" x14ac:dyDescent="0.3">
      <c r="B101" s="2"/>
    </row>
    <row r="102" spans="1:2" ht="20.7" customHeight="1" x14ac:dyDescent="0.3">
      <c r="A102" s="4"/>
      <c r="B102" s="4"/>
    </row>
    <row r="103" spans="1:2" ht="25.2" customHeight="1" x14ac:dyDescent="0.3">
      <c r="B103" s="2"/>
    </row>
    <row r="104" spans="1:2" ht="20.7" customHeight="1" x14ac:dyDescent="0.3">
      <c r="A104" s="4"/>
      <c r="B104" s="4"/>
    </row>
    <row r="105" spans="1:2" ht="25.2" customHeight="1" x14ac:dyDescent="0.3">
      <c r="B105" s="2"/>
    </row>
    <row r="106" spans="1:2" s="14" customFormat="1" ht="20.7" customHeight="1" x14ac:dyDescent="0.3"/>
    <row r="107" spans="1:2" s="14" customFormat="1" ht="20.7" customHeight="1" x14ac:dyDescent="0.3"/>
    <row r="108" spans="1:2" s="14" customFormat="1" ht="20.7" customHeight="1" x14ac:dyDescent="0.3"/>
    <row r="109" spans="1:2" s="14" customFormat="1" ht="20.7" customHeight="1" x14ac:dyDescent="0.3"/>
    <row r="110" spans="1:2" s="14" customFormat="1" ht="20.7" customHeight="1" x14ac:dyDescent="0.3"/>
    <row r="111" spans="1:2" s="14" customFormat="1" ht="20.7" customHeight="1" x14ac:dyDescent="0.3"/>
    <row r="112" spans="1:2" s="14" customFormat="1" ht="20.7" customHeight="1" x14ac:dyDescent="0.3"/>
    <row r="113" s="14" customFormat="1" ht="20.7" customHeight="1" x14ac:dyDescent="0.3"/>
    <row r="114" s="14" customFormat="1" ht="20.7" customHeight="1" x14ac:dyDescent="0.3"/>
    <row r="115" s="14" customFormat="1" ht="20.7" customHeight="1" x14ac:dyDescent="0.3"/>
    <row r="116" s="14" customFormat="1" ht="20.7" customHeight="1" x14ac:dyDescent="0.3"/>
    <row r="117" s="14" customFormat="1" ht="20.7" customHeight="1" x14ac:dyDescent="0.3"/>
    <row r="118" s="14" customFormat="1" ht="20.7" customHeight="1" x14ac:dyDescent="0.3"/>
    <row r="119" s="14" customFormat="1" ht="20.7" customHeight="1" x14ac:dyDescent="0.3"/>
    <row r="120" s="14" customFormat="1" ht="20.7" customHeight="1" x14ac:dyDescent="0.3"/>
    <row r="121" s="14" customFormat="1" ht="20.7" customHeight="1" x14ac:dyDescent="0.3"/>
    <row r="122" s="14" customFormat="1" ht="20.7" customHeight="1" x14ac:dyDescent="0.3"/>
    <row r="123" s="14" customFormat="1" ht="20.7" customHeight="1" x14ac:dyDescent="0.3"/>
    <row r="124" s="14" customFormat="1" ht="20.7" customHeight="1" x14ac:dyDescent="0.3"/>
    <row r="125" s="14" customFormat="1" ht="20.7" customHeight="1" x14ac:dyDescent="0.3"/>
    <row r="126" s="14" customFormat="1" ht="20.7" customHeight="1" x14ac:dyDescent="0.3"/>
    <row r="127" s="14" customFormat="1" ht="20.7" customHeight="1" x14ac:dyDescent="0.3"/>
  </sheetData>
  <autoFilter ref="A2:D79" xr:uid="{66E72554-A42C-4FD4-B69B-9FB56066D588}"/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c03bd845fb1e6d668deb1d300a78a236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36319acfe5044590a668df6ed7b7ca83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365F47-3E14-46AD-B508-33BDDF0368B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d3dac3-f296-4107-b579-4b1e37be6169"/>
    <ds:schemaRef ds:uri="5ad20f8b-9281-4829-a9aa-2b5a878ba2cc"/>
  </ds:schemaRefs>
</ds:datastoreItem>
</file>

<file path=customXml/itemProps2.xml><?xml version="1.0" encoding="utf-8"?>
<ds:datastoreItem xmlns:ds="http://schemas.openxmlformats.org/officeDocument/2006/customXml" ds:itemID="{6C72089E-3A1D-440E-B77E-DF83EC7CAC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d20f8b-9281-4829-a9aa-2b5a878ba2cc"/>
    <ds:schemaRef ds:uri="09d3dac3-f296-4107-b579-4b1e37be6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076BAF-3862-4DB2-BC80-D0EE49CBFE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Mapeamento dos campos</vt:lpstr>
      <vt:lpstr>Data_pestanas</vt:lpstr>
      <vt:lpstr>atual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Alexandre Lucas Baptista</dc:creator>
  <cp:keywords/>
  <dc:description/>
  <cp:lastModifiedBy>Luís Filipe da Silva Pragosa</cp:lastModifiedBy>
  <cp:revision/>
  <dcterms:created xsi:type="dcterms:W3CDTF">2024-03-18T16:10:12Z</dcterms:created>
  <dcterms:modified xsi:type="dcterms:W3CDTF">2025-12-18T15:11:59Z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2024-03-18T16:07:36Z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5d1b76ba-8928-4d4a-8ed1-f44bdc5e2b5d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  <property fmtid="{D5CDD505-2E9C-101B-9397-08002B2CF9AE}" pid="12" name="MediaServiceImageTags">
    <vt:lpwstr/>
  </property>
</Properties>
</file>