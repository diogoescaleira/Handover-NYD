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antandernet.sharepoint.com/sites/ReportsFinanceira/Shared Documents/General/4. MINIMUM BAIL-IN DATA TEMPLATE (MBDT)/1. Documentação/2. Documentação IT/MBDT/"/>
    </mc:Choice>
  </mc:AlternateContent>
  <xr:revisionPtr revIDLastSave="28" documentId="13_ncr:1_{88ABA9D1-FEAB-441B-8909-B855763248DF}" xr6:coauthVersionLast="47" xr6:coauthVersionMax="47" xr10:uidLastSave="{DE6A4253-3832-4220-9EFD-C4CCF736A137}"/>
  <bookViews>
    <workbookView xWindow="-120" yWindow="-120" windowWidth="29040" windowHeight="15720" xr2:uid="{00000000-000D-0000-FFFF-FFFF00000000}"/>
  </bookViews>
  <sheets>
    <sheet name="Detalhe" sheetId="1" r:id="rId1"/>
  </sheets>
  <externalReferences>
    <externalReference r:id="rId2"/>
  </externalReferences>
  <definedNames>
    <definedName name="_xlnm._FilterDatabase" localSheetId="0" hidden="1">Detalhe!$A$4:$AB$4</definedName>
    <definedName name="_xlnm.Print_Area" localSheetId="0">Detalhe!$A$4:$Z$7</definedName>
    <definedName name="_xlnm.Print_Titles" localSheetId="0">Detalhe!$C:$G,Detalhe!$2:$5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13" i="1" l="1"/>
  <c r="AG13" i="1" s="1"/>
  <c r="AF12" i="1"/>
  <c r="AG12" i="1" s="1"/>
  <c r="AF11" i="1"/>
  <c r="AG11" i="1" s="1"/>
  <c r="AF10" i="1"/>
  <c r="AG10" i="1" s="1"/>
  <c r="AC13" i="1"/>
  <c r="AD13" i="1" s="1"/>
  <c r="AE13" i="1" s="1"/>
  <c r="AC12" i="1"/>
  <c r="AD12" i="1" s="1"/>
  <c r="AE12" i="1" s="1"/>
  <c r="AC11" i="1"/>
  <c r="AD11" i="1" s="1"/>
  <c r="AE11" i="1" s="1"/>
  <c r="AC10" i="1"/>
  <c r="AD10" i="1" s="1"/>
  <c r="AE10" i="1" s="1"/>
  <c r="I9" i="1"/>
  <c r="K9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Miguel Alves Marques</author>
  </authors>
  <commentList>
    <comment ref="Y4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Assegurar que as emissões que não têm valor de cupão anterior estão a zero nesta coluna
</t>
        </r>
      </text>
    </comment>
  </commentList>
</comments>
</file>

<file path=xl/sharedStrings.xml><?xml version="1.0" encoding="utf-8"?>
<sst xmlns="http://schemas.openxmlformats.org/spreadsheetml/2006/main" count="80" uniqueCount="56">
  <si>
    <t>Spread</t>
  </si>
  <si>
    <t>EUR</t>
  </si>
  <si>
    <t>Moeda</t>
  </si>
  <si>
    <t>Estrutura</t>
  </si>
  <si>
    <t>Cód.Titulo</t>
  </si>
  <si>
    <t>Dias total cupão</t>
  </si>
  <si>
    <t>Taxa F/V</t>
  </si>
  <si>
    <t>Data Reembolso</t>
  </si>
  <si>
    <t>Acumulado Mês Anterior</t>
  </si>
  <si>
    <t>Mês</t>
  </si>
  <si>
    <t>Compra Carteira Propria</t>
  </si>
  <si>
    <t>V</t>
  </si>
  <si>
    <t>ISIN</t>
  </si>
  <si>
    <t>3410100 - OBRIGAÇÕES DE CAIXA</t>
  </si>
  <si>
    <t>Data Fim Cupão</t>
  </si>
  <si>
    <t>Actual/365</t>
  </si>
  <si>
    <t>EMISSÕES PRÓPRIAS - BST</t>
  </si>
  <si>
    <t>Quantidade</t>
  </si>
  <si>
    <t>Juros Mensualizados</t>
  </si>
  <si>
    <t>Valor Nominal</t>
  </si>
  <si>
    <t/>
  </si>
  <si>
    <t>Minimo Garantido Operação Periodo</t>
  </si>
  <si>
    <t>Taxa Cupão</t>
  </si>
  <si>
    <t>EMP</t>
  </si>
  <si>
    <t>F</t>
  </si>
  <si>
    <t>Montante Emissão (EUR)</t>
  </si>
  <si>
    <t xml:space="preserve"> </t>
  </si>
  <si>
    <t xml:space="preserve">Titulos </t>
  </si>
  <si>
    <t>Actual/Ãctual</t>
  </si>
  <si>
    <t>Base Cálculo</t>
  </si>
  <si>
    <t>Data Inicio Cupão</t>
  </si>
  <si>
    <t>Data Inicio Emissão</t>
  </si>
  <si>
    <t>PTBSREOM0028</t>
  </si>
  <si>
    <t>OB.BANCO SANTANDER TOTTA SA 7.5% 06/10/2026</t>
  </si>
  <si>
    <t>Conta IFRS</t>
  </si>
  <si>
    <t>251019900</t>
  </si>
  <si>
    <t>251019910</t>
  </si>
  <si>
    <t>6205</t>
  </si>
  <si>
    <r>
      <rPr>
        <b/>
        <sz val="9"/>
        <color theme="0"/>
        <rFont val="Arial"/>
        <family val="2"/>
      </rPr>
      <t>Dias Corridos</t>
    </r>
    <r>
      <rPr>
        <b/>
        <sz val="9"/>
        <color theme="6" tint="-0.249977111117893"/>
        <rFont val="Arial"/>
        <family val="2"/>
      </rPr>
      <t xml:space="preserve"> </t>
    </r>
  </si>
  <si>
    <t>PTSTOFOM0004</t>
  </si>
  <si>
    <t>OB.OB.SANTANDER TOTTA SGPS 4.714%  2032/06/09</t>
  </si>
  <si>
    <t>PTSTOEOM0021</t>
  </si>
  <si>
    <t>OB.SANT TOTTA SGPS 3,078% 2028/06/03</t>
  </si>
  <si>
    <t>PTSTOHOM0002</t>
  </si>
  <si>
    <t>OB.SANTANDER TOTTA SGPS 4.063% 30/07/2030</t>
  </si>
  <si>
    <t>PTSTOCOM0007</t>
  </si>
  <si>
    <t>OB.SANTANDER TOTTA SGPS SA TIER 1 PERPETUAL</t>
  </si>
  <si>
    <t>PTSTOGOM0003</t>
  </si>
  <si>
    <t>OB.SANTANDER TOTTA SGPS SA ADIC TIER 1 PERPET</t>
  </si>
  <si>
    <t>PTBSRDOM0037</t>
  </si>
  <si>
    <t>OB.SANTANDER TOTTA/2025-EUR500M FIX RATE PERP</t>
  </si>
  <si>
    <t>PTCPP0AM0007</t>
  </si>
  <si>
    <t>Acao Ordinaria Banco Santander Totta, S.A.</t>
  </si>
  <si>
    <t>1992-01-05</t>
  </si>
  <si>
    <t>0001-01-01</t>
  </si>
  <si>
    <t>Ranking Insolvencia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</si>
</sst>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0\ _E_s_c_._-;\-* #,##0.00\ _E_s_c_._-;_-* &quot;-&quot;??\ _E_s_c_._-;_-@_-"/>
    <numFmt numFmtId="166" formatCode="0.0000%"/>
    <numFmt numFmtId="167" formatCode="[$-816]d\-mmm\-yy;@"/>
    <numFmt numFmtId="168" formatCode="[$-816]d/mmm/yy;@"/>
    <numFmt numFmtId="169" formatCode="_-* #,##0.00\ _€_-;\-* #,##0.00\ _€_-;_-* &quot;-&quot;??\ _€_-;_-@_-"/>
  </numFmts>
  <fonts count="6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i/>
      <sz val="8"/>
      <color indexed="10"/>
      <name val="Arial"/>
      <family val="2"/>
    </font>
    <font>
      <i/>
      <sz val="8"/>
      <name val="Arial"/>
      <family val="2"/>
    </font>
    <font>
      <b/>
      <i/>
      <sz val="8"/>
      <name val="Arial"/>
      <family val="2"/>
    </font>
    <font>
      <sz val="8"/>
      <color indexed="12"/>
      <name val="Arial"/>
      <family val="2"/>
    </font>
    <font>
      <b/>
      <sz val="8"/>
      <color indexed="9"/>
      <name val="Arial"/>
      <family val="2"/>
    </font>
    <font>
      <b/>
      <sz val="8"/>
      <color indexed="12"/>
      <name val="Arial"/>
      <family val="2"/>
    </font>
    <font>
      <sz val="8"/>
      <name val="Arial Unicode MS"/>
      <family val="3"/>
      <charset val="128"/>
    </font>
    <font>
      <sz val="8"/>
      <color indexed="10"/>
      <name val="Arial"/>
      <family val="2"/>
    </font>
    <font>
      <b/>
      <sz val="9"/>
      <color indexed="9"/>
      <name val="Arial"/>
      <family val="2"/>
    </font>
    <font>
      <i/>
      <sz val="9"/>
      <color indexed="9"/>
      <name val="Arial"/>
      <family val="2"/>
    </font>
    <font>
      <sz val="9"/>
      <color indexed="9"/>
      <name val="Arial"/>
      <family val="2"/>
    </font>
    <font>
      <i/>
      <sz val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6" tint="0.79998168889431442"/>
      <name val="Arial"/>
      <family val="2"/>
    </font>
    <font>
      <b/>
      <sz val="8"/>
      <name val="Arial Unicode MS"/>
      <family val="3"/>
      <charset val="128"/>
    </font>
    <font>
      <sz val="8"/>
      <name val="Arial Unicode MS"/>
      <family val="2"/>
    </font>
    <font>
      <sz val="8"/>
      <color indexed="12"/>
      <name val="Arial Unicode MS"/>
      <family val="3"/>
      <charset val="128"/>
    </font>
    <font>
      <b/>
      <sz val="10"/>
      <color indexed="9"/>
      <name val="Arial"/>
      <family val="2"/>
    </font>
    <font>
      <b/>
      <i/>
      <sz val="9"/>
      <color indexed="9"/>
      <name val="Arial"/>
      <family val="2"/>
    </font>
    <font>
      <b/>
      <sz val="9"/>
      <color theme="0"/>
      <name val="Arial"/>
      <family val="2"/>
    </font>
    <font>
      <b/>
      <sz val="9"/>
      <color theme="6" tint="-0.249977111117893"/>
      <name val="Arial"/>
      <family val="2"/>
    </font>
    <font>
      <sz val="9"/>
      <color indexed="81"/>
      <name val="Tahoma"/>
      <family val="2"/>
    </font>
    <font>
      <b/>
      <sz val="8"/>
      <color indexed="17"/>
      <name val="Arial"/>
      <family val="2"/>
    </font>
  </fonts>
  <fills count="5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4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264">
    <xf numFmtId="0" fontId="0" fillId="0" borderId="0"/>
    <xf numFmtId="0" fontId="25" fillId="2" borderId="0" applyNumberFormat="0" applyBorder="0" applyAlignment="0" applyProtection="0"/>
    <xf numFmtId="0" fontId="25" fillId="3" borderId="0" applyNumberFormat="0" applyBorder="0" applyAlignment="0" applyProtection="0"/>
    <xf numFmtId="0" fontId="25" fillId="4" borderId="0" applyNumberFormat="0" applyBorder="0" applyAlignment="0" applyProtection="0"/>
    <xf numFmtId="0" fontId="25" fillId="5" borderId="0" applyNumberFormat="0" applyBorder="0" applyAlignment="0" applyProtection="0"/>
    <xf numFmtId="0" fontId="25" fillId="6" borderId="0" applyNumberFormat="0" applyBorder="0" applyAlignment="0" applyProtection="0"/>
    <xf numFmtId="0" fontId="25" fillId="7" borderId="0" applyNumberFormat="0" applyBorder="0" applyAlignment="0" applyProtection="0"/>
    <xf numFmtId="0" fontId="25" fillId="8" borderId="0" applyNumberFormat="0" applyBorder="0" applyAlignment="0" applyProtection="0"/>
    <xf numFmtId="0" fontId="25" fillId="9" borderId="0" applyNumberFormat="0" applyBorder="0" applyAlignment="0" applyProtection="0"/>
    <xf numFmtId="0" fontId="25" fillId="10" borderId="0" applyNumberFormat="0" applyBorder="0" applyAlignment="0" applyProtection="0"/>
    <xf numFmtId="0" fontId="25" fillId="5" borderId="0" applyNumberFormat="0" applyBorder="0" applyAlignment="0" applyProtection="0"/>
    <xf numFmtId="0" fontId="25" fillId="8" borderId="0" applyNumberFormat="0" applyBorder="0" applyAlignment="0" applyProtection="0"/>
    <xf numFmtId="0" fontId="25" fillId="11" borderId="0" applyNumberFormat="0" applyBorder="0" applyAlignment="0" applyProtection="0"/>
    <xf numFmtId="0" fontId="26" fillId="12" borderId="0" applyNumberFormat="0" applyBorder="0" applyAlignment="0" applyProtection="0"/>
    <xf numFmtId="0" fontId="26" fillId="9" borderId="0" applyNumberFormat="0" applyBorder="0" applyAlignment="0" applyProtection="0"/>
    <xf numFmtId="0" fontId="26" fillId="10" borderId="0" applyNumberFormat="0" applyBorder="0" applyAlignment="0" applyProtection="0"/>
    <xf numFmtId="0" fontId="26" fillId="13" borderId="0" applyNumberFormat="0" applyBorder="0" applyAlignment="0" applyProtection="0"/>
    <xf numFmtId="0" fontId="26" fillId="14" borderId="0" applyNumberFormat="0" applyBorder="0" applyAlignment="0" applyProtection="0"/>
    <xf numFmtId="0" fontId="26" fillId="15" borderId="0" applyNumberFormat="0" applyBorder="0" applyAlignment="0" applyProtection="0"/>
    <xf numFmtId="0" fontId="27" fillId="0" borderId="1" applyNumberFormat="0" applyFill="0" applyAlignment="0" applyProtection="0"/>
    <xf numFmtId="0" fontId="28" fillId="0" borderId="2" applyNumberFormat="0" applyFill="0" applyAlignment="0" applyProtection="0"/>
    <xf numFmtId="0" fontId="29" fillId="0" borderId="3" applyNumberFormat="0" applyFill="0" applyAlignment="0" applyProtection="0"/>
    <xf numFmtId="0" fontId="29" fillId="0" borderId="0" applyNumberFormat="0" applyFill="0" applyBorder="0" applyAlignment="0" applyProtection="0"/>
    <xf numFmtId="0" fontId="30" fillId="20" borderId="4" applyNumberFormat="0" applyAlignment="0" applyProtection="0"/>
    <xf numFmtId="0" fontId="31" fillId="0" borderId="5" applyNumberFormat="0" applyFill="0" applyAlignment="0" applyProtection="0"/>
    <xf numFmtId="0" fontId="26" fillId="16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13" borderId="0" applyNumberFormat="0" applyBorder="0" applyAlignment="0" applyProtection="0"/>
    <xf numFmtId="0" fontId="26" fillId="14" borderId="0" applyNumberFormat="0" applyBorder="0" applyAlignment="0" applyProtection="0"/>
    <xf numFmtId="0" fontId="26" fillId="19" borderId="0" applyNumberFormat="0" applyBorder="0" applyAlignment="0" applyProtection="0"/>
    <xf numFmtId="0" fontId="32" fillId="4" borderId="0" applyNumberFormat="0" applyBorder="0" applyAlignment="0" applyProtection="0"/>
    <xf numFmtId="0" fontId="33" fillId="7" borderId="4" applyNumberFormat="0" applyAlignment="0" applyProtection="0"/>
    <xf numFmtId="0" fontId="34" fillId="3" borderId="0" applyNumberFormat="0" applyBorder="0" applyAlignment="0" applyProtection="0"/>
    <xf numFmtId="0" fontId="42" fillId="0" borderId="0"/>
    <xf numFmtId="0" fontId="35" fillId="22" borderId="0" applyNumberFormat="0" applyBorder="0" applyAlignment="0" applyProtection="0"/>
    <xf numFmtId="0" fontId="8" fillId="23" borderId="7" applyNumberFormat="0" applyFont="0" applyAlignment="0" applyProtection="0"/>
    <xf numFmtId="0" fontId="36" fillId="20" borderId="8" applyNumberFormat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0" borderId="9" applyNumberFormat="0" applyFill="0" applyAlignment="0" applyProtection="0"/>
    <xf numFmtId="0" fontId="41" fillId="21" borderId="6" applyNumberFormat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43" fillId="0" borderId="0" applyNumberFormat="0" applyFill="0" applyBorder="0" applyAlignment="0" applyProtection="0"/>
    <xf numFmtId="0" fontId="44" fillId="0" borderId="15" applyNumberFormat="0" applyFill="0" applyAlignment="0" applyProtection="0"/>
    <xf numFmtId="0" fontId="45" fillId="0" borderId="16" applyNumberFormat="0" applyFill="0" applyAlignment="0" applyProtection="0"/>
    <xf numFmtId="0" fontId="46" fillId="0" borderId="17" applyNumberFormat="0" applyFill="0" applyAlignment="0" applyProtection="0"/>
    <xf numFmtId="0" fontId="46" fillId="0" borderId="0" applyNumberFormat="0" applyFill="0" applyBorder="0" applyAlignment="0" applyProtection="0"/>
    <xf numFmtId="0" fontId="47" fillId="26" borderId="0" applyNumberFormat="0" applyBorder="0" applyAlignment="0" applyProtection="0"/>
    <xf numFmtId="0" fontId="48" fillId="27" borderId="0" applyNumberFormat="0" applyBorder="0" applyAlignment="0" applyProtection="0"/>
    <xf numFmtId="0" fontId="49" fillId="28" borderId="0" applyNumberFormat="0" applyBorder="0" applyAlignment="0" applyProtection="0"/>
    <xf numFmtId="0" fontId="50" fillId="29" borderId="18" applyNumberFormat="0" applyAlignment="0" applyProtection="0"/>
    <xf numFmtId="0" fontId="51" fillId="30" borderId="19" applyNumberFormat="0" applyAlignment="0" applyProtection="0"/>
    <xf numFmtId="0" fontId="52" fillId="30" borderId="18" applyNumberFormat="0" applyAlignment="0" applyProtection="0"/>
    <xf numFmtId="0" fontId="53" fillId="0" borderId="20" applyNumberFormat="0" applyFill="0" applyAlignment="0" applyProtection="0"/>
    <xf numFmtId="0" fontId="54" fillId="31" borderId="21" applyNumberFormat="0" applyAlignment="0" applyProtection="0"/>
    <xf numFmtId="0" fontId="55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3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57" fillId="36" borderId="0" applyNumberFormat="0" applyBorder="0" applyAlignment="0" applyProtection="0"/>
    <xf numFmtId="0" fontId="57" fillId="37" borderId="0" applyNumberFormat="0" applyBorder="0" applyAlignment="0" applyProtection="0"/>
    <xf numFmtId="0" fontId="7" fillId="38" borderId="0" applyNumberFormat="0" applyBorder="0" applyAlignment="0" applyProtection="0"/>
    <xf numFmtId="0" fontId="7" fillId="39" borderId="0" applyNumberFormat="0" applyBorder="0" applyAlignment="0" applyProtection="0"/>
    <xf numFmtId="0" fontId="57" fillId="40" borderId="0" applyNumberFormat="0" applyBorder="0" applyAlignment="0" applyProtection="0"/>
    <xf numFmtId="0" fontId="57" fillId="41" borderId="0" applyNumberFormat="0" applyBorder="0" applyAlignment="0" applyProtection="0"/>
    <xf numFmtId="0" fontId="7" fillId="42" borderId="0" applyNumberFormat="0" applyBorder="0" applyAlignment="0" applyProtection="0"/>
    <xf numFmtId="0" fontId="7" fillId="43" borderId="0" applyNumberFormat="0" applyBorder="0" applyAlignment="0" applyProtection="0"/>
    <xf numFmtId="0" fontId="57" fillId="44" borderId="0" applyNumberFormat="0" applyBorder="0" applyAlignment="0" applyProtection="0"/>
    <xf numFmtId="0" fontId="57" fillId="45" borderId="0" applyNumberFormat="0" applyBorder="0" applyAlignment="0" applyProtection="0"/>
    <xf numFmtId="0" fontId="7" fillId="46" borderId="0" applyNumberFormat="0" applyBorder="0" applyAlignment="0" applyProtection="0"/>
    <xf numFmtId="0" fontId="7" fillId="47" borderId="0" applyNumberFormat="0" applyBorder="0" applyAlignment="0" applyProtection="0"/>
    <xf numFmtId="0" fontId="57" fillId="48" borderId="0" applyNumberFormat="0" applyBorder="0" applyAlignment="0" applyProtection="0"/>
    <xf numFmtId="0" fontId="57" fillId="49" borderId="0" applyNumberFormat="0" applyBorder="0" applyAlignment="0" applyProtection="0"/>
    <xf numFmtId="0" fontId="7" fillId="50" borderId="0" applyNumberFormat="0" applyBorder="0" applyAlignment="0" applyProtection="0"/>
    <xf numFmtId="0" fontId="7" fillId="51" borderId="0" applyNumberFormat="0" applyBorder="0" applyAlignment="0" applyProtection="0"/>
    <xf numFmtId="0" fontId="57" fillId="52" borderId="0" applyNumberFormat="0" applyBorder="0" applyAlignment="0" applyProtection="0"/>
    <xf numFmtId="0" fontId="57" fillId="53" borderId="0" applyNumberFormat="0" applyBorder="0" applyAlignment="0" applyProtection="0"/>
    <xf numFmtId="0" fontId="7" fillId="54" borderId="0" applyNumberFormat="0" applyBorder="0" applyAlignment="0" applyProtection="0"/>
    <xf numFmtId="0" fontId="7" fillId="55" borderId="0" applyNumberFormat="0" applyBorder="0" applyAlignment="0" applyProtection="0"/>
    <xf numFmtId="0" fontId="57" fillId="56" borderId="0" applyNumberFormat="0" applyBorder="0" applyAlignment="0" applyProtection="0"/>
    <xf numFmtId="0" fontId="7" fillId="0" borderId="0"/>
    <xf numFmtId="0" fontId="7" fillId="32" borderId="22" applyNumberFormat="0" applyFont="0" applyAlignment="0" applyProtection="0"/>
    <xf numFmtId="0" fontId="58" fillId="0" borderId="23" applyNumberFormat="0" applyFill="0" applyAlignment="0" applyProtection="0"/>
    <xf numFmtId="0" fontId="6" fillId="0" borderId="0"/>
    <xf numFmtId="0" fontId="6" fillId="32" borderId="22" applyNumberFormat="0" applyFont="0" applyAlignment="0" applyProtection="0"/>
    <xf numFmtId="0" fontId="6" fillId="34" borderId="0" applyNumberFormat="0" applyBorder="0" applyAlignment="0" applyProtection="0"/>
    <xf numFmtId="0" fontId="6" fillId="35" borderId="0" applyNumberFormat="0" applyBorder="0" applyAlignment="0" applyProtection="0"/>
    <xf numFmtId="0" fontId="6" fillId="38" borderId="0" applyNumberFormat="0" applyBorder="0" applyAlignment="0" applyProtection="0"/>
    <xf numFmtId="0" fontId="6" fillId="39" borderId="0" applyNumberFormat="0" applyBorder="0" applyAlignment="0" applyProtection="0"/>
    <xf numFmtId="0" fontId="6" fillId="42" borderId="0" applyNumberFormat="0" applyBorder="0" applyAlignment="0" applyProtection="0"/>
    <xf numFmtId="0" fontId="6" fillId="43" borderId="0" applyNumberFormat="0" applyBorder="0" applyAlignment="0" applyProtection="0"/>
    <xf numFmtId="0" fontId="6" fillId="46" borderId="0" applyNumberFormat="0" applyBorder="0" applyAlignment="0" applyProtection="0"/>
    <xf numFmtId="0" fontId="6" fillId="47" borderId="0" applyNumberFormat="0" applyBorder="0" applyAlignment="0" applyProtection="0"/>
    <xf numFmtId="0" fontId="6" fillId="50" borderId="0" applyNumberFormat="0" applyBorder="0" applyAlignment="0" applyProtection="0"/>
    <xf numFmtId="0" fontId="6" fillId="51" borderId="0" applyNumberFormat="0" applyBorder="0" applyAlignment="0" applyProtection="0"/>
    <xf numFmtId="0" fontId="6" fillId="54" borderId="0" applyNumberFormat="0" applyBorder="0" applyAlignment="0" applyProtection="0"/>
    <xf numFmtId="0" fontId="6" fillId="55" borderId="0" applyNumberFormat="0" applyBorder="0" applyAlignment="0" applyProtection="0"/>
    <xf numFmtId="0" fontId="5" fillId="0" borderId="0"/>
    <xf numFmtId="0" fontId="5" fillId="32" borderId="22" applyNumberFormat="0" applyFont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38" borderId="0" applyNumberFormat="0" applyBorder="0" applyAlignment="0" applyProtection="0"/>
    <xf numFmtId="0" fontId="5" fillId="39" borderId="0" applyNumberFormat="0" applyBorder="0" applyAlignment="0" applyProtection="0"/>
    <xf numFmtId="0" fontId="5" fillId="42" borderId="0" applyNumberFormat="0" applyBorder="0" applyAlignment="0" applyProtection="0"/>
    <xf numFmtId="0" fontId="5" fillId="43" borderId="0" applyNumberFormat="0" applyBorder="0" applyAlignment="0" applyProtection="0"/>
    <xf numFmtId="0" fontId="5" fillId="46" borderId="0" applyNumberFormat="0" applyBorder="0" applyAlignment="0" applyProtection="0"/>
    <xf numFmtId="0" fontId="5" fillId="47" borderId="0" applyNumberFormat="0" applyBorder="0" applyAlignment="0" applyProtection="0"/>
    <xf numFmtId="0" fontId="5" fillId="50" borderId="0" applyNumberFormat="0" applyBorder="0" applyAlignment="0" applyProtection="0"/>
    <xf numFmtId="0" fontId="5" fillId="51" borderId="0" applyNumberFormat="0" applyBorder="0" applyAlignment="0" applyProtection="0"/>
    <xf numFmtId="0" fontId="5" fillId="54" borderId="0" applyNumberFormat="0" applyBorder="0" applyAlignment="0" applyProtection="0"/>
    <xf numFmtId="0" fontId="5" fillId="55" borderId="0" applyNumberFormat="0" applyBorder="0" applyAlignment="0" applyProtection="0"/>
    <xf numFmtId="0" fontId="4" fillId="0" borderId="0"/>
    <xf numFmtId="0" fontId="4" fillId="32" borderId="22" applyNumberFormat="0" applyFont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2" borderId="0" applyNumberFormat="0" applyBorder="0" applyAlignment="0" applyProtection="0"/>
    <xf numFmtId="0" fontId="4" fillId="43" borderId="0" applyNumberFormat="0" applyBorder="0" applyAlignment="0" applyProtection="0"/>
    <xf numFmtId="0" fontId="4" fillId="46" borderId="0" applyNumberFormat="0" applyBorder="0" applyAlignment="0" applyProtection="0"/>
    <xf numFmtId="0" fontId="4" fillId="47" borderId="0" applyNumberFormat="0" applyBorder="0" applyAlignment="0" applyProtection="0"/>
    <xf numFmtId="0" fontId="4" fillId="50" borderId="0" applyNumberFormat="0" applyBorder="0" applyAlignment="0" applyProtection="0"/>
    <xf numFmtId="0" fontId="4" fillId="51" borderId="0" applyNumberFormat="0" applyBorder="0" applyAlignment="0" applyProtection="0"/>
    <xf numFmtId="0" fontId="4" fillId="54" borderId="0" applyNumberFormat="0" applyBorder="0" applyAlignment="0" applyProtection="0"/>
    <xf numFmtId="0" fontId="4" fillId="55" borderId="0" applyNumberFormat="0" applyBorder="0" applyAlignment="0" applyProtection="0"/>
    <xf numFmtId="0" fontId="4" fillId="34" borderId="0" applyNumberFormat="0" applyBorder="0" applyAlignment="0" applyProtection="0"/>
    <xf numFmtId="0" fontId="4" fillId="34" borderId="0" applyNumberFormat="0" applyBorder="0" applyAlignment="0" applyProtection="0"/>
    <xf numFmtId="0" fontId="4" fillId="38" borderId="0" applyNumberFormat="0" applyBorder="0" applyAlignment="0" applyProtection="0"/>
    <xf numFmtId="0" fontId="4" fillId="38" borderId="0" applyNumberFormat="0" applyBorder="0" applyAlignment="0" applyProtection="0"/>
    <xf numFmtId="0" fontId="4" fillId="42" borderId="0" applyNumberFormat="0" applyBorder="0" applyAlignment="0" applyProtection="0"/>
    <xf numFmtId="0" fontId="4" fillId="42" borderId="0" applyNumberFormat="0" applyBorder="0" applyAlignment="0" applyProtection="0"/>
    <xf numFmtId="0" fontId="4" fillId="46" borderId="0" applyNumberFormat="0" applyBorder="0" applyAlignment="0" applyProtection="0"/>
    <xf numFmtId="0" fontId="4" fillId="46" borderId="0" applyNumberFormat="0" applyBorder="0" applyAlignment="0" applyProtection="0"/>
    <xf numFmtId="0" fontId="4" fillId="50" borderId="0" applyNumberFormat="0" applyBorder="0" applyAlignment="0" applyProtection="0"/>
    <xf numFmtId="0" fontId="4" fillId="50" borderId="0" applyNumberFormat="0" applyBorder="0" applyAlignment="0" applyProtection="0"/>
    <xf numFmtId="0" fontId="4" fillId="54" borderId="0" applyNumberFormat="0" applyBorder="0" applyAlignment="0" applyProtection="0"/>
    <xf numFmtId="0" fontId="4" fillId="54" borderId="0" applyNumberFormat="0" applyBorder="0" applyAlignment="0" applyProtection="0"/>
    <xf numFmtId="0" fontId="4" fillId="35" borderId="0" applyNumberFormat="0" applyBorder="0" applyAlignment="0" applyProtection="0"/>
    <xf numFmtId="0" fontId="4" fillId="35" borderId="0" applyNumberFormat="0" applyBorder="0" applyAlignment="0" applyProtection="0"/>
    <xf numFmtId="0" fontId="4" fillId="39" borderId="0" applyNumberFormat="0" applyBorder="0" applyAlignment="0" applyProtection="0"/>
    <xf numFmtId="0" fontId="4" fillId="39" borderId="0" applyNumberFormat="0" applyBorder="0" applyAlignment="0" applyProtection="0"/>
    <xf numFmtId="0" fontId="4" fillId="43" borderId="0" applyNumberFormat="0" applyBorder="0" applyAlignment="0" applyProtection="0"/>
    <xf numFmtId="0" fontId="4" fillId="43" borderId="0" applyNumberFormat="0" applyBorder="0" applyAlignment="0" applyProtection="0"/>
    <xf numFmtId="0" fontId="4" fillId="47" borderId="0" applyNumberFormat="0" applyBorder="0" applyAlignment="0" applyProtection="0"/>
    <xf numFmtId="0" fontId="4" fillId="47" borderId="0" applyNumberFormat="0" applyBorder="0" applyAlignment="0" applyProtection="0"/>
    <xf numFmtId="0" fontId="4" fillId="51" borderId="0" applyNumberFormat="0" applyBorder="0" applyAlignment="0" applyProtection="0"/>
    <xf numFmtId="0" fontId="4" fillId="51" borderId="0" applyNumberFormat="0" applyBorder="0" applyAlignment="0" applyProtection="0"/>
    <xf numFmtId="0" fontId="4" fillId="55" borderId="0" applyNumberFormat="0" applyBorder="0" applyAlignment="0" applyProtection="0"/>
    <xf numFmtId="0" fontId="4" fillId="55" borderId="0" applyNumberFormat="0" applyBorder="0" applyAlignment="0" applyProtection="0"/>
    <xf numFmtId="0" fontId="8" fillId="0" borderId="0"/>
    <xf numFmtId="0" fontId="4" fillId="0" borderId="0"/>
    <xf numFmtId="0" fontId="4" fillId="0" borderId="0"/>
    <xf numFmtId="0" fontId="4" fillId="0" borderId="0"/>
    <xf numFmtId="0" fontId="4" fillId="32" borderId="22" applyNumberFormat="0" applyFont="0" applyAlignment="0" applyProtection="0"/>
    <xf numFmtId="0" fontId="4" fillId="32" borderId="22" applyNumberFormat="0" applyFont="0" applyAlignment="0" applyProtection="0"/>
    <xf numFmtId="0" fontId="4" fillId="32" borderId="22" applyNumberFormat="0" applyFont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3" fillId="38" borderId="0" applyNumberFormat="0" applyBorder="0" applyAlignment="0" applyProtection="0"/>
    <xf numFmtId="0" fontId="3" fillId="39" borderId="0" applyNumberFormat="0" applyBorder="0" applyAlignment="0" applyProtection="0"/>
    <xf numFmtId="0" fontId="3" fillId="42" borderId="0" applyNumberFormat="0" applyBorder="0" applyAlignment="0" applyProtection="0"/>
    <xf numFmtId="0" fontId="3" fillId="43" borderId="0" applyNumberFormat="0" applyBorder="0" applyAlignment="0" applyProtection="0"/>
    <xf numFmtId="0" fontId="3" fillId="46" borderId="0" applyNumberFormat="0" applyBorder="0" applyAlignment="0" applyProtection="0"/>
    <xf numFmtId="0" fontId="3" fillId="47" borderId="0" applyNumberFormat="0" applyBorder="0" applyAlignment="0" applyProtection="0"/>
    <xf numFmtId="0" fontId="3" fillId="50" borderId="0" applyNumberFormat="0" applyBorder="0" applyAlignment="0" applyProtection="0"/>
    <xf numFmtId="0" fontId="3" fillId="51" borderId="0" applyNumberFormat="0" applyBorder="0" applyAlignment="0" applyProtection="0"/>
    <xf numFmtId="0" fontId="3" fillId="54" borderId="0" applyNumberFormat="0" applyBorder="0" applyAlignment="0" applyProtection="0"/>
    <xf numFmtId="0" fontId="3" fillId="55" borderId="0" applyNumberFormat="0" applyBorder="0" applyAlignment="0" applyProtection="0"/>
    <xf numFmtId="0" fontId="3" fillId="0" borderId="0"/>
    <xf numFmtId="0" fontId="3" fillId="32" borderId="22" applyNumberFormat="0" applyFont="0" applyAlignment="0" applyProtection="0"/>
    <xf numFmtId="0" fontId="3" fillId="0" borderId="0"/>
    <xf numFmtId="0" fontId="3" fillId="32" borderId="22" applyNumberFormat="0" applyFont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3" fillId="38" borderId="0" applyNumberFormat="0" applyBorder="0" applyAlignment="0" applyProtection="0"/>
    <xf numFmtId="0" fontId="3" fillId="39" borderId="0" applyNumberFormat="0" applyBorder="0" applyAlignment="0" applyProtection="0"/>
    <xf numFmtId="0" fontId="3" fillId="42" borderId="0" applyNumberFormat="0" applyBorder="0" applyAlignment="0" applyProtection="0"/>
    <xf numFmtId="0" fontId="3" fillId="43" borderId="0" applyNumberFormat="0" applyBorder="0" applyAlignment="0" applyProtection="0"/>
    <xf numFmtId="0" fontId="3" fillId="46" borderId="0" applyNumberFormat="0" applyBorder="0" applyAlignment="0" applyProtection="0"/>
    <xf numFmtId="0" fontId="3" fillId="47" borderId="0" applyNumberFormat="0" applyBorder="0" applyAlignment="0" applyProtection="0"/>
    <xf numFmtId="0" fontId="3" fillId="50" borderId="0" applyNumberFormat="0" applyBorder="0" applyAlignment="0" applyProtection="0"/>
    <xf numFmtId="0" fontId="3" fillId="51" borderId="0" applyNumberFormat="0" applyBorder="0" applyAlignment="0" applyProtection="0"/>
    <xf numFmtId="0" fontId="3" fillId="54" borderId="0" applyNumberFormat="0" applyBorder="0" applyAlignment="0" applyProtection="0"/>
    <xf numFmtId="0" fontId="3" fillId="55" borderId="0" applyNumberFormat="0" applyBorder="0" applyAlignment="0" applyProtection="0"/>
    <xf numFmtId="0" fontId="3" fillId="0" borderId="0"/>
    <xf numFmtId="0" fontId="3" fillId="32" borderId="22" applyNumberFormat="0" applyFont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3" fillId="38" borderId="0" applyNumberFormat="0" applyBorder="0" applyAlignment="0" applyProtection="0"/>
    <xf numFmtId="0" fontId="3" fillId="39" borderId="0" applyNumberFormat="0" applyBorder="0" applyAlignment="0" applyProtection="0"/>
    <xf numFmtId="0" fontId="3" fillId="42" borderId="0" applyNumberFormat="0" applyBorder="0" applyAlignment="0" applyProtection="0"/>
    <xf numFmtId="0" fontId="3" fillId="43" borderId="0" applyNumberFormat="0" applyBorder="0" applyAlignment="0" applyProtection="0"/>
    <xf numFmtId="0" fontId="3" fillId="46" borderId="0" applyNumberFormat="0" applyBorder="0" applyAlignment="0" applyProtection="0"/>
    <xf numFmtId="0" fontId="3" fillId="47" borderId="0" applyNumberFormat="0" applyBorder="0" applyAlignment="0" applyProtection="0"/>
    <xf numFmtId="0" fontId="3" fillId="50" borderId="0" applyNumberFormat="0" applyBorder="0" applyAlignment="0" applyProtection="0"/>
    <xf numFmtId="0" fontId="3" fillId="51" borderId="0" applyNumberFormat="0" applyBorder="0" applyAlignment="0" applyProtection="0"/>
    <xf numFmtId="0" fontId="3" fillId="54" borderId="0" applyNumberFormat="0" applyBorder="0" applyAlignment="0" applyProtection="0"/>
    <xf numFmtId="0" fontId="3" fillId="55" borderId="0" applyNumberFormat="0" applyBorder="0" applyAlignment="0" applyProtection="0"/>
    <xf numFmtId="0" fontId="3" fillId="0" borderId="0"/>
    <xf numFmtId="0" fontId="3" fillId="32" borderId="22" applyNumberFormat="0" applyFont="0" applyAlignment="0" applyProtection="0"/>
    <xf numFmtId="0" fontId="3" fillId="34" borderId="0" applyNumberFormat="0" applyBorder="0" applyAlignment="0" applyProtection="0"/>
    <xf numFmtId="0" fontId="3" fillId="35" borderId="0" applyNumberFormat="0" applyBorder="0" applyAlignment="0" applyProtection="0"/>
    <xf numFmtId="0" fontId="3" fillId="38" borderId="0" applyNumberFormat="0" applyBorder="0" applyAlignment="0" applyProtection="0"/>
    <xf numFmtId="0" fontId="3" fillId="39" borderId="0" applyNumberFormat="0" applyBorder="0" applyAlignment="0" applyProtection="0"/>
    <xf numFmtId="0" fontId="3" fillId="42" borderId="0" applyNumberFormat="0" applyBorder="0" applyAlignment="0" applyProtection="0"/>
    <xf numFmtId="0" fontId="3" fillId="43" borderId="0" applyNumberFormat="0" applyBorder="0" applyAlignment="0" applyProtection="0"/>
    <xf numFmtId="0" fontId="3" fillId="46" borderId="0" applyNumberFormat="0" applyBorder="0" applyAlignment="0" applyProtection="0"/>
    <xf numFmtId="0" fontId="3" fillId="47" borderId="0" applyNumberFormat="0" applyBorder="0" applyAlignment="0" applyProtection="0"/>
    <xf numFmtId="0" fontId="3" fillId="50" borderId="0" applyNumberFormat="0" applyBorder="0" applyAlignment="0" applyProtection="0"/>
    <xf numFmtId="0" fontId="3" fillId="51" borderId="0" applyNumberFormat="0" applyBorder="0" applyAlignment="0" applyProtection="0"/>
    <xf numFmtId="0" fontId="3" fillId="54" borderId="0" applyNumberFormat="0" applyBorder="0" applyAlignment="0" applyProtection="0"/>
    <xf numFmtId="0" fontId="3" fillId="55" borderId="0" applyNumberFormat="0" applyBorder="0" applyAlignment="0" applyProtection="0"/>
    <xf numFmtId="0" fontId="3" fillId="34" borderId="0" applyNumberFormat="0" applyBorder="0" applyAlignment="0" applyProtection="0"/>
    <xf numFmtId="0" fontId="3" fillId="34" borderId="0" applyNumberFormat="0" applyBorder="0" applyAlignment="0" applyProtection="0"/>
    <xf numFmtId="0" fontId="3" fillId="38" borderId="0" applyNumberFormat="0" applyBorder="0" applyAlignment="0" applyProtection="0"/>
    <xf numFmtId="0" fontId="3" fillId="38" borderId="0" applyNumberFormat="0" applyBorder="0" applyAlignment="0" applyProtection="0"/>
    <xf numFmtId="0" fontId="3" fillId="42" borderId="0" applyNumberFormat="0" applyBorder="0" applyAlignment="0" applyProtection="0"/>
    <xf numFmtId="0" fontId="3" fillId="42" borderId="0" applyNumberFormat="0" applyBorder="0" applyAlignment="0" applyProtection="0"/>
    <xf numFmtId="0" fontId="3" fillId="46" borderId="0" applyNumberFormat="0" applyBorder="0" applyAlignment="0" applyProtection="0"/>
    <xf numFmtId="0" fontId="3" fillId="46" borderId="0" applyNumberFormat="0" applyBorder="0" applyAlignment="0" applyProtection="0"/>
    <xf numFmtId="0" fontId="3" fillId="50" borderId="0" applyNumberFormat="0" applyBorder="0" applyAlignment="0" applyProtection="0"/>
    <xf numFmtId="0" fontId="3" fillId="50" borderId="0" applyNumberFormat="0" applyBorder="0" applyAlignment="0" applyProtection="0"/>
    <xf numFmtId="0" fontId="3" fillId="54" borderId="0" applyNumberFormat="0" applyBorder="0" applyAlignment="0" applyProtection="0"/>
    <xf numFmtId="0" fontId="3" fillId="54" borderId="0" applyNumberFormat="0" applyBorder="0" applyAlignment="0" applyProtection="0"/>
    <xf numFmtId="0" fontId="3" fillId="35" borderId="0" applyNumberFormat="0" applyBorder="0" applyAlignment="0" applyProtection="0"/>
    <xf numFmtId="0" fontId="3" fillId="35" borderId="0" applyNumberFormat="0" applyBorder="0" applyAlignment="0" applyProtection="0"/>
    <xf numFmtId="0" fontId="3" fillId="39" borderId="0" applyNumberFormat="0" applyBorder="0" applyAlignment="0" applyProtection="0"/>
    <xf numFmtId="0" fontId="3" fillId="39" borderId="0" applyNumberFormat="0" applyBorder="0" applyAlignment="0" applyProtection="0"/>
    <xf numFmtId="0" fontId="3" fillId="43" borderId="0" applyNumberFormat="0" applyBorder="0" applyAlignment="0" applyProtection="0"/>
    <xf numFmtId="0" fontId="3" fillId="43" borderId="0" applyNumberFormat="0" applyBorder="0" applyAlignment="0" applyProtection="0"/>
    <xf numFmtId="0" fontId="3" fillId="47" borderId="0" applyNumberFormat="0" applyBorder="0" applyAlignment="0" applyProtection="0"/>
    <xf numFmtId="0" fontId="3" fillId="47" borderId="0" applyNumberFormat="0" applyBorder="0" applyAlignment="0" applyProtection="0"/>
    <xf numFmtId="0" fontId="3" fillId="51" borderId="0" applyNumberFormat="0" applyBorder="0" applyAlignment="0" applyProtection="0"/>
    <xf numFmtId="0" fontId="3" fillId="51" borderId="0" applyNumberFormat="0" applyBorder="0" applyAlignment="0" applyProtection="0"/>
    <xf numFmtId="0" fontId="3" fillId="55" borderId="0" applyNumberFormat="0" applyBorder="0" applyAlignment="0" applyProtection="0"/>
    <xf numFmtId="0" fontId="3" fillId="55" borderId="0" applyNumberFormat="0" applyBorder="0" applyAlignment="0" applyProtection="0"/>
    <xf numFmtId="0" fontId="3" fillId="0" borderId="0"/>
    <xf numFmtId="0" fontId="3" fillId="0" borderId="0"/>
    <xf numFmtId="0" fontId="3" fillId="0" borderId="0"/>
    <xf numFmtId="0" fontId="3" fillId="32" borderId="22" applyNumberFormat="0" applyFont="0" applyAlignment="0" applyProtection="0"/>
    <xf numFmtId="0" fontId="3" fillId="32" borderId="22" applyNumberFormat="0" applyFont="0" applyAlignment="0" applyProtection="0"/>
    <xf numFmtId="0" fontId="3" fillId="32" borderId="22" applyNumberFormat="0" applyFont="0" applyAlignment="0" applyProtection="0"/>
    <xf numFmtId="0" fontId="2" fillId="0" borderId="0"/>
    <xf numFmtId="0" fontId="2" fillId="34" borderId="0" applyNumberFormat="0" applyBorder="0" applyAlignment="0" applyProtection="0"/>
    <xf numFmtId="0" fontId="2" fillId="38" borderId="0" applyNumberFormat="0" applyBorder="0" applyAlignment="0" applyProtection="0"/>
    <xf numFmtId="0" fontId="2" fillId="42" borderId="0" applyNumberFormat="0" applyBorder="0" applyAlignment="0" applyProtection="0"/>
    <xf numFmtId="0" fontId="2" fillId="46" borderId="0" applyNumberFormat="0" applyBorder="0" applyAlignment="0" applyProtection="0"/>
    <xf numFmtId="0" fontId="2" fillId="50" borderId="0" applyNumberFormat="0" applyBorder="0" applyAlignment="0" applyProtection="0"/>
    <xf numFmtId="0" fontId="2" fillId="54" borderId="0" applyNumberFormat="0" applyBorder="0" applyAlignment="0" applyProtection="0"/>
    <xf numFmtId="0" fontId="2" fillId="35" borderId="0" applyNumberFormat="0" applyBorder="0" applyAlignment="0" applyProtection="0"/>
    <xf numFmtId="0" fontId="2" fillId="39" borderId="0" applyNumberFormat="0" applyBorder="0" applyAlignment="0" applyProtection="0"/>
    <xf numFmtId="0" fontId="2" fillId="43" borderId="0" applyNumberFormat="0" applyBorder="0" applyAlignment="0" applyProtection="0"/>
    <xf numFmtId="0" fontId="2" fillId="47" borderId="0" applyNumberFormat="0" applyBorder="0" applyAlignment="0" applyProtection="0"/>
    <xf numFmtId="0" fontId="2" fillId="51" borderId="0" applyNumberFormat="0" applyBorder="0" applyAlignment="0" applyProtection="0"/>
    <xf numFmtId="0" fontId="2" fillId="55" borderId="0" applyNumberFormat="0" applyBorder="0" applyAlignment="0" applyProtection="0"/>
    <xf numFmtId="0" fontId="2" fillId="32" borderId="22" applyNumberFormat="0" applyFont="0" applyAlignment="0" applyProtection="0"/>
    <xf numFmtId="0" fontId="8" fillId="0" borderId="0"/>
    <xf numFmtId="0" fontId="1" fillId="0" borderId="0"/>
    <xf numFmtId="0" fontId="1" fillId="0" borderId="0"/>
  </cellStyleXfs>
  <cellXfs count="122">
    <xf numFmtId="0" fontId="0" fillId="0" borderId="0" xfId="0"/>
    <xf numFmtId="164" fontId="12" fillId="0" borderId="0" xfId="43" applyFont="1" applyFill="1" applyBorder="1" applyAlignment="1" applyProtection="1">
      <alignment horizontal="center" vertical="center" wrapText="1"/>
      <protection locked="0"/>
    </xf>
    <xf numFmtId="164" fontId="10" fillId="0" borderId="0" xfId="43" applyFont="1" applyFill="1" applyAlignment="1" applyProtection="1">
      <alignment vertical="center"/>
      <protection locked="0"/>
    </xf>
    <xf numFmtId="164" fontId="23" fillId="24" borderId="10" xfId="43" applyFont="1" applyFill="1" applyBorder="1" applyAlignment="1" applyProtection="1">
      <alignment vertical="center"/>
      <protection locked="0"/>
    </xf>
    <xf numFmtId="167" fontId="16" fillId="0" borderId="0" xfId="43" applyNumberFormat="1" applyFont="1" applyFill="1" applyAlignment="1" applyProtection="1">
      <alignment horizontal="center" vertical="center"/>
      <protection locked="0"/>
    </xf>
    <xf numFmtId="164" fontId="12" fillId="0" borderId="0" xfId="43" applyFont="1" applyFill="1" applyAlignment="1" applyProtection="1">
      <alignment vertical="center"/>
      <protection locked="0"/>
    </xf>
    <xf numFmtId="164" fontId="12" fillId="0" borderId="0" xfId="43" applyFont="1" applyFill="1" applyAlignment="1" applyProtection="1">
      <alignment horizontal="center" vertical="center"/>
      <protection locked="0"/>
    </xf>
    <xf numFmtId="164" fontId="10" fillId="0" borderId="0" xfId="43" applyFont="1" applyFill="1" applyAlignment="1" applyProtection="1">
      <alignment horizontal="center" vertical="center"/>
      <protection locked="0"/>
    </xf>
    <xf numFmtId="164" fontId="23" fillId="24" borderId="10" xfId="43" applyFont="1" applyFill="1" applyBorder="1" applyAlignment="1" applyProtection="1">
      <alignment horizontal="center" vertical="center"/>
      <protection locked="0"/>
    </xf>
    <xf numFmtId="10" fontId="62" fillId="0" borderId="0" xfId="43" applyNumberFormat="1" applyFont="1" applyFill="1" applyAlignment="1" applyProtection="1">
      <alignment horizontal="center" vertical="center"/>
      <protection locked="0"/>
    </xf>
    <xf numFmtId="167" fontId="62" fillId="0" borderId="0" xfId="43" quotePrefix="1" applyNumberFormat="1" applyFont="1" applyFill="1" applyAlignment="1" applyProtection="1">
      <alignment horizontal="center" vertical="center"/>
      <protection locked="0"/>
    </xf>
    <xf numFmtId="167" fontId="62" fillId="0" borderId="0" xfId="43" applyNumberFormat="1" applyFont="1" applyFill="1" applyAlignment="1" applyProtection="1">
      <alignment horizontal="center" vertical="center"/>
      <protection locked="0"/>
    </xf>
    <xf numFmtId="4" fontId="10" fillId="0" borderId="13" xfId="154" applyNumberFormat="1" applyFont="1" applyBorder="1" applyAlignment="1" applyProtection="1">
      <alignment horizontal="right" vertical="center"/>
      <protection locked="0"/>
    </xf>
    <xf numFmtId="4" fontId="10" fillId="0" borderId="0" xfId="154" applyNumberFormat="1" applyFont="1" applyAlignment="1" applyProtection="1">
      <alignment horizontal="right" vertical="center"/>
      <protection locked="0"/>
    </xf>
    <xf numFmtId="168" fontId="10" fillId="25" borderId="13" xfId="154" applyNumberFormat="1" applyFont="1" applyFill="1" applyBorder="1" applyAlignment="1" applyProtection="1">
      <alignment horizontal="center" vertical="center"/>
      <protection locked="0"/>
    </xf>
    <xf numFmtId="0" fontId="9" fillId="0" borderId="0" xfId="154" applyFont="1" applyAlignment="1" applyProtection="1">
      <alignment horizontal="left" vertical="center"/>
      <protection locked="0"/>
    </xf>
    <xf numFmtId="0" fontId="9" fillId="0" borderId="0" xfId="154" applyFont="1" applyAlignment="1" applyProtection="1">
      <alignment horizontal="center" vertical="center"/>
      <protection locked="0"/>
    </xf>
    <xf numFmtId="0" fontId="10" fillId="0" borderId="0" xfId="154" applyFont="1" applyAlignment="1" applyProtection="1">
      <alignment horizontal="center" vertical="center"/>
      <protection locked="0"/>
    </xf>
    <xf numFmtId="0" fontId="10" fillId="0" borderId="0" xfId="154" applyFont="1" applyAlignment="1" applyProtection="1">
      <alignment vertical="center"/>
      <protection locked="0"/>
    </xf>
    <xf numFmtId="0" fontId="10" fillId="0" borderId="0" xfId="154" applyFont="1" applyAlignment="1" applyProtection="1">
      <alignment horizontal="left" vertical="center"/>
      <protection locked="0"/>
    </xf>
    <xf numFmtId="0" fontId="12" fillId="0" borderId="0" xfId="154" applyFont="1" applyAlignment="1" applyProtection="1">
      <alignment vertical="center"/>
      <protection locked="0"/>
    </xf>
    <xf numFmtId="0" fontId="15" fillId="0" borderId="0" xfId="154" applyFont="1" applyAlignment="1" applyProtection="1">
      <alignment vertical="center"/>
      <protection locked="0"/>
    </xf>
    <xf numFmtId="4" fontId="10" fillId="0" borderId="0" xfId="154" applyNumberFormat="1" applyFont="1" applyAlignment="1" applyProtection="1">
      <alignment horizontal="center" vertical="center"/>
      <protection locked="0"/>
    </xf>
    <xf numFmtId="166" fontId="16" fillId="0" borderId="0" xfId="154" applyNumberFormat="1" applyFont="1" applyAlignment="1" applyProtection="1">
      <alignment horizontal="center" vertical="center"/>
      <protection locked="0"/>
    </xf>
    <xf numFmtId="167" fontId="16" fillId="0" borderId="0" xfId="154" applyNumberFormat="1" applyFont="1" applyAlignment="1" applyProtection="1">
      <alignment horizontal="center" vertical="center"/>
      <protection locked="0"/>
    </xf>
    <xf numFmtId="3" fontId="10" fillId="0" borderId="0" xfId="154" applyNumberFormat="1" applyFont="1" applyAlignment="1" applyProtection="1">
      <alignment horizontal="center" vertical="center"/>
      <protection locked="0"/>
    </xf>
    <xf numFmtId="3" fontId="12" fillId="0" borderId="0" xfId="154" applyNumberFormat="1" applyFont="1" applyAlignment="1" applyProtection="1">
      <alignment horizontal="center" vertical="center"/>
      <protection locked="0"/>
    </xf>
    <xf numFmtId="15" fontId="12" fillId="0" borderId="0" xfId="154" applyNumberFormat="1" applyFont="1" applyAlignment="1" applyProtection="1">
      <alignment horizontal="left" vertical="center"/>
      <protection locked="0"/>
    </xf>
    <xf numFmtId="15" fontId="12" fillId="0" borderId="0" xfId="154" applyNumberFormat="1" applyFont="1" applyAlignment="1" applyProtection="1">
      <alignment horizontal="center" vertical="center"/>
      <protection locked="0"/>
    </xf>
    <xf numFmtId="0" fontId="12" fillId="0" borderId="0" xfId="154" applyFont="1" applyAlignment="1" applyProtection="1">
      <alignment horizontal="left" vertical="center"/>
      <protection locked="0"/>
    </xf>
    <xf numFmtId="14" fontId="12" fillId="0" borderId="0" xfId="154" applyNumberFormat="1" applyFont="1" applyAlignment="1" applyProtection="1">
      <alignment vertical="center"/>
      <protection locked="0"/>
    </xf>
    <xf numFmtId="4" fontId="10" fillId="0" borderId="0" xfId="154" applyNumberFormat="1" applyFont="1" applyAlignment="1" applyProtection="1">
      <alignment vertical="center"/>
      <protection locked="0"/>
    </xf>
    <xf numFmtId="0" fontId="12" fillId="0" borderId="0" xfId="154" applyFont="1" applyAlignment="1" applyProtection="1">
      <alignment horizontal="center" vertical="center"/>
      <protection locked="0"/>
    </xf>
    <xf numFmtId="10" fontId="12" fillId="0" borderId="0" xfId="154" applyNumberFormat="1" applyFont="1" applyAlignment="1" applyProtection="1">
      <alignment vertical="center"/>
      <protection locked="0"/>
    </xf>
    <xf numFmtId="166" fontId="12" fillId="0" borderId="0" xfId="154" applyNumberFormat="1" applyFont="1" applyAlignment="1" applyProtection="1">
      <alignment vertical="center"/>
      <protection locked="0"/>
    </xf>
    <xf numFmtId="167" fontId="12" fillId="0" borderId="0" xfId="154" applyNumberFormat="1" applyFont="1" applyAlignment="1" applyProtection="1">
      <alignment vertical="center"/>
      <protection locked="0"/>
    </xf>
    <xf numFmtId="1" fontId="12" fillId="0" borderId="0" xfId="154" applyNumberFormat="1" applyFont="1" applyAlignment="1" applyProtection="1">
      <alignment vertical="center"/>
      <protection locked="0"/>
    </xf>
    <xf numFmtId="3" fontId="12" fillId="0" borderId="0" xfId="154" applyNumberFormat="1" applyFont="1" applyAlignment="1" applyProtection="1">
      <alignment vertical="center"/>
      <protection locked="0"/>
    </xf>
    <xf numFmtId="4" fontId="12" fillId="0" borderId="0" xfId="154" applyNumberFormat="1" applyFont="1" applyAlignment="1" applyProtection="1">
      <alignment vertical="center"/>
      <protection locked="0"/>
    </xf>
    <xf numFmtId="169" fontId="12" fillId="0" borderId="0" xfId="154" applyNumberFormat="1" applyFont="1" applyAlignment="1" applyProtection="1">
      <alignment vertical="center"/>
      <protection locked="0"/>
    </xf>
    <xf numFmtId="15" fontId="15" fillId="0" borderId="0" xfId="154" applyNumberFormat="1" applyFont="1" applyAlignment="1" applyProtection="1">
      <alignment horizontal="left" vertical="center"/>
      <protection locked="0"/>
    </xf>
    <xf numFmtId="15" fontId="15" fillId="0" borderId="0" xfId="154" applyNumberFormat="1" applyFont="1" applyAlignment="1" applyProtection="1">
      <alignment horizontal="center" vertical="center"/>
      <protection locked="0"/>
    </xf>
    <xf numFmtId="1" fontId="10" fillId="0" borderId="0" xfId="154" applyNumberFormat="1" applyFont="1"/>
    <xf numFmtId="15" fontId="13" fillId="0" borderId="0" xfId="154" applyNumberFormat="1" applyFont="1" applyAlignment="1" applyProtection="1">
      <alignment horizontal="left" vertical="center"/>
      <protection locked="0"/>
    </xf>
    <xf numFmtId="15" fontId="15" fillId="0" borderId="0" xfId="154" applyNumberFormat="1" applyFont="1" applyAlignment="1" applyProtection="1">
      <alignment vertical="center"/>
      <protection locked="0"/>
    </xf>
    <xf numFmtId="10" fontId="16" fillId="0" borderId="0" xfId="154" applyNumberFormat="1" applyFont="1" applyAlignment="1" applyProtection="1">
      <alignment horizontal="center" vertical="center"/>
      <protection locked="0"/>
    </xf>
    <xf numFmtId="4" fontId="12" fillId="0" borderId="0" xfId="154" applyNumberFormat="1" applyFont="1" applyAlignment="1" applyProtection="1">
      <alignment horizontal="center" vertical="center"/>
      <protection locked="0"/>
    </xf>
    <xf numFmtId="0" fontId="21" fillId="24" borderId="14" xfId="154" applyFont="1" applyFill="1" applyBorder="1" applyAlignment="1" applyProtection="1">
      <alignment horizontal="center" vertical="center" wrapText="1"/>
      <protection locked="0"/>
    </xf>
    <xf numFmtId="0" fontId="63" fillId="24" borderId="14" xfId="154" applyFont="1" applyFill="1" applyBorder="1" applyAlignment="1" applyProtection="1">
      <alignment horizontal="center" vertical="center" wrapText="1"/>
      <protection locked="0"/>
    </xf>
    <xf numFmtId="166" fontId="21" fillId="24" borderId="14" xfId="154" applyNumberFormat="1" applyFont="1" applyFill="1" applyBorder="1" applyAlignment="1" applyProtection="1">
      <alignment horizontal="center" vertical="center" wrapText="1"/>
      <protection locked="0"/>
    </xf>
    <xf numFmtId="0" fontId="59" fillId="24" borderId="14" xfId="154" applyFont="1" applyFill="1" applyBorder="1" applyAlignment="1" applyProtection="1">
      <alignment horizontal="center" vertical="center" wrapText="1"/>
      <protection locked="0"/>
    </xf>
    <xf numFmtId="0" fontId="12" fillId="0" borderId="0" xfId="154" applyFont="1" applyAlignment="1" applyProtection="1">
      <alignment horizontal="left" vertical="center" wrapText="1"/>
      <protection locked="0"/>
    </xf>
    <xf numFmtId="0" fontId="12" fillId="0" borderId="0" xfId="154" applyFont="1" applyAlignment="1" applyProtection="1">
      <alignment horizontal="center" vertical="center" wrapText="1"/>
      <protection locked="0"/>
    </xf>
    <xf numFmtId="10" fontId="18" fillId="0" borderId="0" xfId="154" applyNumberFormat="1" applyFont="1" applyAlignment="1" applyProtection="1">
      <alignment horizontal="center" vertical="center" wrapText="1"/>
      <protection locked="0"/>
    </xf>
    <xf numFmtId="166" fontId="12" fillId="0" borderId="0" xfId="154" applyNumberFormat="1" applyFont="1" applyAlignment="1" applyProtection="1">
      <alignment horizontal="center" vertical="center" wrapText="1"/>
      <protection locked="0"/>
    </xf>
    <xf numFmtId="167" fontId="18" fillId="0" borderId="0" xfId="154" applyNumberFormat="1" applyFont="1" applyAlignment="1" applyProtection="1">
      <alignment horizontal="center" vertical="center" wrapText="1"/>
      <protection locked="0"/>
    </xf>
    <xf numFmtId="166" fontId="18" fillId="0" borderId="0" xfId="154" applyNumberFormat="1" applyFont="1" applyAlignment="1" applyProtection="1">
      <alignment horizontal="center" vertical="center" wrapText="1"/>
      <protection locked="0"/>
    </xf>
    <xf numFmtId="3" fontId="12" fillId="0" borderId="0" xfId="154" applyNumberFormat="1" applyFont="1" applyAlignment="1" applyProtection="1">
      <alignment horizontal="center" vertical="center" wrapText="1"/>
      <protection locked="0"/>
    </xf>
    <xf numFmtId="0" fontId="15" fillId="0" borderId="0" xfId="154" applyFont="1" applyAlignment="1" applyProtection="1">
      <alignment horizontal="center" vertical="center" wrapText="1"/>
      <protection locked="0"/>
    </xf>
    <xf numFmtId="0" fontId="21" fillId="24" borderId="10" xfId="154" applyFont="1" applyFill="1" applyBorder="1" applyAlignment="1" applyProtection="1">
      <alignment horizontal="left" vertical="center"/>
      <protection locked="0"/>
    </xf>
    <xf numFmtId="0" fontId="21" fillId="24" borderId="10" xfId="154" applyFont="1" applyFill="1" applyBorder="1" applyAlignment="1" applyProtection="1">
      <alignment horizontal="center" vertical="center"/>
      <protection locked="0"/>
    </xf>
    <xf numFmtId="0" fontId="22" fillId="24" borderId="10" xfId="154" applyFont="1" applyFill="1" applyBorder="1" applyAlignment="1" applyProtection="1">
      <alignment horizontal="center" vertical="center"/>
      <protection locked="0"/>
    </xf>
    <xf numFmtId="0" fontId="22" fillId="24" borderId="10" xfId="154" applyFont="1" applyFill="1" applyBorder="1" applyAlignment="1" applyProtection="1">
      <alignment vertical="center"/>
      <protection locked="0"/>
    </xf>
    <xf numFmtId="0" fontId="22" fillId="24" borderId="10" xfId="154" applyFont="1" applyFill="1" applyBorder="1" applyAlignment="1" applyProtection="1">
      <alignment horizontal="left" vertical="center"/>
      <protection locked="0"/>
    </xf>
    <xf numFmtId="4" fontId="22" fillId="24" borderId="10" xfId="154" applyNumberFormat="1" applyFont="1" applyFill="1" applyBorder="1" applyAlignment="1" applyProtection="1">
      <alignment horizontal="center" vertical="center"/>
      <protection locked="0"/>
    </xf>
    <xf numFmtId="0" fontId="22" fillId="24" borderId="11" xfId="154" applyFont="1" applyFill="1" applyBorder="1" applyAlignment="1" applyProtection="1">
      <alignment horizontal="center" vertical="center"/>
      <protection locked="0"/>
    </xf>
    <xf numFmtId="167" fontId="22" fillId="24" borderId="10" xfId="154" applyNumberFormat="1" applyFont="1" applyFill="1" applyBorder="1" applyAlignment="1" applyProtection="1">
      <alignment horizontal="center" vertical="center"/>
      <protection locked="0"/>
    </xf>
    <xf numFmtId="10" fontId="22" fillId="24" borderId="10" xfId="154" applyNumberFormat="1" applyFont="1" applyFill="1" applyBorder="1" applyAlignment="1" applyProtection="1">
      <alignment horizontal="center" vertical="center"/>
      <protection locked="0"/>
    </xf>
    <xf numFmtId="166" fontId="22" fillId="24" borderId="10" xfId="154" applyNumberFormat="1" applyFont="1" applyFill="1" applyBorder="1" applyAlignment="1" applyProtection="1">
      <alignment horizontal="center" vertical="center"/>
      <protection locked="0"/>
    </xf>
    <xf numFmtId="3" fontId="22" fillId="24" borderId="10" xfId="154" applyNumberFormat="1" applyFont="1" applyFill="1" applyBorder="1" applyAlignment="1" applyProtection="1">
      <alignment horizontal="center" vertical="center"/>
      <protection locked="0"/>
    </xf>
    <xf numFmtId="3" fontId="64" fillId="24" borderId="10" xfId="154" applyNumberFormat="1" applyFont="1" applyFill="1" applyBorder="1" applyAlignment="1" applyProtection="1">
      <alignment horizontal="center" vertical="center"/>
      <protection locked="0"/>
    </xf>
    <xf numFmtId="4" fontId="23" fillId="24" borderId="10" xfId="154" applyNumberFormat="1" applyFont="1" applyFill="1" applyBorder="1" applyAlignment="1" applyProtection="1">
      <alignment horizontal="center" vertical="center"/>
      <protection locked="0"/>
    </xf>
    <xf numFmtId="4" fontId="22" fillId="24" borderId="10" xfId="154" applyNumberFormat="1" applyFont="1" applyFill="1" applyBorder="1" applyAlignment="1" applyProtection="1">
      <alignment vertical="center"/>
      <protection locked="0"/>
    </xf>
    <xf numFmtId="4" fontId="10" fillId="0" borderId="13" xfId="154" applyNumberFormat="1" applyFont="1" applyBorder="1" applyAlignment="1" applyProtection="1">
      <alignment vertical="center"/>
      <protection locked="0"/>
    </xf>
    <xf numFmtId="0" fontId="10" fillId="0" borderId="13" xfId="154" applyFont="1" applyBorder="1" applyAlignment="1" applyProtection="1">
      <alignment horizontal="center" vertical="center"/>
      <protection locked="0"/>
    </xf>
    <xf numFmtId="0" fontId="10" fillId="0" borderId="13" xfId="154" applyFont="1" applyBorder="1" applyAlignment="1" applyProtection="1">
      <alignment horizontal="left" vertical="center"/>
      <protection locked="0"/>
    </xf>
    <xf numFmtId="0" fontId="10" fillId="0" borderId="13" xfId="154" applyFont="1" applyBorder="1" applyAlignment="1" applyProtection="1">
      <alignment vertical="center"/>
      <protection locked="0"/>
    </xf>
    <xf numFmtId="4" fontId="10" fillId="0" borderId="13" xfId="154" applyNumberFormat="1" applyFont="1" applyBorder="1" applyAlignment="1" applyProtection="1">
      <alignment horizontal="center" vertical="center"/>
      <protection locked="0"/>
    </xf>
    <xf numFmtId="168" fontId="10" fillId="0" borderId="13" xfId="154" applyNumberFormat="1" applyFont="1" applyBorder="1" applyAlignment="1" applyProtection="1">
      <alignment horizontal="center" vertical="center"/>
      <protection locked="0"/>
    </xf>
    <xf numFmtId="10" fontId="10" fillId="0" borderId="13" xfId="154" applyNumberFormat="1" applyFont="1" applyBorder="1" applyAlignment="1" applyProtection="1">
      <alignment horizontal="center" vertical="center"/>
      <protection locked="0"/>
    </xf>
    <xf numFmtId="167" fontId="10" fillId="0" borderId="13" xfId="154" applyNumberFormat="1" applyFont="1" applyBorder="1" applyAlignment="1" applyProtection="1">
      <alignment horizontal="center" vertical="center"/>
      <protection locked="0"/>
    </xf>
    <xf numFmtId="166" fontId="10" fillId="0" borderId="13" xfId="154" applyNumberFormat="1" applyFont="1" applyBorder="1" applyAlignment="1" applyProtection="1">
      <alignment horizontal="center" vertical="center"/>
      <protection locked="0"/>
    </xf>
    <xf numFmtId="3" fontId="10" fillId="0" borderId="13" xfId="154" applyNumberFormat="1" applyFont="1" applyBorder="1" applyAlignment="1" applyProtection="1">
      <alignment horizontal="center" vertical="center"/>
      <protection locked="0"/>
    </xf>
    <xf numFmtId="0" fontId="10" fillId="0" borderId="13" xfId="154" quotePrefix="1" applyFont="1" applyBorder="1" applyAlignment="1" applyProtection="1">
      <alignment horizontal="center" vertical="center"/>
      <protection locked="0"/>
    </xf>
    <xf numFmtId="166" fontId="10" fillId="0" borderId="0" xfId="154" applyNumberFormat="1" applyFont="1" applyAlignment="1" applyProtection="1">
      <alignment horizontal="center" vertical="center"/>
      <protection locked="0"/>
    </xf>
    <xf numFmtId="4" fontId="20" fillId="0" borderId="0" xfId="154" applyNumberFormat="1" applyFont="1" applyAlignment="1" applyProtection="1">
      <alignment horizontal="right" vertical="center"/>
      <protection locked="0"/>
    </xf>
    <xf numFmtId="167" fontId="10" fillId="25" borderId="13" xfId="154" applyNumberFormat="1" applyFont="1" applyFill="1" applyBorder="1" applyAlignment="1" applyProtection="1">
      <alignment horizontal="center" vertical="center"/>
      <protection locked="0"/>
    </xf>
    <xf numFmtId="0" fontId="12" fillId="0" borderId="0" xfId="154" quotePrefix="1" applyFont="1" applyAlignment="1" applyProtection="1">
      <alignment horizontal="center" vertical="center"/>
      <protection locked="0"/>
    </xf>
    <xf numFmtId="0" fontId="14" fillId="0" borderId="0" xfId="154" applyFont="1" applyAlignment="1" applyProtection="1">
      <alignment vertical="center"/>
      <protection locked="0"/>
    </xf>
    <xf numFmtId="166" fontId="10" fillId="0" borderId="0" xfId="154" applyNumberFormat="1" applyFont="1" applyAlignment="1" applyProtection="1">
      <alignment vertical="center"/>
      <protection locked="0"/>
    </xf>
    <xf numFmtId="168" fontId="12" fillId="0" borderId="12" xfId="154" applyNumberFormat="1" applyFont="1" applyBorder="1" applyAlignment="1" applyProtection="1">
      <alignment horizontal="center" vertical="center"/>
      <protection locked="0"/>
    </xf>
    <xf numFmtId="167" fontId="12" fillId="0" borderId="12" xfId="154" applyNumberFormat="1" applyFont="1" applyBorder="1" applyAlignment="1" applyProtection="1">
      <alignment horizontal="center" vertical="center"/>
      <protection locked="0"/>
    </xf>
    <xf numFmtId="167" fontId="10" fillId="0" borderId="0" xfId="154" applyNumberFormat="1" applyFont="1" applyAlignment="1" applyProtection="1">
      <alignment vertical="center"/>
      <protection locked="0"/>
    </xf>
    <xf numFmtId="167" fontId="10" fillId="0" borderId="0" xfId="154" applyNumberFormat="1" applyFont="1" applyAlignment="1" applyProtection="1">
      <alignment horizontal="center" vertical="center"/>
      <protection locked="0"/>
    </xf>
    <xf numFmtId="0" fontId="14" fillId="0" borderId="0" xfId="154" applyFont="1" applyAlignment="1" applyProtection="1">
      <alignment horizontal="center" vertical="center"/>
      <protection locked="0"/>
    </xf>
    <xf numFmtId="4" fontId="17" fillId="0" borderId="0" xfId="154" applyNumberFormat="1" applyFont="1" applyAlignment="1" applyProtection="1">
      <alignment horizontal="right" vertical="center"/>
      <protection locked="0"/>
    </xf>
    <xf numFmtId="0" fontId="60" fillId="0" borderId="0" xfId="154" applyFont="1" applyAlignment="1" applyProtection="1">
      <alignment horizontal="left" vertical="center"/>
      <protection locked="0"/>
    </xf>
    <xf numFmtId="0" fontId="60" fillId="0" borderId="0" xfId="154" applyFont="1" applyAlignment="1" applyProtection="1">
      <alignment horizontal="center" vertical="center"/>
      <protection locked="0"/>
    </xf>
    <xf numFmtId="0" fontId="19" fillId="0" borderId="0" xfId="154" applyFont="1" applyAlignment="1" applyProtection="1">
      <alignment horizontal="center" vertical="center"/>
      <protection locked="0"/>
    </xf>
    <xf numFmtId="0" fontId="19" fillId="0" borderId="0" xfId="154" applyFont="1" applyAlignment="1" applyProtection="1">
      <alignment vertical="center"/>
      <protection locked="0"/>
    </xf>
    <xf numFmtId="0" fontId="61" fillId="0" borderId="0" xfId="154" applyFont="1" applyAlignment="1" applyProtection="1">
      <alignment vertical="center"/>
      <protection locked="0"/>
    </xf>
    <xf numFmtId="0" fontId="19" fillId="0" borderId="0" xfId="154" quotePrefix="1" applyFont="1" applyAlignment="1" applyProtection="1">
      <alignment horizontal="center" vertical="center"/>
      <protection locked="0"/>
    </xf>
    <xf numFmtId="1" fontId="10" fillId="0" borderId="0" xfId="154" applyNumberFormat="1" applyFont="1" applyAlignment="1" applyProtection="1">
      <alignment horizontal="center" vertical="center"/>
      <protection locked="0"/>
    </xf>
    <xf numFmtId="0" fontId="11" fillId="0" borderId="0" xfId="154" applyFont="1" applyAlignment="1" applyProtection="1">
      <alignment horizontal="center" vertical="center"/>
      <protection locked="0"/>
    </xf>
    <xf numFmtId="0" fontId="24" fillId="0" borderId="0" xfId="154" applyFont="1" applyAlignment="1" applyProtection="1">
      <alignment vertical="center"/>
      <protection locked="0"/>
    </xf>
    <xf numFmtId="4" fontId="68" fillId="0" borderId="0" xfId="154" applyNumberFormat="1" applyFont="1" applyAlignment="1" applyProtection="1">
      <alignment horizontal="right" vertical="center"/>
      <protection locked="0"/>
    </xf>
    <xf numFmtId="4" fontId="14" fillId="0" borderId="0" xfId="154" applyNumberFormat="1" applyFont="1" applyAlignment="1" applyProtection="1">
      <alignment horizontal="center" vertical="center"/>
      <protection locked="0"/>
    </xf>
    <xf numFmtId="0" fontId="12" fillId="0" borderId="0" xfId="154" quotePrefix="1" applyFont="1" applyAlignment="1" applyProtection="1">
      <alignment horizontal="left" vertical="center"/>
      <protection locked="0"/>
    </xf>
    <xf numFmtId="4" fontId="20" fillId="0" borderId="0" xfId="154" applyNumberFormat="1" applyFont="1" applyAlignment="1" applyProtection="1">
      <alignment horizontal="center" vertical="center"/>
      <protection locked="0"/>
    </xf>
    <xf numFmtId="0" fontId="12" fillId="0" borderId="0" xfId="154" quotePrefix="1" applyFont="1" applyAlignment="1" applyProtection="1">
      <alignment vertical="center"/>
      <protection locked="0"/>
    </xf>
    <xf numFmtId="169" fontId="10" fillId="0" borderId="0" xfId="154" applyNumberFormat="1" applyFont="1" applyAlignment="1" applyProtection="1">
      <alignment vertical="center"/>
      <protection locked="0"/>
    </xf>
    <xf numFmtId="14" fontId="11" fillId="0" borderId="0" xfId="154" applyNumberFormat="1" applyFont="1" applyAlignment="1" applyProtection="1">
      <alignment horizontal="center" vertical="center"/>
      <protection locked="0"/>
    </xf>
    <xf numFmtId="0" fontId="11" fillId="0" borderId="0" xfId="154" applyFont="1" applyAlignment="1" applyProtection="1">
      <alignment horizontal="center" vertical="center" wrapText="1"/>
      <protection locked="0"/>
    </xf>
    <xf numFmtId="4" fontId="19" fillId="0" borderId="0" xfId="43" quotePrefix="1" applyNumberFormat="1" applyFont="1" applyFill="1" applyAlignment="1" applyProtection="1">
      <alignment horizontal="left" vertical="center"/>
      <protection locked="0"/>
    </xf>
    <xf numFmtId="4" fontId="19" fillId="0" borderId="0" xfId="154" applyNumberFormat="1" applyFont="1" applyAlignment="1" applyProtection="1">
      <alignment horizontal="left" vertical="center"/>
      <protection locked="0"/>
    </xf>
    <xf numFmtId="0" fontId="61" fillId="0" borderId="0" xfId="154" applyFont="1" applyAlignment="1" applyProtection="1">
      <alignment horizontal="left" vertical="center"/>
      <protection locked="0"/>
    </xf>
    <xf numFmtId="168" fontId="19" fillId="0" borderId="0" xfId="154" applyNumberFormat="1" applyFont="1" applyAlignment="1" applyProtection="1">
      <alignment horizontal="left" vertical="center"/>
      <protection locked="0"/>
    </xf>
    <xf numFmtId="4" fontId="10" fillId="0" borderId="0" xfId="154" applyNumberFormat="1" applyFont="1" applyAlignment="1" applyProtection="1">
      <alignment horizontal="left" vertical="center"/>
      <protection locked="0"/>
    </xf>
    <xf numFmtId="4" fontId="10" fillId="0" borderId="13" xfId="154" applyNumberFormat="1" applyFont="1" applyFill="1" applyBorder="1" applyAlignment="1" applyProtection="1">
      <alignment vertical="center"/>
      <protection locked="0"/>
    </xf>
    <xf numFmtId="4" fontId="10" fillId="0" borderId="13" xfId="154" applyNumberFormat="1" applyFont="1" applyFill="1" applyBorder="1" applyAlignment="1" applyProtection="1">
      <alignment horizontal="center" vertical="center"/>
      <protection locked="0"/>
    </xf>
    <xf numFmtId="3" fontId="10" fillId="0" borderId="13" xfId="154" applyNumberFormat="1" applyFont="1" applyFill="1" applyBorder="1" applyAlignment="1" applyProtection="1">
      <alignment horizontal="center" vertical="center"/>
      <protection locked="0"/>
    </xf>
    <xf numFmtId="168" fontId="19" fillId="0" borderId="0" xfId="43" quotePrefix="1" applyNumberFormat="1" applyFont="1" applyFill="1" applyAlignment="1" applyProtection="1">
      <alignment horizontal="left" vertical="center"/>
      <protection locked="0"/>
    </xf>
  </cellXfs>
  <cellStyles count="264">
    <cellStyle name="20% - Accent1" xfId="62" builtinId="30" customBuiltin="1"/>
    <cellStyle name="20% - Accent1 2" xfId="90" xr:uid="{00000000-0005-0000-0000-000001000000}"/>
    <cellStyle name="20% - Accent1 2 2" xfId="130" xr:uid="{00000000-0005-0000-0000-000002000000}"/>
    <cellStyle name="20% - Accent1 2 2 2" xfId="217" xr:uid="{00000000-0005-0000-0000-000003000000}"/>
    <cellStyle name="20% - Accent1 2 3" xfId="177" xr:uid="{00000000-0005-0000-0000-000004000000}"/>
    <cellStyle name="20% - Accent1 3" xfId="104" xr:uid="{00000000-0005-0000-0000-000005000000}"/>
    <cellStyle name="20% - Accent1 3 2" xfId="131" xr:uid="{00000000-0005-0000-0000-000006000000}"/>
    <cellStyle name="20% - Accent1 3 2 2" xfId="218" xr:uid="{00000000-0005-0000-0000-000007000000}"/>
    <cellStyle name="20% - Accent1 3 3" xfId="191" xr:uid="{00000000-0005-0000-0000-000008000000}"/>
    <cellStyle name="20% - Accent1 4" xfId="118" xr:uid="{00000000-0005-0000-0000-000009000000}"/>
    <cellStyle name="20% - Accent1 4 2" xfId="205" xr:uid="{00000000-0005-0000-0000-00000A000000}"/>
    <cellStyle name="20% - Accent1 5" xfId="161" xr:uid="{00000000-0005-0000-0000-00000B000000}"/>
    <cellStyle name="20% - Accent1 6" xfId="248" xr:uid="{00000000-0005-0000-0000-00000C000000}"/>
    <cellStyle name="20% - Accent2" xfId="66" builtinId="34" customBuiltin="1"/>
    <cellStyle name="20% - Accent2 2" xfId="92" xr:uid="{00000000-0005-0000-0000-00000E000000}"/>
    <cellStyle name="20% - Accent2 2 2" xfId="132" xr:uid="{00000000-0005-0000-0000-00000F000000}"/>
    <cellStyle name="20% - Accent2 2 2 2" xfId="219" xr:uid="{00000000-0005-0000-0000-000010000000}"/>
    <cellStyle name="20% - Accent2 2 3" xfId="179" xr:uid="{00000000-0005-0000-0000-000011000000}"/>
    <cellStyle name="20% - Accent2 3" xfId="106" xr:uid="{00000000-0005-0000-0000-000012000000}"/>
    <cellStyle name="20% - Accent2 3 2" xfId="133" xr:uid="{00000000-0005-0000-0000-000013000000}"/>
    <cellStyle name="20% - Accent2 3 2 2" xfId="220" xr:uid="{00000000-0005-0000-0000-000014000000}"/>
    <cellStyle name="20% - Accent2 3 3" xfId="193" xr:uid="{00000000-0005-0000-0000-000015000000}"/>
    <cellStyle name="20% - Accent2 4" xfId="120" xr:uid="{00000000-0005-0000-0000-000016000000}"/>
    <cellStyle name="20% - Accent2 4 2" xfId="207" xr:uid="{00000000-0005-0000-0000-000017000000}"/>
    <cellStyle name="20% - Accent2 5" xfId="163" xr:uid="{00000000-0005-0000-0000-000018000000}"/>
    <cellStyle name="20% - Accent2 6" xfId="249" xr:uid="{00000000-0005-0000-0000-000019000000}"/>
    <cellStyle name="20% - Accent3" xfId="70" builtinId="38" customBuiltin="1"/>
    <cellStyle name="20% - Accent3 2" xfId="94" xr:uid="{00000000-0005-0000-0000-00001B000000}"/>
    <cellStyle name="20% - Accent3 2 2" xfId="134" xr:uid="{00000000-0005-0000-0000-00001C000000}"/>
    <cellStyle name="20% - Accent3 2 2 2" xfId="221" xr:uid="{00000000-0005-0000-0000-00001D000000}"/>
    <cellStyle name="20% - Accent3 2 3" xfId="181" xr:uid="{00000000-0005-0000-0000-00001E000000}"/>
    <cellStyle name="20% - Accent3 3" xfId="108" xr:uid="{00000000-0005-0000-0000-00001F000000}"/>
    <cellStyle name="20% - Accent3 3 2" xfId="135" xr:uid="{00000000-0005-0000-0000-000020000000}"/>
    <cellStyle name="20% - Accent3 3 2 2" xfId="222" xr:uid="{00000000-0005-0000-0000-000021000000}"/>
    <cellStyle name="20% - Accent3 3 3" xfId="195" xr:uid="{00000000-0005-0000-0000-000022000000}"/>
    <cellStyle name="20% - Accent3 4" xfId="122" xr:uid="{00000000-0005-0000-0000-000023000000}"/>
    <cellStyle name="20% - Accent3 4 2" xfId="209" xr:uid="{00000000-0005-0000-0000-000024000000}"/>
    <cellStyle name="20% - Accent3 5" xfId="165" xr:uid="{00000000-0005-0000-0000-000025000000}"/>
    <cellStyle name="20% - Accent3 6" xfId="250" xr:uid="{00000000-0005-0000-0000-000026000000}"/>
    <cellStyle name="20% - Accent4" xfId="74" builtinId="42" customBuiltin="1"/>
    <cellStyle name="20% - Accent4 2" xfId="96" xr:uid="{00000000-0005-0000-0000-000028000000}"/>
    <cellStyle name="20% - Accent4 2 2" xfId="136" xr:uid="{00000000-0005-0000-0000-000029000000}"/>
    <cellStyle name="20% - Accent4 2 2 2" xfId="223" xr:uid="{00000000-0005-0000-0000-00002A000000}"/>
    <cellStyle name="20% - Accent4 2 3" xfId="183" xr:uid="{00000000-0005-0000-0000-00002B000000}"/>
    <cellStyle name="20% - Accent4 3" xfId="110" xr:uid="{00000000-0005-0000-0000-00002C000000}"/>
    <cellStyle name="20% - Accent4 3 2" xfId="137" xr:uid="{00000000-0005-0000-0000-00002D000000}"/>
    <cellStyle name="20% - Accent4 3 2 2" xfId="224" xr:uid="{00000000-0005-0000-0000-00002E000000}"/>
    <cellStyle name="20% - Accent4 3 3" xfId="197" xr:uid="{00000000-0005-0000-0000-00002F000000}"/>
    <cellStyle name="20% - Accent4 4" xfId="124" xr:uid="{00000000-0005-0000-0000-000030000000}"/>
    <cellStyle name="20% - Accent4 4 2" xfId="211" xr:uid="{00000000-0005-0000-0000-000031000000}"/>
    <cellStyle name="20% - Accent4 5" xfId="167" xr:uid="{00000000-0005-0000-0000-000032000000}"/>
    <cellStyle name="20% - Accent4 6" xfId="251" xr:uid="{00000000-0005-0000-0000-000033000000}"/>
    <cellStyle name="20% - Accent5" xfId="78" builtinId="46" customBuiltin="1"/>
    <cellStyle name="20% - Accent5 2" xfId="98" xr:uid="{00000000-0005-0000-0000-000035000000}"/>
    <cellStyle name="20% - Accent5 2 2" xfId="138" xr:uid="{00000000-0005-0000-0000-000036000000}"/>
    <cellStyle name="20% - Accent5 2 2 2" xfId="225" xr:uid="{00000000-0005-0000-0000-000037000000}"/>
    <cellStyle name="20% - Accent5 2 3" xfId="185" xr:uid="{00000000-0005-0000-0000-000038000000}"/>
    <cellStyle name="20% - Accent5 3" xfId="112" xr:uid="{00000000-0005-0000-0000-000039000000}"/>
    <cellStyle name="20% - Accent5 3 2" xfId="139" xr:uid="{00000000-0005-0000-0000-00003A000000}"/>
    <cellStyle name="20% - Accent5 3 2 2" xfId="226" xr:uid="{00000000-0005-0000-0000-00003B000000}"/>
    <cellStyle name="20% - Accent5 3 3" xfId="199" xr:uid="{00000000-0005-0000-0000-00003C000000}"/>
    <cellStyle name="20% - Accent5 4" xfId="126" xr:uid="{00000000-0005-0000-0000-00003D000000}"/>
    <cellStyle name="20% - Accent5 4 2" xfId="213" xr:uid="{00000000-0005-0000-0000-00003E000000}"/>
    <cellStyle name="20% - Accent5 5" xfId="169" xr:uid="{00000000-0005-0000-0000-00003F000000}"/>
    <cellStyle name="20% - Accent5 6" xfId="252" xr:uid="{00000000-0005-0000-0000-000040000000}"/>
    <cellStyle name="20% - Accent6" xfId="82" builtinId="50" customBuiltin="1"/>
    <cellStyle name="20% - Accent6 2" xfId="100" xr:uid="{00000000-0005-0000-0000-000042000000}"/>
    <cellStyle name="20% - Accent6 2 2" xfId="140" xr:uid="{00000000-0005-0000-0000-000043000000}"/>
    <cellStyle name="20% - Accent6 2 2 2" xfId="227" xr:uid="{00000000-0005-0000-0000-000044000000}"/>
    <cellStyle name="20% - Accent6 2 3" xfId="187" xr:uid="{00000000-0005-0000-0000-000045000000}"/>
    <cellStyle name="20% - Accent6 3" xfId="114" xr:uid="{00000000-0005-0000-0000-000046000000}"/>
    <cellStyle name="20% - Accent6 3 2" xfId="141" xr:uid="{00000000-0005-0000-0000-000047000000}"/>
    <cellStyle name="20% - Accent6 3 2 2" xfId="228" xr:uid="{00000000-0005-0000-0000-000048000000}"/>
    <cellStyle name="20% - Accent6 3 3" xfId="201" xr:uid="{00000000-0005-0000-0000-000049000000}"/>
    <cellStyle name="20% - Accent6 4" xfId="128" xr:uid="{00000000-0005-0000-0000-00004A000000}"/>
    <cellStyle name="20% - Accent6 4 2" xfId="215" xr:uid="{00000000-0005-0000-0000-00004B000000}"/>
    <cellStyle name="20% - Accent6 5" xfId="171" xr:uid="{00000000-0005-0000-0000-00004C000000}"/>
    <cellStyle name="20% - Accent6 6" xfId="253" xr:uid="{00000000-0005-0000-0000-00004D000000}"/>
    <cellStyle name="20% - Cor1" xfId="1" xr:uid="{00000000-0005-0000-0000-00004E000000}"/>
    <cellStyle name="20% - Cor2" xfId="2" xr:uid="{00000000-0005-0000-0000-00004F000000}"/>
    <cellStyle name="20% - Cor3" xfId="3" xr:uid="{00000000-0005-0000-0000-000050000000}"/>
    <cellStyle name="20% - Cor4" xfId="4" xr:uid="{00000000-0005-0000-0000-000051000000}"/>
    <cellStyle name="20% - Cor5" xfId="5" xr:uid="{00000000-0005-0000-0000-000052000000}"/>
    <cellStyle name="20% - Cor6" xfId="6" xr:uid="{00000000-0005-0000-0000-000053000000}"/>
    <cellStyle name="40% - Accent1" xfId="63" builtinId="31" customBuiltin="1"/>
    <cellStyle name="40% - Accent1 2" xfId="91" xr:uid="{00000000-0005-0000-0000-000055000000}"/>
    <cellStyle name="40% - Accent1 2 2" xfId="142" xr:uid="{00000000-0005-0000-0000-000056000000}"/>
    <cellStyle name="40% - Accent1 2 2 2" xfId="229" xr:uid="{00000000-0005-0000-0000-000057000000}"/>
    <cellStyle name="40% - Accent1 2 3" xfId="178" xr:uid="{00000000-0005-0000-0000-000058000000}"/>
    <cellStyle name="40% - Accent1 3" xfId="105" xr:uid="{00000000-0005-0000-0000-000059000000}"/>
    <cellStyle name="40% - Accent1 3 2" xfId="143" xr:uid="{00000000-0005-0000-0000-00005A000000}"/>
    <cellStyle name="40% - Accent1 3 2 2" xfId="230" xr:uid="{00000000-0005-0000-0000-00005B000000}"/>
    <cellStyle name="40% - Accent1 3 3" xfId="192" xr:uid="{00000000-0005-0000-0000-00005C000000}"/>
    <cellStyle name="40% - Accent1 4" xfId="119" xr:uid="{00000000-0005-0000-0000-00005D000000}"/>
    <cellStyle name="40% - Accent1 4 2" xfId="206" xr:uid="{00000000-0005-0000-0000-00005E000000}"/>
    <cellStyle name="40% - Accent1 5" xfId="162" xr:uid="{00000000-0005-0000-0000-00005F000000}"/>
    <cellStyle name="40% - Accent1 6" xfId="254" xr:uid="{00000000-0005-0000-0000-000060000000}"/>
    <cellStyle name="40% - Accent2" xfId="67" builtinId="35" customBuiltin="1"/>
    <cellStyle name="40% - Accent2 2" xfId="93" xr:uid="{00000000-0005-0000-0000-000062000000}"/>
    <cellStyle name="40% - Accent2 2 2" xfId="144" xr:uid="{00000000-0005-0000-0000-000063000000}"/>
    <cellStyle name="40% - Accent2 2 2 2" xfId="231" xr:uid="{00000000-0005-0000-0000-000064000000}"/>
    <cellStyle name="40% - Accent2 2 3" xfId="180" xr:uid="{00000000-0005-0000-0000-000065000000}"/>
    <cellStyle name="40% - Accent2 3" xfId="107" xr:uid="{00000000-0005-0000-0000-000066000000}"/>
    <cellStyle name="40% - Accent2 3 2" xfId="145" xr:uid="{00000000-0005-0000-0000-000067000000}"/>
    <cellStyle name="40% - Accent2 3 2 2" xfId="232" xr:uid="{00000000-0005-0000-0000-000068000000}"/>
    <cellStyle name="40% - Accent2 3 3" xfId="194" xr:uid="{00000000-0005-0000-0000-000069000000}"/>
    <cellStyle name="40% - Accent2 4" xfId="121" xr:uid="{00000000-0005-0000-0000-00006A000000}"/>
    <cellStyle name="40% - Accent2 4 2" xfId="208" xr:uid="{00000000-0005-0000-0000-00006B000000}"/>
    <cellStyle name="40% - Accent2 5" xfId="164" xr:uid="{00000000-0005-0000-0000-00006C000000}"/>
    <cellStyle name="40% - Accent2 6" xfId="255" xr:uid="{00000000-0005-0000-0000-00006D000000}"/>
    <cellStyle name="40% - Accent3" xfId="71" builtinId="39" customBuiltin="1"/>
    <cellStyle name="40% - Accent3 2" xfId="95" xr:uid="{00000000-0005-0000-0000-00006F000000}"/>
    <cellStyle name="40% - Accent3 2 2" xfId="146" xr:uid="{00000000-0005-0000-0000-000070000000}"/>
    <cellStyle name="40% - Accent3 2 2 2" xfId="233" xr:uid="{00000000-0005-0000-0000-000071000000}"/>
    <cellStyle name="40% - Accent3 2 3" xfId="182" xr:uid="{00000000-0005-0000-0000-000072000000}"/>
    <cellStyle name="40% - Accent3 3" xfId="109" xr:uid="{00000000-0005-0000-0000-000073000000}"/>
    <cellStyle name="40% - Accent3 3 2" xfId="147" xr:uid="{00000000-0005-0000-0000-000074000000}"/>
    <cellStyle name="40% - Accent3 3 2 2" xfId="234" xr:uid="{00000000-0005-0000-0000-000075000000}"/>
    <cellStyle name="40% - Accent3 3 3" xfId="196" xr:uid="{00000000-0005-0000-0000-000076000000}"/>
    <cellStyle name="40% - Accent3 4" xfId="123" xr:uid="{00000000-0005-0000-0000-000077000000}"/>
    <cellStyle name="40% - Accent3 4 2" xfId="210" xr:uid="{00000000-0005-0000-0000-000078000000}"/>
    <cellStyle name="40% - Accent3 5" xfId="166" xr:uid="{00000000-0005-0000-0000-000079000000}"/>
    <cellStyle name="40% - Accent3 6" xfId="256" xr:uid="{00000000-0005-0000-0000-00007A000000}"/>
    <cellStyle name="40% - Accent4" xfId="75" builtinId="43" customBuiltin="1"/>
    <cellStyle name="40% - Accent4 2" xfId="97" xr:uid="{00000000-0005-0000-0000-00007C000000}"/>
    <cellStyle name="40% - Accent4 2 2" xfId="148" xr:uid="{00000000-0005-0000-0000-00007D000000}"/>
    <cellStyle name="40% - Accent4 2 2 2" xfId="235" xr:uid="{00000000-0005-0000-0000-00007E000000}"/>
    <cellStyle name="40% - Accent4 2 3" xfId="184" xr:uid="{00000000-0005-0000-0000-00007F000000}"/>
    <cellStyle name="40% - Accent4 3" xfId="111" xr:uid="{00000000-0005-0000-0000-000080000000}"/>
    <cellStyle name="40% - Accent4 3 2" xfId="149" xr:uid="{00000000-0005-0000-0000-000081000000}"/>
    <cellStyle name="40% - Accent4 3 2 2" xfId="236" xr:uid="{00000000-0005-0000-0000-000082000000}"/>
    <cellStyle name="40% - Accent4 3 3" xfId="198" xr:uid="{00000000-0005-0000-0000-000083000000}"/>
    <cellStyle name="40% - Accent4 4" xfId="125" xr:uid="{00000000-0005-0000-0000-000084000000}"/>
    <cellStyle name="40% - Accent4 4 2" xfId="212" xr:uid="{00000000-0005-0000-0000-000085000000}"/>
    <cellStyle name="40% - Accent4 5" xfId="168" xr:uid="{00000000-0005-0000-0000-000086000000}"/>
    <cellStyle name="40% - Accent4 6" xfId="257" xr:uid="{00000000-0005-0000-0000-000087000000}"/>
    <cellStyle name="40% - Accent5" xfId="79" builtinId="47" customBuiltin="1"/>
    <cellStyle name="40% - Accent5 2" xfId="99" xr:uid="{00000000-0005-0000-0000-000089000000}"/>
    <cellStyle name="40% - Accent5 2 2" xfId="150" xr:uid="{00000000-0005-0000-0000-00008A000000}"/>
    <cellStyle name="40% - Accent5 2 2 2" xfId="237" xr:uid="{00000000-0005-0000-0000-00008B000000}"/>
    <cellStyle name="40% - Accent5 2 3" xfId="186" xr:uid="{00000000-0005-0000-0000-00008C000000}"/>
    <cellStyle name="40% - Accent5 3" xfId="113" xr:uid="{00000000-0005-0000-0000-00008D000000}"/>
    <cellStyle name="40% - Accent5 3 2" xfId="151" xr:uid="{00000000-0005-0000-0000-00008E000000}"/>
    <cellStyle name="40% - Accent5 3 2 2" xfId="238" xr:uid="{00000000-0005-0000-0000-00008F000000}"/>
    <cellStyle name="40% - Accent5 3 3" xfId="200" xr:uid="{00000000-0005-0000-0000-000090000000}"/>
    <cellStyle name="40% - Accent5 4" xfId="127" xr:uid="{00000000-0005-0000-0000-000091000000}"/>
    <cellStyle name="40% - Accent5 4 2" xfId="214" xr:uid="{00000000-0005-0000-0000-000092000000}"/>
    <cellStyle name="40% - Accent5 5" xfId="170" xr:uid="{00000000-0005-0000-0000-000093000000}"/>
    <cellStyle name="40% - Accent5 6" xfId="258" xr:uid="{00000000-0005-0000-0000-000094000000}"/>
    <cellStyle name="40% - Accent6" xfId="83" builtinId="51" customBuiltin="1"/>
    <cellStyle name="40% - Accent6 2" xfId="101" xr:uid="{00000000-0005-0000-0000-000096000000}"/>
    <cellStyle name="40% - Accent6 2 2" xfId="152" xr:uid="{00000000-0005-0000-0000-000097000000}"/>
    <cellStyle name="40% - Accent6 2 2 2" xfId="239" xr:uid="{00000000-0005-0000-0000-000098000000}"/>
    <cellStyle name="40% - Accent6 2 3" xfId="188" xr:uid="{00000000-0005-0000-0000-000099000000}"/>
    <cellStyle name="40% - Accent6 3" xfId="115" xr:uid="{00000000-0005-0000-0000-00009A000000}"/>
    <cellStyle name="40% - Accent6 3 2" xfId="153" xr:uid="{00000000-0005-0000-0000-00009B000000}"/>
    <cellStyle name="40% - Accent6 3 2 2" xfId="240" xr:uid="{00000000-0005-0000-0000-00009C000000}"/>
    <cellStyle name="40% - Accent6 3 3" xfId="202" xr:uid="{00000000-0005-0000-0000-00009D000000}"/>
    <cellStyle name="40% - Accent6 4" xfId="129" xr:uid="{00000000-0005-0000-0000-00009E000000}"/>
    <cellStyle name="40% - Accent6 4 2" xfId="216" xr:uid="{00000000-0005-0000-0000-00009F000000}"/>
    <cellStyle name="40% - Accent6 5" xfId="172" xr:uid="{00000000-0005-0000-0000-0000A0000000}"/>
    <cellStyle name="40% - Accent6 6" xfId="259" xr:uid="{00000000-0005-0000-0000-0000A1000000}"/>
    <cellStyle name="40% - Cor1" xfId="7" xr:uid="{00000000-0005-0000-0000-0000A2000000}"/>
    <cellStyle name="40% - Cor2" xfId="8" xr:uid="{00000000-0005-0000-0000-0000A3000000}"/>
    <cellStyle name="40% - Cor3" xfId="9" xr:uid="{00000000-0005-0000-0000-0000A4000000}"/>
    <cellStyle name="40% - Cor4" xfId="10" xr:uid="{00000000-0005-0000-0000-0000A5000000}"/>
    <cellStyle name="40% - Cor5" xfId="11" xr:uid="{00000000-0005-0000-0000-0000A6000000}"/>
    <cellStyle name="40% - Cor6" xfId="12" xr:uid="{00000000-0005-0000-0000-0000A7000000}"/>
    <cellStyle name="60% - Accent1" xfId="64" builtinId="32" customBuiltin="1"/>
    <cellStyle name="60% - Accent2" xfId="68" builtinId="36" customBuiltin="1"/>
    <cellStyle name="60% - Accent3" xfId="72" builtinId="40" customBuiltin="1"/>
    <cellStyle name="60% - Accent4" xfId="76" builtinId="44" customBuiltin="1"/>
    <cellStyle name="60% - Accent5" xfId="80" builtinId="48" customBuiltin="1"/>
    <cellStyle name="60% - Accent6" xfId="84" builtinId="52" customBuiltin="1"/>
    <cellStyle name="60% - Cor1" xfId="13" xr:uid="{00000000-0005-0000-0000-0000AE000000}"/>
    <cellStyle name="60% - Cor2" xfId="14" xr:uid="{00000000-0005-0000-0000-0000AF000000}"/>
    <cellStyle name="60% - Cor3" xfId="15" xr:uid="{00000000-0005-0000-0000-0000B0000000}"/>
    <cellStyle name="60% - Cor4" xfId="16" xr:uid="{00000000-0005-0000-0000-0000B1000000}"/>
    <cellStyle name="60% - Cor5" xfId="17" xr:uid="{00000000-0005-0000-0000-0000B2000000}"/>
    <cellStyle name="60% - Cor6" xfId="18" xr:uid="{00000000-0005-0000-0000-0000B3000000}"/>
    <cellStyle name="Accent1" xfId="61" builtinId="29" customBuiltin="1"/>
    <cellStyle name="Accent2" xfId="65" builtinId="33" customBuiltin="1"/>
    <cellStyle name="Accent3" xfId="69" builtinId="37" customBuiltin="1"/>
    <cellStyle name="Accent4" xfId="73" builtinId="41" customBuiltin="1"/>
    <cellStyle name="Accent5" xfId="77" builtinId="45" customBuiltin="1"/>
    <cellStyle name="Accent6" xfId="81" builtinId="49" customBuiltin="1"/>
    <cellStyle name="Bad" xfId="52" builtinId="27" customBuiltin="1"/>
    <cellStyle name="Cabeçalho 1" xfId="19" xr:uid="{00000000-0005-0000-0000-0000BB000000}"/>
    <cellStyle name="Cabeçalho 2" xfId="20" xr:uid="{00000000-0005-0000-0000-0000BC000000}"/>
    <cellStyle name="Cabeçalho 3" xfId="21" xr:uid="{00000000-0005-0000-0000-0000BD000000}"/>
    <cellStyle name="Cabeçalho 4" xfId="22" xr:uid="{00000000-0005-0000-0000-0000BE000000}"/>
    <cellStyle name="Calculation" xfId="56" builtinId="22" customBuiltin="1"/>
    <cellStyle name="Cálculo" xfId="23" xr:uid="{00000000-0005-0000-0000-0000C0000000}"/>
    <cellStyle name="Célula Ligada" xfId="24" xr:uid="{00000000-0005-0000-0000-0000C1000000}"/>
    <cellStyle name="Check Cell" xfId="58" builtinId="23" customBuiltin="1"/>
    <cellStyle name="Comma" xfId="43" builtinId="3"/>
    <cellStyle name="Cor1" xfId="25" xr:uid="{00000000-0005-0000-0000-0000C4000000}"/>
    <cellStyle name="Cor2" xfId="26" xr:uid="{00000000-0005-0000-0000-0000C5000000}"/>
    <cellStyle name="Cor3" xfId="27" xr:uid="{00000000-0005-0000-0000-0000C6000000}"/>
    <cellStyle name="Cor4" xfId="28" xr:uid="{00000000-0005-0000-0000-0000C7000000}"/>
    <cellStyle name="Cor5" xfId="29" xr:uid="{00000000-0005-0000-0000-0000C8000000}"/>
    <cellStyle name="Cor6" xfId="30" xr:uid="{00000000-0005-0000-0000-0000C9000000}"/>
    <cellStyle name="Correcto" xfId="31" xr:uid="{00000000-0005-0000-0000-0000CA000000}"/>
    <cellStyle name="Entrada" xfId="32" xr:uid="{00000000-0005-0000-0000-0000CB000000}"/>
    <cellStyle name="Explanatory Text" xfId="60" builtinId="53" customBuiltin="1"/>
    <cellStyle name="Good" xfId="51" builtinId="26" customBuiltin="1"/>
    <cellStyle name="Heading 1" xfId="47" builtinId="16" customBuiltin="1"/>
    <cellStyle name="Heading 2" xfId="48" builtinId="17" customBuiltin="1"/>
    <cellStyle name="Heading 3" xfId="49" builtinId="18" customBuiltin="1"/>
    <cellStyle name="Heading 4" xfId="50" builtinId="19" customBuiltin="1"/>
    <cellStyle name="Incorrecto" xfId="33" xr:uid="{00000000-0005-0000-0000-0000D2000000}"/>
    <cellStyle name="Input" xfId="54" builtinId="20" customBuiltin="1"/>
    <cellStyle name="l]_x000d__x000a_Path=M:\RIOCEN01_x000d__x000a_Name=Carlos Emilio Brousse_x000d__x000a_DDEApps=nsf,nsg,nsh,ntf,ns2,ors,org_x000d__x000a_SmartIcons=Todos_x000d__x000a_" xfId="34" xr:uid="{00000000-0005-0000-0000-0000D4000000}"/>
    <cellStyle name="l]_x000d__x000a_Path=M:\RIOCEN01_x000d__x000a_Name=Carlos Emilio Brousse_x000d__x000a_DDEApps=nsf,nsg,nsh,ntf,ns2,ors,org_x000d__x000a_SmartIcons=Todos_x000d__x000a_ 2" xfId="154" xr:uid="{00000000-0005-0000-0000-0000D5000000}"/>
    <cellStyle name="Linked Cell" xfId="57" builtinId="24" customBuiltin="1"/>
    <cellStyle name="Neutral" xfId="53" builtinId="28" customBuiltin="1"/>
    <cellStyle name="Neutro" xfId="35" xr:uid="{00000000-0005-0000-0000-0000D8000000}"/>
    <cellStyle name="Normal" xfId="0" builtinId="0"/>
    <cellStyle name="Normal 2" xfId="85" xr:uid="{00000000-0005-0000-0000-0000DA000000}"/>
    <cellStyle name="Normal 2 2" xfId="155" xr:uid="{00000000-0005-0000-0000-0000DB000000}"/>
    <cellStyle name="Normal 2 2 2" xfId="241" xr:uid="{00000000-0005-0000-0000-0000DC000000}"/>
    <cellStyle name="Normal 2 3" xfId="173" xr:uid="{00000000-0005-0000-0000-0000DD000000}"/>
    <cellStyle name="Normal 3" xfId="88" xr:uid="{00000000-0005-0000-0000-0000DE000000}"/>
    <cellStyle name="Normal 3 2" xfId="156" xr:uid="{00000000-0005-0000-0000-0000DF000000}"/>
    <cellStyle name="Normal 3 2 2" xfId="242" xr:uid="{00000000-0005-0000-0000-0000E0000000}"/>
    <cellStyle name="Normal 3 3" xfId="175" xr:uid="{00000000-0005-0000-0000-0000E1000000}"/>
    <cellStyle name="Normal 3 4" xfId="262" xr:uid="{00000000-0005-0000-0000-0000E2000000}"/>
    <cellStyle name="Normal 3 5" xfId="263" xr:uid="{00000000-0005-0000-0000-0000E3000000}"/>
    <cellStyle name="Normal 4" xfId="102" xr:uid="{00000000-0005-0000-0000-0000E4000000}"/>
    <cellStyle name="Normal 4 2" xfId="157" xr:uid="{00000000-0005-0000-0000-0000E5000000}"/>
    <cellStyle name="Normal 4 2 2" xfId="243" xr:uid="{00000000-0005-0000-0000-0000E6000000}"/>
    <cellStyle name="Normal 4 3" xfId="189" xr:uid="{00000000-0005-0000-0000-0000E7000000}"/>
    <cellStyle name="Normal 5" xfId="116" xr:uid="{00000000-0005-0000-0000-0000E8000000}"/>
    <cellStyle name="Normal 5 2" xfId="203" xr:uid="{00000000-0005-0000-0000-0000E9000000}"/>
    <cellStyle name="Normal 6" xfId="247" xr:uid="{00000000-0005-0000-0000-0000EA000000}"/>
    <cellStyle name="Normal 7" xfId="261" xr:uid="{00000000-0005-0000-0000-0000EB000000}"/>
    <cellStyle name="Nota" xfId="36" xr:uid="{00000000-0005-0000-0000-0000EC000000}"/>
    <cellStyle name="Note 2" xfId="86" xr:uid="{00000000-0005-0000-0000-0000ED000000}"/>
    <cellStyle name="Note 2 2" xfId="158" xr:uid="{00000000-0005-0000-0000-0000EE000000}"/>
    <cellStyle name="Note 2 2 2" xfId="244" xr:uid="{00000000-0005-0000-0000-0000EF000000}"/>
    <cellStyle name="Note 2 3" xfId="174" xr:uid="{00000000-0005-0000-0000-0000F0000000}"/>
    <cellStyle name="Note 3" xfId="89" xr:uid="{00000000-0005-0000-0000-0000F1000000}"/>
    <cellStyle name="Note 3 2" xfId="159" xr:uid="{00000000-0005-0000-0000-0000F2000000}"/>
    <cellStyle name="Note 3 2 2" xfId="245" xr:uid="{00000000-0005-0000-0000-0000F3000000}"/>
    <cellStyle name="Note 3 3" xfId="176" xr:uid="{00000000-0005-0000-0000-0000F4000000}"/>
    <cellStyle name="Note 4" xfId="103" xr:uid="{00000000-0005-0000-0000-0000F5000000}"/>
    <cellStyle name="Note 4 2" xfId="160" xr:uid="{00000000-0005-0000-0000-0000F6000000}"/>
    <cellStyle name="Note 4 2 2" xfId="246" xr:uid="{00000000-0005-0000-0000-0000F7000000}"/>
    <cellStyle name="Note 4 3" xfId="190" xr:uid="{00000000-0005-0000-0000-0000F8000000}"/>
    <cellStyle name="Note 5" xfId="117" xr:uid="{00000000-0005-0000-0000-0000F9000000}"/>
    <cellStyle name="Note 5 2" xfId="204" xr:uid="{00000000-0005-0000-0000-0000FA000000}"/>
    <cellStyle name="Note 6" xfId="260" xr:uid="{00000000-0005-0000-0000-0000FB000000}"/>
    <cellStyle name="Output" xfId="55" builtinId="21" customBuiltin="1"/>
    <cellStyle name="Saída" xfId="37" xr:uid="{00000000-0005-0000-0000-0000FD000000}"/>
    <cellStyle name="Texto de Aviso" xfId="38" xr:uid="{00000000-0005-0000-0000-0000FE000000}"/>
    <cellStyle name="Texto Explicativo" xfId="39" xr:uid="{00000000-0005-0000-0000-0000FF000000}"/>
    <cellStyle name="Title" xfId="46" builtinId="15" customBuiltin="1"/>
    <cellStyle name="Título" xfId="40" xr:uid="{00000000-0005-0000-0000-000001010000}"/>
    <cellStyle name="Total" xfId="41" builtinId="25" customBuiltin="1"/>
    <cellStyle name="Total 2" xfId="87" xr:uid="{00000000-0005-0000-0000-000003010000}"/>
    <cellStyle name="Verificar Célula" xfId="42" xr:uid="{00000000-0005-0000-0000-000004010000}"/>
    <cellStyle name="Vírgula 2" xfId="45" xr:uid="{00000000-0005-0000-0000-000005010000}"/>
    <cellStyle name="Vírgula_mens.exp." xfId="44" xr:uid="{00000000-0005-0000-0000-000006010000}"/>
    <cellStyle name="Warning Text" xfId="59" builtinId="11" customBuiltin="1"/>
  </cellStyles>
  <dxfs count="5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Coord_Financeira_Arquivo\9999_12_RESOLUCAO\Resolution%20Pack\WORKING%20LINES\DRY%20RUN\2025\MBDT\MBDT_20250922.xlsx" TargetMode="External"/><Relationship Id="rId1" Type="http://schemas.openxmlformats.org/officeDocument/2006/relationships/externalLinkPath" Target="MBDT_202509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_BST individual (ifrs9)"/>
      <sheetName val="EMISSÕES"/>
      <sheetName val="MBDT -----&gt;"/>
      <sheetName val="B9900"/>
      <sheetName val="VALIDATIONS -----&gt;"/>
      <sheetName val="Lists"/>
      <sheetName val="Sheet13"/>
      <sheetName val="B0200"/>
      <sheetName val="B9000"/>
      <sheetName val="VALIDATIONS"/>
      <sheetName val="Level 1 Guidance"/>
      <sheetName val="Aux Validations"/>
      <sheetName val="Level 2 Guidance"/>
      <sheetName val="Data types"/>
      <sheetName val="V_Level 2"/>
      <sheetName val="B0100"/>
      <sheetName val="V_Level 1"/>
      <sheetName val="B0300"/>
      <sheetName val="B0400"/>
      <sheetName val="B0500"/>
      <sheetName val="B0600"/>
      <sheetName val="Sheet1"/>
      <sheetName val="VALIDATIONS LEVEL1"/>
    </sheetNames>
    <sheetDataSet>
      <sheetData sheetId="0">
        <row r="40">
          <cell r="BJ40">
            <v>-292128382</v>
          </cell>
        </row>
        <row r="41">
          <cell r="BJ41">
            <v>1127394251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lha1">
    <pageSetUpPr fitToPage="1"/>
  </sheetPr>
  <dimension ref="A1:AM29"/>
  <sheetViews>
    <sheetView tabSelected="1" showWhiteSpace="0" zoomScale="98" zoomScaleNormal="100" workbookViewId="0"/>
  </sheetViews>
  <sheetFormatPr defaultColWidth="12.140625" defaultRowHeight="11.25"/>
  <cols>
    <col min="1" max="1" width="4.5703125" style="19" customWidth="1"/>
    <col min="2" max="2" width="10.42578125" style="17" bestFit="1" customWidth="1"/>
    <col min="3" max="3" width="10.85546875" style="19" customWidth="1"/>
    <col min="4" max="4" width="8.85546875" style="17" customWidth="1"/>
    <col min="5" max="5" width="12.85546875" style="18" customWidth="1"/>
    <col min="6" max="6" width="15.85546875" style="19" customWidth="1"/>
    <col min="7" max="7" width="49.5703125" style="20" customWidth="1"/>
    <col min="8" max="8" width="7.5703125" style="17" customWidth="1"/>
    <col min="9" max="9" width="17.5703125" style="18" customWidth="1"/>
    <col min="10" max="10" width="10.5703125" style="22" customWidth="1"/>
    <col min="11" max="11" width="13" style="17" customWidth="1"/>
    <col min="12" max="12" width="2.85546875" style="17" customWidth="1"/>
    <col min="13" max="13" width="10.28515625" style="17" customWidth="1"/>
    <col min="14" max="14" width="10.140625" style="17" customWidth="1"/>
    <col min="15" max="15" width="5.5703125" style="17" customWidth="1"/>
    <col min="16" max="16" width="6.85546875" style="45" customWidth="1"/>
    <col min="17" max="17" width="11.5703125" style="23" customWidth="1"/>
    <col min="18" max="18" width="10.28515625" style="17" customWidth="1"/>
    <col min="19" max="19" width="9.5703125" style="24" customWidth="1"/>
    <col min="20" max="20" width="9.85546875" style="24" customWidth="1"/>
    <col min="21" max="21" width="14.85546875" style="23" customWidth="1"/>
    <col min="22" max="22" width="15.42578125" style="25" customWidth="1"/>
    <col min="23" max="23" width="15.42578125" style="26" customWidth="1"/>
    <col min="24" max="24" width="14.85546875" style="17" customWidth="1"/>
    <col min="25" max="25" width="14.5703125" style="17" customWidth="1"/>
    <col min="26" max="26" width="15" style="17" customWidth="1"/>
    <col min="27" max="27" width="15.42578125" style="18" customWidth="1"/>
    <col min="28" max="28" width="12.140625" style="24" bestFit="1" customWidth="1"/>
    <col min="29" max="16384" width="12.140625" style="18"/>
  </cols>
  <sheetData>
    <row r="1" spans="1:39" ht="18" customHeight="1">
      <c r="A1" s="15"/>
      <c r="B1" s="16"/>
      <c r="C1" s="15" t="s">
        <v>16</v>
      </c>
      <c r="I1" s="2"/>
      <c r="L1" s="32"/>
      <c r="M1" s="22"/>
      <c r="P1" s="17"/>
      <c r="Y1" s="22"/>
      <c r="Z1" s="22"/>
      <c r="AA1" s="110"/>
    </row>
    <row r="2" spans="1:39">
      <c r="A2" s="27"/>
      <c r="B2" s="28"/>
      <c r="C2" s="28">
        <v>45961</v>
      </c>
      <c r="D2" s="18"/>
      <c r="F2" s="29"/>
      <c r="G2" s="30"/>
      <c r="H2" s="20"/>
      <c r="I2" s="2"/>
      <c r="L2" s="32"/>
      <c r="M2" s="31"/>
      <c r="N2" s="20"/>
      <c r="O2" s="32"/>
      <c r="P2" s="33"/>
      <c r="Q2" s="34"/>
      <c r="R2" s="20"/>
      <c r="S2" s="35"/>
      <c r="T2" s="36"/>
      <c r="U2" s="34"/>
      <c r="V2" s="37"/>
      <c r="W2" s="37"/>
      <c r="X2" s="38"/>
      <c r="Y2" s="5"/>
      <c r="Z2" s="39"/>
      <c r="AA2" s="39"/>
      <c r="AB2" s="35"/>
    </row>
    <row r="3" spans="1:39">
      <c r="A3" s="40"/>
      <c r="B3" s="41"/>
      <c r="C3" s="42"/>
      <c r="F3" s="43"/>
      <c r="G3" s="44"/>
      <c r="H3" s="21"/>
      <c r="I3" s="2"/>
      <c r="L3" s="7"/>
      <c r="M3" s="20"/>
      <c r="X3" s="6"/>
      <c r="Y3" s="46"/>
      <c r="Z3" s="32"/>
    </row>
    <row r="4" spans="1:39" s="103" customFormat="1" ht="45.75" customHeight="1">
      <c r="A4" s="47" t="s">
        <v>23</v>
      </c>
      <c r="B4" s="47" t="s">
        <v>34</v>
      </c>
      <c r="C4" s="47" t="s">
        <v>3</v>
      </c>
      <c r="D4" s="47" t="s">
        <v>34</v>
      </c>
      <c r="E4" s="48" t="s">
        <v>12</v>
      </c>
      <c r="F4" s="47" t="s">
        <v>4</v>
      </c>
      <c r="G4" s="47" t="s">
        <v>27</v>
      </c>
      <c r="H4" s="47" t="s">
        <v>2</v>
      </c>
      <c r="I4" s="47" t="s">
        <v>25</v>
      </c>
      <c r="J4" s="47" t="s">
        <v>19</v>
      </c>
      <c r="K4" s="47" t="s">
        <v>17</v>
      </c>
      <c r="L4" s="47"/>
      <c r="M4" s="47" t="s">
        <v>31</v>
      </c>
      <c r="N4" s="47" t="s">
        <v>7</v>
      </c>
      <c r="O4" s="47" t="s">
        <v>6</v>
      </c>
      <c r="P4" s="47" t="s">
        <v>0</v>
      </c>
      <c r="Q4" s="49" t="s">
        <v>21</v>
      </c>
      <c r="R4" s="47" t="s">
        <v>5</v>
      </c>
      <c r="S4" s="47" t="s">
        <v>30</v>
      </c>
      <c r="T4" s="47" t="s">
        <v>14</v>
      </c>
      <c r="U4" s="49" t="s">
        <v>22</v>
      </c>
      <c r="V4" s="47" t="s">
        <v>38</v>
      </c>
      <c r="W4" s="47" t="s">
        <v>34</v>
      </c>
      <c r="X4" s="50" t="s">
        <v>18</v>
      </c>
      <c r="Y4" s="47" t="s">
        <v>8</v>
      </c>
      <c r="Z4" s="47" t="s">
        <v>9</v>
      </c>
      <c r="AA4" s="47" t="s">
        <v>29</v>
      </c>
      <c r="AB4" s="47" t="s">
        <v>10</v>
      </c>
      <c r="AC4" s="111">
        <v>45961</v>
      </c>
      <c r="AF4" s="111">
        <v>45975</v>
      </c>
      <c r="AI4" s="112" t="s">
        <v>55</v>
      </c>
    </row>
    <row r="5" spans="1:39" s="20" customFormat="1" ht="12">
      <c r="A5" s="51"/>
      <c r="B5" s="52"/>
      <c r="C5" s="51"/>
      <c r="D5" s="52"/>
      <c r="F5" s="51"/>
      <c r="G5" s="52"/>
      <c r="H5" s="52"/>
      <c r="I5" s="1"/>
      <c r="J5" s="46"/>
      <c r="K5" s="22"/>
      <c r="L5" s="1"/>
      <c r="M5" s="52"/>
      <c r="N5" s="52"/>
      <c r="O5" s="32"/>
      <c r="P5" s="53"/>
      <c r="Q5" s="54"/>
      <c r="R5" s="52"/>
      <c r="S5" s="55"/>
      <c r="T5" s="55"/>
      <c r="U5" s="56"/>
      <c r="V5" s="57"/>
      <c r="W5" s="57"/>
      <c r="X5" s="52"/>
      <c r="Y5" s="1"/>
      <c r="Z5" s="58"/>
      <c r="AA5" s="52"/>
      <c r="AB5" s="55"/>
      <c r="AI5" s="112"/>
    </row>
    <row r="6" spans="1:39" s="104" customFormat="1" ht="12">
      <c r="A6" s="59"/>
      <c r="B6" s="60"/>
      <c r="C6" s="59" t="s">
        <v>13</v>
      </c>
      <c r="D6" s="61"/>
      <c r="E6" s="62"/>
      <c r="F6" s="63"/>
      <c r="G6" s="62"/>
      <c r="H6" s="62"/>
      <c r="I6" s="3"/>
      <c r="J6" s="64"/>
      <c r="K6" s="65"/>
      <c r="L6" s="8"/>
      <c r="M6" s="66"/>
      <c r="N6" s="66"/>
      <c r="O6" s="61"/>
      <c r="P6" s="67"/>
      <c r="Q6" s="68"/>
      <c r="R6" s="61"/>
      <c r="S6" s="66"/>
      <c r="T6" s="66"/>
      <c r="U6" s="68"/>
      <c r="V6" s="69"/>
      <c r="W6" s="70"/>
      <c r="X6" s="61"/>
      <c r="Y6" s="71"/>
      <c r="Z6" s="64"/>
      <c r="AA6" s="72"/>
      <c r="AB6" s="66"/>
      <c r="AI6" s="112"/>
    </row>
    <row r="7" spans="1:39" s="20" customFormat="1" ht="9.9499999999999993" customHeight="1">
      <c r="A7" s="51"/>
      <c r="B7" s="52"/>
      <c r="C7" s="51"/>
      <c r="D7" s="52"/>
      <c r="F7" s="51"/>
      <c r="G7" s="52"/>
      <c r="H7" s="52"/>
      <c r="I7" s="1"/>
      <c r="J7" s="46"/>
      <c r="K7" s="32"/>
      <c r="L7" s="1"/>
      <c r="M7" s="1" t="s">
        <v>26</v>
      </c>
      <c r="N7" s="52"/>
      <c r="O7" s="32"/>
      <c r="P7" s="53"/>
      <c r="Q7" s="54"/>
      <c r="R7" s="52"/>
      <c r="S7" s="55"/>
      <c r="T7" s="55"/>
      <c r="U7" s="56"/>
      <c r="V7" s="57"/>
      <c r="W7" s="57"/>
      <c r="X7" s="57"/>
      <c r="Y7" s="57"/>
      <c r="Z7" s="57"/>
      <c r="AA7" s="52"/>
      <c r="AB7" s="55"/>
      <c r="AI7" s="112"/>
    </row>
    <row r="8" spans="1:39">
      <c r="A8" s="29"/>
      <c r="B8" s="32"/>
      <c r="C8" s="29"/>
      <c r="D8" s="32"/>
      <c r="E8" s="88"/>
      <c r="G8" s="18"/>
      <c r="H8" s="18"/>
      <c r="J8" s="17"/>
      <c r="K8" s="17" t="s">
        <v>26</v>
      </c>
      <c r="L8" s="18"/>
      <c r="M8" s="18"/>
      <c r="N8" s="18"/>
      <c r="O8" s="18"/>
      <c r="P8" s="18"/>
      <c r="Q8" s="89"/>
      <c r="R8" s="18"/>
      <c r="S8" s="90"/>
      <c r="T8" s="91"/>
      <c r="U8" s="89"/>
      <c r="V8" s="18"/>
      <c r="W8" s="20"/>
      <c r="X8" s="18"/>
      <c r="Y8" s="18"/>
      <c r="Z8" s="18"/>
      <c r="AB8" s="92"/>
    </row>
    <row r="9" spans="1:39">
      <c r="A9" s="75">
        <v>31</v>
      </c>
      <c r="B9" s="74" t="s">
        <v>35</v>
      </c>
      <c r="C9" s="75"/>
      <c r="D9" s="74">
        <v>9994</v>
      </c>
      <c r="E9" s="74" t="s">
        <v>51</v>
      </c>
      <c r="F9" s="74"/>
      <c r="G9" s="76" t="s">
        <v>52</v>
      </c>
      <c r="H9" s="74" t="s">
        <v>1</v>
      </c>
      <c r="I9" s="118">
        <f>+'[1]BA_BST individual (ifrs9)'!BJ40+'[1]BA_BST individual (ifrs9)'!BJ41</f>
        <v>835265869</v>
      </c>
      <c r="J9" s="119">
        <v>1000</v>
      </c>
      <c r="K9" s="120">
        <f>+I9/J9</f>
        <v>835265.86899999995</v>
      </c>
      <c r="L9" s="73" t="s">
        <v>20</v>
      </c>
      <c r="M9" s="78" t="s">
        <v>53</v>
      </c>
      <c r="N9" s="78">
        <v>72716</v>
      </c>
      <c r="O9" s="74"/>
      <c r="P9" s="79"/>
      <c r="Q9" s="81"/>
      <c r="R9" s="74"/>
      <c r="S9" s="80"/>
      <c r="T9" s="78" t="s">
        <v>54</v>
      </c>
      <c r="U9" s="81"/>
      <c r="V9" s="82"/>
      <c r="W9" s="74"/>
      <c r="X9" s="12"/>
      <c r="Y9" s="12"/>
      <c r="Z9" s="12"/>
      <c r="AA9" s="83"/>
      <c r="AB9" s="80"/>
      <c r="AC9" s="31"/>
      <c r="AD9" s="31"/>
      <c r="AE9" s="31"/>
      <c r="AF9" s="31"/>
      <c r="AG9" s="31"/>
      <c r="AH9" s="31"/>
      <c r="AI9" s="18">
        <v>1</v>
      </c>
      <c r="AM9" s="31"/>
    </row>
    <row r="10" spans="1:39">
      <c r="A10" s="75">
        <v>31</v>
      </c>
      <c r="B10" s="74" t="s">
        <v>35</v>
      </c>
      <c r="C10" s="75"/>
      <c r="D10" s="74">
        <v>9994</v>
      </c>
      <c r="E10" s="74" t="s">
        <v>32</v>
      </c>
      <c r="F10" s="74">
        <v>9220004322</v>
      </c>
      <c r="G10" s="76" t="s">
        <v>33</v>
      </c>
      <c r="H10" s="74" t="s">
        <v>1</v>
      </c>
      <c r="I10" s="73">
        <v>7599000</v>
      </c>
      <c r="J10" s="77">
        <v>1000</v>
      </c>
      <c r="K10" s="82">
        <v>7599</v>
      </c>
      <c r="L10" s="73" t="s">
        <v>20</v>
      </c>
      <c r="M10" s="78">
        <v>42649</v>
      </c>
      <c r="N10" s="78">
        <v>46301</v>
      </c>
      <c r="O10" s="74" t="s">
        <v>24</v>
      </c>
      <c r="P10" s="79">
        <v>0</v>
      </c>
      <c r="Q10" s="81">
        <v>7.4999999999999997E-2</v>
      </c>
      <c r="R10" s="74">
        <v>365</v>
      </c>
      <c r="S10" s="80">
        <v>45936</v>
      </c>
      <c r="T10" s="80">
        <v>46301</v>
      </c>
      <c r="U10" s="81">
        <v>7.4999999999999997E-2</v>
      </c>
      <c r="V10" s="82">
        <v>26</v>
      </c>
      <c r="W10" s="74">
        <v>251019901</v>
      </c>
      <c r="X10" s="12">
        <v>40597.397260273974</v>
      </c>
      <c r="Y10" s="12">
        <v>0</v>
      </c>
      <c r="Z10" s="12">
        <v>40597.397260273974</v>
      </c>
      <c r="AA10" s="83" t="s">
        <v>15</v>
      </c>
      <c r="AB10" s="80" t="s">
        <v>20</v>
      </c>
      <c r="AC10" s="31">
        <f>+$AC$4-S10+1</f>
        <v>26</v>
      </c>
      <c r="AD10" s="31">
        <f>+I10*Q10*AC10/365</f>
        <v>40597.397260273974</v>
      </c>
      <c r="AE10" s="31">
        <f>+AD10-X10</f>
        <v>0</v>
      </c>
      <c r="AF10" s="31">
        <f>+$AF$4-S10+1</f>
        <v>40</v>
      </c>
      <c r="AG10" s="31">
        <f>+I10*Q10*AF10/365</f>
        <v>62457.534246575342</v>
      </c>
      <c r="AI10" s="18">
        <v>3</v>
      </c>
    </row>
    <row r="11" spans="1:39">
      <c r="A11" s="75">
        <v>31</v>
      </c>
      <c r="B11" s="74">
        <v>251019900</v>
      </c>
      <c r="C11" s="75"/>
      <c r="D11" s="74">
        <v>9994</v>
      </c>
      <c r="E11" s="74" t="s">
        <v>39</v>
      </c>
      <c r="F11" s="74">
        <v>9220014986</v>
      </c>
      <c r="G11" s="76" t="s">
        <v>40</v>
      </c>
      <c r="H11" s="74" t="s">
        <v>1</v>
      </c>
      <c r="I11" s="73">
        <v>200000000</v>
      </c>
      <c r="J11" s="77">
        <v>100000</v>
      </c>
      <c r="K11" s="82">
        <v>2000</v>
      </c>
      <c r="L11" s="73" t="s">
        <v>20</v>
      </c>
      <c r="M11" s="78">
        <v>44721</v>
      </c>
      <c r="N11" s="78">
        <v>48374</v>
      </c>
      <c r="O11" s="74" t="s">
        <v>24</v>
      </c>
      <c r="P11" s="79">
        <v>0</v>
      </c>
      <c r="Q11" s="81">
        <v>4.7140000000000001E-2</v>
      </c>
      <c r="R11" s="74">
        <v>365</v>
      </c>
      <c r="S11" s="80">
        <v>45817</v>
      </c>
      <c r="T11" s="80">
        <v>46182</v>
      </c>
      <c r="U11" s="81">
        <v>4.7140000000000001E-2</v>
      </c>
      <c r="V11" s="82">
        <v>145</v>
      </c>
      <c r="W11" s="74">
        <v>251019901</v>
      </c>
      <c r="X11" s="12">
        <v>3745369.8630136987</v>
      </c>
      <c r="Y11" s="12">
        <v>2944635.6164383562</v>
      </c>
      <c r="Z11" s="12">
        <v>800734.24657534249</v>
      </c>
      <c r="AA11" s="83" t="s">
        <v>15</v>
      </c>
      <c r="AB11" s="80" t="s">
        <v>20</v>
      </c>
      <c r="AC11" s="31">
        <f>+$AC$4-S11+1</f>
        <v>145</v>
      </c>
      <c r="AD11" s="31">
        <f t="shared" ref="AD11:AD13" si="0">+I11*Q11*AC11/365</f>
        <v>3745369.8630136987</v>
      </c>
      <c r="AE11" s="31">
        <f t="shared" ref="AE11:AE13" si="1">+AD11-X11</f>
        <v>0</v>
      </c>
      <c r="AF11" s="31">
        <f t="shared" ref="AF11:AF13" si="2">+$AF$4-S11+1</f>
        <v>159</v>
      </c>
      <c r="AG11" s="31">
        <f t="shared" ref="AG11:AG13" si="3">+I11*Q11*AF11/365</f>
        <v>4106991.7808219176</v>
      </c>
      <c r="AI11" s="18">
        <v>3</v>
      </c>
    </row>
    <row r="12" spans="1:39">
      <c r="A12" s="75">
        <v>31</v>
      </c>
      <c r="B12" s="74">
        <v>251019910</v>
      </c>
      <c r="C12" s="75"/>
      <c r="D12" s="74">
        <v>9991</v>
      </c>
      <c r="E12" s="74" t="s">
        <v>41</v>
      </c>
      <c r="F12" s="74">
        <v>9220014975</v>
      </c>
      <c r="G12" s="76" t="s">
        <v>42</v>
      </c>
      <c r="H12" s="74" t="s">
        <v>1</v>
      </c>
      <c r="I12" s="73">
        <v>600000000</v>
      </c>
      <c r="J12" s="77">
        <v>100000</v>
      </c>
      <c r="K12" s="82">
        <v>6000</v>
      </c>
      <c r="L12" s="73"/>
      <c r="M12" s="78">
        <v>44715</v>
      </c>
      <c r="N12" s="78">
        <v>46907</v>
      </c>
      <c r="O12" s="74" t="s">
        <v>24</v>
      </c>
      <c r="P12" s="79">
        <v>0</v>
      </c>
      <c r="Q12" s="81">
        <v>3.0779999999999998E-2</v>
      </c>
      <c r="R12" s="74">
        <v>365</v>
      </c>
      <c r="S12" s="80">
        <v>45811</v>
      </c>
      <c r="T12" s="80">
        <v>46176</v>
      </c>
      <c r="U12" s="81">
        <v>3.0779999999999998E-2</v>
      </c>
      <c r="V12" s="82">
        <v>151</v>
      </c>
      <c r="W12" s="74">
        <v>251019911</v>
      </c>
      <c r="X12" s="12">
        <v>7640186.3013698626</v>
      </c>
      <c r="Y12" s="12">
        <v>6071671.2328767125</v>
      </c>
      <c r="Z12" s="12">
        <v>1568515.0684931502</v>
      </c>
      <c r="AA12" s="83" t="s">
        <v>28</v>
      </c>
      <c r="AB12" s="80"/>
      <c r="AC12" s="31">
        <f>+$AC$4-S12+1</f>
        <v>151</v>
      </c>
      <c r="AD12" s="31">
        <f t="shared" si="0"/>
        <v>7640186.3013698626</v>
      </c>
      <c r="AE12" s="31">
        <f t="shared" si="1"/>
        <v>0</v>
      </c>
      <c r="AF12" s="31">
        <f t="shared" si="2"/>
        <v>165</v>
      </c>
      <c r="AG12" s="31">
        <f t="shared" si="3"/>
        <v>8348547.9452054799</v>
      </c>
      <c r="AI12" s="18">
        <v>8</v>
      </c>
    </row>
    <row r="13" spans="1:39" s="99" customFormat="1">
      <c r="A13" s="75">
        <v>31</v>
      </c>
      <c r="B13" s="74" t="s">
        <v>36</v>
      </c>
      <c r="C13" s="75"/>
      <c r="D13" s="74">
        <v>9991</v>
      </c>
      <c r="E13" s="74" t="s">
        <v>43</v>
      </c>
      <c r="F13" s="74">
        <v>9220017520</v>
      </c>
      <c r="G13" s="76" t="s">
        <v>44</v>
      </c>
      <c r="H13" s="74" t="s">
        <v>1</v>
      </c>
      <c r="I13" s="73">
        <v>500000000</v>
      </c>
      <c r="J13" s="77">
        <v>100000</v>
      </c>
      <c r="K13" s="82">
        <v>5000</v>
      </c>
      <c r="L13" s="73"/>
      <c r="M13" s="78">
        <v>45503</v>
      </c>
      <c r="N13" s="78">
        <v>47694</v>
      </c>
      <c r="O13" s="74" t="s">
        <v>24</v>
      </c>
      <c r="P13" s="79">
        <v>0</v>
      </c>
      <c r="Q13" s="81">
        <v>4.0629999999999999E-2</v>
      </c>
      <c r="R13" s="74">
        <v>365</v>
      </c>
      <c r="S13" s="80">
        <v>45868</v>
      </c>
      <c r="T13" s="80">
        <v>46233</v>
      </c>
      <c r="U13" s="81">
        <v>4.0629999999999999E-2</v>
      </c>
      <c r="V13" s="82">
        <v>94</v>
      </c>
      <c r="W13" s="74">
        <v>251019911</v>
      </c>
      <c r="X13" s="12">
        <v>5231808.2191780824</v>
      </c>
      <c r="Y13" s="12">
        <v>3506424.6575342468</v>
      </c>
      <c r="Z13" s="12">
        <v>1725383.5616438356</v>
      </c>
      <c r="AA13" s="83" t="s">
        <v>28</v>
      </c>
      <c r="AB13" s="80"/>
      <c r="AC13" s="31">
        <f>+$AC$4-S13+1</f>
        <v>94</v>
      </c>
      <c r="AD13" s="31">
        <f t="shared" si="0"/>
        <v>5231808.2191780824</v>
      </c>
      <c r="AE13" s="31">
        <f t="shared" si="1"/>
        <v>0</v>
      </c>
      <c r="AF13" s="31">
        <f t="shared" si="2"/>
        <v>108</v>
      </c>
      <c r="AG13" s="31">
        <f t="shared" si="3"/>
        <v>6011013.6986301374</v>
      </c>
      <c r="AI13" s="18">
        <v>8</v>
      </c>
    </row>
    <row r="14" spans="1:39">
      <c r="A14" s="75">
        <v>31</v>
      </c>
      <c r="B14" s="74" t="s">
        <v>37</v>
      </c>
      <c r="C14" s="75"/>
      <c r="D14" s="74"/>
      <c r="E14" s="74" t="s">
        <v>45</v>
      </c>
      <c r="F14" s="74">
        <v>9220014350</v>
      </c>
      <c r="G14" s="76" t="s">
        <v>46</v>
      </c>
      <c r="H14" s="74" t="s">
        <v>1</v>
      </c>
      <c r="I14" s="73">
        <v>400000000</v>
      </c>
      <c r="J14" s="77">
        <v>100000</v>
      </c>
      <c r="K14" s="82">
        <v>4000</v>
      </c>
      <c r="L14" s="73"/>
      <c r="M14" s="78">
        <v>44210</v>
      </c>
      <c r="N14" s="14"/>
      <c r="O14" s="74" t="s">
        <v>11</v>
      </c>
      <c r="P14" s="79">
        <v>0</v>
      </c>
      <c r="Q14" s="81"/>
      <c r="R14" s="74">
        <v>0</v>
      </c>
      <c r="S14" s="86"/>
      <c r="T14" s="86"/>
      <c r="U14" s="81">
        <v>0</v>
      </c>
      <c r="V14" s="82">
        <v>45962</v>
      </c>
      <c r="W14" s="74"/>
      <c r="X14" s="12">
        <v>0</v>
      </c>
      <c r="Y14" s="12">
        <v>0</v>
      </c>
      <c r="Z14" s="12">
        <v>0</v>
      </c>
      <c r="AA14" s="83"/>
      <c r="AB14" s="80"/>
      <c r="AI14" s="18">
        <v>2</v>
      </c>
    </row>
    <row r="15" spans="1:39" s="99" customFormat="1">
      <c r="A15" s="75">
        <v>31</v>
      </c>
      <c r="B15" s="74" t="s">
        <v>37</v>
      </c>
      <c r="C15" s="75"/>
      <c r="D15" s="74"/>
      <c r="E15" s="74" t="s">
        <v>47</v>
      </c>
      <c r="F15" s="74">
        <v>9220015021</v>
      </c>
      <c r="G15" s="76" t="s">
        <v>48</v>
      </c>
      <c r="H15" s="74" t="s">
        <v>1</v>
      </c>
      <c r="I15" s="73">
        <v>300000000</v>
      </c>
      <c r="J15" s="77">
        <v>100000</v>
      </c>
      <c r="K15" s="82">
        <v>3000</v>
      </c>
      <c r="L15" s="73"/>
      <c r="M15" s="78">
        <v>45344</v>
      </c>
      <c r="N15" s="14"/>
      <c r="O15" s="74" t="s">
        <v>11</v>
      </c>
      <c r="P15" s="79">
        <v>0</v>
      </c>
      <c r="Q15" s="81"/>
      <c r="R15" s="74">
        <v>0</v>
      </c>
      <c r="S15" s="86"/>
      <c r="T15" s="86"/>
      <c r="U15" s="81">
        <v>0</v>
      </c>
      <c r="V15" s="82">
        <v>45962</v>
      </c>
      <c r="W15" s="74"/>
      <c r="X15" s="12">
        <v>0</v>
      </c>
      <c r="Y15" s="12">
        <v>0</v>
      </c>
      <c r="Z15" s="12">
        <v>0</v>
      </c>
      <c r="AA15" s="83"/>
      <c r="AB15" s="80"/>
      <c r="AI15" s="18">
        <v>2</v>
      </c>
    </row>
    <row r="16" spans="1:39" s="20" customFormat="1">
      <c r="A16" s="75">
        <v>31</v>
      </c>
      <c r="B16" s="74" t="s">
        <v>37</v>
      </c>
      <c r="C16" s="75"/>
      <c r="D16" s="74"/>
      <c r="E16" s="74" t="s">
        <v>49</v>
      </c>
      <c r="F16" s="74">
        <v>9220018358</v>
      </c>
      <c r="G16" s="76" t="s">
        <v>50</v>
      </c>
      <c r="H16" s="74" t="s">
        <v>1</v>
      </c>
      <c r="I16" s="73">
        <v>500000000</v>
      </c>
      <c r="J16" s="77">
        <v>100000</v>
      </c>
      <c r="K16" s="82">
        <v>5000</v>
      </c>
      <c r="L16" s="73"/>
      <c r="M16" s="78">
        <v>45806</v>
      </c>
      <c r="N16" s="14"/>
      <c r="O16" s="74" t="s">
        <v>11</v>
      </c>
      <c r="P16" s="79">
        <v>0</v>
      </c>
      <c r="Q16" s="81"/>
      <c r="R16" s="74">
        <v>365</v>
      </c>
      <c r="S16" s="86">
        <v>45806</v>
      </c>
      <c r="T16" s="86">
        <v>46171</v>
      </c>
      <c r="U16" s="81">
        <v>0</v>
      </c>
      <c r="V16" s="82">
        <v>156</v>
      </c>
      <c r="W16" s="74"/>
      <c r="X16" s="12">
        <v>0</v>
      </c>
      <c r="Y16" s="12">
        <v>0</v>
      </c>
      <c r="Z16" s="12">
        <v>0</v>
      </c>
      <c r="AA16" s="83"/>
      <c r="AB16" s="80"/>
      <c r="AI16" s="99">
        <v>2</v>
      </c>
    </row>
    <row r="17" spans="1:35" s="20" customFormat="1">
      <c r="A17" s="96"/>
      <c r="B17" s="97"/>
      <c r="C17" s="96"/>
      <c r="D17" s="98"/>
      <c r="E17" s="99"/>
      <c r="F17" s="19"/>
      <c r="G17" s="100"/>
      <c r="H17" s="101"/>
      <c r="I17" s="113"/>
      <c r="J17" s="114"/>
      <c r="K17" s="114"/>
      <c r="L17" s="115"/>
      <c r="M17" s="121"/>
      <c r="N17" s="116"/>
      <c r="O17" s="98"/>
      <c r="P17" s="9"/>
      <c r="Q17" s="23"/>
      <c r="R17" s="102"/>
      <c r="S17" s="10"/>
      <c r="T17" s="11"/>
      <c r="U17" s="84"/>
      <c r="V17" s="25"/>
      <c r="W17" s="26"/>
      <c r="X17" s="117"/>
      <c r="Y17" s="13"/>
      <c r="Z17" s="13"/>
      <c r="AA17" s="101"/>
      <c r="AB17" s="10"/>
      <c r="AI17" s="18"/>
    </row>
    <row r="18" spans="1:35">
      <c r="A18" s="29"/>
      <c r="B18" s="32"/>
      <c r="C18" s="29"/>
      <c r="H18" s="18"/>
      <c r="I18" s="2"/>
      <c r="J18" s="46"/>
      <c r="K18" s="32"/>
      <c r="L18" s="2"/>
      <c r="M18" s="93"/>
      <c r="N18" s="93"/>
      <c r="S18" s="4"/>
      <c r="V18" s="26"/>
      <c r="X18" s="105"/>
      <c r="Y18" s="95"/>
      <c r="Z18" s="106"/>
      <c r="AB18" s="4"/>
      <c r="AI18" s="99"/>
    </row>
    <row r="19" spans="1:35">
      <c r="A19" s="107"/>
      <c r="B19" s="87"/>
      <c r="C19" s="107"/>
      <c r="H19" s="18"/>
      <c r="I19" s="2"/>
      <c r="L19" s="2"/>
      <c r="M19" s="93"/>
      <c r="N19" s="93"/>
      <c r="S19" s="4"/>
      <c r="V19" s="26"/>
      <c r="X19" s="85"/>
      <c r="Y19" s="108"/>
      <c r="Z19" s="106"/>
      <c r="AB19" s="4"/>
      <c r="AI19" s="20"/>
    </row>
    <row r="20" spans="1:35">
      <c r="G20" s="109"/>
      <c r="L20" s="18"/>
      <c r="M20" s="93"/>
      <c r="N20" s="93"/>
      <c r="X20" s="13"/>
      <c r="Y20" s="22"/>
      <c r="Z20" s="94"/>
      <c r="AI20" s="20"/>
    </row>
    <row r="21" spans="1:35">
      <c r="A21" s="29"/>
      <c r="B21" s="32"/>
      <c r="C21" s="29"/>
      <c r="K21" s="22"/>
      <c r="L21" s="18"/>
      <c r="M21" s="93"/>
      <c r="N21" s="93"/>
      <c r="X21" s="13"/>
      <c r="Y21" s="13"/>
      <c r="Z21" s="94"/>
    </row>
    <row r="27" spans="1:35" ht="10.5" customHeight="1"/>
    <row r="29" spans="1:35" ht="10.5" customHeight="1"/>
  </sheetData>
  <phoneticPr fontId="0" type="noConversion"/>
  <conditionalFormatting sqref="A6:C6">
    <cfRule type="cellIs" dxfId="4" priority="11" stopIfTrue="1" operator="equal">
      <formula>"*Readquiridos*"</formula>
    </cfRule>
  </conditionalFormatting>
  <conditionalFormatting sqref="G1:G3">
    <cfRule type="cellIs" dxfId="3" priority="32" stopIfTrue="1" operator="equal">
      <formula>"*Readquiridos*"</formula>
    </cfRule>
  </conditionalFormatting>
  <conditionalFormatting sqref="G5">
    <cfRule type="cellIs" dxfId="2" priority="18" stopIfTrue="1" operator="equal">
      <formula>"*Readquiridos*"</formula>
    </cfRule>
  </conditionalFormatting>
  <conditionalFormatting sqref="G7">
    <cfRule type="cellIs" dxfId="1" priority="10" stopIfTrue="1" operator="equal">
      <formula>"*Readquiridos*"</formula>
    </cfRule>
  </conditionalFormatting>
  <conditionalFormatting sqref="G9:G21">
    <cfRule type="cellIs" dxfId="0" priority="1" stopIfTrue="1" operator="equal">
      <formula>"*Readquiridos*"</formula>
    </cfRule>
  </conditionalFormatting>
  <pageMargins left="0.23622047244094491" right="0.19685039370078741" top="0.15748031496062992" bottom="0.19685039370078741" header="0.15748031496062992" footer="0.19685039370078741"/>
  <pageSetup paperSize="9" scale="35" orientation="landscape" horizontalDpi="4294967295" verticalDpi="4294967295" r:id="rId1"/>
  <headerFooter alignWithMargins="0">
    <oddHeader>&amp;L&amp;"Calibri"&amp;10&amp;K000000Restricted-confidential&amp;1#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B6B9A5E792D2446B8986FAE34BEC557" ma:contentTypeVersion="13" ma:contentTypeDescription="Criar um novo documento." ma:contentTypeScope="" ma:versionID="0b91f8ae2242d586332765a1ede4a523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23bb2f5e9caa679000e507973eba19cf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620889-DA7F-45FE-B902-000ED929F0A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DE7C006-1E88-42D6-89C6-8D1F4A536751}"/>
</file>

<file path=customXml/itemProps3.xml><?xml version="1.0" encoding="utf-8"?>
<ds:datastoreItem xmlns:ds="http://schemas.openxmlformats.org/officeDocument/2006/customXml" ds:itemID="{1CC26165-7206-4328-920F-1200387F6012}">
  <ds:schemaRefs>
    <ds:schemaRef ds:uri="http://schemas.microsoft.com/office/2006/metadata/properties"/>
    <ds:schemaRef ds:uri="234d3ade-8888-42fc-ab76-83b10e76197e"/>
    <ds:schemaRef ds:uri="http://schemas.microsoft.com/sharepoint/v3"/>
    <ds:schemaRef ds:uri="http://purl.org/dc/terms/"/>
    <ds:schemaRef ds:uri="fc574416-4635-45da-93e1-900341dc071c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www.w3.org/XML/1998/namespace"/>
    <ds:schemaRef ds:uri="http://purl.org/dc/dcmitype/"/>
    <ds:schemaRef ds:uri="09d3dac3-f296-4107-b579-4b1e37be6169"/>
    <ds:schemaRef ds:uri="5ad20f8b-9281-4829-a9aa-2b5a878ba2c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Detalhe</vt:lpstr>
      <vt:lpstr>Detalhe!Print_Area</vt:lpstr>
      <vt:lpstr>Detalhe!Print_Titles</vt:lpstr>
    </vt:vector>
  </TitlesOfParts>
  <Company>V. 5.0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Obrigações de Caixa BST</dc:title>
  <dc:subject>Obrigações de Caixa BST</dc:subject>
  <dc:creator>S300294</dc:creator>
  <cp:lastModifiedBy>Hélder Filipe Felicidade Fernandes</cp:lastModifiedBy>
  <cp:lastPrinted>2023-06-01T13:45:13Z</cp:lastPrinted>
  <dcterms:created xsi:type="dcterms:W3CDTF">2002-12-12T17:22:33Z</dcterms:created>
  <dcterms:modified xsi:type="dcterms:W3CDTF">2025-11-12T19:27:28Z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0x0101000B6B9A5E792D2446B8986FAE34BEC557</vt:lpwstr>
  </property>
  <property fmtid="{D5CDD505-2E9C-101B-9397-08002B2CF9AE}" pid="5" name="MSIP_Label_c28a54a4-093b-4fbd-aebd-593e22a43ea3_Enabled">
    <vt:lpwstr>true</vt:lpwstr>
  </property>
  <property fmtid="{D5CDD505-2E9C-101B-9397-08002B2CF9AE}" pid="6" name="MSIP_Label_c28a54a4-093b-4fbd-aebd-593e22a43ea3_SetDate">
    <vt:lpwstr>2025-06-06T09:49:22Z</vt:lpwstr>
  </property>
  <property fmtid="{D5CDD505-2E9C-101B-9397-08002B2CF9AE}" pid="7" name="MSIP_Label_c28a54a4-093b-4fbd-aebd-593e22a43ea3_Method">
    <vt:lpwstr>Privileged</vt:lpwstr>
  </property>
  <property fmtid="{D5CDD505-2E9C-101B-9397-08002B2CF9AE}" pid="8" name="MSIP_Label_c28a54a4-093b-4fbd-aebd-593e22a43ea3_Name">
    <vt:lpwstr>Restricted-confidential</vt:lpwstr>
  </property>
  <property fmtid="{D5CDD505-2E9C-101B-9397-08002B2CF9AE}" pid="9" name="MSIP_Label_c28a54a4-093b-4fbd-aebd-593e22a43ea3_SiteId">
    <vt:lpwstr>35595a02-4d6d-44ac-99e1-f9ab4cd872db</vt:lpwstr>
  </property>
  <property fmtid="{D5CDD505-2E9C-101B-9397-08002B2CF9AE}" pid="10" name="MSIP_Label_c28a54a4-093b-4fbd-aebd-593e22a43ea3_ActionId">
    <vt:lpwstr>4e637bac-95d3-4d20-90f7-4afb116ede4a</vt:lpwstr>
  </property>
  <property fmtid="{D5CDD505-2E9C-101B-9397-08002B2CF9AE}" pid="11" name="MSIP_Label_c28a54a4-093b-4fbd-aebd-593e22a43ea3_ContentBits">
    <vt:lpwstr>1</vt:lpwstr>
  </property>
  <property fmtid="{D5CDD505-2E9C-101B-9397-08002B2CF9AE}" pid="12" name="MediaServiceImageTags">
    <vt:lpwstr/>
  </property>
</Properties>
</file>