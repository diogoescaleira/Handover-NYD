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jpe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santandernet.sharepoint.com/sites/ReportsFinanceira/Shared Documents/General/4. MINIMUM BAIL-IN DATA TEMPLATE (MBDT)/1. Documentação/2. Documentação IT/MBDT/"/>
    </mc:Choice>
  </mc:AlternateContent>
  <xr:revisionPtr revIDLastSave="18922" documentId="11_B95C8E2DF4CA0FDBEAE85E726D4673CF9FD5BE23" xr6:coauthVersionLast="47" xr6:coauthVersionMax="47" xr10:uidLastSave="{5F37DE1A-038C-4B56-BA7E-7B231AF56B10}"/>
  <bookViews>
    <workbookView xWindow="28680" yWindow="-120" windowWidth="29040" windowHeight="15720" tabRatio="1000" firstSheet="7" activeTab="7" xr2:uid="{00000000-000D-0000-FFFF-FFFF00000000}"/>
  </bookViews>
  <sheets>
    <sheet name="B99.00 - Identification of the " sheetId="22" state="hidden" r:id="rId1"/>
    <sheet name="PDS" sheetId="8" r:id="rId2"/>
    <sheet name="Notas LT002" sheetId="16" state="hidden" r:id="rId3"/>
    <sheet name="Notas Financeira" sheetId="7" state="hidden" r:id="rId4"/>
    <sheet name="Diagrama_Estrutura_Accionista" sheetId="10" state="hidden" r:id="rId5"/>
    <sheet name="B01.00" sheetId="1" r:id="rId6"/>
    <sheet name="lt834_agreg_segmento" sheetId="27" state="hidden" r:id="rId7"/>
    <sheet name="B02.00" sheetId="18" r:id="rId8"/>
    <sheet name="B05.00" sheetId="19" r:id="rId9"/>
    <sheet name="B90.00" sheetId="21" r:id="rId10"/>
    <sheet name="LT803" sheetId="36" r:id="rId11"/>
    <sheet name="LT829" sheetId="31" r:id="rId12"/>
    <sheet name="LT830" sheetId="32" r:id="rId13"/>
    <sheet name="LT831" sheetId="29" r:id="rId14"/>
    <sheet name="Universo Títulos" sheetId="33" state="hidden" r:id="rId15"/>
    <sheet name="Accrued interest per security" sheetId="41" state="hidden" r:id="rId16"/>
    <sheet name="lt100_agreg_output" sheetId="28" state="hidden" r:id="rId17"/>
    <sheet name="draft" sheetId="12" state="hidden" r:id="rId18"/>
    <sheet name="Sheet1" sheetId="15" state="hidden" r:id="rId19"/>
    <sheet name="Comentários draft" sheetId="24" state="hidden" r:id="rId20"/>
    <sheet name="sardina" sheetId="38" state="hidden" r:id="rId21"/>
    <sheet name="cl001_old" sheetId="30" state="hidden" r:id="rId22"/>
    <sheet name="Produtos a excluir" sheetId="37" state="hidden" r:id="rId23"/>
    <sheet name="AUX" sheetId="9" state="hidden" r:id="rId24"/>
    <sheet name="Filtros Universo" sheetId="17" state="hidden" r:id="rId25"/>
    <sheet name="Aux Campos Montante" sheetId="42" r:id="rId26"/>
  </sheets>
  <definedNames>
    <definedName name="_xlnm._FilterDatabase" localSheetId="5" hidden="1">'B01.00'!$A$4:$AJ$4</definedName>
    <definedName name="_xlnm._FilterDatabase" localSheetId="7" hidden="1">'B02.00'!$A$4:$T$85</definedName>
    <definedName name="_xlnm._FilterDatabase" localSheetId="8" hidden="1">'B05.00'!$A$4:$AI$19</definedName>
    <definedName name="_xlnm._FilterDatabase" localSheetId="9" hidden="1">'B90.00'!$A$4:$AI$15</definedName>
    <definedName name="_xlnm._FilterDatabase" localSheetId="21" hidden="1">cl001_old!$A$3:$AC$3</definedName>
    <definedName name="_xlnm._FilterDatabase" localSheetId="10" hidden="1">'LT803'!$A$1:$H$1</definedName>
    <definedName name="_xlnm._FilterDatabase" localSheetId="11" hidden="1">'LT829'!$A$1:$J$13</definedName>
    <definedName name="_xlnm._FilterDatabase" localSheetId="12" hidden="1">'LT830'!$A$1:$J$1</definedName>
    <definedName name="_xlnm._FilterDatabase" localSheetId="13" hidden="1">'LT831'!$A$1:$BR$293</definedName>
    <definedName name="_xlnm._FilterDatabase" localSheetId="22" hidden="1">'Produtos a excluir'!$A$3:$N$3</definedName>
    <definedName name="_xlnm._FilterDatabase" localSheetId="14" hidden="1">'Universo Títulos'!$A$31:$NE$46</definedName>
    <definedName name="_Toc51154475" localSheetId="5">'B01.00'!#REF!</definedName>
    <definedName name="_Toc51154476" localSheetId="5">'B01.00'!#REF!</definedName>
    <definedName name="_Toc51154477" localSheetId="5">'B01.00'!#REF!</definedName>
    <definedName name="_Toc51154478" localSheetId="5">'B01.00'!#REF!</definedName>
    <definedName name="_Toc51154479" localSheetId="5">'B01.00'!#REF!</definedName>
    <definedName name="_Toc51154480" localSheetId="5">'B01.00'!#REF!</definedName>
    <definedName name="_Toc51154482" localSheetId="5">'B01.00'!#REF!</definedName>
    <definedName name="_Toc51154483" localSheetId="5">'B01.00'!#REF!</definedName>
    <definedName name="_Toc51154484" localSheetId="5">'B01.00'!#REF!</definedName>
    <definedName name="_Toc51154485" localSheetId="5">'B01.00'!#REF!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 i="18" l="1" a="1"/>
  <c r="L12" i="18" s="1"/>
  <c r="D92" i="42" l="1"/>
  <c r="E87" i="42"/>
  <c r="D100" i="42"/>
  <c r="E94" i="42"/>
  <c r="E93" i="42"/>
  <c r="E92" i="42"/>
  <c r="E99" i="42"/>
  <c r="D94" i="42"/>
  <c r="D93" i="42"/>
  <c r="M100" i="42" l="1"/>
  <c r="M99" i="42"/>
  <c r="D87" i="42"/>
  <c r="N100" i="42" s="1"/>
  <c r="D105" i="42"/>
  <c r="D104" i="42"/>
  <c r="O7" i="8"/>
  <c r="N7" i="8"/>
  <c r="H7" i="8"/>
  <c r="O6" i="8"/>
  <c r="N6" i="8"/>
  <c r="O5" i="8"/>
  <c r="O4" i="8"/>
  <c r="N5" i="8"/>
  <c r="N4" i="8"/>
  <c r="E100" i="42"/>
  <c r="O100" i="42" s="1"/>
  <c r="F100" i="42"/>
  <c r="C6" i="8"/>
  <c r="F99" i="42"/>
  <c r="AG177" i="33"/>
  <c r="E7" i="8"/>
  <c r="E6" i="8"/>
  <c r="E5" i="8"/>
  <c r="E4" i="8"/>
  <c r="D7" i="8"/>
  <c r="D6" i="8"/>
  <c r="L8" i="21" a="1"/>
  <c r="L8" i="21" s="1"/>
  <c r="L9" i="21" a="1"/>
  <c r="L9" i="21" s="1"/>
  <c r="L10" i="21" a="1"/>
  <c r="L10" i="21" s="1"/>
  <c r="L11" i="21" a="1"/>
  <c r="L11" i="21" s="1"/>
  <c r="L6" i="19" a="1"/>
  <c r="L6" i="19" s="1"/>
  <c r="L10" i="19" a="1"/>
  <c r="L10" i="19" s="1"/>
  <c r="L11" i="19" a="1"/>
  <c r="L11" i="19" s="1"/>
  <c r="L14" i="19" a="1"/>
  <c r="L14" i="19" s="1"/>
  <c r="L6" i="18" a="1"/>
  <c r="L6" i="18" s="1"/>
  <c r="L7" i="18" a="1"/>
  <c r="L7" i="18" s="1"/>
  <c r="L9" i="18" a="1"/>
  <c r="L9" i="18" s="1"/>
  <c r="L10" i="18" a="1"/>
  <c r="L10" i="18" s="1"/>
  <c r="L13" i="18" a="1"/>
  <c r="L13" i="18" s="1"/>
  <c r="L14" i="18" a="1"/>
  <c r="L14" i="18" s="1"/>
  <c r="L18" i="18" a="1"/>
  <c r="L18" i="18" s="1"/>
  <c r="L21" i="18" a="1"/>
  <c r="L21" i="18" s="1"/>
  <c r="L23" i="18" a="1"/>
  <c r="L23" i="18" s="1"/>
  <c r="L24" i="18" a="1"/>
  <c r="L24" i="18" s="1"/>
  <c r="L25" i="18" a="1"/>
  <c r="L25" i="18" s="1"/>
  <c r="L44" i="18" a="1"/>
  <c r="L44" i="18" s="1"/>
  <c r="L45" i="18" a="1"/>
  <c r="L45" i="18" s="1"/>
  <c r="L46" i="18" a="1"/>
  <c r="L46" i="18" s="1"/>
  <c r="L56" i="18" a="1"/>
  <c r="L56" i="18" s="1"/>
  <c r="L57" i="18" a="1"/>
  <c r="L57" i="18" s="1"/>
  <c r="L59" i="18" a="1"/>
  <c r="L59" i="18" s="1"/>
  <c r="L60" i="18" a="1"/>
  <c r="L60" i="18" s="1"/>
  <c r="L63" i="18" a="1"/>
  <c r="L63" i="18" s="1"/>
  <c r="L64" i="18" a="1"/>
  <c r="L64" i="18" s="1"/>
  <c r="L65" i="18" a="1"/>
  <c r="L65" i="18" s="1"/>
  <c r="L66" i="18" a="1"/>
  <c r="L66" i="18" s="1"/>
  <c r="L71" i="18" a="1"/>
  <c r="L71" i="18" s="1"/>
  <c r="L72" i="18" a="1"/>
  <c r="L72" i="18" s="1"/>
  <c r="L73" i="18" a="1"/>
  <c r="L73" i="18" s="1"/>
  <c r="L74" i="18" a="1"/>
  <c r="L74" i="18" s="1"/>
  <c r="L80" i="18" a="1"/>
  <c r="L80" i="18" s="1"/>
  <c r="L81" i="18" a="1"/>
  <c r="L81" i="18" s="1"/>
  <c r="H5" i="8"/>
  <c r="H4" i="8"/>
  <c r="F7" i="8"/>
  <c r="F6" i="8"/>
  <c r="F5" i="8"/>
  <c r="F4" i="8"/>
  <c r="G5" i="8"/>
  <c r="J12" i="37"/>
  <c r="H5" i="37"/>
  <c r="H6"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4" i="37"/>
  <c r="D7" i="37"/>
  <c r="F5" i="37"/>
  <c r="F6" i="37"/>
  <c r="F7" i="37"/>
  <c r="F8" i="37"/>
  <c r="F9" i="37"/>
  <c r="F10" i="37"/>
  <c r="F11" i="37"/>
  <c r="F12" i="37"/>
  <c r="F13" i="37"/>
  <c r="F14" i="37"/>
  <c r="F15" i="37"/>
  <c r="F16" i="37"/>
  <c r="F17" i="37"/>
  <c r="F18" i="37"/>
  <c r="F19" i="37"/>
  <c r="F20" i="37"/>
  <c r="F21" i="37"/>
  <c r="F22" i="37"/>
  <c r="F23" i="37"/>
  <c r="F24" i="37"/>
  <c r="F25" i="37"/>
  <c r="F26" i="37"/>
  <c r="F27" i="37"/>
  <c r="F28" i="37"/>
  <c r="F29" i="37"/>
  <c r="F30" i="37"/>
  <c r="F31" i="37"/>
  <c r="F32" i="37"/>
  <c r="F4" i="37"/>
  <c r="D4" i="37"/>
  <c r="D5" i="37"/>
  <c r="D6" i="37"/>
  <c r="D8" i="37"/>
  <c r="D9" i="37"/>
  <c r="D10" i="37"/>
  <c r="D11" i="37"/>
  <c r="D12" i="37"/>
  <c r="D13" i="37"/>
  <c r="D14" i="37"/>
  <c r="D15" i="37"/>
  <c r="D16" i="37"/>
  <c r="D17" i="37"/>
  <c r="D18" i="37"/>
  <c r="D19" i="37"/>
  <c r="D20" i="37"/>
  <c r="D21" i="37"/>
  <c r="D22" i="37"/>
  <c r="D23" i="37"/>
  <c r="D24" i="37"/>
  <c r="D25" i="37"/>
  <c r="D26" i="37"/>
  <c r="D27" i="37"/>
  <c r="D28" i="37"/>
  <c r="D29" i="37"/>
  <c r="D30" i="37"/>
  <c r="D31" i="37"/>
  <c r="D32" i="37"/>
  <c r="AE160" i="33"/>
  <c r="T8" i="18"/>
  <c r="T7" i="18"/>
  <c r="T6" i="18"/>
  <c r="T5" i="18"/>
  <c r="T9" i="18"/>
  <c r="T10" i="18"/>
  <c r="T11" i="18"/>
  <c r="T12" i="18"/>
  <c r="T13" i="18"/>
  <c r="T14" i="18"/>
  <c r="T15" i="18"/>
  <c r="T16" i="18"/>
  <c r="T17" i="18"/>
  <c r="T18" i="18"/>
  <c r="T19" i="18"/>
  <c r="T20" i="18"/>
  <c r="T21" i="18"/>
  <c r="T22" i="18"/>
  <c r="T23" i="18"/>
  <c r="T24" i="18"/>
  <c r="T25" i="18"/>
  <c r="T26" i="18"/>
  <c r="T28" i="18"/>
  <c r="T29" i="18"/>
  <c r="T30" i="18"/>
  <c r="T31" i="18"/>
  <c r="T32" i="18"/>
  <c r="T33" i="18"/>
  <c r="T34" i="18"/>
  <c r="T35" i="18"/>
  <c r="T36" i="18"/>
  <c r="T37" i="18"/>
  <c r="T38" i="18"/>
  <c r="T39" i="18"/>
  <c r="T40" i="18"/>
  <c r="T41" i="18"/>
  <c r="T42" i="18"/>
  <c r="T43" i="18"/>
  <c r="T44" i="18"/>
  <c r="T45" i="18"/>
  <c r="T46" i="18"/>
  <c r="T47" i="18"/>
  <c r="T48" i="18"/>
  <c r="T49" i="18"/>
  <c r="T50" i="18"/>
  <c r="T51" i="18"/>
  <c r="T52" i="18"/>
  <c r="T53" i="18"/>
  <c r="T54" i="18"/>
  <c r="T55" i="18"/>
  <c r="T56" i="18"/>
  <c r="T57" i="18"/>
  <c r="T58" i="18"/>
  <c r="T59" i="18"/>
  <c r="T60" i="18"/>
  <c r="T61" i="18"/>
  <c r="T62" i="18"/>
  <c r="T63" i="18"/>
  <c r="T64" i="18"/>
  <c r="T65" i="18"/>
  <c r="T66" i="18"/>
  <c r="T67" i="18"/>
  <c r="T68" i="18"/>
  <c r="T69" i="18"/>
  <c r="T70" i="18"/>
  <c r="T71" i="18"/>
  <c r="T72" i="18"/>
  <c r="T73" i="18"/>
  <c r="T74" i="18"/>
  <c r="T75" i="18"/>
  <c r="T76" i="18"/>
  <c r="T77" i="18"/>
  <c r="T78" i="18"/>
  <c r="T79" i="18"/>
  <c r="T80" i="18"/>
  <c r="T81" i="18"/>
  <c r="T82" i="18"/>
  <c r="T83" i="18"/>
  <c r="T84" i="18"/>
  <c r="T85" i="18"/>
  <c r="H6" i="8"/>
  <c r="C7" i="8"/>
  <c r="G6" i="8"/>
  <c r="G7" i="8"/>
  <c r="G4" i="8"/>
  <c r="D5" i="8"/>
  <c r="D4" i="8"/>
  <c r="I4" i="8" s="1"/>
  <c r="C4" i="8"/>
  <c r="I86" i="18"/>
  <c r="K7" i="8"/>
  <c r="K6" i="8"/>
  <c r="K5" i="8"/>
  <c r="K4" i="8"/>
  <c r="J7" i="8"/>
  <c r="J6" i="8"/>
  <c r="J5" i="8"/>
  <c r="J4" i="8"/>
  <c r="L4" i="8" s="1"/>
  <c r="C5" i="8"/>
  <c r="K14" i="12"/>
  <c r="K15" i="12"/>
  <c r="K16" i="12"/>
  <c r="K17" i="12"/>
  <c r="K18" i="12"/>
  <c r="K19" i="12"/>
  <c r="K20" i="12"/>
  <c r="K21" i="12"/>
  <c r="K22" i="12"/>
  <c r="K23" i="12"/>
  <c r="K24" i="12"/>
  <c r="K25" i="12"/>
  <c r="K26" i="12"/>
  <c r="K27" i="12"/>
  <c r="K28" i="12"/>
  <c r="K29" i="12"/>
  <c r="K30" i="12"/>
  <c r="K31" i="12"/>
  <c r="K32" i="12"/>
  <c r="K33" i="12"/>
  <c r="K34" i="12"/>
  <c r="K35" i="12"/>
  <c r="K36" i="12"/>
  <c r="K37" i="12"/>
  <c r="K13"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4" i="12"/>
  <c r="O99" i="42" l="1"/>
  <c r="D106" i="42"/>
  <c r="P100" i="42"/>
  <c r="I6" i="8"/>
  <c r="L6" i="8"/>
  <c r="C8" i="8"/>
  <c r="N8" i="8"/>
  <c r="I7" i="8"/>
  <c r="L7" i="8"/>
  <c r="D8" i="8"/>
  <c r="G8" i="8"/>
  <c r="F8" i="8"/>
  <c r="H8" i="8"/>
  <c r="L5" i="8"/>
  <c r="I5" i="8"/>
  <c r="H100" i="42"/>
  <c r="I100" i="42" s="1"/>
  <c r="D99" i="42"/>
  <c r="O8" i="8"/>
  <c r="E8" i="8"/>
  <c r="K8" i="8"/>
  <c r="J8" i="8"/>
  <c r="A3" i="7"/>
  <c r="A4" i="7" s="1"/>
  <c r="N99" i="42" l="1"/>
  <c r="P99" i="42" s="1"/>
  <c r="H99" i="42"/>
  <c r="O9" i="8"/>
  <c r="N9" i="8"/>
  <c r="I8" i="8"/>
  <c r="I9" i="8" s="1"/>
  <c r="L8" i="8"/>
  <c r="L9" i="8" s="1"/>
  <c r="I99" i="4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<sst xmlns="http://schemas.openxmlformats.org/spreadsheetml/2006/main" count="9595" uniqueCount="2202">
  <si>
    <t>B01.00 - Aggregate view: this tab includes information on an aggregate level for capital and liability items, including liabilities mandatorily excluded from the bail-in that are necessary to inform a preliminary NCWO assessment and the computation of conversion rates in accordance with Article 50 BRRD and EBA/GL/2017/03.</t>
  </si>
  <si>
    <t>Instruções SRB</t>
  </si>
  <si>
    <t>Análise IT</t>
  </si>
  <si>
    <t>Data Point</t>
  </si>
  <si>
    <t>ID</t>
  </si>
  <si>
    <t>Data type</t>
  </si>
  <si>
    <t>Type of constrain</t>
  </si>
  <si>
    <t>Description</t>
  </si>
  <si>
    <t>Treatment of "Not applicable" 
(if cell is grey out, input is not expected)</t>
  </si>
  <si>
    <t>Treatment of "Not available" 
(if cell is grey out, input is not expected)</t>
  </si>
  <si>
    <t>Desdodrável?</t>
  </si>
  <si>
    <t>Novo campo 
na tabela LT002?</t>
  </si>
  <si>
    <t>Mapeamento</t>
  </si>
  <si>
    <t>Description  LT</t>
  </si>
  <si>
    <t>Field Definition LT</t>
  </si>
  <si>
    <t>Estado especificação</t>
  </si>
  <si>
    <t xml:space="preserve"> Name of Legal Entity</t>
  </si>
  <si>
    <t>0010</t>
  </si>
  <si>
    <t>String</t>
  </si>
  <si>
    <t>Free text</t>
  </si>
  <si>
    <t>Free-form text identification of the incorporation name of the entity for which the table is reported. Please state the official name as listed in corporate registry, including the indication of the company form.</t>
  </si>
  <si>
    <t>LEI of Legal Entity</t>
  </si>
  <si>
    <t>0020</t>
  </si>
  <si>
    <t>The unique LEI code for the entity, in line with the requirements of EMIR or the Dodd-Frank Act, for which the report is submitted. In the absence of an LEI, the ECB Monetary Financial Institutions unique Identifier (MFIID) of the entity for use in RIAD (Register of Institutions and Affiliates Database) should be used. In the absence of both such identifiers, a local identifier must be used.</t>
  </si>
  <si>
    <t>Country of incorporation_x000D_</t>
  </si>
  <si>
    <t>0030</t>
  </si>
  <si>
    <t xml:space="preserve">ISO 3166-1 </t>
  </si>
  <si>
    <t>The ISO 3166-1 alpha-2 code of the country of incorporation of the entity._x000D_</t>
  </si>
  <si>
    <t>Name of the ultimate parent entity</t>
  </si>
  <si>
    <t>0040</t>
  </si>
  <si>
    <t>Free-form text identification of the incorporation name of the ultimate parent entity of the reporting entity, considered globally as the highest level of consolidation of the group. Please state the official name as listed in corporate registry, including the indication of the incorporation form.</t>
  </si>
  <si>
    <t>LEI of the ultimate parent entity</t>
  </si>
  <si>
    <t>0041</t>
  </si>
  <si>
    <t>The unique LEI code for the ultimate parent entity, in line with the requirements of EMIR or the Dodd-Frank
Act, for which the report is submitted. In the absence of an LEI, the ECB Monetary Financial Institutions unique Identifier (MFI ID) of the entity for use in RIAD should be used. In the absence of both such identifiers, a local identifier must be used.</t>
  </si>
  <si>
    <t>Name of the Resolution Entity</t>
  </si>
  <si>
    <t>0050</t>
  </si>
  <si>
    <t>Free-form text identification of the incorporation name of the resolution entity (POE) of the reporting entity. Please state the official name as listed in corporate registry, including the indication of the incorporation form. If data point c0060 is ‘Resolution Entity’, the entry in this field must be the same as in data point c0010.</t>
  </si>
  <si>
    <t xml:space="preserve">LEI of the Resolution Entity </t>
  </si>
  <si>
    <t>0051</t>
  </si>
  <si>
    <t>The unique LEI code for the entity, in line with the requirements of EMIR or the Dodd-Frank Act, for which the report is submitted. In the absence of an LEI, the ECB Monetary Financial Institutions unique Identifier (MFIID) of the entity for use in RIAD should be used. In the absence of both such identifiers, a local identifier must be used. If data point c0060 is ‘Resolution Entity’, the entry in this field must the same as in data point c0020.</t>
  </si>
  <si>
    <t>Reporting entity type</t>
  </si>
  <si>
    <t>0060</t>
  </si>
  <si>
    <t>Drop-down</t>
  </si>
  <si>
    <t>Status of the entity as indicated in the resolution plan. Please indicate either ‘Resolution Entity’ or ‘NonResolution Entity’.</t>
  </si>
  <si>
    <t>Reference date</t>
  </si>
  <si>
    <t>0070</t>
  </si>
  <si>
    <t>Date</t>
  </si>
  <si>
    <t>yyyy-mm-dd hh:mm:ss</t>
  </si>
  <si>
    <t>Reference date of the reported data in format: yyyy-mm-dd hh:mm:ss._x000D_</t>
  </si>
  <si>
    <t>Reported currency</t>
  </si>
  <si>
    <t>0080</t>
  </si>
  <si>
    <t>3-letters ISO 4217</t>
  </si>
  <si>
    <t>The currency in which the report is submitted. The currency must be reported with its 3-letter ISO 4217 code. If the currency is not EUR, all the references to EUR throughout the Guidance and the template34 must be interpreted as being requested in local currency.</t>
  </si>
  <si>
    <t>EUR exchange rate_x000D_</t>
  </si>
  <si>
    <t>0090</t>
  </si>
  <si>
    <t>Numeric</t>
  </si>
  <si>
    <t>4 decimals</t>
  </si>
  <si>
    <t>The euro exchange rate used if a non-EUR currency is reported in data point r0080.</t>
  </si>
  <si>
    <t>PDS Especificação</t>
  </si>
  <si>
    <t>PDS Desenvolvimento</t>
  </si>
  <si>
    <t>Concluídos</t>
  </si>
  <si>
    <t>Não Concluídos</t>
  </si>
  <si>
    <t>Ficheiro</t>
  </si>
  <si>
    <t>Count</t>
  </si>
  <si>
    <t>Campo já existente no LT</t>
  </si>
  <si>
    <t>Campo já existente no LT - Nova Especificação</t>
  </si>
  <si>
    <t>Campo novo no LT</t>
  </si>
  <si>
    <t>Campo via Holístico</t>
  </si>
  <si>
    <t>Campo não LT 
(apenas tabela Output)</t>
  </si>
  <si>
    <t>Em curso</t>
  </si>
  <si>
    <t>Por iniciar</t>
  </si>
  <si>
    <t>B01.00-Aggregate view</t>
  </si>
  <si>
    <t>B02.00-Main Liabilities</t>
  </si>
  <si>
    <t>B05.00-Guarantees</t>
  </si>
  <si>
    <t>B90.00-Counterparties</t>
  </si>
  <si>
    <t>Total</t>
  </si>
  <si>
    <t xml:space="preserve">                       </t>
  </si>
  <si>
    <t xml:space="preserve">   </t>
  </si>
  <si>
    <t xml:space="preserve">    </t>
  </si>
  <si>
    <t>O Bail-in constará na Tabela LT002 em que:</t>
  </si>
  <si>
    <t xml:space="preserve"> - Os campos desdobráveis (os que têm mais do que 1 valor para o mesmo contrato) terão os valores separados por ;? O separador de campos num CSV já é ; pelo que se deveria selecionar outro separador.</t>
  </si>
  <si>
    <t xml:space="preserve"> - Terão de se identificar os campos desdobráveis</t>
  </si>
  <si>
    <t xml:space="preserve"> - Existem campos que não estão preparados para desdobrar (Gross carrying amount)</t>
  </si>
  <si>
    <t>Se em algum momento a Corporação/SRB exigirem o desdobramento, terá depois se efetuar um desenvolvimento que pega no vetor e faz o desdobramento</t>
  </si>
  <si>
    <t>Temos 3 tipos de campos:</t>
  </si>
  <si>
    <t xml:space="preserve"> - Os que já existem atualmente no LT e que vão que ter que ser desdobrados -&gt; vamos ter de alterar estes campos para poderem desdobrar (G) dado que não se quer criar campos novos iguais mas que desdobrem</t>
  </si>
  <si>
    <t xml:space="preserve"> - Os que vão manter o valor (ou seja o valor repete-se) e que não são vetores -&gt; não tem de se fazer nada</t>
  </si>
  <si>
    <t xml:space="preserve"> - Os que são desdobráveis</t>
  </si>
  <si>
    <t>LT002 As Is</t>
  </si>
  <si>
    <t>contrato</t>
  </si>
  <si>
    <t>GCA</t>
  </si>
  <si>
    <t>32023234234234300</t>
  </si>
  <si>
    <t>LT002 Intermédia</t>
  </si>
  <si>
    <t>zcliente</t>
  </si>
  <si>
    <t>segmento_xpto</t>
  </si>
  <si>
    <t>123</t>
  </si>
  <si>
    <t>A</t>
  </si>
  <si>
    <t>B</t>
  </si>
  <si>
    <t>C</t>
  </si>
  <si>
    <t>LT002 To Be</t>
  </si>
  <si>
    <t>123;123;1234</t>
  </si>
  <si>
    <t>A;B;C</t>
  </si>
  <si>
    <t>30000</t>
  </si>
  <si>
    <t>Se for preciso abrir no futuro:</t>
  </si>
  <si>
    <t>10000</t>
  </si>
  <si>
    <t>#</t>
  </si>
  <si>
    <t>Comentário</t>
  </si>
  <si>
    <t>Data set</t>
  </si>
  <si>
    <t>Terá de atacar as tabelas fazendo o filtro para passivo  com exceção do Data point 5 que tem uma parte de extrapatrimonial</t>
  </si>
  <si>
    <t>TODOS</t>
  </si>
  <si>
    <t>Os depósitos de clientes terá de ser feito um cruzamento com a tabela do FGD (FG001_FGD no cap tools). Os depósitos depois são divididos entre cobertos e não cobertos sendo que têm tratamento diferente consoante o caso.</t>
  </si>
  <si>
    <t>Para a parte das emissões de títulos, a ligação entre a AL029/AL030 e a CT610 deverá ser feita por ISIN/ZDEPOSIT</t>
  </si>
  <si>
    <t>1. DATA POINTS FOR IDENTIFICATION</t>
  </si>
  <si>
    <t xml:space="preserve">SRB Instructions						</t>
  </si>
  <si>
    <t xml:space="preserve">Especificação IT		</t>
  </si>
  <si>
    <t>lt833_agreg_campos</t>
  </si>
  <si>
    <t>Fase 1 - Granular (Loan Tape)</t>
  </si>
  <si>
    <t>Fase 2 - Agregada (Não Loan Tape)</t>
  </si>
  <si>
    <t>Comentários/Histórico EF</t>
  </si>
  <si>
    <t>Estado Especificação</t>
  </si>
  <si>
    <t>Estado Desenvolvimento</t>
  </si>
  <si>
    <t>Constrain</t>
  </si>
  <si>
    <t>Novo campo?</t>
  </si>
  <si>
    <t>Nome campo</t>
  </si>
  <si>
    <t>Missing Value (LT804)</t>
  </si>
  <si>
    <t>Not Applicable Value (LT804)</t>
  </si>
  <si>
    <t>Regra campo</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</si>
  <si>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</si>
  <si>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</si>
  <si>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</si>
  <si>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</si>
  <si>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</si>
  <si>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</si>
  <si>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</si>
  <si>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</si>
  <si>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</si>
  <si>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</si>
  <si>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</si>
  <si>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</si>
  <si>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</si>
  <si>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</si>
  <si>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</si>
  <si>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Estado preenchimento</t>
  </si>
  <si>
    <t xml:space="preserve">Row number </t>
  </si>
  <si>
    <t>Integer</t>
  </si>
  <si>
    <t xml:space="preserve">The unique number / primary key to identify the row items (the number must be an integer). </t>
  </si>
  <si>
    <t>Não</t>
  </si>
  <si>
    <t>out_b0100_aggregate_view.0010_row_nmbr</t>
  </si>
  <si>
    <t>Sequenciador a implementar na tabela de output out_b0100_aggregate_view
Nota: A cada execução não deverão ser gerados Row numbers diferentes pelo que provisoriamente deverá ser feito um order by Insolvency ranking desc (alinhado com o exemplo apresentado no documento 2024-11-05_Annex-II_Facilitating-Instructions_0.pdf - páginas 30 e 31)</t>
  </si>
  <si>
    <t>Não Concluído</t>
  </si>
  <si>
    <t>SEQUENCIA</t>
  </si>
  <si>
    <t>SRB</t>
  </si>
  <si>
    <t>B0100</t>
  </si>
  <si>
    <t>1</t>
  </si>
  <si>
    <t>Concluido</t>
  </si>
  <si>
    <t>Insolvency ranking</t>
  </si>
  <si>
    <t xml:space="preserve">The corresponding insolvency ranking of the instrument. Numeric value (e.g. integer of 1 or more). </t>
  </si>
  <si>
    <t>out_b0100_aggregate_view.0020_rank_insolv</t>
  </si>
  <si>
    <t>out_b0200_main_liabilities.0160_rank_insolv</t>
  </si>
  <si>
    <t xml:space="preserve"> lt002_instrument</t>
  </si>
  <si>
    <t>ind_univ</t>
  </si>
  <si>
    <t>B0200</t>
  </si>
  <si>
    <t>inslvncy_rnkng</t>
  </si>
  <si>
    <t>2</t>
  </si>
  <si>
    <t>AGRUPAR</t>
  </si>
  <si>
    <t>Category</t>
  </si>
  <si>
    <t>Please indicate the liability category only for the following items: title of ownership, reserves, liabilities eligible for bail-in, and liabilities that must be excluded from the bail-in in accordance with Article 44(2) of the BRRD, as per the following drop-down values:
• Covered deposits (BRRD art. 44/2/a) 
• Secured liabilities - collateralized part (BRRD art. 44/2/b) 
• Client liabilities, if protected in insolvency (BRRD art. 44/2/c) 
• Fiduciary liabilities, if protected in insolvency (BRRD art. 44/2/d)
• Institution liabilities &lt; 7 days (BRRD art. 44/2/e)
• System (operator) and CCP liabilities &lt; 7 days (BRRD art. 44/2/f)
• Employee liabilities (BRRD art. 44/2/g/i)
• Critical service liabilities (BRRD art. 44/2/g/ii)
• Tax and social security authorities liabilities, if preferred (BRRD art. 44/2/g/iii)
• DGS liabilities (BRRD art. 44/2/g/iv)
• Liabilities towards other entities of the resolution group (BRRD art. 44/2/h)
• Liabilities eligible for bail-in
• Other equity items
• Title of ownership</t>
  </si>
  <si>
    <t>out_b0100_aggregate_view.0030_lblty_ctgry</t>
  </si>
  <si>
    <t>Na out_b0200_main_liabilities existe o campo 0140_ntr_lblty (que se alimenta do campo lt002_instrument.typ_instrmnt passando por uma parametrização na LT829).
Este campo foi parametrizado para possibilitar 2 valores: 
1005 (Debt Securities)      -&gt; Registered Bond
2006 (Equity)	                     -&gt; Title of ownership
Possíveis Soluções:
1) Criar novo campo lt002_instrument.lblty_ctgry que se alimentaria de uma parametrização a criar na lt831_param_conceitos com base no campo lt002_instrument.typ_instrmnt (e depois a tabela final out_b0100_aggregate_view alimentaria-se deste campo): 
1005 (Debt Securities)	-&gt; Liabilities eligible for bail-in??
2006 (Equity)	                        -&gt; Title of ownership
ver sheet "LT831"
2) Não criar novo campo lt002_instrument.lblty_ctgry, criar apenas o conceito na lt831_param_conceitos com base no 0140_ntr_lblty da out_b0200_main_liabilities (e depois a tabela final out_b0100_aggregate_view alimentaria-se deste conceito)
Registered Bond    -&gt; Liabilities eligible for bail-in??
Title of ownership -&gt; Title of ownership 
ver sheet "LT831"
Nota: Preenchia-se 'AUX' no campo 'tabela_conceito' da LT831, dado que não é possível efetuar o upload naLT831 sem preencher o campo 'tabela_conceito' (é apresentado erro).
Isto para evitar que o campo fique Hard-coded na tabela final out_b0100_aggregate_view:
CASE
WHEN 0140_ntr_lblty='Title of ownership' THEN 'Title of ownership'
WHEN 0140_ntr_lblty='Registered Bond' THEN 'Liabilities eligible for bail-in'
ELSE ''
END AS 0030_lblty_ctgry</t>
  </si>
  <si>
    <t>ctgry</t>
  </si>
  <si>
    <t>3</t>
  </si>
  <si>
    <t>Counterparty type</t>
  </si>
  <si>
    <t>Please refer to data point {B90.00;c0070}. This data point is relevant only for liabilities that must be excluded from bail-in in accordance with Article 27(3) SRMR. Hence, it should not be reported for: 
• Liabilities eligible for bail-in
• Other equity items
• Title of ownership</t>
  </si>
  <si>
    <t>out_b0100_aggregate_view.0040_cntrprty_typ</t>
  </si>
  <si>
    <t xml:space="preserve">É referido que este campo não deve ser reportado para:
• Liabilities eligible for bail-in
• Other equity items
• Title of ownership 
Dado que o universo de contratos do MBDT do BST "encaixam" precisamente nestes 3 valores (a confirmar com Pedro Mendes), então não deveremos reportar este campo, certo? 
Em caso afirmativo, reportar Valor fixo 'Not applicable' de acordo com o exemplo apresentado no documento 2024-11-05_Annex-II_Facilitating-Instructions_0.pdf - páginas 30 (campo preenchido a vazio) e 31 (campo preenchido com 'Not applicable').
Caso o entendimento anterior esteja incorreto, ou seja se o campo for para reportar, é referido Please refer to data point {B90.00;c0070}. Contudo, esta info está errada dado que o Counterparty type é o campo c0080 (e não o c0070) da B90.00. Adicionalmente verifica-se no documento Annex I - Minimum Bail-in Data Template (MBDT) tables a presença da combo box com o valores possíveis do campo c0080 
</t>
  </si>
  <si>
    <t xml:space="preserve"> intrnl_sgmnt</t>
  </si>
  <si>
    <t>4</t>
  </si>
  <si>
    <t>Relevant amount for Bail-in/WDC</t>
  </si>
  <si>
    <t>2 decimals</t>
  </si>
  <si>
    <t>Please refer to data field {B02.00;c0130}.
For derivatives, please refer to data field {B03.00;c0110}.
For SFTs, please refer to data field {B04.00;c0080}.
Liabilities mandatorily excluded from bail-in in accordance with Article 44(2)(h) BRRD shall be reported in the corresponding row item (i.e. not as “liabilities eligible for bail-in”).</t>
  </si>
  <si>
    <t>Input "Not applicable"</t>
  </si>
  <si>
    <t>out_b0100_aggregate_view.0050_rlvnt_amnt_wdc</t>
  </si>
  <si>
    <t>out_b0200_main_liabilities.0130_rlvnt_amnt_wdc</t>
  </si>
  <si>
    <t>lt005_instr_ent</t>
  </si>
  <si>
    <t>grss_crryng_amnt_instrmnt</t>
  </si>
  <si>
    <t>5</t>
  </si>
  <si>
    <t>SOMAR</t>
  </si>
  <si>
    <t xml:space="preserve">Amount excluded from Bail-in/WDC </t>
  </si>
  <si>
    <t>Indicate the outstanding amount mandatorily excluded from bail-in in accordance with Article 27(3) SRMR.</t>
  </si>
  <si>
    <t>out_b0100_aggregate_view.0060_amnt_excldd_wdc</t>
  </si>
  <si>
    <t>Valor fixo 0?</t>
  </si>
  <si>
    <t>otstndng_amnt_excldd</t>
  </si>
  <si>
    <t>6</t>
  </si>
  <si>
    <t>lt834_agreg_segmento</t>
  </si>
  <si>
    <t>B0500</t>
  </si>
  <si>
    <t>B9000</t>
  </si>
  <si>
    <t>Notas:</t>
  </si>
  <si>
    <t>Não se preenche o ind_unvi da última linha pois aplica-se a todos os registos. Dado que queremos todas as Contrapartes, quer as do Passivo (Títulos) quer do Ativo (Garantias).</t>
  </si>
  <si>
    <t>O ind_univ vai ser traduzido na lt829/lt830 para responder ao campo "Tab of origin" (Se ind_univ=Passivo reportar B0200; Se ind_univ=Ativo reportar B0500). Como tal, nesta tabela têm de constar o valor já traduzido (que é o valor final que vai aparecer na LT002)</t>
  </si>
  <si>
    <t>Luís Capitão-Mor referiu que a tabela tem de estar preparada também para receber IN ('X',''Y,'Z') apesar de não ser preciso no âmbito do Bail-in</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</si>
  <si>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</si>
  <si>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</si>
  <si>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</si>
  <si>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Necessita de ajuste?
(2025-10-31 vs 2025-11-14)</t>
  </si>
  <si>
    <t>Row number</t>
  </si>
  <si>
    <t>The unique number / primary key to identify the row items (the number must be an integer).</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</si>
  <si>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</si>
  <si>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</si>
  <si>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</si>
  <si>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</si>
  <si>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</si>
  <si>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NÃO</t>
  </si>
  <si>
    <t>Unique internal identification number</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</si>
  <si>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</si>
  <si>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</si>
  <si>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</si>
  <si>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</si>
  <si>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</si>
  <si>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Unique identification number (known to the counterparty)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</si>
  <si>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</si>
  <si>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</si>
  <si>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</si>
  <si>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</si>
  <si>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</si>
  <si>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</si>
  <si>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</si>
  <si>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</si>
  <si>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</si>
  <si>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</si>
  <si>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</si>
  <si>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</si>
  <si>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</si>
  <si>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</si>
  <si>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</si>
  <si>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</si>
  <si>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</si>
  <si>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Original amount issued in foreign currency</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</si>
  <si>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</si>
  <si>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</si>
  <si>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</si>
  <si>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</si>
  <si>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</si>
  <si>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</si>
  <si>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</si>
  <si>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</si>
  <si>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</si>
  <si>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</si>
  <si>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</si>
  <si>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</si>
  <si>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</si>
  <si>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</si>
  <si>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</si>
  <si>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</si>
  <si>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</si>
  <si>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 xml:space="preserve">Portion of instrument or liability held by the reporting entity </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</si>
  <si>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</si>
  <si>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</si>
  <si>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</si>
  <si>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</si>
  <si>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</si>
  <si>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</si>
  <si>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</si>
  <si>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</si>
  <si>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</si>
  <si>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</si>
  <si>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</si>
  <si>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</si>
  <si>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</si>
  <si>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</si>
  <si>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SIM</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</si>
  <si>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</si>
  <si>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</si>
  <si>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</si>
  <si>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</si>
  <si>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</si>
  <si>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</si>
  <si>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</si>
  <si>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</si>
  <si>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</si>
  <si>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</si>
  <si>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</si>
  <si>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</si>
  <si>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</si>
  <si>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</si>
  <si>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Reportar Outstanding amount (0120)</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</si>
  <si>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</si>
  <si>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Nature of the liability</t>
  </si>
  <si>
    <t>0140</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</si>
  <si>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</si>
  <si>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</si>
  <si>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</si>
  <si>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</si>
  <si>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</si>
  <si>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</si>
  <si>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</si>
  <si>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</si>
  <si>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</si>
  <si>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</si>
  <si>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Email Pedro Mendes 12/01/2026 17:20:
Considerou-se que o campo "Nature of the liability" (c0140) terá sempre um valor diferente de 'Other' e por conseguinte o campo "Nature of the liability (if other)" nunca terá valor. Como tal, sugere-se o preenchimento deste campo com valor fixo 'Not applicable'.
Reunião 2025-07-25 Luís Capitão-Mor, Luísa Sousa
</t>
  </si>
  <si>
    <t xml:space="preserve">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</si>
  <si>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</si>
  <si>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</si>
  <si>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</si>
  <si>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</si>
  <si>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</si>
  <si>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</si>
  <si>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</si>
  <si>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</si>
  <si>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</si>
  <si>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</si>
  <si>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</si>
  <si>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</si>
  <si>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</si>
  <si>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</si>
  <si>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</si>
  <si>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</si>
  <si>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</si>
  <si>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</si>
  <si>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</si>
  <si>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</si>
  <si>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</si>
  <si>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</si>
  <si>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</si>
  <si>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</si>
  <si>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</si>
  <si>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</si>
  <si>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</si>
  <si>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</si>
  <si>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</si>
  <si>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</si>
  <si>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</si>
  <si>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</si>
  <si>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</si>
  <si>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</si>
  <si>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</si>
  <si>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</si>
  <si>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</si>
  <si>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</si>
  <si>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</si>
  <si>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</si>
  <si>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</si>
  <si>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</si>
  <si>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</si>
  <si>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lt002_instrument.dt_lgl_fnl_mtrty</t>
  </si>
  <si>
    <t>1111-11-11</t>
  </si>
  <si>
    <t>out_b0200_main_liabilities.0190_dt_nxt_rdmptn_pymnt</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</si>
  <si>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</si>
  <si>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</si>
  <si>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</si>
  <si>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</si>
  <si>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</si>
  <si>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</si>
  <si>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</si>
  <si>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</si>
  <si>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</si>
  <si>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</si>
  <si>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</si>
  <si>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parametrizações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</si>
  <si>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</si>
  <si>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</si>
  <si>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</si>
  <si>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</si>
  <si>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</si>
  <si>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</si>
  <si>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</si>
  <si>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</si>
  <si>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</si>
  <si>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</si>
  <si>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</si>
  <si>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</si>
  <si>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</si>
  <si>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out_b0200_main_liabilities.0230_bail_in_rcgntn_cls</t>
  </si>
  <si>
    <t>Valor fixo 'Yes, supported by Legal Opinion'</t>
  </si>
  <si>
    <t>Email Pedro Mendes 12/01/2026 17:20:
Todas as emissões que fazem parte do perímetro do MBDT contêm clausulas contratuais que reconhecem o Bail-in. Estas emissões são feitas com o apoio de um escritórios de advogados externo ao Banco e são feitas com o propósito de poderem ser utilizadas no caso de um bail-in.  Desta forma, todas as emissões têm uma opinião legal com o reconhecimento do bail-in
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</si>
  <si>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</si>
  <si>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</si>
  <si>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</si>
  <si>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</si>
  <si>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</si>
  <si>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Email Pedro Mendes 12/01/2026 17:20:
O BST não tem ZCBs (Zero Coupon Bonds) e não se prevê que venha a ter, como tal, sugere-se o preenchimento deste campo com valor fixo 'No ZCB'.
Reunião 2025-07-30 Luís Capitão-Mor, Pedro Mendes, Luísa Sousa</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</si>
  <si>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</si>
  <si>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</si>
  <si>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</si>
  <si>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</si>
  <si>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</si>
  <si>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</si>
  <si>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r>
      <rPr>
        <sz val="10"/>
        <color rgb="FF000000"/>
        <rFont val="Santander Text"/>
      </rPr>
      <t xml:space="preserve">Email Pedro Mendes 12/01/2026 17:20:
Os títulos do BST são não estruturados e no futuro não se prevê que venham a existir títulos estruturados, como tal, sugere-se o preenchimento deste campo com valor fixo 'Non-structured/Vanilla'.
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rPr>
      <t>"Sim, confirmo que todos os campos são não aplicáveis."</t>
    </r>
  </si>
  <si>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</si>
  <si>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</si>
  <si>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</si>
  <si>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</si>
  <si>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</si>
  <si>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</si>
  <si>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</si>
  <si>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</si>
  <si>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</si>
  <si>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</si>
  <si>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</si>
  <si>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</si>
  <si>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</si>
  <si>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</si>
  <si>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</si>
  <si>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Email Pedro Mendes 12/01/2026 17:20:
Alinhou-se com a Corporação que o âmbito deste report no caso do BST (Non-resolution entity) não contempla Depósitos. Como tal, dado que este campo é referente a Depósitos sugere-se o preenchimento deste campo com valor fixo 'FALSE'.
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</si>
  <si>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</si>
  <si>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</si>
  <si>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</si>
  <si>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</si>
  <si>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</si>
  <si>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</si>
  <si>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</si>
  <si>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</si>
  <si>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Email Pedro Mendes 12/01/2026 17:20:
Alinhou-se com a Corporação que o âmbito deste report no caso do BST (Non-resolution entity) não contempla Depósitos. Como tal, dado que este campo é referente a Depósitos sugere-se o preenchimento deste campo com valor fixo 999999999999999.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</si>
  <si>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</si>
  <si>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</si>
  <si>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</si>
  <si>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</si>
  <si>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</si>
  <si>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rPr>
        <sz val="10"/>
        <color rgb="FF000000"/>
        <rFont val="Santander Text"/>
      </rPr>
      <t xml:space="preserve">Email Pedro Mendes 12/01/2026 17:20:
Todas as emissões que fazem parte do perímetro do MBDT são unsecured. São por propria definição dos instrumentos utilizados.
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rPr>
      <t>"Sim, confirmo que todos os campos são não aplicáveis."</t>
    </r>
  </si>
  <si>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</si>
  <si>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</si>
  <si>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</si>
  <si>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</si>
  <si>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</si>
  <si>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</si>
  <si>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</si>
  <si>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</si>
  <si>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</si>
  <si>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</si>
  <si>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</si>
  <si>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</si>
  <si>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</si>
  <si>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</si>
  <si>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</si>
  <si>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</si>
  <si>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</si>
  <si>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</si>
  <si>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</si>
  <si>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</si>
  <si>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</si>
  <si>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</si>
  <si>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</si>
  <si>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</si>
  <si>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</si>
  <si>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</si>
  <si>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</si>
  <si>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</si>
  <si>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</si>
  <si>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</si>
  <si>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</si>
  <si>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</si>
  <si>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</si>
  <si>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</si>
  <si>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</si>
  <si>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</si>
  <si>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</si>
  <si>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</si>
  <si>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</si>
  <si>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</si>
  <si>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</si>
  <si>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</si>
  <si>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</si>
  <si>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 xml:space="preserve">Number of securities outstanding not held by the reporting entity= 0080 / 0370
0080 -&gt; Outstanding principal amount 
0370 -&gt; Denomination / Nominal value per security in EUR </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</si>
  <si>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</si>
  <si>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</si>
  <si>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</si>
  <si>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</si>
  <si>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</si>
  <si>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</si>
  <si>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</si>
  <si>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t>
  </si>
  <si>
    <t>0400</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</si>
  <si>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</si>
  <si>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</si>
  <si>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Accrued interest per security= 0100 / 0390
0100 -&gt; Accrued interest 
0390 -&gt; Number of securities outstanding not held by the reporting entity</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</si>
  <si>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</si>
  <si>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</si>
  <si>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</si>
  <si>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</si>
  <si>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</si>
  <si>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</si>
  <si>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</si>
  <si>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</si>
  <si>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</si>
  <si>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</si>
  <si>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</si>
  <si>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</si>
  <si>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</si>
  <si>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</si>
  <si>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</si>
  <si>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</si>
  <si>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Email Pedro Mendes 12/01/2026 17:20:
O BST não tem Global Notes e não se prevê que venha a ter, como tal, sugere-se o preenchimento deste campo com valor fixo 999999999999999.
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</si>
  <si>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</si>
  <si>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</si>
  <si>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</si>
  <si>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</si>
  <si>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Email Pedro Mendes 12/01/2026 17:20:
O BST não tem Global Notes e não se prevê que venha a ter, como tal, sugere-se o preenchimento deste campo com valor fixo 999999999999999.
Reunião 2025-08-13 Luís Capitão-Mor, Pedro Mendes, Luísa Sousa</t>
  </si>
  <si>
    <t>Nature of the global note</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</si>
  <si>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</si>
  <si>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</si>
  <si>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Email Pedro Mendes 12/01/2026 17:20:
O BST não tem Global Notes e não se prevê que venha a ter, como tal, sugere-se o preenchimento deste campo com valor fixo 'Not applicable'. 
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</si>
  <si>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</si>
  <si>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</si>
  <si>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</si>
  <si>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</si>
  <si>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</si>
  <si>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</si>
  <si>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</si>
  <si>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</si>
  <si>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</si>
  <si>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</si>
  <si>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</si>
  <si>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</si>
  <si>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</si>
  <si>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</si>
  <si>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</si>
  <si>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</si>
  <si>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</si>
  <si>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</si>
  <si>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</si>
  <si>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</si>
  <si>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</si>
  <si>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</si>
  <si>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</si>
  <si>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</si>
  <si>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</si>
  <si>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Email Pedro Mendes 12/01/2026 17:20:
Considerou-se que o campo "Central securities depository" (c0460) terá sempre um valor diferente de 'Other', e por conseguinte o campo "Central securities depository name (if other)" nunca terá valor. Como tal, sugere-se o preenchimento deste campo com valor fixo 'Not applicable'.
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</si>
  <si>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</si>
  <si>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</si>
  <si>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</si>
  <si>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</si>
  <si>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</si>
  <si>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</si>
  <si>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</si>
  <si>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</si>
  <si>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</si>
  <si>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</si>
  <si>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</si>
  <si>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</si>
  <si>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</si>
  <si>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</si>
  <si>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</si>
  <si>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</si>
  <si>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Email Pedro Mendes 12/01/2026 17:20:
Todas as emissões que fazem parte do perímetro do MBDT não estão, nem se espera que venham a estar, admitidas num trading venue. Por isso é sempre "Not Applicable".
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</si>
  <si>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</si>
  <si>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</si>
  <si>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</si>
  <si>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</si>
  <si>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Email Pedro Mendes 12/01/2026 17:20:
Se o campo acima é sempre "Not applicable", este campo que é o código LEI do trading venue também será sempre "Not applicable".
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</si>
  <si>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</si>
  <si>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</si>
  <si>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</si>
  <si>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</si>
  <si>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</si>
  <si>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</si>
  <si>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</si>
  <si>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</si>
  <si>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</si>
  <si>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</si>
  <si>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</si>
  <si>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</si>
  <si>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</si>
  <si>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</si>
  <si>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</si>
  <si>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</si>
  <si>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</si>
  <si>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</si>
  <si>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</si>
  <si>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</si>
  <si>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</si>
  <si>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</si>
  <si>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</si>
  <si>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</si>
  <si>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Email Pedro Mendes 12/01/2026 17:20:
Todas as emissões que fazem parte do perímetro do MBDT estão, e não é expectável que esta situação se altere, registadas na Interbolsa Por isso é sempre "Not Applicable".
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</si>
  <si>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</si>
  <si>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</si>
  <si>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</si>
  <si>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</si>
  <si>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Email Pedro Mendes 12/01/2026 17:20:
Se o campo acima é sempre "Not applicable", este campo que é o código LEI do common depository também será sempre "Not applicable".
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</si>
  <si>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</si>
  <si>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</si>
  <si>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</si>
  <si>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</si>
  <si>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Email Pedro Mendes 12/01/2026 17:20:
Todas as emissões que fazem parte do perímetro do MBDT estão, e não é expectável que esta situação se altere, registadas na Interbolsa Por isso é sempre "Not Applicable".
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</si>
  <si>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</si>
  <si>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</si>
  <si>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</si>
  <si>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</si>
  <si>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Email Pedro Mendes 12/01/2026 17:20:
Se o campo acima é sempre "Not applicable", este campo que é o código LEI do Common Service Provide também será sempre "Not applicable".
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</si>
  <si>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</si>
  <si>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</si>
  <si>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</si>
  <si>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</si>
  <si>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</si>
  <si>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</si>
  <si>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</si>
  <si>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</si>
  <si>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</si>
  <si>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</si>
  <si>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</si>
  <si>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</si>
  <si>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</si>
  <si>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</si>
  <si>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</si>
  <si>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</si>
  <si>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</si>
  <si>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</si>
  <si>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</si>
  <si>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</si>
  <si>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</si>
  <si>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</si>
  <si>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</si>
  <si>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</si>
  <si>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</si>
  <si>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</si>
  <si>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</si>
  <si>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</si>
  <si>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</si>
  <si>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</si>
  <si>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</si>
  <si>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</si>
  <si>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</si>
  <si>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</si>
  <si>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</si>
  <si>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</si>
  <si>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</si>
  <si>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</si>
  <si>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</si>
  <si>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</si>
  <si>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</si>
  <si>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</si>
  <si>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</si>
  <si>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</si>
  <si>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</si>
  <si>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</si>
  <si>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</si>
  <si>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</si>
  <si>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</si>
  <si>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</si>
  <si>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</si>
  <si>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</si>
  <si>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Reunião 2025-08-13 Luís Capitão-Mor, Pedro Mendes, Luísa Sousa</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</si>
  <si>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</si>
  <si>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</si>
  <si>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</si>
  <si>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</si>
  <si>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</si>
  <si>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</si>
  <si>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</si>
  <si>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</si>
  <si>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</si>
  <si>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</si>
  <si>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</si>
  <si>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</si>
  <si>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</si>
  <si>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</si>
  <si>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</si>
  <si>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</si>
  <si>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</si>
  <si>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</si>
  <si>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</si>
  <si>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</si>
  <si>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</si>
  <si>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</si>
  <si>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</si>
  <si>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</si>
  <si>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</si>
  <si>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</si>
  <si>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</si>
  <si>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</si>
  <si>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B05.00 - Guarantees provided to the Non-Resolution Entity: this tab includes the relevant data points on guarantees for monitoring and implementing the loss transfer and recapitalisation mechanisms at non-resolution entity level;</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</si>
  <si>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</si>
  <si>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</si>
  <si>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</si>
  <si>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</si>
  <si>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</si>
  <si>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</si>
  <si>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</si>
  <si>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</si>
  <si>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</si>
  <si>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</si>
  <si>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</si>
  <si>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lt004_protection</t>
  </si>
  <si>
    <t>prtctn_id</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</si>
  <si>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</si>
  <si>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</si>
  <si>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</si>
  <si>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</si>
  <si>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</si>
  <si>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</si>
  <si>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</si>
  <si>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</si>
  <si>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</si>
  <si>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</si>
  <si>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Type of guarantee</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</si>
  <si>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</si>
  <si>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</si>
  <si>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</si>
  <si>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</si>
  <si>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</si>
  <si>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</si>
  <si>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</si>
  <si>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</si>
  <si>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</si>
  <si>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</si>
  <si>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</si>
  <si>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</si>
  <si>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</si>
  <si>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</si>
  <si>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</si>
  <si>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</si>
  <si>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</si>
  <si>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</si>
  <si>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</si>
  <si>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</si>
  <si>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</si>
  <si>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</si>
  <si>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yp</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</si>
  <si>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</si>
  <si>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</si>
  <si>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</si>
  <si>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</si>
  <si>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</si>
  <si>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</si>
  <si>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</si>
  <si>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</si>
  <si>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</si>
  <si>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</si>
  <si>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</si>
  <si>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</si>
  <si>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</si>
  <si>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</si>
  <si>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</si>
  <si>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</si>
  <si>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</si>
  <si>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</si>
  <si>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</si>
  <si>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</si>
  <si>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</si>
  <si>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</si>
  <si>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</si>
  <si>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</si>
  <si>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</si>
  <si>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</si>
  <si>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</si>
  <si>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</si>
  <si>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</si>
  <si>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</si>
  <si>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</si>
  <si>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</si>
  <si>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</si>
  <si>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</si>
  <si>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</si>
  <si>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r>
      <rPr>
        <sz val="10"/>
        <color theme="1"/>
        <rFont val="Calibri"/>
        <family val="2"/>
      </rPr>
      <t>Type of protection value</t>
    </r>
    <r>
      <rPr>
        <sz val="10"/>
        <color theme="1"/>
        <rFont val="Cambria"/>
        <family val="1"/>
      </rPr>
      <t xml:space="preserve"> </t>
    </r>
  </si>
  <si>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</si>
  <si>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</si>
  <si>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</si>
  <si>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</si>
  <si>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</si>
  <si>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</si>
  <si>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</si>
  <si>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</si>
  <si>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</si>
  <si>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</si>
  <si>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</si>
  <si>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</si>
  <si>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</si>
  <si>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</si>
  <si>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</si>
  <si>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</si>
  <si>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</si>
  <si>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</si>
  <si>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 0070_cntrprty_id</t>
  </si>
  <si>
    <t>Reunião 2025-10-15 Luís Capitão-Mor, Pedro Mendes</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</si>
  <si>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</si>
  <si>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</si>
  <si>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</si>
  <si>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</si>
  <si>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</si>
  <si>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lt002_instrument</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</si>
  <si>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</si>
  <si>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</si>
  <si>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</si>
  <si>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isin</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</si>
  <si>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</si>
  <si>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</si>
  <si>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</si>
  <si>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Notas: 
- Preencheu-se 'AUX' no campo 'tabela_conceito' da lt831_param_conceitos, dado que não é possível efetuar o upload na lt831_param_conceitos sem preencher o campo 'tabela_conceito' (é apresentado erro).
-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</si>
  <si>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</si>
  <si>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</si>
  <si>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</si>
  <si>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</si>
  <si>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</si>
  <si>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</si>
  <si>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</si>
  <si>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MISS</t>
  </si>
  <si>
    <t>out_b9000_counterparties.0040_cntrprty_nm</t>
  </si>
  <si>
    <t>Se lt003_entity.entty_id &lt;&gt; '0000000000' and lt003_entity.prsn_typ  &lt;&gt; 'N': Reportar lt003_entity.entty_nm
Caso Contrário: Reportar 'Not applicable'.</t>
  </si>
  <si>
    <t>Email Nuno Ferreira 23/12/2025 15:02:
"No âmbito da certificação Bail-in, e na sequência da análise aos campos prsn_typ , cntry e entty_nm da tabela LT003_entity, identificámos algumas incidências para correção. Uma vez que estes campos já existem na LT e não são novos do âmbito 'SRB_MBDT', devem ser preenchidos com o valor 'MISS'em vez de NULL, conforme indicado na tabela cd_loan_tapes_bce.lt804_conf_dflt"
Reunião 2025-12-19 Luís Pragosa:
Alterada a regra para "and" em vez de "or".
Antes:
Se lt003_entity.entty_id &lt;&gt; '0000000000' or lt003_entity.prsn_typ  &lt;&gt; 'N': Reportar lt003_entity.entty_nm
Agora:
Se lt003_entity.entty_id &lt;&gt; '0000000000' or lt003_entity.prsn_typ  &lt;&gt; 'N': Reportar lt003_entity.entty_nm
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</si>
  <si>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</si>
  <si>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</si>
  <si>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</si>
  <si>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</si>
  <si>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</si>
  <si>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</si>
  <si>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</si>
  <si>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</si>
  <si>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</si>
  <si>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</si>
  <si>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</si>
  <si>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</si>
  <si>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</si>
  <si>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</si>
  <si>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</si>
  <si>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</si>
  <si>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</si>
  <si>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</si>
  <si>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</si>
  <si>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</si>
  <si>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</si>
  <si>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</si>
  <si>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lt003_entity.cntrprty_typ</t>
  </si>
  <si>
    <t>Non identified, not listed on an exchange platform</t>
  </si>
  <si>
    <t>Not applicable</t>
  </si>
  <si>
    <t>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t>
  </si>
  <si>
    <t>out_b9000_counterparties.0080_cntrprty_typ</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</si>
  <si>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que foi o valor que se definiu para missing value na lt804_conf_dflt.
Assim, garante-se também o requisito de reportar o valor "Non identified, not listed on an exchange platform" no caso do do zcliente = '0000000000'.
Segundo email da Corporação (email Pedro Mendes 2025-05-14), no caso do zcliente = '0000000000', reportar valor fixo "Non identified, not listed on an exchange platform".</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</si>
  <si>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</si>
  <si>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</si>
  <si>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</si>
  <si>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</si>
  <si>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</si>
  <si>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</si>
  <si>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lt003_entity.cntry
Se lt003_entity.entty_id = '0000000000', reportar '99'.</t>
  </si>
  <si>
    <t xml:space="preserve">Email Nuno Ferreira 23/12/2025 15:02:
"No âmbito da certificação Bail-in, e na sequência da análise aos campos prsn_typ , cntry e entty_nm da tabela LT003_entity, identificámos algumas incidências para correção. Uma vez que estes campos já existem na LT e não são novos do âmbito 'SRB_MBDT', devem ser preenchidos com o valor 'MISS'em vez de NULL, conforme indicado na tabela cd_loan_tapes_bce.lt804_conf_dflt"
Reunião 2025-10-16 Luís Capitão-Mor, Pedro Mendes
Segundo email da Corporação (email Pedro Mendes 2025-05-14), no caso do zcliente = '0000000000', reportar valor fixo '99'. </t>
  </si>
  <si>
    <t>cntry</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</si>
  <si>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</si>
  <si>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</si>
  <si>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</si>
  <si>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</si>
  <si>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</si>
  <si>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</si>
  <si>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campo_lt</t>
  </si>
  <si>
    <t>valor_origem</t>
  </si>
  <si>
    <t>valor_lt</t>
  </si>
  <si>
    <t>descritivo_lt</t>
  </si>
  <si>
    <t>htimest</t>
  </si>
  <si>
    <t>ACCNTNG_CLSSFCTN</t>
  </si>
  <si>
    <t>passivos financeiros detidos para negociacao</t>
  </si>
  <si>
    <t>IFRS: Financial liabilities held for trading</t>
  </si>
  <si>
    <t>passivos financeiros ao custo amortizado</t>
  </si>
  <si>
    <t>IFRS: Financial liabilities measured at amortised cost</t>
  </si>
  <si>
    <t>capital</t>
  </si>
  <si>
    <t>IFRS: Capital</t>
  </si>
  <si>
    <t>outros instrumentos de capital</t>
  </si>
  <si>
    <t>IFRS: Other equity</t>
  </si>
  <si>
    <t>acoes proprias</t>
  </si>
  <si>
    <t>1300</t>
  </si>
  <si>
    <t>IFRS: Treasury shares</t>
  </si>
  <si>
    <t>tabela</t>
  </si>
  <si>
    <t>campo_conceito</t>
  </si>
  <si>
    <t>regra_conversao</t>
  </si>
  <si>
    <t>valor_conceito</t>
  </si>
  <si>
    <t>valor_destino</t>
  </si>
  <si>
    <t>descritivo_valor_destino</t>
  </si>
  <si>
    <t>LT002_INSTRUMENT</t>
  </si>
  <si>
    <t>DT_LGL_FNL_MTRTY</t>
  </si>
  <si>
    <t>2099-01-31</t>
  </si>
  <si>
    <t>For perpetual instruments, the bank should report 2099-01-31</t>
  </si>
  <si>
    <t>CSD</t>
  </si>
  <si>
    <t>INTERBOLSA - SOCIEDADE GESTORA DE SISTEMAS DE LIQUIDACAO E DE SISTEMAS</t>
  </si>
  <si>
    <t>INTERBOLSA_PT</t>
  </si>
  <si>
    <t>INTERBOLSA SOC GEST SISTEMAS LIQUIDACAO E SISTEMAS CENTR VAL MOBILI SA</t>
  </si>
  <si>
    <t>INTERBOLSA SOCIEDADE GESTORA DE SISTEMAS DE LIQUIDACAO E DE SISTEMAS C</t>
  </si>
  <si>
    <t>INTERBOLSA-SOC.GESTORA SISTEMAS LIQ.SIST.CENTRAL.VAL.MOBILIARIOS, SA</t>
  </si>
  <si>
    <t>TYP_INSTRMNT</t>
  </si>
  <si>
    <t>1005</t>
  </si>
  <si>
    <t>Registered Bond</t>
  </si>
  <si>
    <t>2006</t>
  </si>
  <si>
    <t>Title of ownership</t>
  </si>
  <si>
    <t>010 Financial liabilities held for trading</t>
  </si>
  <si>
    <t>110 Financial liabilities at amortized cost</t>
  </si>
  <si>
    <t>300 Total equity</t>
  </si>
  <si>
    <t>ambito</t>
  </si>
  <si>
    <t>ESTR</t>
  </si>
  <si>
    <t>SRB_MBDT</t>
  </si>
  <si>
    <t>tabela_conceito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</si>
  <si>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</si>
  <si>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</si>
  <si>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</si>
  <si>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</si>
  <si>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</si>
  <si>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</si>
  <si>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</si>
  <si>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</si>
  <si>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</si>
  <si>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</si>
  <si>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</si>
  <si>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</si>
  <si>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</si>
  <si>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</si>
  <si>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</si>
  <si>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</si>
  <si>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</si>
  <si>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</si>
  <si>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</si>
  <si>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</si>
  <si>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</si>
  <si>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OUT_B0200_MAIN_LIABILITIES</t>
  </si>
  <si>
    <t>0140_NTR_LBLTY</t>
  </si>
  <si>
    <t>FLAG_INST_TITULOS</t>
  </si>
  <si>
    <t>TIPO_TITULO</t>
  </si>
  <si>
    <t>in ('Obrigacao Subordinada', 'Obrigacao Senior', 'Instrumento Fundos Proprios Adicionais Nivel 1 (AT1)')</t>
  </si>
  <si>
    <t>Acao Ordinaria</t>
  </si>
  <si>
    <t>0</t>
  </si>
  <si>
    <t>LBLTY_CTGRY</t>
  </si>
  <si>
    <t>Liabilities eligible for bail-in</t>
  </si>
  <si>
    <t xml:space="preserve">TYP_INSTRMNT </t>
  </si>
  <si>
    <t>AUX</t>
  </si>
  <si>
    <t>0030_LBLTY_CTGRY</t>
  </si>
  <si>
    <t>LT003_ENTITY</t>
  </si>
  <si>
    <t>CNTRPRTY_TYP</t>
  </si>
  <si>
    <t>Insurance firms &amp; pension funds</t>
  </si>
  <si>
    <t>INTRNL_SGMNT</t>
  </si>
  <si>
    <t>outras instituicoes financeiras</t>
  </si>
  <si>
    <t>INSTITUTIONAL_SECTOR</t>
  </si>
  <si>
    <t>in ('Insurance corporations', 'Pension funds')</t>
  </si>
  <si>
    <t>Other financial corporations</t>
  </si>
  <si>
    <t>Micro &amp; SME</t>
  </si>
  <si>
    <t>outras empresas nao financeiras</t>
  </si>
  <si>
    <t>ENTRPRS_SZ_LE</t>
  </si>
  <si>
    <t>in ('2', '3', '4')</t>
  </si>
  <si>
    <t>Corporates</t>
  </si>
  <si>
    <t>Households</t>
  </si>
  <si>
    <t>particulares</t>
  </si>
  <si>
    <t>Institutions</t>
  </si>
  <si>
    <t>instituicoes de credito</t>
  </si>
  <si>
    <t>Government, central banks &amp; supranationals</t>
  </si>
  <si>
    <t>in ('setor publico', 'bancos centrais')</t>
  </si>
  <si>
    <t>TRDNG_MTHD</t>
  </si>
  <si>
    <t>Nominal</t>
  </si>
  <si>
    <t>in ('Obrigacao Hipotecaria', 'Obrigacao Senior', 'Obrigacao Subordinada', 'Titularizacao', 'Instrumento Fundos Proprios Adicionais Nivel 1 (AT1)', 'Instrumento de Dívida', 'Bilhetes de Tesouro')</t>
  </si>
  <si>
    <t>substr(PRDCT, 1, 3)</t>
  </si>
  <si>
    <t>113</t>
  </si>
  <si>
    <t>Unit</t>
  </si>
  <si>
    <t>LT004_PROTECTION</t>
  </si>
  <si>
    <t xml:space="preserve">FLG_SCRD </t>
  </si>
  <si>
    <t>Unsecured</t>
  </si>
  <si>
    <t>TIPOLOGIA</t>
  </si>
  <si>
    <t>PES</t>
  </si>
  <si>
    <t>Secured</t>
  </si>
  <si>
    <t>not in ('PES')</t>
  </si>
  <si>
    <t>DT_NXT_INTRST_PYMNT</t>
  </si>
  <si>
    <t>71</t>
  </si>
  <si>
    <t>CNTRPRTY_RSLTN_GRP</t>
  </si>
  <si>
    <t>Intragroup and intra-resolution group</t>
  </si>
  <si>
    <t>FLG_INTGRP</t>
  </si>
  <si>
    <t>FLG_INTR_RSLTN_GRP</t>
  </si>
  <si>
    <t>Intragroup but not intra-resolution group</t>
  </si>
  <si>
    <t>No</t>
  </si>
  <si>
    <t>7401276246</t>
  </si>
  <si>
    <t>2101832415</t>
  </si>
  <si>
    <t>7401276238</t>
  </si>
  <si>
    <t>5100615216</t>
  </si>
  <si>
    <t>5100699767</t>
  </si>
  <si>
    <t>5100717593</t>
  </si>
  <si>
    <t>5100684455</t>
  </si>
  <si>
    <t>2100182850</t>
  </si>
  <si>
    <t>9000934899</t>
  </si>
  <si>
    <t>5100004040</t>
  </si>
  <si>
    <t>8026132050</t>
  </si>
  <si>
    <t>8023435976</t>
  </si>
  <si>
    <t>2100365686</t>
  </si>
  <si>
    <t>8026132103</t>
  </si>
  <si>
    <t>4161000485</t>
  </si>
  <si>
    <t>8022901967</t>
  </si>
  <si>
    <t>8020907322</t>
  </si>
  <si>
    <t>8020904991</t>
  </si>
  <si>
    <t>8022902017</t>
  </si>
  <si>
    <t>8020904989</t>
  </si>
  <si>
    <t>8023435952</t>
  </si>
  <si>
    <t>7400416401</t>
  </si>
  <si>
    <t>8020905003</t>
  </si>
  <si>
    <t>8040985296</t>
  </si>
  <si>
    <t>8023009859</t>
  </si>
  <si>
    <t>8023011295</t>
  </si>
  <si>
    <t>8023009896</t>
  </si>
  <si>
    <t>5100006155</t>
  </si>
  <si>
    <t>5100564511</t>
  </si>
  <si>
    <t>5100512458</t>
  </si>
  <si>
    <t>5100010918</t>
  </si>
  <si>
    <t>8007220122</t>
  </si>
  <si>
    <t>5100262318</t>
  </si>
  <si>
    <t>6511003209</t>
  </si>
  <si>
    <t>6511003239</t>
  </si>
  <si>
    <t>0000241876</t>
  </si>
  <si>
    <t>8020904643</t>
  </si>
  <si>
    <t>2100150281</t>
  </si>
  <si>
    <t>2101452047</t>
  </si>
  <si>
    <t>3461001806</t>
  </si>
  <si>
    <t>8037849269</t>
  </si>
  <si>
    <t>0000238954</t>
  </si>
  <si>
    <t>7400416227</t>
  </si>
  <si>
    <t>7400738881</t>
  </si>
  <si>
    <t>7401054355</t>
  </si>
  <si>
    <t>7402622925</t>
  </si>
  <si>
    <t>8029370785</t>
  </si>
  <si>
    <t>0000068304</t>
  </si>
  <si>
    <t>2100707445</t>
  </si>
  <si>
    <t>0000072653</t>
  </si>
  <si>
    <t>5100262397</t>
  </si>
  <si>
    <t>8017167384</t>
  </si>
  <si>
    <t>9002156093</t>
  </si>
  <si>
    <t>9001047530</t>
  </si>
  <si>
    <t>9002348311</t>
  </si>
  <si>
    <t>8000763422</t>
  </si>
  <si>
    <t>7400066405</t>
  </si>
  <si>
    <t>5100722449</t>
  </si>
  <si>
    <t>8008162891</t>
  </si>
  <si>
    <t>8038365328</t>
  </si>
  <si>
    <t>3701008785</t>
  </si>
  <si>
    <t>8044901277</t>
  </si>
  <si>
    <t>0000083631</t>
  </si>
  <si>
    <t>0000041875</t>
  </si>
  <si>
    <t>9001792290</t>
  </si>
  <si>
    <t>9001882712</t>
  </si>
  <si>
    <t>0000000324</t>
  </si>
  <si>
    <t>9000724942</t>
  </si>
  <si>
    <t>2100168615</t>
  </si>
  <si>
    <t>7400731809</t>
  </si>
  <si>
    <t>0000065343</t>
  </si>
  <si>
    <t>2100171912</t>
  </si>
  <si>
    <t>9000699338</t>
  </si>
  <si>
    <t>5100011001</t>
  </si>
  <si>
    <t>7400930664</t>
  </si>
  <si>
    <t>2100022282</t>
  </si>
  <si>
    <t>0000190045</t>
  </si>
  <si>
    <t>7400416354</t>
  </si>
  <si>
    <t>9000889284</t>
  </si>
  <si>
    <t>0000003686</t>
  </si>
  <si>
    <t>9002525987</t>
  </si>
  <si>
    <t>3801006002</t>
  </si>
  <si>
    <t>6511000960</t>
  </si>
  <si>
    <t>8046370062</t>
  </si>
  <si>
    <t>6511000004</t>
  </si>
  <si>
    <t>1700007406</t>
  </si>
  <si>
    <t>8000176115</t>
  </si>
  <si>
    <t>8000176024</t>
  </si>
  <si>
    <t>2100229809</t>
  </si>
  <si>
    <t>8000000013</t>
  </si>
  <si>
    <t>8016377292</t>
  </si>
  <si>
    <t>7400122168</t>
  </si>
  <si>
    <t>8000001856</t>
  </si>
  <si>
    <t>8003987621</t>
  </si>
  <si>
    <t>3801002891</t>
  </si>
  <si>
    <t>7400576806</t>
  </si>
  <si>
    <t>1700210720</t>
  </si>
  <si>
    <t>5100015093</t>
  </si>
  <si>
    <t>5100000125</t>
  </si>
  <si>
    <t>9000796656</t>
  </si>
  <si>
    <t>8000003403</t>
  </si>
  <si>
    <t>5100005155</t>
  </si>
  <si>
    <t>5100409969</t>
  </si>
  <si>
    <t>5100620316</t>
  </si>
  <si>
    <t>7401390483</t>
  </si>
  <si>
    <t>5100006999</t>
  </si>
  <si>
    <t>3471008280</t>
  </si>
  <si>
    <t>7401393942</t>
  </si>
  <si>
    <t>2101355138</t>
  </si>
  <si>
    <t>7400315551</t>
  </si>
  <si>
    <t>7400760971</t>
  </si>
  <si>
    <t>5100000130</t>
  </si>
  <si>
    <t>7402335893</t>
  </si>
  <si>
    <t>6511000079</t>
  </si>
  <si>
    <t>8030049790</t>
  </si>
  <si>
    <t>7400987939</t>
  </si>
  <si>
    <t>7400574280</t>
  </si>
  <si>
    <t>7400987911</t>
  </si>
  <si>
    <t>7400615058</t>
  </si>
  <si>
    <t>7400574283</t>
  </si>
  <si>
    <t>7400615062</t>
  </si>
  <si>
    <t>8045281854</t>
  </si>
  <si>
    <t>9002337488</t>
  </si>
  <si>
    <t>3461004226</t>
  </si>
  <si>
    <t>3801001696</t>
  </si>
  <si>
    <t>8046536611</t>
  </si>
  <si>
    <t>8046260881</t>
  </si>
  <si>
    <t>3801007386</t>
  </si>
  <si>
    <t>7400939384</t>
  </si>
  <si>
    <t>0000054615</t>
  </si>
  <si>
    <t>7400762179</t>
  </si>
  <si>
    <t>7400762184</t>
  </si>
  <si>
    <t>7400013485</t>
  </si>
  <si>
    <t>9001910086</t>
  </si>
  <si>
    <t>8040315059</t>
  </si>
  <si>
    <t>9002544629</t>
  </si>
  <si>
    <t>7400456469</t>
  </si>
  <si>
    <t>1700212510</t>
  </si>
  <si>
    <t>8046593067</t>
  </si>
  <si>
    <t>5100016269</t>
  </si>
  <si>
    <t>5100302047</t>
  </si>
  <si>
    <t>7401175518</t>
  </si>
  <si>
    <t>5100619128</t>
  </si>
  <si>
    <t>2100609921</t>
  </si>
  <si>
    <t>5100008388</t>
  </si>
  <si>
    <t>9000591057</t>
  </si>
  <si>
    <t>5100688151</t>
  </si>
  <si>
    <t>5100669816</t>
  </si>
  <si>
    <t>7400685089</t>
  </si>
  <si>
    <t>8046268247</t>
  </si>
  <si>
    <t>6511000031</t>
  </si>
  <si>
    <t>7402467009</t>
  </si>
  <si>
    <t>7402283234</t>
  </si>
  <si>
    <t>7401192097</t>
  </si>
  <si>
    <t>8040594155</t>
  </si>
  <si>
    <t>9002520878</t>
  </si>
  <si>
    <t>0000215806</t>
  </si>
  <si>
    <t>5100269822</t>
  </si>
  <si>
    <t>7400420263</t>
  </si>
  <si>
    <t>5100000263</t>
  </si>
  <si>
    <t>8046273535</t>
  </si>
  <si>
    <t>5100654045</t>
  </si>
  <si>
    <t>7402148282</t>
  </si>
  <si>
    <t>7400886823</t>
  </si>
  <si>
    <t>9002304663</t>
  </si>
  <si>
    <t>0000033240</t>
  </si>
  <si>
    <t>8044900121</t>
  </si>
  <si>
    <t>3801007646</t>
  </si>
  <si>
    <t>8027624846</t>
  </si>
  <si>
    <t>8045905242</t>
  </si>
  <si>
    <t>8019204890</t>
  </si>
  <si>
    <t>9001044109</t>
  </si>
  <si>
    <t>3801000226</t>
  </si>
  <si>
    <t>7401170514</t>
  </si>
  <si>
    <t>5100603940</t>
  </si>
  <si>
    <t>5100007933</t>
  </si>
  <si>
    <t>7401951317</t>
  </si>
  <si>
    <t>9002687384</t>
  </si>
  <si>
    <t>8046435297</t>
  </si>
  <si>
    <t>3801002808</t>
  </si>
  <si>
    <t>7400416333</t>
  </si>
  <si>
    <t>9001349956</t>
  </si>
  <si>
    <t>0000235696</t>
  </si>
  <si>
    <t>7400419150</t>
  </si>
  <si>
    <t>3461009525</t>
  </si>
  <si>
    <t>8046556500</t>
  </si>
  <si>
    <t>9002657754</t>
  </si>
  <si>
    <t>7400376332</t>
  </si>
  <si>
    <t>8027891356</t>
  </si>
  <si>
    <t>7400632601</t>
  </si>
  <si>
    <t>5100006919</t>
  </si>
  <si>
    <t>5100008510</t>
  </si>
  <si>
    <t>7400874676</t>
  </si>
  <si>
    <t>8041353494</t>
  </si>
  <si>
    <t>9002512140</t>
  </si>
  <si>
    <t>7402114618</t>
  </si>
  <si>
    <t>5100008182</t>
  </si>
  <si>
    <t>5100013603</t>
  </si>
  <si>
    <t>7400772356</t>
  </si>
  <si>
    <t>7402750262</t>
  </si>
  <si>
    <t>7400416297</t>
  </si>
  <si>
    <t>5100009460</t>
  </si>
  <si>
    <t>8037938734</t>
  </si>
  <si>
    <t>7402784168</t>
  </si>
  <si>
    <t>5100008018</t>
  </si>
  <si>
    <t>7400416325</t>
  </si>
  <si>
    <t>1700136358</t>
  </si>
  <si>
    <t>0000026320</t>
  </si>
  <si>
    <t>8006964954</t>
  </si>
  <si>
    <t>9002544619</t>
  </si>
  <si>
    <t>8046386217</t>
  </si>
  <si>
    <t>5100727684</t>
  </si>
  <si>
    <t>5100596466</t>
  </si>
  <si>
    <t>0000046859</t>
  </si>
  <si>
    <t>6511000214</t>
  </si>
  <si>
    <t>5100665602</t>
  </si>
  <si>
    <t>8041492238</t>
  </si>
  <si>
    <t>9002358453</t>
  </si>
  <si>
    <t>4161000611</t>
  </si>
  <si>
    <t>8046077493</t>
  </si>
  <si>
    <t>1700121866</t>
  </si>
  <si>
    <t>9001911423</t>
  </si>
  <si>
    <t>8000391312</t>
  </si>
  <si>
    <t>1700079420</t>
  </si>
  <si>
    <t>5100006736</t>
  </si>
  <si>
    <t>7400781266</t>
  </si>
  <si>
    <t>0000002716</t>
  </si>
  <si>
    <t>2100170655</t>
  </si>
  <si>
    <t>8000941336</t>
  </si>
  <si>
    <t>9000618919</t>
  </si>
  <si>
    <t>5100261093</t>
  </si>
  <si>
    <t>7400223681</t>
  </si>
  <si>
    <t>3481003857</t>
  </si>
  <si>
    <t>Metodologia de Cálculo</t>
  </si>
  <si>
    <t>GRSS_CRRYNG_AMNT_INSTRMNT</t>
  </si>
  <si>
    <t>NVL ( SUM(-1*VALOR_BRUTO_ON) ; 0)</t>
  </si>
  <si>
    <t>contem juros</t>
  </si>
  <si>
    <t>CRRYNG_AMNT_INSTRMNT</t>
  </si>
  <si>
    <t>GRSS_CRRYNG_AMNT_INSTRMNT - ACCMLTD_IMPRMNT_INSTRMNT</t>
  </si>
  <si>
    <t>OTSTNDNG_NMNL_AMNT_INSTRMNT</t>
  </si>
  <si>
    <t>NVL ( SUM(-1*VALOR_BRUTO_ON) ; 0) - NVL ( SUM(-1*JUROS_CORRIDOS);0)</t>
  </si>
  <si>
    <t>ou =GRSS_CRRYNG_AMNT_INSTRMNT - ACCRD_INTRST_INSTRMNT</t>
  </si>
  <si>
    <t>ACCRD_INTRST_INSTRMNT</t>
  </si>
  <si>
    <t>NVL ( SUM(-1*JUROS_CORRIDOS) ,0 )</t>
  </si>
  <si>
    <t>Original amount issued in EUR
(mapeamento: nom_tot_inic da ct610 via tabela cambios)</t>
  </si>
  <si>
    <t>Original amount issued in foreign currency
(mapeamento: ver sheet B02.00)</t>
  </si>
  <si>
    <t>Accrued interest 
(mapeamento: ACCRD_INTRST_INSTRMNT da lt002)</t>
  </si>
  <si>
    <t>Applicable fees and charges
(mapeamento: valor fixo 0)</t>
  </si>
  <si>
    <t>Outstanding amount 
(mapeamento: 
Outstanding principal amount + Accrued interest + Applicable fees and charges)</t>
  </si>
  <si>
    <t>Relevant amount for Bail-in/WDC
(mapeamento: Outstanding amount)</t>
  </si>
  <si>
    <t>Denomination / Nominal value per security in EUR
(mapeamento:  nom_unit_atual e converter via tabela cambios,  da ct610)</t>
  </si>
  <si>
    <t>Denomination / Nominal value per security in original currency
(mapeamento: nom_unit_atual)</t>
  </si>
  <si>
    <t>Accrued interest per security
(mapeamento:
ACCRD_INTRST_INSTRMNT da lt002  / (Number of securities outstanding not held by the reporting entity + Number of securities outstanding held by the reporting entity) ????)</t>
  </si>
  <si>
    <t>Carrying amount IFRS
(mapeamento: crryng_amnt_instrmnt)</t>
  </si>
  <si>
    <t>31641600000000000PTBSREOM0028000</t>
  </si>
  <si>
    <t>999999999999999</t>
  </si>
  <si>
    <t>31641600000000000PTSTOEOM0021000</t>
  </si>
  <si>
    <t>31641600000000000PTSTOFOM0004000</t>
  </si>
  <si>
    <t>31641600000000000PTSTOGOM0003000</t>
  </si>
  <si>
    <t>31641600000000000PTSTOHOM0002000</t>
  </si>
  <si>
    <t>31641600005800007PTBSRDOM0037000</t>
  </si>
  <si>
    <t>31641600005800007PTCPP0AM0007000</t>
  </si>
  <si>
    <t>31641600005800007PTSTOCOM0007000</t>
  </si>
  <si>
    <t>select * from cd_loan_tapes_bce,lt001_univ_oper where ref_date='2025-06-30' and segmento='MBDT'</t>
  </si>
  <si>
    <t>and concat(cempresa,cbalcao,cnumecta,zdeposit) in</t>
  </si>
  <si>
    <t>(</t>
  </si>
  <si>
    <t>31641600000000000PTSTOGOM0003000',</t>
  </si>
  <si>
    <t>31641600005800007PTBSRDOM0037000',</t>
  </si>
  <si>
    <t>31641600005800007PTSTOCOM0007000',</t>
  </si>
  <si>
    <t>31641600005800007PTCPP0AM0007000',</t>
  </si>
  <si>
    <t xml:space="preserve">31641600000000000PTSTOEOM0021000', </t>
  </si>
  <si>
    <t xml:space="preserve">31641600000000000PTSTOHOM0002000', </t>
  </si>
  <si>
    <t xml:space="preserve">31641600000000000PTBSREOM0028000', </t>
  </si>
  <si>
    <t>31641600000000000PTSTOFOM0004000')</t>
  </si>
  <si>
    <t>order by concat(cempresa,cbalcao,cnumecta,zdeposit)</t>
  </si>
  <si>
    <t>cempresa</t>
  </si>
  <si>
    <t>cbalcao</t>
  </si>
  <si>
    <t>cnumecta</t>
  </si>
  <si>
    <t>zdeposit</t>
  </si>
  <si>
    <t>ccontab_final_ifrs</t>
  </si>
  <si>
    <t>ccontab_final_pcsb</t>
  </si>
  <si>
    <t>ccontab_final_cargabal</t>
  </si>
  <si>
    <t>ccontab_final</t>
  </si>
  <si>
    <t>msaldo_final</t>
  </si>
  <si>
    <t>carteira_contabilistica</t>
  </si>
  <si>
    <t>instrumento_financeiro</t>
  </si>
  <si>
    <t>produto</t>
  </si>
  <si>
    <t>tipo_conta</t>
  </si>
  <si>
    <t>bruto_imparidade</t>
  </si>
  <si>
    <t>composicao_valor</t>
  </si>
  <si>
    <t>subtipo_garantia</t>
  </si>
  <si>
    <t>flag_poci</t>
  </si>
  <si>
    <t>purpose_code</t>
  </si>
  <si>
    <t>cod_empr_pme</t>
  </si>
  <si>
    <t>stage</t>
  </si>
  <si>
    <t>stage_atual</t>
  </si>
  <si>
    <t>cproduto</t>
  </si>
  <si>
    <t>subproduto</t>
  </si>
  <si>
    <t>cod_ajust</t>
  </si>
  <si>
    <t>tipo_ajuste</t>
  </si>
  <si>
    <t>desc_ajuste</t>
  </si>
  <si>
    <t>ordem_lt801</t>
  </si>
  <si>
    <t>flag_lvrg_finc</t>
  </si>
  <si>
    <t>flag_pme</t>
  </si>
  <si>
    <t>flag_inst_div</t>
  </si>
  <si>
    <t>flag_inst_cap</t>
  </si>
  <si>
    <t>flag_inst_deriv</t>
  </si>
  <si>
    <t>flag_ajust_ncon</t>
  </si>
  <si>
    <t>valor_bruto_on</t>
  </si>
  <si>
    <t>valor_bruto_off</t>
  </si>
  <si>
    <t>provisao_on</t>
  </si>
  <si>
    <t>provisao_off</t>
  </si>
  <si>
    <t>valor_bruto_on_prvs</t>
  </si>
  <si>
    <t>valor_bruto_off_prvs</t>
  </si>
  <si>
    <t>provisao_on_prvs</t>
  </si>
  <si>
    <t>provisao_off_prvs</t>
  </si>
  <si>
    <t>juros_corridos</t>
  </si>
  <si>
    <t>juros_corridos_prvs</t>
  </si>
  <si>
    <t>subportfolio_id_inicial</t>
  </si>
  <si>
    <t>subportfolio_id_final</t>
  </si>
  <si>
    <t>idcomb_lt_inicial</t>
  </si>
  <si>
    <t>idcomb_lt_final</t>
  </si>
  <si>
    <t>nome_perimetro</t>
  </si>
  <si>
    <t>entidade</t>
  </si>
  <si>
    <t>31</t>
  </si>
  <si>
    <t>6416</t>
  </si>
  <si>
    <t>00000000000</t>
  </si>
  <si>
    <t>PTBSREOM0028000</t>
  </si>
  <si>
    <t>0000000000</t>
  </si>
  <si>
    <t>251019901</t>
  </si>
  <si>
    <t>5260190</t>
  </si>
  <si>
    <t>27102</t>
  </si>
  <si>
    <t>titulos de divida emitidos</t>
  </si>
  <si>
    <t>outras obrigacoes emitidas - resto</t>
  </si>
  <si>
    <t>P</t>
  </si>
  <si>
    <t>juros/encargos a pagar</t>
  </si>
  <si>
    <t>NULL</t>
  </si>
  <si>
    <t>BI00411</t>
  </si>
  <si>
    <t>N/A</t>
  </si>
  <si>
    <t>0,000000</t>
  </si>
  <si>
    <t>CONT1;HFS2;B02;MC15;PR2702;ACPF6;SUBO1;TYVA0102</t>
  </si>
  <si>
    <t>CONT1;HFS2;B02;MC15;PR2702;ACPF6;SUBO1;TYVA0101</t>
  </si>
  <si>
    <t>S611240</t>
  </si>
  <si>
    <t>2025-08-13 22:06:45,145</t>
  </si>
  <si>
    <t>2025-06-30</t>
  </si>
  <si>
    <t>SRB_VALUATION</t>
  </si>
  <si>
    <t>Individual Local</t>
  </si>
  <si>
    <t>MBDT</t>
  </si>
  <si>
    <t>00100</t>
  </si>
  <si>
    <t>251019900</t>
  </si>
  <si>
    <t>60190</t>
  </si>
  <si>
    <t>capital/ nocional/ custo de aquisicao</t>
  </si>
  <si>
    <t>PTSTOEOM0021000</t>
  </si>
  <si>
    <t>251019910</t>
  </si>
  <si>
    <t>3411199</t>
  </si>
  <si>
    <t>23289</t>
  </si>
  <si>
    <t>CONT1;HFS2;B02;MC15;PR2702;ACPF6;SUBO2;TYVA0101</t>
  </si>
  <si>
    <t>251019911</t>
  </si>
  <si>
    <t>523411199</t>
  </si>
  <si>
    <t>CONT1;HFS2;B02;MC15;PR2702;ACPF6;SUBO2;TYVA0102</t>
  </si>
  <si>
    <t>PTSTOFOM0004000</t>
  </si>
  <si>
    <t>PTSTOGOM0003000</t>
  </si>
  <si>
    <t>6205</t>
  </si>
  <si>
    <t>60300</t>
  </si>
  <si>
    <t>28311</t>
  </si>
  <si>
    <t>instrumentos de capital</t>
  </si>
  <si>
    <t>Aditional Tier</t>
  </si>
  <si>
    <t>B03;MC2602;CONS1</t>
  </si>
  <si>
    <t>PTSTOHOM0002000</t>
  </si>
  <si>
    <t>00005800007</t>
  </si>
  <si>
    <t>PTBSRDOM0037000</t>
  </si>
  <si>
    <t>PTCPP0AM0007000</t>
  </si>
  <si>
    <t>660</t>
  </si>
  <si>
    <t>25810</t>
  </si>
  <si>
    <t>150</t>
  </si>
  <si>
    <t>N</t>
  </si>
  <si>
    <t>075</t>
  </si>
  <si>
    <t>056</t>
  </si>
  <si>
    <t>ECP</t>
  </si>
  <si>
    <t>B03;MC30;PR18;EQGE15</t>
  </si>
  <si>
    <t>B03;MC2301;PR18</t>
  </si>
  <si>
    <t>6000</t>
  </si>
  <si>
    <t>6200</t>
  </si>
  <si>
    <t>2800</t>
  </si>
  <si>
    <t>Acoes ordinarias</t>
  </si>
  <si>
    <t>PTSTOCOM0007000</t>
  </si>
  <si>
    <t xml:space="preserve">select instrmnt_id, crrncy_dnmntn, dt_incptn, dt_lgl_fnl_mtrty, typ_instrmnt, accntng_clssfctn, isin, governing_law, </t>
  </si>
  <si>
    <t>nominal_interest_rate_fee, grss_crryng_amnt_instrmnt, crryng_amnt_instrmnt, otstndng_nmnl_amnt_instrmnt, accrd_intrst_instrmnt</t>
  </si>
  <si>
    <t>31641600005800007PTCPP0AM0007000 não está no documento das emissões próprias BST</t>
  </si>
  <si>
    <t>--*</t>
  </si>
  <si>
    <t>from cd_loan_tapes_bce,lt002_instrument where ref_date='2025-06-30' and segmento='MBDT' and instrmnt_id in</t>
  </si>
  <si>
    <t>31641600000000000PTSTOEOM0021000',</t>
  </si>
  <si>
    <t>31641600000000000PTSTOHOM0002000',</t>
  </si>
  <si>
    <t>31641600000000000PTBSREOM0028000',</t>
  </si>
  <si>
    <t>31641600000000000PTSTOFOM0004000'</t>
  </si>
  <si>
    <t>) order by instrmnt_id</t>
  </si>
  <si>
    <t>;</t>
  </si>
  <si>
    <t>OLD:</t>
  </si>
  <si>
    <t>instrmnt_id</t>
  </si>
  <si>
    <t>crrncy_dnmntn</t>
  </si>
  <si>
    <t>dt_incptn</t>
  </si>
  <si>
    <t>dt_lgl_fnl_mtrty</t>
  </si>
  <si>
    <t>typ_instrmnt</t>
  </si>
  <si>
    <t>accntng_clssfctn</t>
  </si>
  <si>
    <t>governing_law</t>
  </si>
  <si>
    <t>nominal_interest_rate_fee</t>
  </si>
  <si>
    <t>crryng_amnt_instrmnt</t>
  </si>
  <si>
    <t>otstndng_nmnl_amnt_instrmnt</t>
  </si>
  <si>
    <t>EUR</t>
  </si>
  <si>
    <t>2016-09-28</t>
  </si>
  <si>
    <t>2026-10-06</t>
  </si>
  <si>
    <t>11111111111,000000</t>
  </si>
  <si>
    <t>2022-06-01</t>
  </si>
  <si>
    <t>2027-06-03</t>
  </si>
  <si>
    <t>2022-06-07</t>
  </si>
  <si>
    <t>2027-06-09</t>
  </si>
  <si>
    <t>2024-02-22</t>
  </si>
  <si>
    <t>PTSTOGOM0003</t>
  </si>
  <si>
    <t>2024-07-30</t>
  </si>
  <si>
    <t>2030-07-30</t>
  </si>
  <si>
    <t>2025-05-29</t>
  </si>
  <si>
    <t>2100-05-29</t>
  </si>
  <si>
    <t>PTBSRDOM0037</t>
  </si>
  <si>
    <t>1992-01-05</t>
  </si>
  <si>
    <t>PTCPP0AM0007</t>
  </si>
  <si>
    <t>2021-01-14</t>
  </si>
  <si>
    <t>2069-01-14</t>
  </si>
  <si>
    <t>PTSTOCOM0007</t>
  </si>
  <si>
    <t>Temas Identificados:
1) Registo duplicado 31641600000000000PTBSREOM0028000 (situação ocorre para 2025-06-30 mas também para 2025-03-31) 
-&gt; Comunicar à Mariana quando ela regressar
2) Os registos a amarelo não ficaram com o typ_instrmnt esperado ('1005' que corresponde a Debt Securities), Ficaram todos com '2020' (ou seja, 'Other'), Não assumiu as configurações efetuadas na lt809, concretamente a adição do instrumento_financeiro='titulos de divida emitidos', Pedro Oliveira comentou que este campo sofreu uma re-especificação (no âmbito do leverage finance?) e agora utiliza a lt831, Podemos adicionar uma linha na lt831 com ordem 2, exatamente igual à linha atributo_origem_1='instrmnt_fncr' e 	valor_origem_1= 'instrumentos de divida' só que nosso caso com 'titulos de divida emitidos'? 
-&gt; Deverão ser apagados os valores da lt809 (ou seja, subir um ficheiro a vazio no front-end) e poderá ser carregada a nova linha na lt831
3) O campo accntng_clssfctn ficou preenchido em todos os registos (OK),
4) O campo governing_law está incorretamente a MISS, O Mesmo foi especificado no ambito do Valuation e quando se trata de titulos deverá trazer-se o campo lei_aplicavel da ct610, No caso dos 8 títulos do Pedro todos têm o campo lei_aplicavel preenchido
5) Após Luísa Sousa adicionar 4ª linha ‘EXP_ON_P_CJ’ na ct873 (disponível no front-end dentro do âmbito Valuation) onde conceito de saldo a mapear=’valor_bruto_on’, os registos de Debt Securities (a amarelo) já têm valores nos campos grss_crryng_amnt_instrmnt, crryng_amnt_instrmnt, otstndng_nmnl_amnt_instrmnt (valor igual nos 3 campos), contudo, os registos de Equity (a laranja) continuam sem valor preenchido nesses 3 campos,
6) O campo "accrd_intrst_instrmnt" está sempre a zero nos 8 registos</t>
  </si>
  <si>
    <t>na lt801, INST_DIV está definida para os vários âmbitos apenas do ponto de vista do Ativo, ou seja, tem de se definir para o Passivo também. Acrescentar 1 linha (confirmar com Luísa) só para este âmbito?</t>
  </si>
  <si>
    <t>instrumento_financeiro='titulos de divida emitidos' e carteira_contabilistica='passivos financeiros ao custo amortizado' e 
tipo_conta='P'</t>
  </si>
  <si>
    <t xml:space="preserve">Campo accrd_intrst_instrmnt está sempre a 0. Este campo vem do campo JUROS_CORRIDOS da lt001. 
</t>
  </si>
  <si>
    <t>Necessário definir se se adiciona um novo conceito na ct872/ct873 (tal como o campo valor_bruto_on) ou se simplesmente se adiciona as condições abaixo (a confirmar) ao hard-coded atual:</t>
  </si>
  <si>
    <t>--carteira_contabilistica= 'passivos financeiros ao custo amortizado'     -&gt; acrescenta-se mais algum?</t>
  </si>
  <si>
    <t>--tipo_conta= 'P'                                                         -&gt; acrescenta-se também o 'C'?</t>
  </si>
  <si>
    <t>--composicao_valor= 'juros/encargos a pagar'</t>
  </si>
  <si>
    <t>NEW:</t>
  </si>
  <si>
    <t>PTBSREOM0028</t>
  </si>
  <si>
    <t>11111111111.000000</t>
  </si>
  <si>
    <t>-8017465.48</t>
  </si>
  <si>
    <t>2025-08-22 18:33:03.808</t>
  </si>
  <si>
    <t>PTSTOEOM0021</t>
  </si>
  <si>
    <t>-601416723.29</t>
  </si>
  <si>
    <t>PTSTOFOM0004</t>
  </si>
  <si>
    <t>-200568263.01</t>
  </si>
  <si>
    <t>-300000000.00</t>
  </si>
  <si>
    <t>PTSTOHOM0002</t>
  </si>
  <si>
    <t>-518700931.50</t>
  </si>
  <si>
    <t>-500000000.00</t>
  </si>
  <si>
    <t>-1372632707.59</t>
  </si>
  <si>
    <t>-400000000.00</t>
  </si>
  <si>
    <r>
      <rPr>
        <sz val="11"/>
        <color rgb="FF000000"/>
        <rFont val="Calibri"/>
        <family val="2"/>
      </rPr>
      <t>1.</t>
    </r>
    <r>
      <rPr>
        <sz val="7"/>
        <color rgb="FF000000"/>
        <rFont val="Times New Roman"/>
        <family val="1"/>
      </rPr>
      <t xml:space="preserve">      </t>
    </r>
    <r>
      <rPr>
        <sz val="11"/>
        <color rgb="FF000000"/>
        <rFont val="Calibri"/>
        <family val="2"/>
      </rPr>
      <t>Contrato duplicado (reportado à Mariana email 25/08);</t>
    </r>
  </si>
  <si>
    <r>
      <rPr>
        <sz val="11"/>
        <color rgb="FF000000"/>
        <rFont val="Calibri"/>
        <family val="2"/>
      </rPr>
      <t>2.</t>
    </r>
    <r>
      <rPr>
        <sz val="7"/>
        <color rgb="FF000000"/>
        <rFont val="Times New Roman"/>
        <family val="1"/>
      </rPr>
      <t xml:space="preserve">      </t>
    </r>
    <r>
      <rPr>
        <sz val="11"/>
        <color rgb="FF000000"/>
        <rFont val="Calibri"/>
        <family val="2"/>
      </rPr>
      <t>Campo “governing_law” não está preenchido (reportado à Mariana email 25/08);</t>
    </r>
  </si>
  <si>
    <r>
      <t xml:space="preserve">Este campo foi especificado no âmbito do Valuation. Para os contratos de Títulos (caso destes #8 registos), deve-se obter o campo “lei_aplicavel” da </t>
    </r>
    <r>
      <rPr>
        <sz val="11"/>
        <color rgb="FF242424"/>
        <rFont val="Calibri"/>
        <family val="2"/>
        <charset val="1"/>
      </rPr>
      <t>ct610_titulos</t>
    </r>
    <r>
      <rPr>
        <sz val="11"/>
        <color theme="1"/>
        <rFont val="Calibri"/>
        <family val="2"/>
        <charset val="1"/>
      </rPr>
      <t xml:space="preserve"> e depois convertê-lo pela TAT. Ou seja, para estes registos o campo “lei_aplicavel” da </t>
    </r>
    <r>
      <rPr>
        <sz val="11"/>
        <color rgb="FF242424"/>
        <rFont val="Calibri"/>
        <family val="2"/>
        <charset val="1"/>
      </rPr>
      <t>ct610_titulos</t>
    </r>
    <r>
      <rPr>
        <sz val="11"/>
        <color theme="1"/>
        <rFont val="Calibri"/>
        <family val="2"/>
        <charset val="1"/>
      </rPr>
      <t xml:space="preserve"> contém ‘620’ e convertendo esse valor pela TAT ficamos com ‘PT’, portanto, seria esse o valor que estaríamos à espera de ver preenchido no “governing_law” destes registos.</t>
    </r>
  </si>
  <si>
    <t>3. Campo accrd_intrst_instrmnt está sempre a 0. Este campo é calculado NVL ( SUM(-1*JUROS_CORRIDOS) ,0 )</t>
  </si>
  <si>
    <t>O campo "JUROS_CORRIDOS" é calculado atualmente da seguinte forma (BS - Esp. &amp; Certificação LF - Implementação_20250806 - sheet Especificação outros campos):</t>
  </si>
  <si>
    <t>(-1)*MSALDO_FINAL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t>
  </si>
  <si>
    <t>Necessário definir se se adiciona um novo conceito na ct872/ct873 (tal como o campo valor_bruto_on) ou se simplesmente se adiciona as condições abaixo ao hard-coded atual (com base nos valores dos registos de Juros na lt001 acima):</t>
  </si>
  <si>
    <t xml:space="preserve">Adicionalmente, quando este campo passar a ser preenchido ficará com valores negativos (devido à multiplicação por -1). É suposto? </t>
  </si>
  <si>
    <t xml:space="preserve">WHERE </t>
  </si>
  <si>
    <t>COD_PLANO = 'BST_IND'</t>
  </si>
  <si>
    <t>AND CCONTAB_FINAL_PCSB NOT LIKE '28%'</t>
  </si>
  <si>
    <t>AND COMPOSICAO_VALOR = 'juros/rendimentos a receber'</t>
  </si>
  <si>
    <t>AND TIPO_CONTA = 'A'</t>
  </si>
  <si>
    <t>AND CARTEIRA_CONTABILISTICA IN ('ativos financeiros ao custo amortizado','ativos financeiros ao justo valor atraves de outro rendimento integral','ativos financeiros ao justo valor atraves de resultados')</t>
  </si>
  <si>
    <t>)</t>
  </si>
  <si>
    <t>OR</t>
  </si>
  <si>
    <t>AND COMPOSICAO_VALOR = 'juros/encargos a pagar'</t>
  </si>
  <si>
    <t xml:space="preserve">AND TIPO_CONTA = 'P' </t>
  </si>
  <si>
    <t>AND CARTEIRA_CONTABILISTICA IN ('passivos financeiros ao custo amortizado')</t>
  </si>
  <si>
    <t xml:space="preserve">) </t>
  </si>
  <si>
    <t>Se forem utilizados no report, terão de ser multiplicados por -1 (na aplicação final, e não no Loan Tape)</t>
  </si>
  <si>
    <t xml:space="preserve">No Loan Tape o campo grss_crryng_amnt_instrmnt é obtido a partir da multiplicação por -1 do VALOR_BRUTO_ON  da lt001 (VALOR_BRUTO_ON  vem do msaldo_final da fr001).  Provavelmente, porque no Ativo o msaldo_final da fr001 é negativo e multiplicou-se por -1 para se obter valores positivos no Loan Tape. </t>
  </si>
  <si>
    <t>Contudo, nestes registos do Pedro que são de Passivo, a fr001 contêm o msaldo_final positivo, mas posteriormente como no campo grss_crryng_amnt_instrmnt é feita a multiplicação por -1 do msaldo_final da fr001, obtêm-se valores negativos.</t>
  </si>
  <si>
    <t>5. O campo otstndng_nmnl_amnt_instrmnt contém atualmente valores errados dado que é calculado da seguinte forma:
GRSS_CRRYNG_AMNT_INSTRMNT-ACCRD_INTRST_INSTRMNT</t>
  </si>
  <si>
    <t>Isto porque o ACCRD_INTRST_INSTRMNT atualmente se encontra incorretamente a 0.</t>
  </si>
  <si>
    <t>6. Os campos zcliente_investidor e o nom_tot_ini_investe da ct610_titulos do registo 31.6416.00005800007.PTCPP0AM0007000 não refletem o zcliente 0000000000 com o montante de 1762761,00. Está correto?</t>
  </si>
  <si>
    <t>select central_valores from cd_captools,ct610_titulos where ref_date='2025-06-30'</t>
  </si>
  <si>
    <t>7599000</t>
  </si>
  <si>
    <t xml:space="preserve">) order by </t>
  </si>
  <si>
    <t>concat(cempresa,cbalcao,cnumecta,zdeposit)</t>
  </si>
  <si>
    <t>cod_sigom</t>
  </si>
  <si>
    <t>cod_idt</t>
  </si>
  <si>
    <t>cod_ida</t>
  </si>
  <si>
    <t>cod_rvbl_rfij</t>
  </si>
  <si>
    <t>descritivo</t>
  </si>
  <si>
    <t>zcliente_emitente</t>
  </si>
  <si>
    <t>zcliente_investidor</t>
  </si>
  <si>
    <t>cmoeda</t>
  </si>
  <si>
    <t>tipo_oferta</t>
  </si>
  <si>
    <t>tipo_titulo</t>
  </si>
  <si>
    <t>tipo_exposicao</t>
  </si>
  <si>
    <t>csubprod</t>
  </si>
  <si>
    <t>soberano</t>
  </si>
  <si>
    <t>termo_estruturado</t>
  </si>
  <si>
    <t>lei_aplicavel</t>
  </si>
  <si>
    <t>garantia</t>
  </si>
  <si>
    <t>cempresa_gar</t>
  </si>
  <si>
    <t>cbalcao_gar</t>
  </si>
  <si>
    <t>cnumecta_gar</t>
  </si>
  <si>
    <t>zdeposit_gar</t>
  </si>
  <si>
    <t>entidade_garante</t>
  </si>
  <si>
    <t>valor_garantia</t>
  </si>
  <si>
    <t>nom_tot_inic</t>
  </si>
  <si>
    <t>nom_unit_inic</t>
  </si>
  <si>
    <t>prc_inic</t>
  </si>
  <si>
    <t>pool_factor</t>
  </si>
  <si>
    <t>nom_tot_atual</t>
  </si>
  <si>
    <t>nom_unit_atual</t>
  </si>
  <si>
    <t>nom_tot_ini_investe</t>
  </si>
  <si>
    <t>tipo_tx</t>
  </si>
  <si>
    <t>tx_fixa</t>
  </si>
  <si>
    <t>indx_tx_var</t>
  </si>
  <si>
    <t>sprd_tx_var</t>
  </si>
  <si>
    <t>tx_max</t>
  </si>
  <si>
    <t>tx_min</t>
  </si>
  <si>
    <t>indx_tx_max</t>
  </si>
  <si>
    <t>indx_tx_min</t>
  </si>
  <si>
    <t>tx_vigente</t>
  </si>
  <si>
    <t>dt_fim_tx_fixa</t>
  </si>
  <si>
    <t>dt_fim_sprd_tx_var</t>
  </si>
  <si>
    <t>dt_fim_indx_tx_var</t>
  </si>
  <si>
    <t>dt_prim_liq_jur</t>
  </si>
  <si>
    <t>frq_liq_jur</t>
  </si>
  <si>
    <t>dt_prim_refx_tx_var</t>
  </si>
  <si>
    <t>frq_refx_tx_var</t>
  </si>
  <si>
    <t>conv_calc_juros</t>
  </si>
  <si>
    <t>tipo_amrt</t>
  </si>
  <si>
    <t>dt_prim_amrt</t>
  </si>
  <si>
    <t>frq_amrt</t>
  </si>
  <si>
    <t>dt_prim_amrt_ant_emit</t>
  </si>
  <si>
    <t>frq_amrt_ant_emit</t>
  </si>
  <si>
    <t>dt_prim_amrt_ant_inv</t>
  </si>
  <si>
    <t>frq_amrt_ant_inv</t>
  </si>
  <si>
    <t>val_residual</t>
  </si>
  <si>
    <t>agente_pagador</t>
  </si>
  <si>
    <t>depositario</t>
  </si>
  <si>
    <t>central_valores</t>
  </si>
  <si>
    <t>bolsa_valores</t>
  </si>
  <si>
    <t>sist_liquidacao</t>
  </si>
  <si>
    <t>trustee</t>
  </si>
  <si>
    <t>idx_bolsa</t>
  </si>
  <si>
    <t>eleg_fund_prop</t>
  </si>
  <si>
    <t>mon_fund_prop</t>
  </si>
  <si>
    <t>flg_deduc_fund_prop</t>
  </si>
  <si>
    <t>rw_adic_regul</t>
  </si>
  <si>
    <t>trat_capital</t>
  </si>
  <si>
    <t>bail_in</t>
  </si>
  <si>
    <t>rank_insolv</t>
  </si>
  <si>
    <t>mon_financ_emit</t>
  </si>
  <si>
    <t>eleg_eurosistema</t>
  </si>
  <si>
    <t>flag_buffer_liq</t>
  </si>
  <si>
    <t>grau_liquidez</t>
  </si>
  <si>
    <t>flg_alm</t>
  </si>
  <si>
    <t>flg_cons_alm</t>
  </si>
  <si>
    <t>rating_sp_ini</t>
  </si>
  <si>
    <t>dt_rating_sp_ini</t>
  </si>
  <si>
    <t>rating_sp</t>
  </si>
  <si>
    <t>dt_rating_sp</t>
  </si>
  <si>
    <t>rating_moodys_ini</t>
  </si>
  <si>
    <t>dt_rating_moodys_ini</t>
  </si>
  <si>
    <t>rating_moodys</t>
  </si>
  <si>
    <t>dt_rating_moodys</t>
  </si>
  <si>
    <t>rating_fitch_ini</t>
  </si>
  <si>
    <t>dt_rating_fitch_ini</t>
  </si>
  <si>
    <t>rating_fitch</t>
  </si>
  <si>
    <t>dt_rating_fitch</t>
  </si>
  <si>
    <t>rating_dbrs_ini</t>
  </si>
  <si>
    <t>dt_rating_dbrs_ini</t>
  </si>
  <si>
    <t>rating_dbrs</t>
  </si>
  <si>
    <t>dt_rating_dbrs</t>
  </si>
  <si>
    <t>ind_cri_rtint</t>
  </si>
  <si>
    <t>flg_ativo</t>
  </si>
  <si>
    <t>tipo_aval</t>
  </si>
  <si>
    <t>htimestupload</t>
  </si>
  <si>
    <t>OB,BANCO SANTANDER TOTTA SA 7,5% 06/10/2026</t>
  </si>
  <si>
    <t>978</t>
  </si>
  <si>
    <t>Particular</t>
  </si>
  <si>
    <t>Obrigacao Subordinada</t>
  </si>
  <si>
    <t>Bond</t>
  </si>
  <si>
    <t>048</t>
  </si>
  <si>
    <t>Nao</t>
  </si>
  <si>
    <t>Nao estruturada</t>
  </si>
  <si>
    <t>620</t>
  </si>
  <si>
    <t>Nao Garantida</t>
  </si>
  <si>
    <t>7599000,000000</t>
  </si>
  <si>
    <t>1000,000000</t>
  </si>
  <si>
    <t>100,00000</t>
  </si>
  <si>
    <t>1,0000000000000</t>
  </si>
  <si>
    <t>FIXA</t>
  </si>
  <si>
    <t>7,5</t>
  </si>
  <si>
    <t>7,50000</t>
  </si>
  <si>
    <t>06-10-2026</t>
  </si>
  <si>
    <t>06-10-2017</t>
  </si>
  <si>
    <t>A01</t>
  </si>
  <si>
    <t>ACT/365</t>
  </si>
  <si>
    <t>U</t>
  </si>
  <si>
    <t>0,00000</t>
  </si>
  <si>
    <t>549300URJH9VSI58CS32</t>
  </si>
  <si>
    <t>529900LG70TCAGWCXT47</t>
  </si>
  <si>
    <t>Interbolsa</t>
  </si>
  <si>
    <t>Euronext Lisboa</t>
  </si>
  <si>
    <t>Fully Compliant T2</t>
  </si>
  <si>
    <t>7599000,00</t>
  </si>
  <si>
    <t>0,00</t>
  </si>
  <si>
    <t>2025-08-05 14:12:34,689000000</t>
  </si>
  <si>
    <t>SANTANDER TOTTA 3,078 03/06/2028 EUR</t>
  </si>
  <si>
    <t>Obrigacao Senior</t>
  </si>
  <si>
    <t>022</t>
  </si>
  <si>
    <t>600000000,000000</t>
  </si>
  <si>
    <t>100000,000000</t>
  </si>
  <si>
    <t>600000000</t>
  </si>
  <si>
    <t>3,078</t>
  </si>
  <si>
    <t>3,07800</t>
  </si>
  <si>
    <t>03-06-2027</t>
  </si>
  <si>
    <t>03-06-2023</t>
  </si>
  <si>
    <t>ACT/ACT</t>
  </si>
  <si>
    <t>*</t>
  </si>
  <si>
    <t>301</t>
  </si>
  <si>
    <t>SANTANDER TOTTA 09/06/2032 EU</t>
  </si>
  <si>
    <t>200000000,000000</t>
  </si>
  <si>
    <t>200000000</t>
  </si>
  <si>
    <t>4,714</t>
  </si>
  <si>
    <t>4,71400</t>
  </si>
  <si>
    <t>09-06-2027</t>
  </si>
  <si>
    <t>09-06-2023</t>
  </si>
  <si>
    <t>200000000,00</t>
  </si>
  <si>
    <t>STOGOM</t>
  </si>
  <si>
    <t>AT1</t>
  </si>
  <si>
    <t>Instrumento Fundos Proprios Adicionais Nivel 1 (AT1)</t>
  </si>
  <si>
    <t>300000000,000000</t>
  </si>
  <si>
    <t>8,007</t>
  </si>
  <si>
    <t>8,00700</t>
  </si>
  <si>
    <t>22-05-2029</t>
  </si>
  <si>
    <t>22-05-2024</t>
  </si>
  <si>
    <t>M03</t>
  </si>
  <si>
    <t>14-05-2033</t>
  </si>
  <si>
    <t>305</t>
  </si>
  <si>
    <t>Fully Compliant AT1</t>
  </si>
  <si>
    <t>300000000,00</t>
  </si>
  <si>
    <t>STOHOM</t>
  </si>
  <si>
    <t>OB,SANTANDER TOTTA SGPS 4,063% 30/07/2030</t>
  </si>
  <si>
    <t>500000000,000000</t>
  </si>
  <si>
    <t>500000000</t>
  </si>
  <si>
    <t>4,063</t>
  </si>
  <si>
    <t>4,06300</t>
  </si>
  <si>
    <t>30-07-2030</t>
  </si>
  <si>
    <t>30-07-2025</t>
  </si>
  <si>
    <t>30-07-2029</t>
  </si>
  <si>
    <t>BSRDOM</t>
  </si>
  <si>
    <t>OB,SANTANDER TOTTA/2025-EUR500M FIX RATE PERP</t>
  </si>
  <si>
    <t>6,562</t>
  </si>
  <si>
    <t>6,56200</t>
  </si>
  <si>
    <t>29-05-2100</t>
  </si>
  <si>
    <t>29-05-2026</t>
  </si>
  <si>
    <t>31-12-9999</t>
  </si>
  <si>
    <t>29-05-2030</t>
  </si>
  <si>
    <t>500000000,00</t>
  </si>
  <si>
    <t>CPP AM</t>
  </si>
  <si>
    <t>Acao Ordinaria Banco Santander Totta, S,A,</t>
  </si>
  <si>
    <t>5100011001;0000003686</t>
  </si>
  <si>
    <t>1391779674,000000</t>
  </si>
  <si>
    <t>1,000000</t>
  </si>
  <si>
    <t>6326736,000000;1383690177,000000</t>
  </si>
  <si>
    <t>CET1</t>
  </si>
  <si>
    <t>1256723284,00</t>
  </si>
  <si>
    <t>STOCOM</t>
  </si>
  <si>
    <t>SAN TOTTA 14/01 EUR</t>
  </si>
  <si>
    <t>400000000,000000</t>
  </si>
  <si>
    <t>4,9</t>
  </si>
  <si>
    <t>4,90000</t>
  </si>
  <si>
    <t>14-01-2069</t>
  </si>
  <si>
    <t>14-01-2022</t>
  </si>
  <si>
    <t>14-01-2031</t>
  </si>
  <si>
    <t>400000000,00</t>
  </si>
  <si>
    <t>6326736,000000</t>
  </si>
  <si>
    <t>select * from cd_captools,fr001_univ_saldo where ref_date='2025-06-30'</t>
  </si>
  <si>
    <t>--Este registo não consta no documento das Emissões próprias do Pedro Mendes. Este registo é respeitante ao capital social (ver email de Nuno Pinheiro 14/07/2025 19:17)</t>
  </si>
  <si>
    <t xml:space="preserve">; </t>
  </si>
  <si>
    <t>tipo_contrato</t>
  </si>
  <si>
    <t>sociedade_contraparte</t>
  </si>
  <si>
    <t>ccontab_final_st_sgps</t>
  </si>
  <si>
    <t>ccontab_final_sgps_cons</t>
  </si>
  <si>
    <t>origem</t>
  </si>
  <si>
    <t>CAM</t>
  </si>
  <si>
    <t>2530199</t>
  </si>
  <si>
    <t>MANUAL</t>
  </si>
  <si>
    <t>418465,480000</t>
  </si>
  <si>
    <t>T510866</t>
  </si>
  <si>
    <t>2025-07-29 09:56:49,261</t>
  </si>
  <si>
    <t>1416723,290000</t>
  </si>
  <si>
    <t>568263,010000</t>
  </si>
  <si>
    <t>18700931,500000</t>
  </si>
  <si>
    <t>1762761,000000</t>
  </si>
  <si>
    <t>1383690177,000000</t>
  </si>
  <si>
    <t>-19146966,410000</t>
  </si>
  <si>
    <t>select * from cd_captools.fr004_cto where ref_date='2025-06-30'</t>
  </si>
  <si>
    <t>segmento_imp</t>
  </si>
  <si>
    <t>subsegmento_imp</t>
  </si>
  <si>
    <t>tipo_analise_atual</t>
  </si>
  <si>
    <t>tipo_analise_anterior</t>
  </si>
  <si>
    <t>tipo_analise_ytd</t>
  </si>
  <si>
    <t>data_abertura</t>
  </si>
  <si>
    <t>data_vencimento</t>
  </si>
  <si>
    <t>dias_incumprimento</t>
  </si>
  <si>
    <t>stage_anterior</t>
  </si>
  <si>
    <t>stage_ytd</t>
  </si>
  <si>
    <t>contraparte</t>
  </si>
  <si>
    <t>subsector</t>
  </si>
  <si>
    <t>cmoeda1</t>
  </si>
  <si>
    <t>cmoeda2</t>
  </si>
  <si>
    <t>flag_project_finance</t>
  </si>
  <si>
    <t>flag_debito_subordinado</t>
  </si>
  <si>
    <t>flag_reestruturado</t>
  </si>
  <si>
    <t>tipo_ref</t>
  </si>
  <si>
    <t>data_inicio</t>
  </si>
  <si>
    <t>situacao_diferiment_reneg</t>
  </si>
  <si>
    <t>n_total_reest</t>
  </si>
  <si>
    <t>hedging</t>
  </si>
  <si>
    <t>csubproduto</t>
  </si>
  <si>
    <t>valor_bruto_on_a</t>
  </si>
  <si>
    <t>valor_bruto_on_p</t>
  </si>
  <si>
    <t>valor_bruto_off_a</t>
  </si>
  <si>
    <t>valor_bruto_off_p</t>
  </si>
  <si>
    <t>capital_juro_on_a</t>
  </si>
  <si>
    <t>capital_juro_on_p</t>
  </si>
  <si>
    <t>valor_outros_ativos</t>
  </si>
  <si>
    <t>valor_bruto_on_a_mtd</t>
  </si>
  <si>
    <t>valor_bruto_on_p_mtd</t>
  </si>
  <si>
    <t>valor_bruto_off_a_mtd</t>
  </si>
  <si>
    <t>valor_bruto_off_p_mtd</t>
  </si>
  <si>
    <t>capital_juro_on_a_mtd</t>
  </si>
  <si>
    <t>capital_juro_on_p_mtd</t>
  </si>
  <si>
    <t>provisao_on_mtd</t>
  </si>
  <si>
    <t>provisao_off_mtd</t>
  </si>
  <si>
    <t>valor_bruto_on_a_ytd</t>
  </si>
  <si>
    <t>valor_bruto_on_p_ytd</t>
  </si>
  <si>
    <t>valor_bruto_off_a_ytd</t>
  </si>
  <si>
    <t>valor_bruto_off_p_ytd</t>
  </si>
  <si>
    <t>capital_juro_on_a_ytd</t>
  </si>
  <si>
    <t>capital_juro_on_p_ytd</t>
  </si>
  <si>
    <t>provisao_on_ytd</t>
  </si>
  <si>
    <t>provisao_off_ytd</t>
  </si>
  <si>
    <t>Y</t>
  </si>
  <si>
    <t>0.000000</t>
  </si>
  <si>
    <t>8017465.480000</t>
  </si>
  <si>
    <t>46843.150000</t>
  </si>
  <si>
    <t>282991.500000</t>
  </si>
  <si>
    <t>2025-08-13 17:07:37.944</t>
  </si>
  <si>
    <t>601416723.290000</t>
  </si>
  <si>
    <t>-16950082.190000</t>
  </si>
  <si>
    <t>-12295134.240000</t>
  </si>
  <si>
    <t>200568263.010000</t>
  </si>
  <si>
    <t>-8653095.890000</t>
  </si>
  <si>
    <t>-6276723.290000</t>
  </si>
  <si>
    <t>9999-12-31</t>
  </si>
  <si>
    <t>518700931.500000</t>
  </si>
  <si>
    <t>1669726.020000</t>
  </si>
  <si>
    <t>6790219.170000</t>
  </si>
  <si>
    <t>19146966.410000</t>
  </si>
  <si>
    <t>2239096.130000</t>
  </si>
  <si>
    <t xml:space="preserve">select * from cd_captools.ct610_titulos where ref_date='${date}' and </t>
  </si>
  <si>
    <t xml:space="preserve">concat(cempresa,cbalcao,cnumecta,zdeposit) in </t>
  </si>
  <si>
    <t>31641600000000000PTSTOFOM0004000',</t>
  </si>
  <si>
    <t>31641600005800007PTSTOCOM0007000'</t>
  </si>
  <si>
    <t>order by concat(cempresa,cbalcao,cnumecta,zdeposit) asc</t>
  </si>
  <si>
    <t>quantidade inferida</t>
  </si>
  <si>
    <t>dt_emissao</t>
  </si>
  <si>
    <t>dt_vencim</t>
  </si>
  <si>
    <t>7.5</t>
  </si>
  <si>
    <t>0.00000</t>
  </si>
  <si>
    <t>7599000.00</t>
  </si>
  <si>
    <t>0.00</t>
  </si>
  <si>
    <t>2025-09-24 12:29:20.455000000</t>
  </si>
  <si>
    <t>SANTANDER TOTTA 3.078 03/06/2028 EUR</t>
  </si>
  <si>
    <t>200000000.00</t>
  </si>
  <si>
    <t>300000000.00</t>
  </si>
  <si>
    <t>OB.SANTANDER TOTTA SGPS 4.063% 30/07/2030</t>
  </si>
  <si>
    <t>OB.SANTANDER TOTTA/2025-EUR500M FIX RATE PERP</t>
  </si>
  <si>
    <t>500000000.00</t>
  </si>
  <si>
    <t>Acao Ordinaria Banco Santander Totta, S.A.</t>
  </si>
  <si>
    <t>6326736.000000;1383690177.000000</t>
  </si>
  <si>
    <t>1256723284.00</t>
  </si>
  <si>
    <t>4.9</t>
  </si>
  <si>
    <t>400000000.00</t>
  </si>
  <si>
    <t>select concat(cempresa,cbalcao,cnumecta,zdeposit), sum(msaldo_final)</t>
  </si>
  <si>
    <t>from</t>
  </si>
  <si>
    <t xml:space="preserve">select * from cd_captools.fr001_univ_saldo where ref_date='${date}' and </t>
  </si>
  <si>
    <t>) fr001</t>
  </si>
  <si>
    <t>inner join</t>
  </si>
  <si>
    <t>(select * from cd_captools.fr802_pl_contas where ref_date='${date}' ) fr802</t>
  </si>
  <si>
    <t>on fr001.ccontab_final_ifrs = fr802.conta</t>
  </si>
  <si>
    <t>fr802.COD_PLANO = 'BST_IND'</t>
  </si>
  <si>
    <t>AND fr001.CCONTAB_FINAL_PCSB NOT LIKE '28%'</t>
  </si>
  <si>
    <t>AND fr802.COMPOSICAO_VALOR = 'juros/rendimentos a receber'</t>
  </si>
  <si>
    <t>AND fr802.TIPO_CONTA = 'A'</t>
  </si>
  <si>
    <t>AND fr802.CARTEIRA_CONTABILISTICA IN ('ativos financeiros ao custo amortizado','ativos financeiros ao justo valor atraves de outro rendimento integral','ativos financeiros ao justo valor atraves de resultados')</t>
  </si>
  <si>
    <t>AND fr802.COMPOSICAO_VALOR = 'juros/encargos a pagar'</t>
  </si>
  <si>
    <t xml:space="preserve">AND fr802.TIPO_CONTA = 'P' </t>
  </si>
  <si>
    <t>AND fr802.CARTEIRA_CONTABILISTICA IN ('passivos financeiros ao custo amortizado')</t>
  </si>
  <si>
    <t>group by 1</t>
  </si>
  <si>
    <t>concat(cempresa, cbalcao, cnumecta, zdeposit)</t>
  </si>
  <si>
    <t>sum(msaldo_final)</t>
  </si>
  <si>
    <t>quantidade</t>
  </si>
  <si>
    <t>515 274,66</t>
  </si>
  <si>
    <t>4 553 753,42</t>
  </si>
  <si>
    <t>2 169 731,51</t>
  </si>
  <si>
    <t>1 836 698,63</t>
  </si>
  <si>
    <t>lt100_agreg_output</t>
  </si>
  <si>
    <t>campo_1</t>
  </si>
  <si>
    <t>campo_2</t>
  </si>
  <si>
    <t>campo_3</t>
  </si>
  <si>
    <t>...</t>
  </si>
  <si>
    <t>campo_100</t>
  </si>
  <si>
    <t>BST_IND</t>
  </si>
  <si>
    <t>lt809_typ_instrmnt</t>
  </si>
  <si>
    <t>lt829_regras_conversao</t>
  </si>
  <si>
    <t>instrmnt_fncr</t>
  </si>
  <si>
    <t>c_typ_instmnt</t>
  </si>
  <si>
    <t>valor_final</t>
  </si>
  <si>
    <t>descritivo_valor_ final</t>
  </si>
  <si>
    <t>Loans other than overdrafts, convenience credit, extended credit, credit card credit, revolving credit other than credit card credit, reverse repurchase agreements, trade receivables and financial leases</t>
  </si>
  <si>
    <t>Revolving credit other than overdrafts and credit card debt</t>
  </si>
  <si>
    <t>Credit lines other than revolving credit</t>
  </si>
  <si>
    <t>Reverse repurchase agreements</t>
  </si>
  <si>
    <t>Trade receivables</t>
  </si>
  <si>
    <t>Overdrafts</t>
  </si>
  <si>
    <t>Credit card debt</t>
  </si>
  <si>
    <t>Financial leases</t>
  </si>
  <si>
    <t>instrumentos de divida</t>
  </si>
  <si>
    <t>Debt securities</t>
  </si>
  <si>
    <t>****</t>
  </si>
  <si>
    <t>Deposits other than reverse repurchase agreements</t>
  </si>
  <si>
    <t>Column1</t>
  </si>
  <si>
    <t>Column2</t>
  </si>
  <si>
    <t>Column3</t>
  </si>
  <si>
    <t>Column4</t>
  </si>
  <si>
    <t>Column5</t>
  </si>
  <si>
    <t>freq</t>
  </si>
  <si>
    <t>freq_traduzida_246</t>
  </si>
  <si>
    <t>freq_traduzida_247</t>
  </si>
  <si>
    <t>freq_traduzida_248</t>
  </si>
  <si>
    <t>freq_traduzida_785</t>
  </si>
  <si>
    <t>tayd91c0_celemtab</t>
  </si>
  <si>
    <t>tayd91c0_gelemtab</t>
  </si>
  <si>
    <t>ANUAL</t>
  </si>
  <si>
    <t>M16</t>
  </si>
  <si>
    <t>16 MESES</t>
  </si>
  <si>
    <t>BIMENSAL</t>
  </si>
  <si>
    <t>SEMESTRAL</t>
  </si>
  <si>
    <t>DIARIO</t>
  </si>
  <si>
    <t>M86</t>
  </si>
  <si>
    <t>MENSAL</t>
  </si>
  <si>
    <t>TRIMESTRAL</t>
  </si>
  <si>
    <t>   SELECT DISTINCT tayd91c0_celemtab, tayd91c0_gelemtab--tayd91c0_celemtab, tayd91c0_gelemtab as freq_traduzida_248</t>
  </si>
  <si>
    <t>M42</t>
  </si>
  <si>
    <t>    FROM cd_estruturais.tat91_tabelas</t>
  </si>
  <si>
    <t>    WHERE data_date_part = (SELECT MAX(data_date_part) FROM cd_estruturais.tat91_tabelas) </t>
  </si>
  <si>
    <t>M14</t>
  </si>
  <si>
    <t>14 MESES</t>
  </si>
  <si>
    <t>    AND tayd91c0_ctabela = '248'</t>
  </si>
  <si>
    <t>8 MESES</t>
  </si>
  <si>
    <t>    AND tayd91c0_gelemtab in ('TRIMESTRAL','SEMESTRAL','MENSAL','DIARIO','BIMENSAL','ANUAL')</t>
  </si>
  <si>
    <t>N05</t>
  </si>
  <si>
    <t>5 ANOS</t>
  </si>
  <si>
    <t xml:space="preserve">   SELECT DISTINCT tayd91c0_celemtab, tayd91c0_gelemtab--tayd91c0_celemtab, tayd91c0_gelemtab as freq_traduzida_248</t>
  </si>
  <si>
    <t xml:space="preserve">    FROM cd_estruturais.tat91_tabelas</t>
  </si>
  <si>
    <t xml:space="preserve">    WHERE data_date_part = (SELECT MAX(data_date_part) FROM cd_estruturais.tat91_tabelas) </t>
  </si>
  <si>
    <t>M70</t>
  </si>
  <si>
    <t xml:space="preserve">    AND tayd91c0_ctabela = '248'</t>
  </si>
  <si>
    <t>M18</t>
  </si>
  <si>
    <t>18 MESES</t>
  </si>
  <si>
    <t xml:space="preserve">    AND tayd91c0_gelemtab in ('TRIMESTRAL','SEMESTRAL','MENSAL','DIARIO','BIMENSAL','ANUAL')</t>
  </si>
  <si>
    <t>M30</t>
  </si>
  <si>
    <t>30 MESES</t>
  </si>
  <si>
    <t>M01</t>
  </si>
  <si>
    <t>1 MES</t>
  </si>
  <si>
    <t>TRES ANOS</t>
  </si>
  <si>
    <t>3 ANOS</t>
  </si>
  <si>
    <t>M02</t>
  </si>
  <si>
    <t>2 MESES</t>
  </si>
  <si>
    <t>48 MESES</t>
  </si>
  <si>
    <t>M07</t>
  </si>
  <si>
    <t>7 MESES</t>
  </si>
  <si>
    <t>M36</t>
  </si>
  <si>
    <t>36 MESES</t>
  </si>
  <si>
    <t>M11</t>
  </si>
  <si>
    <t>11 MESES</t>
  </si>
  <si>
    <t>M06</t>
  </si>
  <si>
    <t>6 MESES</t>
  </si>
  <si>
    <t>15 MESES</t>
  </si>
  <si>
    <t>M85</t>
  </si>
  <si>
    <t>M09</t>
  </si>
  <si>
    <t>9 MESES</t>
  </si>
  <si>
    <t>M08</t>
  </si>
  <si>
    <t>M60</t>
  </si>
  <si>
    <t>M05</t>
  </si>
  <si>
    <t>5 MESES</t>
  </si>
  <si>
    <t>3 MESES</t>
  </si>
  <si>
    <t>M91</t>
  </si>
  <si>
    <t>4 MESES</t>
  </si>
  <si>
    <t>M10</t>
  </si>
  <si>
    <t>10 MESES</t>
  </si>
  <si>
    <t>37 MESES</t>
  </si>
  <si>
    <t>M04</t>
  </si>
  <si>
    <t>4 ANOS</t>
  </si>
  <si>
    <t>M39</t>
  </si>
  <si>
    <t>N01</t>
  </si>
  <si>
    <t>1 ANO</t>
  </si>
  <si>
    <t>VEN</t>
  </si>
  <si>
    <t>M17</t>
  </si>
  <si>
    <t>17 MESES</t>
  </si>
  <si>
    <t>M48</t>
  </si>
  <si>
    <t>96 MESES</t>
  </si>
  <si>
    <t>72 MESES</t>
  </si>
  <si>
    <t>M26</t>
  </si>
  <si>
    <t>26 MESES</t>
  </si>
  <si>
    <t>M72</t>
  </si>
  <si>
    <t>M54</t>
  </si>
  <si>
    <t>M19</t>
  </si>
  <si>
    <t>19 MESES</t>
  </si>
  <si>
    <t>84 MESES</t>
  </si>
  <si>
    <t>M23</t>
  </si>
  <si>
    <t>23 MESES</t>
  </si>
  <si>
    <t>M24</t>
  </si>
  <si>
    <t>24 MESES</t>
  </si>
  <si>
    <t>M99</t>
  </si>
  <si>
    <t>M46</t>
  </si>
  <si>
    <t>M20</t>
  </si>
  <si>
    <t>20 MESES</t>
  </si>
  <si>
    <t>M12</t>
  </si>
  <si>
    <t>12 MESES</t>
  </si>
  <si>
    <t>D07</t>
  </si>
  <si>
    <t>7 DIAS</t>
  </si>
  <si>
    <t>M96</t>
  </si>
  <si>
    <t>M21</t>
  </si>
  <si>
    <t>21 MESES</t>
  </si>
  <si>
    <t>M15</t>
  </si>
  <si>
    <t>M52</t>
  </si>
  <si>
    <t>2 ANOS</t>
  </si>
  <si>
    <t>M13</t>
  </si>
  <si>
    <t>13 MESES</t>
  </si>
  <si>
    <t>M84</t>
  </si>
  <si>
    <t>M22</t>
  </si>
  <si>
    <t>22 MESES</t>
  </si>
  <si>
    <t>M59</t>
  </si>
  <si>
    <t>60 MESES</t>
  </si>
  <si>
    <t>SELECT</t>
  </si>
  <si>
    <t>freq, freq_traduzida_246, freq_traduzida_247, freq_traduzida_248, freq_traduzida_785</t>
  </si>
  <si>
    <t>FROM</t>
  </si>
  <si>
    <t xml:space="preserve"> SELECT DISTINCT cod_freq_taxa_act as freq</t>
  </si>
  <si>
    <t>FROM cd_alm.al029_cnt_core_m</t>
  </si>
  <si>
    <t>WHERE ref_date &gt; '2024'</t>
  </si>
  <si>
    <t xml:space="preserve"> UNION</t>
  </si>
  <si>
    <t>SELECT DISTINCT cod_freq_taxa_pas as freq</t>
  </si>
  <si>
    <t>SELECT DISTINCT cod_freq_amort_capital_act as freq</t>
  </si>
  <si>
    <t xml:space="preserve"> WHERE ref_date &gt; '2024'</t>
  </si>
  <si>
    <t>SELECT DISTINCT cod_freq_amort_capital_pas as freq</t>
  </si>
  <si>
    <t xml:space="preserve"> FROM cd_alm.al029_cnt_core_m</t>
  </si>
  <si>
    <t xml:space="preserve"> SELECT DISTINCT cod_freq_liq_jur_act as freq</t>
  </si>
  <si>
    <t xml:space="preserve"> SELECT DISTINCT cod_freq_liq_jur_pas as freq</t>
  </si>
  <si>
    <t>) as a</t>
  </si>
  <si>
    <t>LEFT JOIN</t>
  </si>
  <si>
    <t xml:space="preserve"> SELECT tayd91c0_celemtab, tayd91c0_gelemtab as freq_traduzida_246</t>
  </si>
  <si>
    <t xml:space="preserve"> FROM cd_estruturais.tat91_tabelas</t>
  </si>
  <si>
    <t xml:space="preserve"> WHERE data_date_part = (SELECT MAX(data_date_part) FROM cd_estruturais.tat91_tabelas)</t>
  </si>
  <si>
    <t xml:space="preserve"> AND tayd91c0_ctabela = '246'</t>
  </si>
  <si>
    <t>) as tat1</t>
  </si>
  <si>
    <t>ON tat1.tayd91c0_celemtab = a.freq</t>
  </si>
  <si>
    <t xml:space="preserve"> SELECT tayd91c0_celemtab, tayd91c0_gelemtab as freq_traduzida_247</t>
  </si>
  <si>
    <t xml:space="preserve"> AND tayd91c0_ctabela = '247'</t>
  </si>
  <si>
    <t>) as tat2</t>
  </si>
  <si>
    <t>ON tat2.tayd91c0_celemtab = a.freq</t>
  </si>
  <si>
    <t xml:space="preserve"> SELECT tayd91c0_celemtab, tayd91c0_gelemtab as freq_traduzida_248</t>
  </si>
  <si>
    <t>FROM cd_estruturais.tat91_tabelas</t>
  </si>
  <si>
    <t>AND tayd91c0_ctabela = '248'</t>
  </si>
  <si>
    <t>) as tat3</t>
  </si>
  <si>
    <t>ON tat3.tayd91c0_celemtab = a.freq</t>
  </si>
  <si>
    <t xml:space="preserve"> SELECT tayd91c0_celemtab, tayd91c0_gelemtab as freq_traduzida_785</t>
  </si>
  <si>
    <t>WHERE data_date_part = (SELECT MAX(data_date_part) FROM cd_estruturais.tat91_tabelas)</t>
  </si>
  <si>
    <t>AND tayd91c0_ctabela = '785'</t>
  </si>
  <si>
    <t>) as tat4</t>
  </si>
  <si>
    <t>ON tat4.tayd91c0_celemtab = a.freq</t>
  </si>
  <si>
    <t>lt8XX_agreg_campos</t>
  </si>
  <si>
    <t xml:space="preserve"> - O campo "conceito" será criado na tabela orquestradora, mas o motor Loan Tape não estará preparado para o consumir.
- Este campo não deverá ser preenchido dado que deixou de ser necessário existir a submissão A mista (não Depósitos a nível granular + Depósitos a nível agregado) e a submissão B (Depósitos a nível granular), existindo apenas uma submissão A com não Depósitos a nível granular.</t>
  </si>
  <si>
    <t>lt8XX_agreg_segmento</t>
  </si>
  <si>
    <t>conceito</t>
  </si>
  <si>
    <t>ind_univ*</t>
  </si>
  <si>
    <t>Comentários</t>
  </si>
  <si>
    <t>row_number</t>
  </si>
  <si>
    <t>X</t>
  </si>
  <si>
    <t>B100</t>
  </si>
  <si>
    <t>Passivo</t>
  </si>
  <si>
    <t>LT005 é necessária devido ao campo relevant amount for bail-in porque tem de estar desagragado</t>
  </si>
  <si>
    <t>Conceito 1 - não DPs</t>
  </si>
  <si>
    <t>instrument_id</t>
  </si>
  <si>
    <t>B200_misto</t>
  </si>
  <si>
    <t>Conceito 2 - DPs</t>
  </si>
  <si>
    <t>new_field_preferential</t>
  </si>
  <si>
    <t>B900_misto</t>
  </si>
  <si>
    <t>insolvency ranking</t>
  </si>
  <si>
    <t>Z</t>
  </si>
  <si>
    <t>B500</t>
  </si>
  <si>
    <t>Ativo</t>
  </si>
  <si>
    <t>Quando cruzar a LT003 com a LT004 por entty_id vs prtctn_prvdr_id</t>
  </si>
  <si>
    <t>amount 1</t>
  </si>
  <si>
    <t>amount 2</t>
  </si>
  <si>
    <t>MOEDA</t>
  </si>
  <si>
    <t>valor(XXX)</t>
  </si>
  <si>
    <t>dtprox_apag</t>
  </si>
  <si>
    <t>dtProx</t>
  </si>
  <si>
    <t>valor(0001-01-01)</t>
  </si>
  <si>
    <t>categoria</t>
  </si>
  <si>
    <t>entity_id</t>
  </si>
  <si>
    <t>lei</t>
  </si>
  <si>
    <t>counterparty_type</t>
  </si>
  <si>
    <t>Exemplo 1:</t>
  </si>
  <si>
    <t>Exemplo 2:</t>
  </si>
  <si>
    <t>Exemplo 3:</t>
  </si>
  <si>
    <t>Resultado query Clientes cl001</t>
  </si>
  <si>
    <t>fr001</t>
  </si>
  <si>
    <t>fr802</t>
  </si>
  <si>
    <t>ct610</t>
  </si>
  <si>
    <t>cl001</t>
  </si>
  <si>
    <t>sum(fr001.msaldo_final)</t>
  </si>
  <si>
    <t>cbalcao_tit</t>
  </si>
  <si>
    <t>crelacao_cl_cnt</t>
  </si>
  <si>
    <t>csequencia_rel</t>
  </si>
  <si>
    <t>dini_relacao</t>
  </si>
  <si>
    <t>dfim_relacao</t>
  </si>
  <si>
    <t>tipo_produto</t>
  </si>
  <si>
    <t>7875374.580000</t>
  </si>
  <si>
    <t>-12140314.524362</t>
  </si>
  <si>
    <t>00001</t>
  </si>
  <si>
    <t>SIGOM</t>
  </si>
  <si>
    <t>servdlakep</t>
  </si>
  <si>
    <t>2025-04-01 10:34:15.864</t>
  </si>
  <si>
    <t>2025-03-31</t>
  </si>
  <si>
    <t>-147618306.971622</t>
  </si>
  <si>
    <t>1532391329.085984</t>
  </si>
  <si>
    <t>400000000.000000</t>
  </si>
  <si>
    <t>615280372.600000</t>
  </si>
  <si>
    <t>207645720.550000</t>
  </si>
  <si>
    <t>300000000.000000</t>
  </si>
  <si>
    <t>513636095.890000</t>
  </si>
  <si>
    <t xml:space="preserve">query Clientes cl001: </t>
  </si>
  <si>
    <t>select distinct *</t>
  </si>
  <si>
    <t xml:space="preserve">query lei lt003 para os zcliente_investidor: </t>
  </si>
  <si>
    <t xml:space="preserve">select distinct entty_id, lei, ambito from cd_loan_tapes_bce.lt003_entity where ref_date='${ref_date}' and entty_id in </t>
  </si>
  <si>
    <t>('0000003686','5100011001','0000000000')</t>
  </si>
  <si>
    <t xml:space="preserve">fr001.cempresa,fr001.cbalcao,fr001.cnumecta,fr001.zdeposit, fr001.zcliente, fr802.tipo_conta, ct610.rank_insolv, ct610.zcliente_emitente, ct610.zcliente_investidor, </t>
  </si>
  <si>
    <t>Resultado:</t>
  </si>
  <si>
    <t xml:space="preserve">  (SELECT cempresa,cbalcao,cnumecta,zdeposit,ccontab_final_ifrs, zcliente, msaldo_final</t>
  </si>
  <si>
    <t>5493006QMFDDMYWIAM13</t>
  </si>
  <si>
    <t>PM</t>
  </si>
  <si>
    <t xml:space="preserve">   FROM cd_captools.fr001_univ_saldo</t>
  </si>
  <si>
    <t xml:space="preserve">   WHERE ref_date ='${ref_date}'</t>
  </si>
  <si>
    <t xml:space="preserve">  ) fr001</t>
  </si>
  <si>
    <t xml:space="preserve">query lei ct003 para os zcliente_investidor: </t>
  </si>
  <si>
    <t>INNER JOIN</t>
  </si>
  <si>
    <t xml:space="preserve">select distinct zcliente, clei from cd_captools.ct003_univ_cli where ref_date='${ref_date}' and  zcliente in </t>
  </si>
  <si>
    <t xml:space="preserve">  (SELECT *</t>
  </si>
  <si>
    <t>FROM cd_captools.fr802_pl_contas WHERE ref_date = '${ref_date}' AND cod_plano = 'BST_IND' AND tipo_conta in ('P','C')) AS fr802</t>
  </si>
  <si>
    <t xml:space="preserve">  ON fr001.ccontab_final_ifrs = fr802.conta</t>
  </si>
  <si>
    <t>clei</t>
  </si>
  <si>
    <t xml:space="preserve">  (SELECT * FROM cd_captools.ct610_titulos where ref_date ='${ref_date}' and rank_insolv in('1','2','3','4','5','6','7','8')) ct610</t>
  </si>
  <si>
    <t xml:space="preserve">  ON concat(fr001.cempresa, fr001.cbalcao, fr001.cnumecta, fr001.zdeposit) = concat(ct610.cempresa, ct610.cbalcao, ct610.cnumecta, ct610.zdeposit)</t>
  </si>
  <si>
    <t>group by 1,2,3,4,5,6, 7,8,9</t>
  </si>
  <si>
    <t>order by fr001.cempresa,fr001.cbalcao,fr001.cnumecta,fr001.zdeposit</t>
  </si>
  <si>
    <t>) univ_passivo</t>
  </si>
  <si>
    <t>left join</t>
  </si>
  <si>
    <t>--(select * from cd_captools.kt_chaves_finrep where ref_date = '${ref_date}') kt_chaves_finrep</t>
  </si>
  <si>
    <t xml:space="preserve">--ON concat(univ_passivo.cempresa, univ_passivo.cbalcao, univ_passivo.cnumecta, univ_passivo.zdeposit) = </t>
  </si>
  <si>
    <t>--concat(kt_chaves_finrep.cempresa_fr, kt_chaves_finrep.cbalcao_fr, kt_chaves_finrep.cnumecta_fr, kt_chaves_finrep.zdeposit_fr)</t>
  </si>
  <si>
    <t xml:space="preserve">(SELECT * FROM cd_clientes.cl001_interv_cto where ref_date = '${ref_date}') cl001 </t>
  </si>
  <si>
    <t xml:space="preserve">ON concat(univ_passivo.cempresa, univ_passivo.cbalcao, univ_passivo.cnumecta, univ_passivo.zdeposit) = </t>
  </si>
  <si>
    <t>concat(cl001.cempresa, cl001.cbalcao, cl001.cnumecta, cl001.zdeposit)</t>
  </si>
  <si>
    <t>typ_instrmnt do Guia Corporativo</t>
  </si>
  <si>
    <t>input AL029</t>
  </si>
  <si>
    <t>input EPT08_PRESTACOES</t>
  </si>
  <si>
    <t>usar os mesmos codigos PYMNT_FRQNCY_NA</t>
  </si>
  <si>
    <t>Code</t>
  </si>
  <si>
    <t>DT_NXT_INTRST_RT_RST (LT002)
INTRST_RT_RST_NA (LT803)</t>
  </si>
  <si>
    <t>INTRST_RT_RST_FRQNCY (LT002)
INTRST_RT_RST_NA (LT803)</t>
  </si>
  <si>
    <t>PYMNT_FRQNCY (LT002)
PYMNT_FRQNCY_NA (LT803)</t>
  </si>
  <si>
    <t>RCVD_INTRST_24M (LT002)
AMRTSTN_INTRST_PAYMENTS (LT803)</t>
  </si>
  <si>
    <t>igual ao campo à esquerda dado que usam o mesmo campo:  INTRST_RT_RST_NA</t>
  </si>
  <si>
    <t>Concept Not applicable</t>
  </si>
  <si>
    <t>Finance leases</t>
  </si>
  <si>
    <t>DT_NXT_ RDMPTN_PYMNT</t>
  </si>
  <si>
    <t>Loans other than overdrafts, convenience credit, extended credit, credit card credit, revolving credit other than credit card credit, reverse repurchase agreements, trade receivables and financial leases.</t>
  </si>
  <si>
    <t>Significa  que o typ_instrmnt é aplicável</t>
  </si>
  <si>
    <t>Debt Securities</t>
  </si>
  <si>
    <t>Guarantees</t>
  </si>
  <si>
    <t>FX</t>
  </si>
  <si>
    <t>Derivatives</t>
  </si>
  <si>
    <t>Equity</t>
  </si>
  <si>
    <t>Fixed Income</t>
  </si>
  <si>
    <t>Repo</t>
  </si>
  <si>
    <t>Secutiry Lending</t>
  </si>
  <si>
    <t>Cash Flow Matching</t>
  </si>
  <si>
    <t>Structured Product</t>
  </si>
  <si>
    <t>Commodity</t>
  </si>
  <si>
    <t>Securities Depository / Custody</t>
  </si>
  <si>
    <t>Exchange-traded securities</t>
  </si>
  <si>
    <t>Correspondents</t>
  </si>
  <si>
    <t>Securitization</t>
  </si>
  <si>
    <t>Insurance</t>
  </si>
  <si>
    <t>Spot</t>
  </si>
  <si>
    <t>Collateral Related with global markets business</t>
  </si>
  <si>
    <t>Other</t>
  </si>
  <si>
    <t>SELECT * FROM cd_loan_tapes_bce.lt803_codigos_lt WHERE ref_date = '2025-06-30' AND campo_lt= 'INTRST_RT_RST_NA'</t>
  </si>
  <si>
    <t>INTRST_RT_RST_NA</t>
  </si>
  <si>
    <t>2025-08-05 22:05:15.848</t>
  </si>
  <si>
    <t>SELECT * FROM cd_loan_tapes_bce.lt803_codigos_lt WHERE ref_date = '2025-06-30' AND campo_lt= 'PYMNT_FRQNCY_NA';</t>
  </si>
  <si>
    <t>PYMNT_FRQNCY_NA</t>
  </si>
  <si>
    <t>SELECT * FROM cd_loan_tapes_bce.lt803_codigos_lt WHERE ref_date = '2025-06-30' AND campo_lt ='AMRTSTN_INTRST_PAYMENTS';</t>
  </si>
  <si>
    <t>AMRTSTN_INTRST_PAYMENTS</t>
  </si>
  <si>
    <t>GRACE_PERIOD</t>
  </si>
  <si>
    <t>select * from cd_loan_tapes_bce.lt831_param_conceitos where ref_date = '2025-06-30' AND campo_conceito='amrtstn_intrst_payments'</t>
  </si>
  <si>
    <t>Estados possiveis</t>
  </si>
  <si>
    <t>Estados de desenvolvimento possiveis</t>
  </si>
  <si>
    <t>Sim,montante</t>
  </si>
  <si>
    <t>Sim, segundo SRB</t>
  </si>
  <si>
    <t>?</t>
  </si>
  <si>
    <t>Pedro Mendes</t>
  </si>
  <si>
    <t>N/A - para non-resolution entities (segundo SRB)</t>
  </si>
  <si>
    <t>Campo de montante</t>
  </si>
  <si>
    <t>Simulação do Universo de Contratos de Títulos da B02.00:</t>
  </si>
  <si>
    <t>fr001.cempresa,fr001.cbalcao,fr001.cnumecta,fr001.zdeposit, fr802.tipo_conta, ct610.rank_insolv, sum(fr001.msaldo_final)</t>
  </si>
  <si>
    <t xml:space="preserve">  (SELECT cempresa,cbalcao,cnumecta,zdeposit,ccontab_final_ifrs, msaldo_final</t>
  </si>
  <si>
    <t xml:space="preserve">   WHERE ref_date ='${date}'</t>
  </si>
  <si>
    <t>FROM cd_captools.fr802_pl_contas WHERE ref_date = '${date}' AND cod_plano = 'BST_IND' AND tipo_conta in ('P','C')) AS fr802</t>
  </si>
  <si>
    <t xml:space="preserve">  (SELECT * FROM cd_captools.ct610_titulos where ref_date ='${date}' and rank_insolv in('1','2','3','4','5','6','7','8')) ct610</t>
  </si>
  <si>
    <t>group by 1,2,3,4,5,6</t>
  </si>
  <si>
    <t>Simulação do Universo de Contratos/Responsabilidades que constarão na lt002 associados às Garantias Intragrupo (ou seja os registos que terão flag_gar_intrg_san=1)</t>
  </si>
  <si>
    <t xml:space="preserve">SELECT DISTINCT fr001.chave_fr </t>
  </si>
  <si>
    <t xml:space="preserve">  (SELECT concat(cempresa,cbalcao,cnumecta,zdeposit) AS chave_fr</t>
  </si>
  <si>
    <t xml:space="preserve">   WHERE ref_date = '${date}') fr001</t>
  </si>
  <si>
    <t xml:space="preserve">  (SELECT concat(cempresa_fr,cbalcao_fr,cnumecta_fr,zdeposit_fr) AS chave_fr,</t>
  </si>
  <si>
    <t xml:space="preserve">          concat(cempresa,cbalcao,cnumecta,zdeposit) AS chave_ics</t>
  </si>
  <si>
    <t xml:space="preserve">   FROM cd_captools.kt_chaves_finrep</t>
  </si>
  <si>
    <t xml:space="preserve">   WHERE ref_date = '${date}') kt_fr ON fr001.chave_fr = kt_fr.chave_fr</t>
  </si>
  <si>
    <t xml:space="preserve">  (SELECT concat(cempresp,ckbalres,ckctares,ckrefresp) AS chave_ics,</t>
  </si>
  <si>
    <t xml:space="preserve">          *</t>
  </si>
  <si>
    <t xml:space="preserve">   FROM cd_garantias.gt018_rateio_aval</t>
  </si>
  <si>
    <t xml:space="preserve">   WHERE tipologia = 'PES'</t>
  </si>
  <si>
    <t xml:space="preserve">     AND ref_date = '${date}') gt018 ON gt018.chave_ics = kt_fr.chave_ics</t>
  </si>
  <si>
    <t xml:space="preserve">   FROM cd_captools.clientes_intragrupo</t>
  </si>
  <si>
    <t xml:space="preserve">   WHERE data_date_part = '${date}') intragrupo ON gt018.zcliente_garante = intragrupo.zcliente</t>
  </si>
  <si>
    <t xml:space="preserve">   FROM cd_captools.perimetro</t>
  </si>
  <si>
    <t xml:space="preserve">   WHERE espanha_ifrs IN ('x',</t>
  </si>
  <si>
    <t xml:space="preserve">                          'B')</t>
  </si>
  <si>
    <t xml:space="preserve">     AND cod_soc_cpus &lt;&gt; '00100'</t>
  </si>
  <si>
    <t xml:space="preserve">     AND data_date_part = '${date}') perimetro ON intragrupo.consoles = perimetro.cod_espana </t>
  </si>
  <si>
    <t>Temos 3 casuísticas:</t>
  </si>
  <si>
    <t>- Faturas de Factoring (Empresa 89) -&gt; só tem 1 contrato distinto (distinct cbalcao, cnumecta  sem zdeposit)</t>
  </si>
  <si>
    <t xml:space="preserve">- Produto 096 </t>
  </si>
  <si>
    <t>- Produto 097</t>
  </si>
  <si>
    <t>Para preencher a B05.00 (old):</t>
  </si>
  <si>
    <t xml:space="preserve"> ---Universo que consta na lt004_protection:</t>
  </si>
  <si>
    <t xml:space="preserve">   FROM cd_loan_tapes_bce.lt004_protection</t>
  </si>
  <si>
    <t xml:space="preserve">   WHERE ref_date= '${date}'</t>
  </si>
  <si>
    <t xml:space="preserve">     AND ambito='SRB_MBDT'</t>
  </si>
  <si>
    <t xml:space="preserve">     AND segmento='ESTR'</t>
  </si>
  <si>
    <t xml:space="preserve">     AND entidade='00100') lt004</t>
  </si>
  <si>
    <t>----Filtro hard-coded (fora do Loan Tape) para considerar apenas as garantias associadas aos clientes intragrupo Santander:</t>
  </si>
  <si>
    <t xml:space="preserve">   WHERE data_date_part = '${date}') intragrupo ON lt004.prtctn_prvdr_id = intragrupo.zcliente</t>
  </si>
  <si>
    <t xml:space="preserve">     AND data_date_part = '${date}') perimetro ON intragrupo.consoles = perimetro.cod_espana ;</t>
  </si>
  <si>
    <t>OLD: Query Simulação Universo Títulos:</t>
  </si>
  <si>
    <t xml:space="preserve">SELECT </t>
  </si>
  <si>
    <t xml:space="preserve">     AND cempresa IN ('31','82','89') </t>
  </si>
  <si>
    <t xml:space="preserve">  </t>
  </si>
  <si>
    <t>FROM cd_captools.fr802_pl_contas WHERE ref_date = '${ref_date}' AND cod_plano = 'BST_IND'</t>
  </si>
  <si>
    <t xml:space="preserve">     AND </t>
  </si>
  <si>
    <t xml:space="preserve">     ( </t>
  </si>
  <si>
    <t xml:space="preserve">        --Para a totalidade da sheet F01.02 do FINREP (Passivo):</t>
  </si>
  <si>
    <t xml:space="preserve">        tipo_conta in ('P') </t>
  </si>
  <si>
    <t xml:space="preserve">        OR</t>
  </si>
  <si>
    <t xml:space="preserve">        --Para parte da sheet F01.03 do FINREP (Equity):</t>
  </si>
  <si>
    <t xml:space="preserve">            --Paid up capital (0020):</t>
  </si>
  <si>
    <t xml:space="preserve">            (tipo_conta='C' AND carteira_contabilistica='capital' AND instrumento_financeiro='instrumentos de capital')</t>
  </si>
  <si>
    <t xml:space="preserve">            OR</t>
  </si>
  <si>
    <t xml:space="preserve">            --Other equity instruments issued (0070):</t>
  </si>
  <si>
    <t xml:space="preserve">            (tipo_conta='C' AND carteira_contabilistica='outros instrumentos de capital' AND instrumento_financeiro='instrumentos de capital')</t>
  </si>
  <si>
    <t xml:space="preserve">            --(-) Treasury shares (0240):</t>
  </si>
  <si>
    <t xml:space="preserve">            (tipo_conta='C'  AND carteira_contabilistica='acoes proprias') </t>
  </si>
  <si>
    <t xml:space="preserve">     )</t>
  </si>
  <si>
    <t xml:space="preserve">  ) AS fr802 </t>
  </si>
  <si>
    <t>Especificação "Outstanding principal amount" da lt005_instr_ent (otstndng_prncpl_amnt):</t>
  </si>
  <si>
    <t>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t>
  </si>
  <si>
    <t>Especificação "Outstanding principal amount" da B02.00 (0080_otstndng_prncpl_amnt):</t>
  </si>
  <si>
    <t xml:space="preserve">Soma "otstndng_prncpl_amnt"  -  Soma "portion_amnt_rprtng_entty", por cada instrmnt_id da lt005_instr_ent
</t>
  </si>
  <si>
    <t>Especificação "Portion of instrument or liability held by the reporting entity" da lt005_instr_ent (prtn_amnt_rprtng_entty):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</si>
  <si>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t>
  </si>
  <si>
    <t>Especificação "Portion of instrument or liability held by the reporting entity" da B02.00 (0090_prtn_amnt_rprtng_entty):</t>
  </si>
  <si>
    <t xml:space="preserve">Soma "prtn_amnt_rprtng_entty", por cada instrmnt_id da lt005_instr_ent
</t>
  </si>
  <si>
    <t>Especificação "Accrued interest" da lt005_instr_ent (accrd_intrst_instrmnt):</t>
  </si>
  <si>
    <t>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t>
  </si>
  <si>
    <t>Especificação "Accrued interest" da B02.00 (0100_accrd_intrst_instrmnt):</t>
  </si>
  <si>
    <t xml:space="preserve">Soma "accrd_intrst_instrmnt", por cada instrmnt_id da lt005_instr_ent
</t>
  </si>
  <si>
    <t>Especificação "Outstanding amount" da B02.00 (0120_otstndng_amnt ):</t>
  </si>
  <si>
    <t>0080_otstndng_prncpl_amnt + 0100_accrd_intrst_instrmnt + 0110_applcbl_fees_charges</t>
  </si>
  <si>
    <t>Especificação "Relevant amount for WDC" da B02.00 (0130_rlvnt_amnt_wdc):</t>
  </si>
  <si>
    <t>0120_otstndng_amnt</t>
  </si>
  <si>
    <t>Especificação "Relevant amount for WDC" da B90.00 (0100_rlvnt_amnt_wdc):</t>
  </si>
  <si>
    <t>Para cada "entty_id" (de um determinado "instrmnt_id") da lt005_instr_ent, calcular: "otstndng_prncpl_amnt"  -  "prtn_amnt_rprtng_entty"  +  "accrd_intrst_instrmnt"</t>
  </si>
  <si>
    <t>ct610_titulos:</t>
  </si>
  <si>
    <t>Query:</t>
  </si>
  <si>
    <t xml:space="preserve">select  concat(cempresa,cbalcao,cnumecta,zdeposit), zcliente_emitente, zcliente_investidor, nom_tot_inic,nom_tot_ini_investe, nom_tot_atual, pool_factor, nom_unit_atual </t>
  </si>
  <si>
    <t>7599000.000000</t>
  </si>
  <si>
    <t>1.0000000000000</t>
  </si>
  <si>
    <t>from cd_captools.ct610_titulos where ref_date='${date}' and concat(cempresa,cbalcao,cnumecta,zdeposit) in</t>
  </si>
  <si>
    <t>('31641600000000000PTSTOGOM0003000',</t>
  </si>
  <si>
    <t>200000000.000000</t>
  </si>
  <si>
    <t>500000000.000000</t>
  </si>
  <si>
    <t>1391779674.000000</t>
  </si>
  <si>
    <t>31641600000000000PTSTOFOM0004000') order by concat(cempresa, cbalcao, cnumecta, zdeposit)</t>
  </si>
  <si>
    <t>Simulação do novo acrrued_interest</t>
  </si>
  <si>
    <t>otstndng_prncpl_amnt
(não retira o "Portion of instrument or liability held by the reporting entity")</t>
  </si>
  <si>
    <t xml:space="preserve">prtn_amnt_rprtng_entty
(Portion of instrument or liability held by the reporting entity) </t>
  </si>
  <si>
    <t>accrd_intrst_instrmnt</t>
  </si>
  <si>
    <t xml:space="preserve">select instrmnt_id, entty_id from cd_loan_tapes_bce,lt005_instr_ent where ref_date='${date}' and instrmnt_id in </t>
  </si>
  <si>
    <t>31641600000000000PTSTOFOM0004000') order by instrmnt_id</t>
  </si>
  <si>
    <t>B02.00</t>
  </si>
  <si>
    <t>0020_uniq_id</t>
  </si>
  <si>
    <t>0080_otstndng_prncpl_amnt
(retira o "Portion of instrument or liability held by the reporting entity")</t>
  </si>
  <si>
    <t>0090_prtn_amnt_rprtng_entty
(Portion of instrument or liability held by the reporting entity)</t>
  </si>
  <si>
    <t>0100_accrd_intrst_instrmnt</t>
  </si>
  <si>
    <t>0110_applcbl_fees_charges</t>
  </si>
  <si>
    <t xml:space="preserve">0120_otstndng_amnt </t>
  </si>
  <si>
    <t>0130_rlvnt_amnt_wdc</t>
  </si>
  <si>
    <t>0050_orgnl_amnt_eur
(vem do nom_tot_inic)</t>
  </si>
  <si>
    <t>0610_crryng_amnt_ifrs</t>
  </si>
  <si>
    <t>Denomination / Nominal value per security in EUR (0370)
amnt_scrty_eur</t>
  </si>
  <si>
    <t>0390_nmbr_scrts_not_rprtng_entty</t>
  </si>
  <si>
    <t>0391_nmbr_scrts_rprtng_entty</t>
  </si>
  <si>
    <t>0400_accrd_intrst_scrty</t>
  </si>
  <si>
    <t>B90.00</t>
  </si>
  <si>
    <t>0020_uniq_id_knwn_cntrprty
(Unique identification number (known to the counterparty))</t>
  </si>
  <si>
    <t>0070_cntrprty_id
(Internal identifier of the counterparty)</t>
  </si>
  <si>
    <t>0100_rlvnt_amnt_wdc 
(na fórmula não se está a somar o Applicable fees and charges)</t>
  </si>
  <si>
    <t>Outstanding principal amount, Accrued interest, Portion of instrument or liability held by the reporting entity vão ser aplicáveis apenas a Títulos e vão ser criados na lt005 (na lt002 mantém-se o Accrued interest):
flag_inst_titulos= 1: 
flag_inst_titulos= 0: Not applicable 
Nota:
- É só aplicável para Títulos porque se fosse expandido para outros Produtos, teria que se ter em atenção a distribuição pelos titulares (Por exemplo nos depósitos),
- A soma do montante dos vários Titulares: (ex: 50,000 e 500,000) da lt005 terá de dar igual ao valor que consta na lt002 (ex: 550,000)
- O Portion of instrument or liability held by the reporting entity não é pedido na B90,00 contudo como é "irmão" do Outstanding principal amount, faz sentido colocar-se também na lt005 já que se vai colocar o Outstanding principal amount na lt005,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</si>
</sst>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47">
    <font>
      <sz val="10"/>
      <color theme="1"/>
      <name val="Santander Text"/>
      <family val="2"/>
    </font>
    <font>
      <sz val="11"/>
      <color theme="1"/>
      <name val="Calibri"/>
      <family val="2"/>
      <scheme val="minor"/>
    </font>
    <font>
      <b/>
      <sz val="10"/>
      <color rgb="FFFFFFFF"/>
      <name val="Santander Text"/>
      <family val="2"/>
    </font>
    <font>
      <b/>
      <sz val="11"/>
      <color theme="1"/>
      <name val="Calibri"/>
      <family val="2"/>
      <scheme val="minor"/>
    </font>
    <font>
      <sz val="11"/>
      <color theme="0"/>
      <name val="Calibri"/>
      <family val="2"/>
      <scheme val="minor"/>
    </font>
    <font>
      <b/>
      <sz val="10"/>
      <color theme="1"/>
      <name val="Santander Text"/>
      <family val="2"/>
    </font>
    <font>
      <sz val="11"/>
      <color rgb="FF000000"/>
      <name val="Calibri"/>
      <family val="2"/>
    </font>
    <font>
      <b/>
      <sz val="11"/>
      <color rgb="FFFFFFFF"/>
      <name val="Calibri"/>
      <family val="2"/>
    </font>
    <font>
      <b/>
      <sz val="11"/>
      <color rgb="FF000000"/>
      <name val="Calibri"/>
      <family val="2"/>
    </font>
    <font>
      <sz val="10"/>
      <color rgb="FF000000"/>
      <name val="Calibri"/>
      <family val="2"/>
    </font>
    <font>
      <sz val="10"/>
      <color theme="1"/>
      <name val="Calibri"/>
      <family val="2"/>
      <scheme val="minor"/>
    </font>
    <font>
      <sz val="10"/>
      <color rgb="FFFF0000"/>
      <name val="Calibri"/>
      <family val="2"/>
    </font>
    <font>
      <b/>
      <sz val="10"/>
      <name val="Calibri"/>
      <family val="2"/>
      <scheme val="minor"/>
    </font>
    <font>
      <sz val="10"/>
      <name val="Calibri"/>
      <family val="2"/>
      <scheme val="minor"/>
    </font>
    <font>
      <sz val="10"/>
      <color theme="1"/>
      <name val="Calibri"/>
      <family val="2"/>
    </font>
    <font>
      <sz val="10"/>
      <name val="Calibri"/>
      <family val="2"/>
    </font>
    <font>
      <sz val="10"/>
      <color rgb="FF000000"/>
      <name val="Santander Text"/>
      <family val="2"/>
    </font>
    <font>
      <sz val="11"/>
      <color rgb="FF242424"/>
      <name val="Aptos Narrow"/>
      <family val="2"/>
    </font>
    <font>
      <b/>
      <sz val="10"/>
      <color theme="1"/>
      <name val="Calibri"/>
      <family val="2"/>
      <scheme val="minor"/>
    </font>
    <font>
      <sz val="10"/>
      <color rgb="FFFF0000"/>
      <name val="Santander Text"/>
      <family val="2"/>
    </font>
    <font>
      <sz val="10"/>
      <color rgb="FFFF0000"/>
      <name val="Calibri"/>
      <family val="2"/>
      <scheme val="minor"/>
    </font>
    <font>
      <i/>
      <sz val="11"/>
      <color theme="1"/>
      <name val="Calibri"/>
      <family val="2"/>
      <charset val="1"/>
    </font>
    <font>
      <sz val="11"/>
      <color theme="1"/>
      <name val="Santander Text"/>
      <family val="2"/>
    </font>
    <font>
      <b/>
      <sz val="10"/>
      <color rgb="FF000000"/>
      <name val="Santander Text"/>
      <family val="2"/>
    </font>
    <font>
      <b/>
      <sz val="10"/>
      <color theme="5"/>
      <name val="Santander Text"/>
      <family val="2"/>
    </font>
    <font>
      <b/>
      <sz val="10"/>
      <color rgb="FFFF0000"/>
      <name val="Santander Text"/>
      <family val="2"/>
    </font>
    <font>
      <sz val="10"/>
      <color rgb="FF000000"/>
      <name val="Santander Text"/>
      <family val="2"/>
      <charset val="1"/>
    </font>
    <font>
      <b/>
      <sz val="11"/>
      <color theme="1"/>
      <name val="Santander Text"/>
      <family val="2"/>
    </font>
    <font>
      <sz val="10"/>
      <color theme="1"/>
      <name val="Cambria"/>
      <family val="1"/>
    </font>
    <font>
      <sz val="11"/>
      <color theme="1"/>
      <name val="Calibri"/>
      <family val="2"/>
    </font>
    <font>
      <sz val="10"/>
      <color theme="1"/>
      <name val="Santander Text"/>
      <family val="2"/>
    </font>
    <font>
      <i/>
      <sz val="10"/>
      <color rgb="FF000000"/>
      <name val="Santander Text"/>
      <family val="2"/>
    </font>
    <font>
      <strike/>
      <sz val="10"/>
      <color rgb="FF000000"/>
      <name val="Calibri"/>
      <family val="2"/>
    </font>
    <font>
      <b/>
      <sz val="10"/>
      <color theme="1"/>
      <name val="Santander Text"/>
      <family val="2"/>
    </font>
    <font>
      <sz val="8"/>
      <name val="Arial"/>
      <family val="2"/>
    </font>
    <font>
      <b/>
      <sz val="10"/>
      <color theme="1"/>
      <name val="Calibri"/>
      <family val="2"/>
      <charset val="1"/>
    </font>
    <font>
      <sz val="10"/>
      <color theme="1"/>
      <name val="Calibri"/>
      <family val="2"/>
      <charset val="1"/>
    </font>
    <font>
      <sz val="10"/>
      <color rgb="FF000000"/>
      <name val="Calibri"/>
      <family val="2"/>
      <charset val="1"/>
    </font>
    <font>
      <sz val="11"/>
      <color theme="1"/>
      <name val="Calibri"/>
      <family val="2"/>
      <charset val="1"/>
    </font>
    <font>
      <sz val="11"/>
      <color rgb="FF242424"/>
      <name val="Calibri"/>
      <family val="2"/>
      <charset val="1"/>
    </font>
    <font>
      <b/>
      <sz val="8"/>
      <name val="Arial"/>
      <family val="2"/>
    </font>
    <font>
      <sz val="7"/>
      <color rgb="FF000000"/>
      <name val="Times New Roman"/>
      <family val="1"/>
    </font>
    <font>
      <sz val="11"/>
      <color rgb="FF000000"/>
      <name val="Calibri"/>
      <family val="2"/>
      <charset val="1"/>
    </font>
    <font>
      <b/>
      <sz val="10"/>
      <color rgb="FF000000"/>
      <name val="Calibri"/>
      <family val="2"/>
    </font>
    <font>
      <sz val="16"/>
      <color theme="8"/>
      <name val="Santander Text"/>
      <family val="2"/>
    </font>
    <font>
      <sz val="10"/>
      <color rgb="FF000000"/>
      <name val="Santander Text"/>
    </font>
    <font>
      <i/>
      <sz val="10"/>
      <color rgb="FF000000"/>
      <name val="Santander Text"/>
    </font>
  </fonts>
  <fills count="30">
    <fill>
      <patternFill patternType="none"/>
    </fill>
    <fill>
      <patternFill patternType="gray125"/>
    </fill>
    <fill>
      <patternFill patternType="solid">
        <fgColor rgb="FFFF0000"/>
        <bgColor indexed="64"/>
      </patternFill>
    </fill>
    <fill>
      <patternFill patternType="solid">
        <fgColor theme="6"/>
        <bgColor indexed="64"/>
      </patternFill>
    </fill>
    <fill>
      <patternFill patternType="solid">
        <fgColor theme="6" tint="0.79998168889431442"/>
        <bgColor indexed="64"/>
      </patternFill>
    </fill>
    <fill>
      <patternFill patternType="solid">
        <fgColor theme="0"/>
        <bgColor indexed="64"/>
      </patternFill>
    </fill>
    <fill>
      <patternFill patternType="solid">
        <fgColor rgb="FFC0504D"/>
        <bgColor rgb="FFC0504D"/>
      </patternFill>
    </fill>
    <fill>
      <patternFill patternType="solid">
        <fgColor rgb="FFF2DCDB"/>
        <bgColor rgb="FFF2DCDB"/>
      </patternFill>
    </fill>
    <fill>
      <patternFill patternType="solid">
        <fgColor rgb="FF4F81BD"/>
        <bgColor rgb="FF4F81BD"/>
      </patternFill>
    </fill>
    <fill>
      <patternFill patternType="solid">
        <fgColor rgb="FFDCE6F1"/>
        <bgColor rgb="FFDCE6F1"/>
      </patternFill>
    </fill>
    <fill>
      <patternFill patternType="solid">
        <fgColor rgb="FFEBE7E7"/>
      </patternFill>
    </fill>
    <fill>
      <patternFill patternType="solid">
        <fgColor theme="0" tint="-0.249977111117893"/>
        <bgColor indexed="64"/>
      </patternFill>
    </fill>
    <fill>
      <patternFill patternType="solid">
        <fgColor theme="4" tint="0.39997558519241921"/>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rgb="FFBFBFBF"/>
        <bgColor rgb="FF000000"/>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5"/>
        <bgColor indexed="64"/>
      </patternFill>
    </fill>
    <fill>
      <patternFill patternType="solid">
        <fgColor rgb="FFD0CECE"/>
        <bgColor indexed="64"/>
      </patternFill>
    </fill>
    <fill>
      <patternFill patternType="solid">
        <fgColor rgb="FFD9D9D9"/>
        <bgColor rgb="FF000000"/>
      </patternFill>
    </fill>
    <fill>
      <patternFill patternType="solid">
        <fgColor rgb="FFFFFF00"/>
        <bgColor rgb="FF000000"/>
      </patternFill>
    </fill>
    <fill>
      <patternFill patternType="solid">
        <fgColor rgb="FF00B0F0"/>
        <bgColor indexed="64"/>
      </patternFill>
    </fill>
  </fills>
  <borders count="113">
    <border>
      <left/>
      <right/>
      <top/>
      <bottom/>
      <diagonal/>
    </border>
    <border>
      <left/>
      <right style="medium">
        <color rgb="FFD9D9D9"/>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thin">
        <color indexed="64"/>
      </top>
      <bottom style="thin">
        <color indexed="64"/>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indexed="64"/>
      </left>
      <right style="medium">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rgb="FFDA9694"/>
      </left>
      <right/>
      <top style="thin">
        <color rgb="FFDA9694"/>
      </top>
      <bottom style="thin">
        <color rgb="FFDA9694"/>
      </bottom>
      <diagonal/>
    </border>
    <border>
      <left/>
      <right/>
      <top style="thin">
        <color rgb="FFDA9694"/>
      </top>
      <bottom style="thin">
        <color rgb="FFDA9694"/>
      </bottom>
      <diagonal/>
    </border>
    <border>
      <left/>
      <right style="thin">
        <color rgb="FFDA9694"/>
      </right>
      <top style="thin">
        <color rgb="FFDA9694"/>
      </top>
      <bottom style="thin">
        <color rgb="FFDA9694"/>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top/>
      <bottom/>
      <diagonal/>
    </border>
    <border>
      <left style="thin">
        <color rgb="FF000000"/>
      </left>
      <right style="medium">
        <color rgb="FF000000"/>
      </right>
      <top/>
      <bottom style="medium">
        <color rgb="FF000000"/>
      </bottom>
      <diagonal/>
    </border>
    <border>
      <left style="medium">
        <color rgb="FF000000"/>
      </left>
      <right/>
      <top style="thin">
        <color rgb="FF000000"/>
      </top>
      <bottom/>
      <diagonal/>
    </border>
    <border>
      <left style="medium">
        <color rgb="FF000000"/>
      </left>
      <right/>
      <top style="thin">
        <color rgb="FF000000"/>
      </top>
      <bottom style="thin">
        <color rgb="FF000000"/>
      </bottom>
      <diagonal/>
    </border>
    <border>
      <left style="medium">
        <color rgb="FF000000"/>
      </left>
      <right/>
      <top style="thin">
        <color indexed="64"/>
      </top>
      <bottom style="thin">
        <color indexed="64"/>
      </bottom>
      <diagonal/>
    </border>
    <border>
      <left style="medium">
        <color rgb="FF000000"/>
      </left>
      <right/>
      <top style="medium">
        <color rgb="FF000000"/>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thin">
        <color indexed="64"/>
      </top>
      <bottom/>
      <diagonal/>
    </border>
    <border>
      <left style="medium">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style="thin">
        <color rgb="FF000000"/>
      </left>
      <right style="medium">
        <color rgb="FF000000"/>
      </right>
      <top style="medium">
        <color rgb="FF000000"/>
      </top>
      <bottom style="medium">
        <color rgb="FF000000"/>
      </bottom>
      <diagonal/>
    </border>
    <border>
      <left style="medium">
        <color indexed="64"/>
      </left>
      <right style="medium">
        <color indexed="64"/>
      </right>
      <top/>
      <bottom style="medium">
        <color indexed="64"/>
      </bottom>
      <diagonal/>
    </border>
    <border>
      <left/>
      <right/>
      <top style="thin">
        <color rgb="FF000000"/>
      </top>
      <bottom style="thin">
        <color rgb="FF000000"/>
      </bottom>
      <diagonal/>
    </border>
    <border>
      <left/>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diagonal/>
    </border>
    <border>
      <left style="medium">
        <color rgb="FF000000"/>
      </left>
      <right style="medium">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style="medium">
        <color rgb="FF000000"/>
      </left>
      <right style="medium">
        <color rgb="FF000000"/>
      </right>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diagonal/>
    </border>
  </borders>
  <cellStyleXfs count="2">
    <xf numFmtId="0" fontId="0" fillId="0" borderId="0"/>
    <xf numFmtId="0" fontId="1" fillId="0" borderId="0"/>
  </cellStyleXfs>
  <cellXfs count="915">
    <xf numFmtId="0" fontId="0" fillId="0" borderId="0" xfId="0"/>
    <xf numFmtId="0" fontId="2"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xf>
    <xf numFmtId="0" fontId="4" fillId="3" borderId="4" xfId="0" applyFont="1" applyFill="1" applyBorder="1" applyAlignment="1">
      <alignment horizontal="center"/>
    </xf>
    <xf numFmtId="0" fontId="0" fillId="0" borderId="0" xfId="0" applyAlignment="1">
      <alignment horizontal="center" vertical="center"/>
    </xf>
    <xf numFmtId="0" fontId="4" fillId="3" borderId="5" xfId="0" applyFont="1" applyFill="1" applyBorder="1" applyAlignment="1">
      <alignment horizontal="center"/>
    </xf>
    <xf numFmtId="0" fontId="0" fillId="4" borderId="6" xfId="0" applyFill="1" applyBorder="1"/>
    <xf numFmtId="0" fontId="0" fillId="4" borderId="7" xfId="0" applyFill="1" applyBorder="1"/>
    <xf numFmtId="0" fontId="0" fillId="0" borderId="6" xfId="0" applyBorder="1"/>
    <xf numFmtId="0" fontId="0" fillId="0" borderId="8" xfId="0" applyBorder="1"/>
    <xf numFmtId="0" fontId="0" fillId="4" borderId="8" xfId="0" applyFill="1" applyBorder="1"/>
    <xf numFmtId="0" fontId="0" fillId="0" borderId="9" xfId="0" applyBorder="1"/>
    <xf numFmtId="0" fontId="0" fillId="0" borderId="3" xfId="0" applyBorder="1" applyAlignment="1">
      <alignment horizontal="center" vertical="center"/>
    </xf>
    <xf numFmtId="0" fontId="0" fillId="0" borderId="10" xfId="0" applyBorder="1"/>
    <xf numFmtId="0" fontId="0" fillId="5" borderId="0" xfId="0" applyFill="1">
      <extLst>
        <ext xmlns:xfpb="http://schemas.microsoft.com/office/spreadsheetml/2022/featurepropertybag" uri="{C7286773-470A-42A8-94C5-96B5CB345126}">
          <xfpb:xfComplement i="0"/>
        </ext>
      </extLst>
    </xf>
    <xf numFmtId="0" fontId="0" fillId="5" borderId="0" xfId="0" applyFill="1"/>
    <xf numFmtId="0" fontId="0" fillId="0" borderId="3" xfId="0" applyBorder="1" applyAlignment="1">
      <alignment vertical="center" wrapText="1"/>
    </xf>
    <xf numFmtId="0" fontId="0" fillId="0" borderId="3" xfId="0" applyBorder="1" applyAlignment="1">
      <alignment vertical="center"/>
    </xf>
    <xf numFmtId="0" fontId="0" fillId="0" borderId="12" xfId="0" applyBorder="1" applyAlignment="1">
      <alignment vertical="center"/>
    </xf>
    <xf numFmtId="0" fontId="0" fillId="0" borderId="12" xfId="0" applyBorder="1" applyAlignment="1">
      <alignment vertical="center" wrapText="1"/>
    </xf>
    <xf numFmtId="0" fontId="6" fillId="0" borderId="0" xfId="0" applyFont="1"/>
    <xf numFmtId="0" fontId="6" fillId="0" borderId="13" xfId="0" applyFont="1" applyBorder="1"/>
    <xf numFmtId="0" fontId="6" fillId="0" borderId="14" xfId="0" applyFont="1" applyBorder="1"/>
    <xf numFmtId="0" fontId="6" fillId="0" borderId="15" xfId="0" applyFont="1" applyBorder="1"/>
    <xf numFmtId="0" fontId="6" fillId="0" borderId="16" xfId="0" applyFont="1" applyBorder="1"/>
    <xf numFmtId="0" fontId="7" fillId="6" borderId="17" xfId="0" applyFont="1" applyFill="1" applyBorder="1"/>
    <xf numFmtId="0" fontId="7" fillId="6" borderId="18" xfId="0" applyFont="1" applyFill="1" applyBorder="1"/>
    <xf numFmtId="0" fontId="7" fillId="6" borderId="19" xfId="0" applyFont="1" applyFill="1" applyBorder="1"/>
    <xf numFmtId="0" fontId="7" fillId="8" borderId="20" xfId="0" applyFont="1" applyFill="1" applyBorder="1"/>
    <xf numFmtId="0" fontId="7" fillId="8" borderId="21" xfId="0" applyFont="1" applyFill="1" applyBorder="1"/>
    <xf numFmtId="49" fontId="8" fillId="0" borderId="0" xfId="0" applyNumberFormat="1" applyFont="1"/>
    <xf numFmtId="49" fontId="6" fillId="0" borderId="0" xfId="0" applyNumberFormat="1" applyFont="1"/>
    <xf numFmtId="49" fontId="0" fillId="0" borderId="0" xfId="0" applyNumberFormat="1"/>
    <xf numFmtId="49" fontId="6" fillId="0" borderId="2" xfId="0" applyNumberFormat="1" applyFont="1" applyBorder="1"/>
    <xf numFmtId="49" fontId="6" fillId="0" borderId="22" xfId="0" applyNumberFormat="1" applyFont="1" applyBorder="1"/>
    <xf numFmtId="49" fontId="6" fillId="0" borderId="23" xfId="0" applyNumberFormat="1" applyFont="1" applyBorder="1"/>
    <xf numFmtId="49" fontId="6" fillId="0" borderId="24" xfId="0" applyNumberFormat="1" applyFont="1" applyBorder="1"/>
    <xf numFmtId="0" fontId="0" fillId="0" borderId="0" xfId="0" applyAlignment="1">
      <alignment horizontal="left" vertical="center" wrapText="1"/>
    </xf>
    <xf numFmtId="0" fontId="0" fillId="0" borderId="0" xfId="0" applyAlignment="1">
      <alignment horizontal="center" vertical="center" wrapText="1"/>
    </xf>
    <xf numFmtId="0" fontId="0" fillId="11" borderId="3" xfId="0" applyFill="1" applyBorder="1"/>
    <xf numFmtId="0" fontId="9" fillId="0" borderId="3" xfId="0" quotePrefix="1" applyFont="1" applyBorder="1" applyAlignment="1">
      <alignment horizontal="center" vertical="center"/>
    </xf>
    <xf numFmtId="0" fontId="5" fillId="0" borderId="0" xfId="0" applyFont="1"/>
    <xf numFmtId="0" fontId="0" fillId="0" borderId="0" xfId="0" applyAlignment="1">
      <alignment horizontal="left"/>
    </xf>
    <xf numFmtId="0" fontId="5" fillId="0" borderId="0" xfId="0" applyFont="1" applyAlignment="1">
      <alignment vertical="center"/>
    </xf>
    <xf numFmtId="0" fontId="6" fillId="7" borderId="17" xfId="0" applyFont="1" applyFill="1" applyBorder="1"/>
    <xf numFmtId="0" fontId="6" fillId="7" borderId="18" xfId="0" applyFont="1" applyFill="1" applyBorder="1"/>
    <xf numFmtId="0" fontId="6" fillId="7" borderId="19" xfId="0" applyFont="1" applyFill="1" applyBorder="1"/>
    <xf numFmtId="0" fontId="6" fillId="9" borderId="20" xfId="0" applyFont="1" applyFill="1" applyBorder="1"/>
    <xf numFmtId="0" fontId="6" fillId="9" borderId="21" xfId="0" applyFont="1" applyFill="1" applyBorder="1"/>
    <xf numFmtId="0" fontId="6" fillId="0" borderId="17" xfId="0" applyFont="1" applyBorder="1"/>
    <xf numFmtId="0" fontId="6" fillId="0" borderId="18" xfId="0" applyFont="1" applyBorder="1"/>
    <xf numFmtId="0" fontId="6" fillId="0" borderId="19" xfId="0" applyFont="1" applyBorder="1"/>
    <xf numFmtId="0" fontId="6" fillId="0" borderId="20" xfId="0" applyFont="1" applyBorder="1"/>
    <xf numFmtId="0" fontId="6" fillId="0" borderId="21" xfId="0" applyFont="1" applyBorder="1"/>
    <xf numFmtId="14" fontId="6" fillId="7" borderId="17" xfId="0" applyNumberFormat="1" applyFont="1" applyFill="1" applyBorder="1"/>
    <xf numFmtId="14" fontId="6" fillId="0" borderId="17" xfId="0" applyNumberFormat="1" applyFont="1" applyBorder="1"/>
    <xf numFmtId="0" fontId="0" fillId="0" borderId="34" xfId="0" applyBorder="1" applyAlignment="1">
      <alignment vertical="center" wrapText="1"/>
    </xf>
    <xf numFmtId="0" fontId="0" fillId="0" borderId="35" xfId="0" applyBorder="1" applyAlignment="1">
      <alignment horizontal="center" vertical="center" wrapText="1"/>
    </xf>
    <xf numFmtId="0" fontId="0" fillId="0" borderId="36" xfId="0" applyBorder="1" applyAlignment="1">
      <alignment vertical="center" wrapText="1"/>
    </xf>
    <xf numFmtId="0" fontId="0" fillId="0" borderId="37" xfId="0" applyBorder="1" applyAlignment="1">
      <alignment vertical="center" wrapText="1"/>
    </xf>
    <xf numFmtId="0" fontId="0" fillId="0" borderId="38" xfId="0" applyBorder="1" applyAlignment="1">
      <alignment horizontal="center" vertical="center" wrapText="1"/>
    </xf>
    <xf numFmtId="0" fontId="5" fillId="16" borderId="32" xfId="0" applyFont="1" applyFill="1" applyBorder="1" applyAlignment="1">
      <alignment horizontal="center" vertical="center" wrapText="1"/>
    </xf>
    <xf numFmtId="0" fontId="5" fillId="16" borderId="28" xfId="0" applyFont="1" applyFill="1" applyBorder="1" applyAlignment="1">
      <alignment horizontal="center" vertical="center" wrapText="1"/>
    </xf>
    <xf numFmtId="0" fontId="5" fillId="16" borderId="33" xfId="0" applyFont="1" applyFill="1" applyBorder="1" applyAlignment="1">
      <alignment horizontal="center" vertical="center" wrapText="1"/>
    </xf>
    <xf numFmtId="0" fontId="0" fillId="11" borderId="43" xfId="0" applyFill="1" applyBorder="1"/>
    <xf numFmtId="0" fontId="0" fillId="11" borderId="45" xfId="0" applyFill="1" applyBorder="1"/>
    <xf numFmtId="0" fontId="0" fillId="5" borderId="0" xfId="0" applyFill="1" applyAlignment="1">
      <alignment vertical="center" wrapText="1"/>
    </xf>
    <xf numFmtId="0" fontId="0" fillId="0" borderId="3" xfId="0" applyBorder="1" applyAlignment="1">
      <alignment horizontal="left" vertical="top" wrapText="1"/>
    </xf>
    <xf numFmtId="0" fontId="0" fillId="11" borderId="46" xfId="0" applyFill="1" applyBorder="1"/>
    <xf numFmtId="16" fontId="0" fillId="5" borderId="3" xfId="0" quotePrefix="1" applyNumberFormat="1" applyFill="1" applyBorder="1" applyAlignment="1">
      <alignment horizontal="center" vertical="center"/>
    </xf>
    <xf numFmtId="0" fontId="0" fillId="0" borderId="3" xfId="0" applyBorder="1" applyAlignment="1">
      <alignment vertical="top" wrapText="1"/>
    </xf>
    <xf numFmtId="0" fontId="0" fillId="5" borderId="3" xfId="0" quotePrefix="1" applyFill="1" applyBorder="1" applyAlignment="1">
      <alignment horizontal="center" vertical="center"/>
    </xf>
    <xf numFmtId="0" fontId="5" fillId="12" borderId="39" xfId="0" applyFont="1" applyFill="1" applyBorder="1" applyAlignment="1">
      <alignment horizontal="center" vertical="center" wrapText="1"/>
    </xf>
    <xf numFmtId="0" fontId="5" fillId="12" borderId="40" xfId="0" applyFont="1" applyFill="1" applyBorder="1" applyAlignment="1">
      <alignment horizontal="center" vertical="center" wrapText="1"/>
    </xf>
    <xf numFmtId="0" fontId="5" fillId="12" borderId="41" xfId="0" applyFont="1" applyFill="1" applyBorder="1" applyAlignment="1">
      <alignment horizontal="center" vertical="center" wrapText="1"/>
    </xf>
    <xf numFmtId="0" fontId="0" fillId="10" borderId="42" xfId="0" applyFill="1" applyBorder="1" applyAlignment="1">
      <alignment horizontal="center" vertical="center" wrapText="1"/>
    </xf>
    <xf numFmtId="0" fontId="0" fillId="10" borderId="44" xfId="0" applyFill="1" applyBorder="1" applyAlignment="1">
      <alignment horizontal="center" vertical="center" wrapText="1"/>
    </xf>
    <xf numFmtId="16" fontId="0" fillId="5" borderId="45" xfId="0" quotePrefix="1" applyNumberFormat="1" applyFill="1" applyBorder="1" applyAlignment="1">
      <alignment horizontal="center" vertical="center"/>
    </xf>
    <xf numFmtId="0" fontId="0" fillId="5" borderId="45" xfId="0" applyFill="1" applyBorder="1" applyAlignment="1">
      <alignment horizontal="center" vertical="center"/>
    </xf>
    <xf numFmtId="0" fontId="0" fillId="0" borderId="45" xfId="0" applyBorder="1" applyAlignment="1">
      <alignment horizontal="left" vertical="top" wrapText="1"/>
    </xf>
    <xf numFmtId="0" fontId="0" fillId="0" borderId="11" xfId="0" applyBorder="1" applyAlignment="1">
      <alignment horizontal="center" vertical="center"/>
    </xf>
    <xf numFmtId="0" fontId="1" fillId="0" borderId="0" xfId="1"/>
    <xf numFmtId="0" fontId="10" fillId="0" borderId="0" xfId="1" applyFont="1"/>
    <xf numFmtId="0" fontId="10" fillId="0" borderId="0" xfId="1" applyFont="1" applyAlignment="1">
      <alignment wrapText="1"/>
    </xf>
    <xf numFmtId="0" fontId="10" fillId="0" borderId="0" xfId="1" applyFont="1" applyAlignment="1">
      <alignment horizontal="center"/>
    </xf>
    <xf numFmtId="0" fontId="1" fillId="0" borderId="0" xfId="1" applyAlignment="1">
      <alignment horizontal="center" vertical="center"/>
    </xf>
    <xf numFmtId="0" fontId="18" fillId="14" borderId="2" xfId="1" applyFont="1" applyFill="1" applyBorder="1" applyAlignment="1">
      <alignment horizontal="center" vertical="center"/>
    </xf>
    <xf numFmtId="0" fontId="18" fillId="14" borderId="2" xfId="1" applyFont="1" applyFill="1" applyBorder="1" applyAlignment="1">
      <alignment horizontal="center" vertical="center" wrapText="1"/>
    </xf>
    <xf numFmtId="0" fontId="3" fillId="0" borderId="0" xfId="1" applyFont="1" applyAlignment="1">
      <alignment horizontal="center" vertical="center"/>
    </xf>
    <xf numFmtId="0" fontId="10" fillId="0" borderId="0" xfId="1" applyFont="1" applyAlignment="1">
      <alignment horizontal="center" vertical="center"/>
    </xf>
    <xf numFmtId="0" fontId="10" fillId="0" borderId="2" xfId="1" applyFont="1" applyBorder="1"/>
    <xf numFmtId="0" fontId="10" fillId="0" borderId="2" xfId="1" applyFont="1" applyBorder="1" applyAlignment="1">
      <alignment horizontal="center"/>
    </xf>
    <xf numFmtId="0" fontId="10" fillId="15" borderId="2" xfId="1" applyFont="1" applyFill="1" applyBorder="1"/>
    <xf numFmtId="0" fontId="10" fillId="17" borderId="2" xfId="1" applyFont="1" applyFill="1" applyBorder="1"/>
    <xf numFmtId="0" fontId="18" fillId="0" borderId="0" xfId="1" applyFont="1"/>
    <xf numFmtId="49" fontId="0" fillId="0" borderId="3" xfId="0" applyNumberFormat="1" applyBorder="1" applyAlignment="1">
      <alignment horizontal="center" vertical="center"/>
    </xf>
    <xf numFmtId="49" fontId="0" fillId="0" borderId="3" xfId="0" applyNumberFormat="1" applyBorder="1" applyAlignment="1">
      <alignment horizontal="center" vertical="center" wrapText="1"/>
    </xf>
    <xf numFmtId="0" fontId="0" fillId="5" borderId="0" xfId="0" applyFill="1" applyAlignment="1">
      <alignment horizontal="center" vertical="center" wrapText="1"/>
    </xf>
    <xf numFmtId="0" fontId="20" fillId="0" borderId="0" xfId="1" applyFont="1"/>
    <xf numFmtId="0" fontId="18" fillId="0" borderId="0" xfId="1" applyFont="1" applyAlignment="1">
      <alignment wrapText="1"/>
    </xf>
    <xf numFmtId="0" fontId="17" fillId="0" borderId="3" xfId="0" applyFont="1" applyBorder="1" applyAlignment="1">
      <alignment horizontal="center" vertical="center" wrapText="1"/>
    </xf>
    <xf numFmtId="0" fontId="5" fillId="5" borderId="0" xfId="0" applyFont="1" applyFill="1"/>
    <xf numFmtId="0" fontId="21" fillId="5" borderId="0" xfId="0" applyFont="1" applyFill="1"/>
    <xf numFmtId="0" fontId="0" fillId="0" borderId="3" xfId="0" applyBorder="1" applyAlignment="1">
      <alignment horizontal="center"/>
    </xf>
    <xf numFmtId="0" fontId="0" fillId="5" borderId="3" xfId="0" applyFill="1" applyBorder="1" applyAlignment="1">
      <alignment horizontal="center"/>
    </xf>
    <xf numFmtId="0" fontId="0" fillId="0" borderId="0" xfId="0" applyAlignment="1">
      <alignment wrapText="1"/>
    </xf>
    <xf numFmtId="49" fontId="0" fillId="5" borderId="3" xfId="0" applyNumberFormat="1" applyFill="1" applyBorder="1" applyAlignment="1">
      <alignment horizontal="center" vertical="top" wrapText="1"/>
    </xf>
    <xf numFmtId="49" fontId="0" fillId="5" borderId="3" xfId="0" applyNumberFormat="1" applyFill="1" applyBorder="1" applyAlignment="1">
      <alignment horizontal="center" vertical="center"/>
    </xf>
    <xf numFmtId="0" fontId="10" fillId="13" borderId="28" xfId="1" applyFont="1" applyFill="1" applyBorder="1" applyAlignment="1">
      <alignment horizontal="center" vertical="center"/>
    </xf>
    <xf numFmtId="0" fontId="0" fillId="5" borderId="0" xfId="0" applyFill="1" applyAlignment="1">
      <alignment vertical="center"/>
    </xf>
    <xf numFmtId="49" fontId="10" fillId="14" borderId="26" xfId="1" applyNumberFormat="1" applyFont="1" applyFill="1" applyBorder="1" applyAlignment="1">
      <alignment horizontal="center" vertical="center" wrapText="1"/>
    </xf>
    <xf numFmtId="0" fontId="5" fillId="0" borderId="3" xfId="0" applyFont="1" applyBorder="1" applyAlignment="1">
      <alignment horizontal="center" vertical="center"/>
    </xf>
    <xf numFmtId="0" fontId="5" fillId="0" borderId="26" xfId="0" applyFont="1" applyBorder="1" applyAlignment="1">
      <alignment horizontal="center" vertical="center"/>
    </xf>
    <xf numFmtId="0" fontId="0" fillId="0" borderId="25" xfId="0" applyBorder="1" applyAlignment="1">
      <alignment horizontal="center" vertical="center"/>
    </xf>
    <xf numFmtId="0" fontId="0" fillId="5" borderId="0" xfId="0" applyFill="1" applyAlignment="1">
      <alignment wrapText="1"/>
    </xf>
    <xf numFmtId="0" fontId="0" fillId="11" borderId="3" xfId="0" applyFill="1" applyBorder="1" applyAlignment="1">
      <alignment vertical="center" wrapText="1"/>
    </xf>
    <xf numFmtId="0" fontId="0" fillId="0" borderId="3" xfId="0" applyBorder="1" applyAlignment="1">
      <alignment horizontal="center" vertical="center" wrapText="1"/>
    </xf>
    <xf numFmtId="0" fontId="16" fillId="5" borderId="0" xfId="0" applyFont="1" applyFill="1" applyAlignment="1">
      <alignment wrapText="1"/>
    </xf>
    <xf numFmtId="0" fontId="16" fillId="5" borderId="0" xfId="0" applyFont="1" applyFill="1" applyAlignment="1">
      <alignment horizontal="center" vertical="center" wrapText="1"/>
    </xf>
    <xf numFmtId="0" fontId="16" fillId="5" borderId="0" xfId="0" applyFont="1" applyFill="1" applyAlignment="1">
      <alignment horizontal="left" vertical="top" wrapText="1"/>
    </xf>
    <xf numFmtId="0" fontId="0" fillId="5" borderId="0" xfId="0" applyFill="1" applyAlignment="1">
      <alignment horizontal="left" vertical="top" wrapText="1"/>
    </xf>
    <xf numFmtId="0" fontId="0" fillId="5" borderId="0" xfId="0" applyFill="1" applyAlignment="1">
      <alignment horizontal="center"/>
    </xf>
    <xf numFmtId="49" fontId="16" fillId="5" borderId="3" xfId="0" applyNumberFormat="1" applyFont="1" applyFill="1" applyBorder="1" applyAlignment="1">
      <alignment horizontal="center" vertical="center" wrapText="1"/>
    </xf>
    <xf numFmtId="49" fontId="16" fillId="0" borderId="3" xfId="0" applyNumberFormat="1" applyFont="1" applyBorder="1" applyAlignment="1">
      <alignment horizontal="center" vertical="center" wrapText="1"/>
    </xf>
    <xf numFmtId="0" fontId="9" fillId="5" borderId="3" xfId="0" applyFont="1" applyFill="1" applyBorder="1" applyAlignment="1">
      <alignment horizontal="center" vertical="center" wrapText="1"/>
    </xf>
    <xf numFmtId="0" fontId="10" fillId="14" borderId="26" xfId="1" applyFont="1" applyFill="1" applyBorder="1" applyAlignment="1">
      <alignment horizontal="center" vertical="center" wrapText="1"/>
    </xf>
    <xf numFmtId="0" fontId="5" fillId="14" borderId="26" xfId="0" applyFont="1" applyFill="1" applyBorder="1" applyAlignment="1">
      <alignment horizontal="center" vertical="center" wrapText="1"/>
    </xf>
    <xf numFmtId="0" fontId="0" fillId="14" borderId="26" xfId="0" applyFill="1" applyBorder="1" applyAlignment="1">
      <alignment horizontal="center" vertical="center" wrapText="1"/>
    </xf>
    <xf numFmtId="49" fontId="0" fillId="5" borderId="3" xfId="0" applyNumberFormat="1" applyFill="1" applyBorder="1" applyAlignment="1">
      <alignment horizontal="center" vertical="center" wrapText="1"/>
    </xf>
    <xf numFmtId="0" fontId="6" fillId="0" borderId="3" xfId="0" applyFont="1" applyBorder="1" applyAlignment="1">
      <alignment horizontal="center" vertical="center" wrapText="1"/>
    </xf>
    <xf numFmtId="0" fontId="18" fillId="13" borderId="3" xfId="1" applyFont="1" applyFill="1" applyBorder="1" applyAlignment="1">
      <alignment horizontal="center" vertical="center" wrapText="1"/>
    </xf>
    <xf numFmtId="0" fontId="18" fillId="13" borderId="43" xfId="1" applyFont="1" applyFill="1" applyBorder="1" applyAlignment="1">
      <alignment horizontal="center" vertical="center" wrapText="1"/>
    </xf>
    <xf numFmtId="49" fontId="0" fillId="0" borderId="45" xfId="0" applyNumberFormat="1" applyBorder="1" applyAlignment="1">
      <alignment horizontal="center" vertical="center" wrapText="1"/>
    </xf>
    <xf numFmtId="49" fontId="0" fillId="5" borderId="45" xfId="0" applyNumberFormat="1" applyFill="1" applyBorder="1" applyAlignment="1">
      <alignment horizontal="center" vertical="top" wrapText="1"/>
    </xf>
    <xf numFmtId="49" fontId="0" fillId="0" borderId="3" xfId="0" applyNumberFormat="1" applyBorder="1" applyAlignment="1">
      <alignment horizontal="center"/>
    </xf>
    <xf numFmtId="49" fontId="24" fillId="0" borderId="47" xfId="0" applyNumberFormat="1" applyFont="1" applyBorder="1" applyAlignment="1">
      <alignment horizontal="center"/>
    </xf>
    <xf numFmtId="49" fontId="24" fillId="0" borderId="65" xfId="0" applyNumberFormat="1" applyFont="1" applyBorder="1" applyAlignment="1">
      <alignment horizontal="center"/>
    </xf>
    <xf numFmtId="49" fontId="24" fillId="0" borderId="68" xfId="0" applyNumberFormat="1" applyFont="1" applyBorder="1" applyAlignment="1">
      <alignment horizontal="center"/>
    </xf>
    <xf numFmtId="49" fontId="24" fillId="0" borderId="48" xfId="0" applyNumberFormat="1" applyFont="1" applyBorder="1" applyAlignment="1">
      <alignment horizontal="center"/>
    </xf>
    <xf numFmtId="49" fontId="24" fillId="0" borderId="0" xfId="0" applyNumberFormat="1" applyFont="1" applyAlignment="1">
      <alignment horizontal="center"/>
    </xf>
    <xf numFmtId="49" fontId="0" fillId="0" borderId="42" xfId="0" applyNumberFormat="1" applyBorder="1" applyAlignment="1">
      <alignment horizontal="center"/>
    </xf>
    <xf numFmtId="49" fontId="5" fillId="0" borderId="11" xfId="0" applyNumberFormat="1" applyFont="1" applyBorder="1" applyAlignment="1">
      <alignment horizontal="center"/>
    </xf>
    <xf numFmtId="49" fontId="0" fillId="0" borderId="66" xfId="0" applyNumberFormat="1" applyBorder="1" applyAlignment="1">
      <alignment horizontal="center"/>
    </xf>
    <xf numFmtId="49" fontId="0" fillId="0" borderId="25" xfId="0" applyNumberFormat="1" applyBorder="1" applyAlignment="1">
      <alignment horizontal="center"/>
    </xf>
    <xf numFmtId="49" fontId="5" fillId="0" borderId="3" xfId="0" applyNumberFormat="1" applyFont="1" applyBorder="1" applyAlignment="1">
      <alignment horizontal="center"/>
    </xf>
    <xf numFmtId="49" fontId="0" fillId="0" borderId="43" xfId="0" applyNumberFormat="1" applyBorder="1" applyAlignment="1">
      <alignment horizontal="center"/>
    </xf>
    <xf numFmtId="49" fontId="0" fillId="0" borderId="0" xfId="0" applyNumberFormat="1" applyAlignment="1">
      <alignment horizontal="center"/>
    </xf>
    <xf numFmtId="49" fontId="0" fillId="15" borderId="42" xfId="0" applyNumberFormat="1" applyFill="1" applyBorder="1" applyAlignment="1">
      <alignment horizontal="center"/>
    </xf>
    <xf numFmtId="49" fontId="0" fillId="15" borderId="3" xfId="0" applyNumberFormat="1" applyFill="1" applyBorder="1" applyAlignment="1">
      <alignment horizontal="center"/>
    </xf>
    <xf numFmtId="49" fontId="5" fillId="15" borderId="11" xfId="0" applyNumberFormat="1" applyFont="1" applyFill="1" applyBorder="1" applyAlignment="1">
      <alignment horizontal="center"/>
    </xf>
    <xf numFmtId="49" fontId="0" fillId="15" borderId="66" xfId="0" applyNumberFormat="1" applyFill="1" applyBorder="1" applyAlignment="1">
      <alignment horizontal="center"/>
    </xf>
    <xf numFmtId="49" fontId="0" fillId="15" borderId="25" xfId="0" applyNumberFormat="1" applyFill="1" applyBorder="1" applyAlignment="1">
      <alignment horizontal="center"/>
    </xf>
    <xf numFmtId="49" fontId="5" fillId="15" borderId="3" xfId="0" applyNumberFormat="1" applyFont="1" applyFill="1" applyBorder="1" applyAlignment="1">
      <alignment horizontal="center"/>
    </xf>
    <xf numFmtId="49" fontId="0" fillId="15" borderId="43" xfId="0" applyNumberFormat="1" applyFill="1" applyBorder="1" applyAlignment="1">
      <alignment horizontal="center"/>
    </xf>
    <xf numFmtId="49" fontId="0" fillId="15" borderId="0" xfId="0" applyNumberFormat="1" applyFill="1" applyAlignment="1">
      <alignment horizontal="center"/>
    </xf>
    <xf numFmtId="49" fontId="19" fillId="0" borderId="42" xfId="0" applyNumberFormat="1" applyFont="1" applyBorder="1" applyAlignment="1">
      <alignment horizontal="center"/>
    </xf>
    <xf numFmtId="49" fontId="19" fillId="0" borderId="3" xfId="0" applyNumberFormat="1" applyFont="1" applyBorder="1" applyAlignment="1">
      <alignment horizontal="center"/>
    </xf>
    <xf numFmtId="49" fontId="25" fillId="0" borderId="11" xfId="0" applyNumberFormat="1" applyFont="1" applyBorder="1" applyAlignment="1">
      <alignment horizontal="center"/>
    </xf>
    <xf numFmtId="49" fontId="19" fillId="0" borderId="66" xfId="0" applyNumberFormat="1" applyFont="1" applyBorder="1" applyAlignment="1">
      <alignment horizontal="center"/>
    </xf>
    <xf numFmtId="49" fontId="19" fillId="0" borderId="25" xfId="0" applyNumberFormat="1" applyFont="1" applyBorder="1" applyAlignment="1">
      <alignment horizontal="center"/>
    </xf>
    <xf numFmtId="49" fontId="25" fillId="0" borderId="3" xfId="0" applyNumberFormat="1" applyFont="1" applyBorder="1" applyAlignment="1">
      <alignment horizontal="center"/>
    </xf>
    <xf numFmtId="49" fontId="19" fillId="0" borderId="43" xfId="0" applyNumberFormat="1" applyFont="1" applyBorder="1" applyAlignment="1">
      <alignment horizontal="center"/>
    </xf>
    <xf numFmtId="49" fontId="19" fillId="0" borderId="0" xfId="0" applyNumberFormat="1" applyFont="1" applyAlignment="1">
      <alignment horizontal="center"/>
    </xf>
    <xf numFmtId="49" fontId="19" fillId="15" borderId="0" xfId="0" applyNumberFormat="1" applyFont="1" applyFill="1" applyAlignment="1">
      <alignment horizontal="center"/>
    </xf>
    <xf numFmtId="49" fontId="0" fillId="0" borderId="0" xfId="0" applyNumberFormat="1" applyAlignment="1">
      <alignment horizontal="left"/>
    </xf>
    <xf numFmtId="49" fontId="5" fillId="0" borderId="0" xfId="0" applyNumberFormat="1" applyFont="1" applyAlignment="1">
      <alignment horizontal="left"/>
    </xf>
    <xf numFmtId="49" fontId="0" fillId="5" borderId="69" xfId="0" applyNumberFormat="1" applyFill="1" applyBorder="1" applyAlignment="1">
      <alignment horizontal="left"/>
    </xf>
    <xf numFmtId="49" fontId="0" fillId="5" borderId="70" xfId="0" applyNumberFormat="1" applyFill="1" applyBorder="1" applyAlignment="1">
      <alignment horizontal="left"/>
    </xf>
    <xf numFmtId="49" fontId="0" fillId="5" borderId="70" xfId="0" applyNumberFormat="1" applyFill="1" applyBorder="1" applyAlignment="1">
      <alignment horizontal="center"/>
    </xf>
    <xf numFmtId="49" fontId="0" fillId="5" borderId="71" xfId="0" applyNumberFormat="1" applyFill="1" applyBorder="1" applyAlignment="1">
      <alignment horizontal="center"/>
    </xf>
    <xf numFmtId="49" fontId="0" fillId="5" borderId="72" xfId="0" applyNumberFormat="1" applyFill="1" applyBorder="1" applyAlignment="1">
      <alignment horizontal="left"/>
    </xf>
    <xf numFmtId="49" fontId="0" fillId="5" borderId="0" xfId="0" applyNumberFormat="1" applyFill="1" applyAlignment="1">
      <alignment horizontal="left"/>
    </xf>
    <xf numFmtId="49" fontId="0" fillId="5" borderId="0" xfId="0" applyNumberFormat="1" applyFill="1" applyAlignment="1">
      <alignment horizontal="center"/>
    </xf>
    <xf numFmtId="49" fontId="0" fillId="5" borderId="73" xfId="0" applyNumberFormat="1" applyFill="1" applyBorder="1" applyAlignment="1">
      <alignment horizontal="center"/>
    </xf>
    <xf numFmtId="49" fontId="0" fillId="5" borderId="63" xfId="0" applyNumberFormat="1" applyFill="1" applyBorder="1" applyAlignment="1">
      <alignment horizontal="left"/>
    </xf>
    <xf numFmtId="49" fontId="0" fillId="5" borderId="57" xfId="0" applyNumberFormat="1" applyFill="1" applyBorder="1" applyAlignment="1">
      <alignment horizontal="left"/>
    </xf>
    <xf numFmtId="49" fontId="0" fillId="5" borderId="57" xfId="0" applyNumberFormat="1" applyFill="1" applyBorder="1" applyAlignment="1">
      <alignment horizontal="center"/>
    </xf>
    <xf numFmtId="49" fontId="0" fillId="5" borderId="74" xfId="0" applyNumberFormat="1" applyFill="1" applyBorder="1" applyAlignment="1">
      <alignment horizontal="center"/>
    </xf>
    <xf numFmtId="49" fontId="0" fillId="0" borderId="63" xfId="0" applyNumberFormat="1" applyBorder="1" applyAlignment="1">
      <alignment horizontal="left"/>
    </xf>
    <xf numFmtId="49" fontId="0" fillId="0" borderId="57" xfId="0" applyNumberFormat="1" applyBorder="1" applyAlignment="1">
      <alignment horizontal="center"/>
    </xf>
    <xf numFmtId="49" fontId="0" fillId="0" borderId="74" xfId="0" applyNumberFormat="1" applyBorder="1" applyAlignment="1">
      <alignment horizontal="center"/>
    </xf>
    <xf numFmtId="49" fontId="0" fillId="0" borderId="0" xfId="0" quotePrefix="1" applyNumberFormat="1" applyAlignment="1">
      <alignment horizontal="left"/>
    </xf>
    <xf numFmtId="49" fontId="0" fillId="0" borderId="3" xfId="0" quotePrefix="1" applyNumberFormat="1" applyBorder="1" applyAlignment="1">
      <alignment horizontal="left"/>
    </xf>
    <xf numFmtId="49" fontId="0" fillId="0" borderId="69" xfId="0" applyNumberFormat="1" applyBorder="1" applyAlignment="1">
      <alignment horizontal="left"/>
    </xf>
    <xf numFmtId="49" fontId="0" fillId="0" borderId="70" xfId="0" applyNumberFormat="1" applyBorder="1" applyAlignment="1">
      <alignment horizontal="center"/>
    </xf>
    <xf numFmtId="49" fontId="0" fillId="0" borderId="71" xfId="0" applyNumberFormat="1" applyBorder="1" applyAlignment="1">
      <alignment horizontal="center"/>
    </xf>
    <xf numFmtId="49" fontId="0" fillId="0" borderId="3" xfId="0" applyNumberFormat="1" applyBorder="1" applyAlignment="1">
      <alignment horizontal="left"/>
    </xf>
    <xf numFmtId="49" fontId="19" fillId="0" borderId="44" xfId="0" applyNumberFormat="1" applyFont="1" applyBorder="1" applyAlignment="1">
      <alignment horizontal="center"/>
    </xf>
    <xf numFmtId="49" fontId="19" fillId="0" borderId="45" xfId="0" applyNumberFormat="1" applyFont="1" applyBorder="1" applyAlignment="1">
      <alignment horizontal="center"/>
    </xf>
    <xf numFmtId="49" fontId="25" fillId="0" borderId="49" xfId="0" applyNumberFormat="1" applyFont="1" applyBorder="1" applyAlignment="1">
      <alignment horizontal="center"/>
    </xf>
    <xf numFmtId="49" fontId="19" fillId="0" borderId="67" xfId="0" applyNumberFormat="1" applyFont="1" applyBorder="1" applyAlignment="1">
      <alignment horizontal="center"/>
    </xf>
    <xf numFmtId="49" fontId="19" fillId="0" borderId="51" xfId="0" applyNumberFormat="1" applyFont="1" applyBorder="1" applyAlignment="1">
      <alignment horizontal="center"/>
    </xf>
    <xf numFmtId="49" fontId="25" fillId="0" borderId="45" xfId="0" applyNumberFormat="1" applyFont="1" applyBorder="1" applyAlignment="1">
      <alignment horizontal="center"/>
    </xf>
    <xf numFmtId="49" fontId="19" fillId="0" borderId="46" xfId="0" applyNumberFormat="1" applyFont="1" applyBorder="1" applyAlignment="1">
      <alignment horizontal="center"/>
    </xf>
    <xf numFmtId="49" fontId="0" fillId="5" borderId="43" xfId="0" applyNumberFormat="1" applyFill="1" applyBorder="1" applyAlignment="1">
      <alignment horizontal="center" vertical="center" wrapText="1"/>
    </xf>
    <xf numFmtId="0" fontId="6" fillId="0" borderId="45" xfId="0" applyFont="1" applyBorder="1" applyAlignment="1">
      <alignment horizontal="center" vertical="center" wrapText="1"/>
    </xf>
    <xf numFmtId="49" fontId="16" fillId="5" borderId="45" xfId="0" applyNumberFormat="1" applyFont="1" applyFill="1" applyBorder="1" applyAlignment="1">
      <alignment horizontal="center" vertical="center" wrapText="1"/>
    </xf>
    <xf numFmtId="49" fontId="0" fillId="5" borderId="45" xfId="0" applyNumberFormat="1" applyFill="1" applyBorder="1" applyAlignment="1">
      <alignment horizontal="center" vertical="center" wrapText="1"/>
    </xf>
    <xf numFmtId="0" fontId="0" fillId="0" borderId="3" xfId="0" applyBorder="1" applyAlignment="1">
      <alignment wrapText="1"/>
    </xf>
    <xf numFmtId="0" fontId="6" fillId="19" borderId="3" xfId="0" applyFont="1" applyFill="1" applyBorder="1"/>
    <xf numFmtId="0" fontId="6" fillId="0" borderId="3" xfId="0" applyFont="1" applyBorder="1"/>
    <xf numFmtId="0" fontId="0" fillId="11" borderId="26" xfId="0" applyFill="1" applyBorder="1" applyAlignment="1">
      <alignment vertical="center" wrapText="1"/>
    </xf>
    <xf numFmtId="0" fontId="18" fillId="13" borderId="25" xfId="1" applyFont="1" applyFill="1" applyBorder="1" applyAlignment="1">
      <alignment horizontal="center" vertical="center" wrapText="1"/>
    </xf>
    <xf numFmtId="49" fontId="19" fillId="5" borderId="25" xfId="0" applyNumberFormat="1" applyFont="1" applyFill="1" applyBorder="1" applyAlignment="1">
      <alignment horizontal="center" vertical="center" wrapText="1"/>
    </xf>
    <xf numFmtId="0" fontId="6" fillId="0" borderId="25" xfId="0" applyFont="1" applyBorder="1" applyAlignment="1">
      <alignment horizontal="center" vertical="center" wrapText="1"/>
    </xf>
    <xf numFmtId="0" fontId="0" fillId="5" borderId="0" xfId="0" applyFill="1" applyAlignment="1">
      <alignment horizontal="left"/>
    </xf>
    <xf numFmtId="49" fontId="0" fillId="5" borderId="25" xfId="0" applyNumberFormat="1" applyFill="1" applyBorder="1" applyAlignment="1">
      <alignment horizontal="center" vertical="center" wrapText="1"/>
    </xf>
    <xf numFmtId="0" fontId="0" fillId="5" borderId="0" xfId="0" applyFill="1" applyAlignment="1">
      <alignment horizontal="center" vertical="center"/>
    </xf>
    <xf numFmtId="49" fontId="0" fillId="20" borderId="80" xfId="0" applyNumberFormat="1" applyFill="1" applyBorder="1" applyAlignment="1">
      <alignment horizontal="center" vertical="center" wrapText="1"/>
    </xf>
    <xf numFmtId="49" fontId="0" fillId="0" borderId="26" xfId="0" applyNumberFormat="1" applyBorder="1" applyAlignment="1">
      <alignment horizontal="center" vertical="center" wrapText="1"/>
    </xf>
    <xf numFmtId="49" fontId="0" fillId="5" borderId="26" xfId="0" applyNumberFormat="1" applyFill="1" applyBorder="1" applyAlignment="1">
      <alignment horizontal="center" vertical="top" wrapText="1"/>
    </xf>
    <xf numFmtId="49" fontId="0" fillId="5" borderId="79" xfId="0" applyNumberFormat="1" applyFill="1" applyBorder="1" applyAlignment="1">
      <alignment horizontal="center" vertical="center" wrapText="1"/>
    </xf>
    <xf numFmtId="0" fontId="0" fillId="0" borderId="0" xfId="0" applyAlignment="1">
      <alignment vertical="top" wrapText="1"/>
    </xf>
    <xf numFmtId="0" fontId="18" fillId="13" borderId="52" xfId="1" applyFont="1" applyFill="1" applyBorder="1" applyAlignment="1">
      <alignment horizontal="center" vertical="center" wrapText="1"/>
    </xf>
    <xf numFmtId="0" fontId="18" fillId="13" borderId="12" xfId="1" applyFont="1" applyFill="1" applyBorder="1" applyAlignment="1">
      <alignment horizontal="center" vertical="center" wrapText="1"/>
    </xf>
    <xf numFmtId="0" fontId="18" fillId="13" borderId="53" xfId="1" applyFont="1" applyFill="1" applyBorder="1" applyAlignment="1">
      <alignment horizontal="center" vertical="center" wrapText="1"/>
    </xf>
    <xf numFmtId="49" fontId="0" fillId="5" borderId="11" xfId="0" applyNumberFormat="1" applyFill="1" applyBorder="1" applyAlignment="1">
      <alignment horizontal="center" vertical="center" wrapText="1"/>
    </xf>
    <xf numFmtId="0" fontId="0" fillId="13" borderId="71" xfId="0" applyFill="1" applyBorder="1" applyAlignment="1">
      <alignment vertical="center" wrapText="1"/>
    </xf>
    <xf numFmtId="0" fontId="18" fillId="13" borderId="26" xfId="1" applyFont="1" applyFill="1" applyBorder="1" applyAlignment="1">
      <alignment horizontal="center" vertical="center" wrapText="1"/>
    </xf>
    <xf numFmtId="0" fontId="5" fillId="17" borderId="42"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9" fillId="17" borderId="42" xfId="0" applyFont="1" applyFill="1" applyBorder="1" applyAlignment="1">
      <alignment horizontal="center" vertical="center" wrapText="1"/>
    </xf>
    <xf numFmtId="0" fontId="9" fillId="17" borderId="3" xfId="0" quotePrefix="1" applyFont="1" applyFill="1" applyBorder="1" applyAlignment="1">
      <alignment horizontal="center" vertical="center" wrapText="1"/>
    </xf>
    <xf numFmtId="16" fontId="10" fillId="17" borderId="3" xfId="0" quotePrefix="1" applyNumberFormat="1" applyFont="1" applyFill="1" applyBorder="1" applyAlignment="1">
      <alignment horizontal="center" vertical="center"/>
    </xf>
    <xf numFmtId="0" fontId="10" fillId="17" borderId="3" xfId="0" applyFont="1" applyFill="1" applyBorder="1" applyAlignment="1">
      <alignment horizontal="center" vertical="center" wrapText="1"/>
    </xf>
    <xf numFmtId="16" fontId="10" fillId="17" borderId="3" xfId="0" quotePrefix="1" applyNumberFormat="1" applyFont="1" applyFill="1" applyBorder="1" applyAlignment="1">
      <alignment horizontal="center" vertical="center" wrapText="1"/>
    </xf>
    <xf numFmtId="0" fontId="10" fillId="17" borderId="3" xfId="0" applyFont="1" applyFill="1" applyBorder="1" applyAlignment="1">
      <alignment horizontal="center" vertical="center"/>
    </xf>
    <xf numFmtId="0" fontId="9" fillId="17" borderId="44" xfId="0" applyFont="1" applyFill="1" applyBorder="1" applyAlignment="1">
      <alignment horizontal="center" vertical="center" wrapText="1"/>
    </xf>
    <xf numFmtId="0" fontId="9" fillId="17" borderId="45" xfId="0" quotePrefix="1" applyFont="1" applyFill="1" applyBorder="1" applyAlignment="1">
      <alignment horizontal="center" vertical="center" wrapText="1"/>
    </xf>
    <xf numFmtId="16" fontId="10" fillId="17" borderId="45" xfId="0" quotePrefix="1" applyNumberFormat="1" applyFont="1" applyFill="1" applyBorder="1" applyAlignment="1">
      <alignment horizontal="center" vertical="center"/>
    </xf>
    <xf numFmtId="0" fontId="5" fillId="5" borderId="0" xfId="0" applyFont="1" applyFill="1" applyAlignment="1">
      <alignment horizontal="center" vertical="top" wrapText="1"/>
    </xf>
    <xf numFmtId="0" fontId="5" fillId="5" borderId="0" xfId="0" applyFont="1" applyFill="1" applyAlignment="1">
      <alignment vertical="top" wrapText="1"/>
    </xf>
    <xf numFmtId="0" fontId="0" fillId="21" borderId="42" xfId="0" applyFill="1" applyBorder="1" applyAlignment="1">
      <alignment horizontal="center" vertical="center"/>
    </xf>
    <xf numFmtId="0" fontId="5" fillId="17" borderId="44" xfId="0" applyFont="1" applyFill="1" applyBorder="1" applyAlignment="1">
      <alignment horizontal="center" vertical="center" wrapText="1"/>
    </xf>
    <xf numFmtId="0" fontId="5" fillId="17" borderId="45" xfId="0" applyFont="1" applyFill="1" applyBorder="1" applyAlignment="1">
      <alignment horizontal="center" vertical="center" wrapText="1"/>
    </xf>
    <xf numFmtId="0" fontId="5" fillId="17" borderId="45" xfId="0" applyFont="1" applyFill="1" applyBorder="1" applyAlignment="1">
      <alignment vertical="top" wrapText="1"/>
    </xf>
    <xf numFmtId="0" fontId="5" fillId="17" borderId="46" xfId="0" applyFont="1" applyFill="1" applyBorder="1" applyAlignment="1">
      <alignment vertical="top" wrapText="1"/>
    </xf>
    <xf numFmtId="0" fontId="9" fillId="17" borderId="58" xfId="0" applyFont="1" applyFill="1" applyBorder="1" applyAlignment="1">
      <alignment horizontal="center" vertical="center" wrapText="1"/>
    </xf>
    <xf numFmtId="0" fontId="9" fillId="17" borderId="12" xfId="0" quotePrefix="1" applyFont="1" applyFill="1" applyBorder="1" applyAlignment="1">
      <alignment horizontal="center" vertical="center" wrapText="1"/>
    </xf>
    <xf numFmtId="16" fontId="10" fillId="17" borderId="12" xfId="0" quotePrefix="1" applyNumberFormat="1" applyFont="1" applyFill="1" applyBorder="1" applyAlignment="1">
      <alignment horizontal="center" vertical="center"/>
    </xf>
    <xf numFmtId="0" fontId="16" fillId="21" borderId="11" xfId="0" applyFont="1" applyFill="1" applyBorder="1" applyAlignment="1">
      <alignment horizontal="left" vertical="top" wrapText="1"/>
    </xf>
    <xf numFmtId="0" fontId="9" fillId="17" borderId="3" xfId="0" applyFont="1" applyFill="1" applyBorder="1" applyAlignment="1">
      <alignment horizontal="center" vertical="center" wrapText="1"/>
    </xf>
    <xf numFmtId="0" fontId="0" fillId="17" borderId="3" xfId="0" applyFill="1" applyBorder="1" applyAlignment="1">
      <alignment vertical="top" wrapText="1"/>
    </xf>
    <xf numFmtId="0" fontId="0" fillId="17" borderId="11" xfId="0" applyFill="1" applyBorder="1" applyAlignment="1">
      <alignment vertical="top" wrapText="1"/>
    </xf>
    <xf numFmtId="0" fontId="14" fillId="17" borderId="42" xfId="0" applyFont="1" applyFill="1" applyBorder="1" applyAlignment="1">
      <alignment horizontal="center" vertical="center" wrapText="1"/>
    </xf>
    <xf numFmtId="0" fontId="15" fillId="17" borderId="42" xfId="0" applyFont="1" applyFill="1" applyBorder="1" applyAlignment="1">
      <alignment horizontal="center" vertical="center" wrapText="1"/>
    </xf>
    <xf numFmtId="0" fontId="9" fillId="17" borderId="45" xfId="0" applyFont="1" applyFill="1" applyBorder="1" applyAlignment="1">
      <alignment horizontal="center" vertical="center" wrapText="1"/>
    </xf>
    <xf numFmtId="16" fontId="10" fillId="17" borderId="45" xfId="0" quotePrefix="1" applyNumberFormat="1" applyFont="1" applyFill="1" applyBorder="1" applyAlignment="1">
      <alignment horizontal="center" vertical="center" wrapText="1"/>
    </xf>
    <xf numFmtId="0" fontId="0" fillId="17" borderId="49" xfId="0" applyFill="1" applyBorder="1" applyAlignment="1">
      <alignment vertical="top" wrapText="1"/>
    </xf>
    <xf numFmtId="0" fontId="5" fillId="17" borderId="3" xfId="0" applyFont="1" applyFill="1" applyBorder="1" applyAlignment="1">
      <alignment horizontal="center" vertical="top" wrapText="1"/>
    </xf>
    <xf numFmtId="0" fontId="0" fillId="21" borderId="3" xfId="0" applyFill="1" applyBorder="1" applyAlignment="1">
      <alignment horizontal="center" vertical="center" wrapText="1"/>
    </xf>
    <xf numFmtId="0" fontId="0" fillId="21" borderId="3" xfId="0" applyFill="1" applyBorder="1" applyAlignment="1">
      <alignment horizontal="left" vertical="top" wrapText="1"/>
    </xf>
    <xf numFmtId="0" fontId="0" fillId="21" borderId="42" xfId="0" applyFill="1" applyBorder="1" applyAlignment="1">
      <alignment horizontal="center" vertical="center" wrapText="1"/>
    </xf>
    <xf numFmtId="0" fontId="0" fillId="21" borderId="44" xfId="0" applyFill="1" applyBorder="1" applyAlignment="1">
      <alignment horizontal="center" vertical="center" wrapText="1"/>
    </xf>
    <xf numFmtId="0" fontId="5" fillId="17" borderId="43" xfId="0" applyFont="1" applyFill="1" applyBorder="1" applyAlignment="1">
      <alignment horizontal="center" vertical="top" wrapText="1"/>
    </xf>
    <xf numFmtId="0" fontId="0" fillId="11" borderId="43" xfId="0" applyFill="1" applyBorder="1" applyAlignment="1">
      <alignment vertical="center" wrapText="1"/>
    </xf>
    <xf numFmtId="0" fontId="0" fillId="0" borderId="43" xfId="0" applyBorder="1" applyAlignment="1">
      <alignment vertical="center" wrapText="1"/>
    </xf>
    <xf numFmtId="0" fontId="0" fillId="11" borderId="79" xfId="0" applyFill="1" applyBorder="1" applyAlignment="1">
      <alignment vertical="center" wrapText="1"/>
    </xf>
    <xf numFmtId="0" fontId="6" fillId="19" borderId="43" xfId="0" applyFont="1" applyFill="1" applyBorder="1"/>
    <xf numFmtId="0" fontId="6" fillId="0" borderId="43" xfId="0" applyFont="1" applyBorder="1"/>
    <xf numFmtId="0" fontId="6" fillId="19" borderId="45" xfId="0" applyFont="1" applyFill="1" applyBorder="1"/>
    <xf numFmtId="0" fontId="6" fillId="19" borderId="46" xfId="0" applyFont="1" applyFill="1" applyBorder="1"/>
    <xf numFmtId="0" fontId="6" fillId="5" borderId="0" xfId="0" applyFont="1" applyFill="1"/>
    <xf numFmtId="0" fontId="0" fillId="21" borderId="11" xfId="0" applyFill="1" applyBorder="1" applyAlignment="1">
      <alignment horizontal="left" vertical="top" wrapText="1"/>
    </xf>
    <xf numFmtId="0" fontId="0" fillId="21" borderId="11" xfId="0" quotePrefix="1" applyFill="1" applyBorder="1" applyAlignment="1">
      <alignment horizontal="left" vertical="top" wrapText="1"/>
    </xf>
    <xf numFmtId="0" fontId="0" fillId="21" borderId="49" xfId="0" applyFill="1" applyBorder="1" applyAlignment="1">
      <alignment horizontal="left" vertical="top" wrapText="1"/>
    </xf>
    <xf numFmtId="0" fontId="0" fillId="17" borderId="42" xfId="0" applyFill="1" applyBorder="1" applyAlignment="1">
      <alignment horizontal="center" vertical="center" wrapText="1"/>
    </xf>
    <xf numFmtId="16" fontId="0" fillId="17" borderId="3" xfId="0" quotePrefix="1" applyNumberFormat="1" applyFill="1" applyBorder="1" applyAlignment="1">
      <alignment horizontal="center" vertical="center"/>
    </xf>
    <xf numFmtId="0" fontId="9" fillId="17" borderId="3" xfId="0" applyFont="1" applyFill="1" applyBorder="1" applyAlignment="1">
      <alignment horizontal="center" vertical="center"/>
    </xf>
    <xf numFmtId="0" fontId="0" fillId="17" borderId="3" xfId="0" applyFill="1" applyBorder="1" applyAlignment="1">
      <alignment horizontal="left" vertical="top" wrapText="1"/>
    </xf>
    <xf numFmtId="0" fontId="0" fillId="17" borderId="3" xfId="0" applyFill="1" applyBorder="1" applyAlignment="1">
      <alignment horizontal="center" vertical="center"/>
    </xf>
    <xf numFmtId="0" fontId="0" fillId="17" borderId="44" xfId="0" applyFill="1" applyBorder="1" applyAlignment="1">
      <alignment horizontal="center" vertical="center" wrapText="1"/>
    </xf>
    <xf numFmtId="16" fontId="0" fillId="17" borderId="45" xfId="0" quotePrefix="1" applyNumberFormat="1" applyFill="1" applyBorder="1" applyAlignment="1">
      <alignment horizontal="center" vertical="center"/>
    </xf>
    <xf numFmtId="0" fontId="0" fillId="17" borderId="45" xfId="0" applyFill="1" applyBorder="1" applyAlignment="1">
      <alignment horizontal="center" vertical="center"/>
    </xf>
    <xf numFmtId="0" fontId="0" fillId="17" borderId="45" xfId="0" applyFill="1" applyBorder="1" applyAlignment="1">
      <alignment horizontal="left" vertical="top" wrapText="1"/>
    </xf>
    <xf numFmtId="0" fontId="5" fillId="5" borderId="0" xfId="0" applyFont="1" applyFill="1" applyAlignment="1">
      <alignment horizontal="center" vertical="center" wrapText="1"/>
    </xf>
    <xf numFmtId="0" fontId="0" fillId="17" borderId="3" xfId="0" applyFill="1" applyBorder="1" applyAlignment="1">
      <alignment horizontal="left" vertical="top"/>
    </xf>
    <xf numFmtId="0" fontId="5" fillId="17" borderId="3" xfId="0" applyFont="1" applyFill="1" applyBorder="1" applyAlignment="1">
      <alignment vertical="top" wrapText="1"/>
    </xf>
    <xf numFmtId="0" fontId="5" fillId="17" borderId="43" xfId="0" applyFont="1" applyFill="1" applyBorder="1" applyAlignment="1">
      <alignment vertical="top" wrapText="1"/>
    </xf>
    <xf numFmtId="0" fontId="0" fillId="17" borderId="26" xfId="0" applyFill="1" applyBorder="1" applyAlignment="1">
      <alignment horizontal="left" vertical="top" wrapText="1"/>
    </xf>
    <xf numFmtId="0" fontId="0" fillId="11" borderId="26" xfId="0" applyFill="1" applyBorder="1" applyAlignment="1">
      <alignment horizontal="left"/>
    </xf>
    <xf numFmtId="0" fontId="0" fillId="11" borderId="79" xfId="0" applyFill="1" applyBorder="1" applyAlignment="1">
      <alignment horizontal="left"/>
    </xf>
    <xf numFmtId="49" fontId="0" fillId="20" borderId="25" xfId="0" applyNumberFormat="1" applyFill="1" applyBorder="1" applyAlignment="1">
      <alignment horizontal="left" vertical="center" wrapText="1"/>
    </xf>
    <xf numFmtId="49" fontId="0" fillId="20" borderId="3" xfId="0" applyNumberFormat="1" applyFill="1" applyBorder="1" applyAlignment="1">
      <alignment horizontal="left" vertical="center" wrapText="1"/>
    </xf>
    <xf numFmtId="49" fontId="0" fillId="20" borderId="3" xfId="0" applyNumberFormat="1" applyFill="1" applyBorder="1" applyAlignment="1">
      <alignment horizontal="left" vertical="top" wrapText="1"/>
    </xf>
    <xf numFmtId="49" fontId="0" fillId="20" borderId="43" xfId="0" applyNumberFormat="1" applyFill="1" applyBorder="1" applyAlignment="1">
      <alignment horizontal="left" vertical="center" wrapText="1"/>
    </xf>
    <xf numFmtId="0" fontId="0" fillId="0" borderId="3" xfId="0" applyBorder="1" applyAlignment="1">
      <alignment horizontal="left" vertical="center" wrapText="1"/>
    </xf>
    <xf numFmtId="16" fontId="10" fillId="17" borderId="3" xfId="0" quotePrefix="1" applyNumberFormat="1" applyFont="1" applyFill="1" applyBorder="1" applyAlignment="1">
      <alignment horizontal="left" vertical="center" wrapText="1"/>
    </xf>
    <xf numFmtId="0" fontId="0" fillId="5" borderId="3" xfId="0" applyFill="1" applyBorder="1" applyAlignment="1">
      <alignment horizontal="left"/>
    </xf>
    <xf numFmtId="0" fontId="22" fillId="22" borderId="25" xfId="0" applyFont="1" applyFill="1" applyBorder="1" applyAlignment="1">
      <alignment horizontal="center" vertical="center"/>
    </xf>
    <xf numFmtId="0" fontId="22" fillId="23" borderId="42" xfId="0" applyFont="1" applyFill="1" applyBorder="1" applyAlignment="1">
      <alignment horizontal="center" vertical="center"/>
    </xf>
    <xf numFmtId="0" fontId="22" fillId="23" borderId="3" xfId="0" applyFont="1" applyFill="1" applyBorder="1" applyAlignment="1">
      <alignment horizontal="center" vertical="center"/>
    </xf>
    <xf numFmtId="0" fontId="3" fillId="0" borderId="87" xfId="0" applyFont="1" applyBorder="1" applyAlignment="1">
      <alignment horizontal="center" vertical="center"/>
    </xf>
    <xf numFmtId="0" fontId="0" fillId="0" borderId="86" xfId="0" applyBorder="1" applyAlignment="1">
      <alignment horizontal="center" vertical="center"/>
    </xf>
    <xf numFmtId="0" fontId="16" fillId="0" borderId="86" xfId="0" applyFont="1" applyBorder="1" applyAlignment="1">
      <alignment horizontal="center" vertical="center" wrapText="1"/>
    </xf>
    <xf numFmtId="0" fontId="5" fillId="5" borderId="0" xfId="0" applyFont="1" applyFill="1" applyAlignment="1">
      <alignment horizontal="center"/>
    </xf>
    <xf numFmtId="0" fontId="22" fillId="22" borderId="11" xfId="0" applyFont="1" applyFill="1" applyBorder="1" applyAlignment="1">
      <alignment horizontal="center" vertical="center"/>
    </xf>
    <xf numFmtId="0" fontId="3" fillId="0" borderId="64" xfId="0" applyFont="1" applyBorder="1" applyAlignment="1">
      <alignment horizontal="center" vertical="center"/>
    </xf>
    <xf numFmtId="0" fontId="3" fillId="0" borderId="60" xfId="0" applyFont="1" applyBorder="1" applyAlignment="1">
      <alignment horizontal="center" vertical="center"/>
    </xf>
    <xf numFmtId="0" fontId="3" fillId="22" borderId="5" xfId="0" applyFont="1" applyFill="1" applyBorder="1" applyAlignment="1">
      <alignment horizontal="center" vertical="center"/>
    </xf>
    <xf numFmtId="0" fontId="16" fillId="0" borderId="92" xfId="0" applyFont="1" applyBorder="1" applyAlignment="1">
      <alignment horizontal="center" vertical="center" wrapText="1"/>
    </xf>
    <xf numFmtId="0" fontId="22" fillId="23" borderId="50" xfId="0" applyFont="1" applyFill="1" applyBorder="1" applyAlignment="1">
      <alignment horizontal="center" vertical="center"/>
    </xf>
    <xf numFmtId="0" fontId="22" fillId="23" borderId="26" xfId="0" applyFont="1" applyFill="1" applyBorder="1" applyAlignment="1">
      <alignment horizontal="center" vertical="center"/>
    </xf>
    <xf numFmtId="0" fontId="22" fillId="22" borderId="80" xfId="0" applyFont="1" applyFill="1" applyBorder="1" applyAlignment="1">
      <alignment horizontal="center" vertical="center"/>
    </xf>
    <xf numFmtId="0" fontId="22" fillId="22" borderId="27" xfId="0" applyFont="1" applyFill="1" applyBorder="1" applyAlignment="1">
      <alignment horizontal="center" vertical="center"/>
    </xf>
    <xf numFmtId="0" fontId="3" fillId="22" borderId="68" xfId="0" applyFont="1" applyFill="1" applyBorder="1" applyAlignment="1">
      <alignment horizontal="center" vertical="center" wrapText="1"/>
    </xf>
    <xf numFmtId="0" fontId="1" fillId="22" borderId="52" xfId="0" applyFont="1" applyFill="1" applyBorder="1" applyAlignment="1">
      <alignment horizontal="center" vertical="center" wrapText="1"/>
    </xf>
    <xf numFmtId="0" fontId="1" fillId="22" borderId="53" xfId="0" applyFont="1" applyFill="1" applyBorder="1" applyAlignment="1">
      <alignment horizontal="center" vertical="center" wrapText="1"/>
    </xf>
    <xf numFmtId="0" fontId="27" fillId="0" borderId="85" xfId="0" applyFont="1" applyBorder="1" applyAlignment="1">
      <alignment horizontal="center" vertical="center"/>
    </xf>
    <xf numFmtId="0" fontId="27" fillId="0" borderId="84" xfId="0" applyFont="1" applyBorder="1" applyAlignment="1">
      <alignment horizontal="center" vertical="center"/>
    </xf>
    <xf numFmtId="0" fontId="27" fillId="22" borderId="66" xfId="0" applyFont="1" applyFill="1" applyBorder="1" applyAlignment="1">
      <alignment horizontal="center" vertical="center"/>
    </xf>
    <xf numFmtId="0" fontId="27" fillId="22" borderId="93" xfId="0" applyFont="1" applyFill="1" applyBorder="1" applyAlignment="1">
      <alignment horizontal="center" vertical="center"/>
    </xf>
    <xf numFmtId="0" fontId="1" fillId="22" borderId="90" xfId="0" applyFont="1" applyFill="1" applyBorder="1" applyAlignment="1">
      <alignment horizontal="center" vertical="center"/>
    </xf>
    <xf numFmtId="0" fontId="1" fillId="22" borderId="91" xfId="0" applyFont="1" applyFill="1" applyBorder="1" applyAlignment="1">
      <alignment horizontal="center" vertical="center"/>
    </xf>
    <xf numFmtId="0" fontId="27" fillId="23" borderId="48" xfId="0" applyFont="1" applyFill="1" applyBorder="1" applyAlignment="1">
      <alignment horizontal="center" vertical="center"/>
    </xf>
    <xf numFmtId="0" fontId="27" fillId="23" borderId="94" xfId="0" applyFont="1" applyFill="1" applyBorder="1" applyAlignment="1">
      <alignment horizontal="center" vertical="center"/>
    </xf>
    <xf numFmtId="0" fontId="27" fillId="23" borderId="95" xfId="0" applyFont="1" applyFill="1" applyBorder="1" applyAlignment="1">
      <alignment horizontal="center" vertical="center"/>
    </xf>
    <xf numFmtId="0" fontId="27" fillId="23" borderId="62" xfId="0" applyFont="1" applyFill="1" applyBorder="1" applyAlignment="1">
      <alignment horizontal="center" vertical="center"/>
    </xf>
    <xf numFmtId="0" fontId="0" fillId="5" borderId="26" xfId="0" applyFill="1" applyBorder="1" applyAlignment="1">
      <alignment horizontal="left"/>
    </xf>
    <xf numFmtId="0" fontId="0" fillId="4" borderId="97" xfId="0" applyFill="1" applyBorder="1"/>
    <xf numFmtId="0" fontId="17" fillId="0" borderId="0" xfId="0" applyFont="1"/>
    <xf numFmtId="49" fontId="0" fillId="0" borderId="12" xfId="0" applyNumberFormat="1" applyBorder="1" applyAlignment="1">
      <alignment horizontal="center" vertical="center"/>
    </xf>
    <xf numFmtId="49" fontId="5" fillId="0" borderId="26" xfId="0" applyNumberFormat="1" applyFont="1" applyBorder="1" applyAlignment="1">
      <alignment horizontal="center"/>
    </xf>
    <xf numFmtId="49" fontId="5" fillId="0" borderId="0" xfId="0" applyNumberFormat="1" applyFont="1" applyAlignment="1">
      <alignment horizontal="center"/>
    </xf>
    <xf numFmtId="49" fontId="5" fillId="0" borderId="0" xfId="0" applyNumberFormat="1" applyFont="1"/>
    <xf numFmtId="0" fontId="0" fillId="17" borderId="3" xfId="0" applyFill="1" applyBorder="1" applyAlignment="1">
      <alignment vertical="center" wrapText="1"/>
    </xf>
    <xf numFmtId="0" fontId="0" fillId="14" borderId="3" xfId="0" applyFill="1" applyBorder="1"/>
    <xf numFmtId="0" fontId="0" fillId="14" borderId="43" xfId="0" applyFill="1" applyBorder="1"/>
    <xf numFmtId="0" fontId="0" fillId="17" borderId="12" xfId="0" applyFill="1" applyBorder="1" applyAlignment="1">
      <alignment horizontal="left" vertical="center" wrapText="1"/>
    </xf>
    <xf numFmtId="0" fontId="0" fillId="14" borderId="12" xfId="0" applyFill="1" applyBorder="1"/>
    <xf numFmtId="0" fontId="0" fillId="14" borderId="81" xfId="0" applyFill="1" applyBorder="1"/>
    <xf numFmtId="49" fontId="0" fillId="0" borderId="3" xfId="0" applyNumberFormat="1" applyBorder="1" applyAlignment="1">
      <alignment horizontal="center" vertical="top" wrapText="1"/>
    </xf>
    <xf numFmtId="0" fontId="0" fillId="17" borderId="45" xfId="0" applyFill="1" applyBorder="1" applyAlignment="1">
      <alignment vertical="center" wrapText="1"/>
    </xf>
    <xf numFmtId="0" fontId="0" fillId="14" borderId="45" xfId="0" applyFill="1" applyBorder="1"/>
    <xf numFmtId="0" fontId="0" fillId="14" borderId="46" xfId="0" applyFill="1" applyBorder="1"/>
    <xf numFmtId="49" fontId="0" fillId="5" borderId="49" xfId="0" applyNumberFormat="1" applyFill="1" applyBorder="1" applyAlignment="1">
      <alignment horizontal="center" vertical="center" wrapText="1"/>
    </xf>
    <xf numFmtId="0" fontId="0" fillId="0" borderId="0" xfId="0" applyAlignment="1">
      <alignment vertical="top"/>
    </xf>
    <xf numFmtId="0" fontId="14" fillId="17" borderId="3" xfId="0" quotePrefix="1" applyFont="1" applyFill="1" applyBorder="1" applyAlignment="1">
      <alignment horizontal="center" vertical="center" wrapText="1"/>
    </xf>
    <xf numFmtId="0" fontId="29" fillId="0" borderId="3" xfId="0" applyFont="1" applyBorder="1" applyAlignment="1">
      <alignment horizontal="center" vertical="center" wrapText="1"/>
    </xf>
    <xf numFmtId="49" fontId="30" fillId="0" borderId="3" xfId="0" applyNumberFormat="1" applyFont="1" applyBorder="1" applyAlignment="1">
      <alignment horizontal="center" vertical="top" wrapText="1"/>
    </xf>
    <xf numFmtId="0" fontId="30" fillId="0" borderId="3" xfId="0" quotePrefix="1" applyFont="1" applyBorder="1" applyAlignment="1">
      <alignment horizontal="center" vertical="center" wrapText="1"/>
    </xf>
    <xf numFmtId="49" fontId="5" fillId="13" borderId="52" xfId="0" applyNumberFormat="1" applyFont="1" applyFill="1" applyBorder="1" applyAlignment="1">
      <alignment horizontal="center" vertical="center" wrapText="1"/>
    </xf>
    <xf numFmtId="49" fontId="5" fillId="13" borderId="12" xfId="0" applyNumberFormat="1" applyFont="1" applyFill="1" applyBorder="1" applyAlignment="1">
      <alignment horizontal="center" vertical="center" wrapText="1"/>
    </xf>
    <xf numFmtId="49" fontId="5" fillId="13" borderId="81" xfId="0" applyNumberFormat="1" applyFont="1" applyFill="1" applyBorder="1" applyAlignment="1">
      <alignment horizontal="center" vertical="center" wrapText="1"/>
    </xf>
    <xf numFmtId="0" fontId="16" fillId="21" borderId="43" xfId="0" applyFont="1" applyFill="1" applyBorder="1" applyAlignment="1">
      <alignment horizontal="left" vertical="top" wrapText="1"/>
    </xf>
    <xf numFmtId="0" fontId="0" fillId="21" borderId="43" xfId="0" applyFill="1" applyBorder="1" applyAlignment="1">
      <alignment vertical="top" wrapText="1"/>
    </xf>
    <xf numFmtId="0" fontId="0" fillId="21" borderId="102" xfId="0" applyFill="1" applyBorder="1" applyAlignment="1">
      <alignment vertical="top" wrapText="1"/>
    </xf>
    <xf numFmtId="0" fontId="16" fillId="21" borderId="42" xfId="0" applyFont="1" applyFill="1" applyBorder="1" applyAlignment="1">
      <alignment horizontal="left" vertical="top" wrapText="1"/>
    </xf>
    <xf numFmtId="0" fontId="5" fillId="17" borderId="58" xfId="0" applyFont="1" applyFill="1" applyBorder="1" applyAlignment="1">
      <alignment horizontal="center" vertical="top" wrapText="1"/>
    </xf>
    <xf numFmtId="0" fontId="5" fillId="17" borderId="12" xfId="0" applyFont="1" applyFill="1" applyBorder="1" applyAlignment="1">
      <alignment horizontal="center" vertical="top" wrapText="1"/>
    </xf>
    <xf numFmtId="0" fontId="5" fillId="17" borderId="81" xfId="0" applyFont="1" applyFill="1" applyBorder="1" applyAlignment="1">
      <alignment horizontal="center" vertical="top" wrapText="1"/>
    </xf>
    <xf numFmtId="49" fontId="23" fillId="13" borderId="52" xfId="0" applyNumberFormat="1" applyFont="1" applyFill="1" applyBorder="1" applyAlignment="1">
      <alignment horizontal="center" vertical="center" wrapText="1"/>
    </xf>
    <xf numFmtId="49" fontId="0" fillId="13" borderId="12" xfId="0" applyNumberFormat="1" applyFill="1" applyBorder="1" applyAlignment="1">
      <alignment horizontal="center" vertical="center" wrapText="1"/>
    </xf>
    <xf numFmtId="49" fontId="0" fillId="13" borderId="81" xfId="0" applyNumberFormat="1" applyFill="1" applyBorder="1" applyAlignment="1">
      <alignment horizontal="center" vertical="center" wrapText="1"/>
    </xf>
    <xf numFmtId="0" fontId="0" fillId="21" borderId="45" xfId="0" applyFill="1" applyBorder="1" applyAlignment="1">
      <alignment horizontal="center" vertical="center" wrapText="1"/>
    </xf>
    <xf numFmtId="0" fontId="0" fillId="21" borderId="85" xfId="0" applyFill="1" applyBorder="1" applyAlignment="1">
      <alignment horizontal="left" vertical="top" wrapText="1"/>
    </xf>
    <xf numFmtId="0" fontId="0" fillId="21" borderId="42" xfId="0" applyFill="1" applyBorder="1" applyAlignment="1">
      <alignment horizontal="left" vertical="top" wrapText="1"/>
    </xf>
    <xf numFmtId="0" fontId="0" fillId="5" borderId="98" xfId="0" applyFill="1" applyBorder="1" applyAlignment="1">
      <alignment horizontal="center" vertical="center" wrapText="1"/>
    </xf>
    <xf numFmtId="0" fontId="5" fillId="17" borderId="45" xfId="0" applyFont="1" applyFill="1" applyBorder="1" applyAlignment="1">
      <alignment horizontal="center" vertical="top" wrapText="1"/>
    </xf>
    <xf numFmtId="0" fontId="5" fillId="17" borderId="46" xfId="0" applyFont="1" applyFill="1" applyBorder="1" applyAlignment="1">
      <alignment horizontal="center" vertical="top" wrapText="1"/>
    </xf>
    <xf numFmtId="0" fontId="9" fillId="17" borderId="12" xfId="0" applyFont="1" applyFill="1" applyBorder="1" applyAlignment="1">
      <alignment horizontal="center" vertical="center" wrapText="1"/>
    </xf>
    <xf numFmtId="16" fontId="10" fillId="17" borderId="12" xfId="0" quotePrefix="1" applyNumberFormat="1" applyFont="1" applyFill="1" applyBorder="1" applyAlignment="1">
      <alignment horizontal="center" vertical="center" wrapText="1"/>
    </xf>
    <xf numFmtId="0" fontId="0" fillId="17" borderId="12" xfId="0" applyFill="1" applyBorder="1" applyAlignment="1">
      <alignment vertical="top" wrapText="1"/>
    </xf>
    <xf numFmtId="0" fontId="0" fillId="11" borderId="12" xfId="0" applyFill="1" applyBorder="1" applyAlignment="1">
      <alignment vertical="center" wrapText="1"/>
    </xf>
    <xf numFmtId="0" fontId="0" fillId="11" borderId="81" xfId="0" applyFill="1" applyBorder="1" applyAlignment="1">
      <alignment vertical="center" wrapText="1"/>
    </xf>
    <xf numFmtId="0" fontId="0" fillId="21" borderId="25" xfId="0" applyFill="1" applyBorder="1" applyAlignment="1">
      <alignment horizontal="center" vertical="center" wrapText="1"/>
    </xf>
    <xf numFmtId="49" fontId="5" fillId="13" borderId="0" xfId="0" applyNumberFormat="1" applyFont="1" applyFill="1" applyAlignment="1">
      <alignment horizontal="center" vertical="center" wrapText="1"/>
    </xf>
    <xf numFmtId="0" fontId="0" fillId="13" borderId="0" xfId="0" applyFill="1" applyAlignment="1">
      <alignment vertical="center" wrapText="1"/>
    </xf>
    <xf numFmtId="0" fontId="0" fillId="21" borderId="43" xfId="0" applyFill="1" applyBorder="1" applyAlignment="1">
      <alignment horizontal="left" vertical="top" wrapText="1"/>
    </xf>
    <xf numFmtId="49" fontId="0" fillId="21" borderId="43" xfId="0" applyNumberFormat="1" applyFill="1" applyBorder="1" applyAlignment="1">
      <alignment horizontal="left" vertical="top" wrapText="1"/>
    </xf>
    <xf numFmtId="0" fontId="26" fillId="21" borderId="43" xfId="0" applyFont="1" applyFill="1" applyBorder="1" applyAlignment="1">
      <alignment horizontal="left" vertical="top" wrapText="1"/>
    </xf>
    <xf numFmtId="0" fontId="26" fillId="21" borderId="46" xfId="0" applyFont="1" applyFill="1" applyBorder="1" applyAlignment="1">
      <alignment horizontal="left" vertical="top" wrapText="1"/>
    </xf>
    <xf numFmtId="0" fontId="5" fillId="17" borderId="58" xfId="0" applyFont="1" applyFill="1" applyBorder="1" applyAlignment="1">
      <alignment horizontal="center" vertical="center" wrapText="1"/>
    </xf>
    <xf numFmtId="0" fontId="5" fillId="17" borderId="12" xfId="0" applyFont="1" applyFill="1" applyBorder="1" applyAlignment="1">
      <alignment horizontal="center" vertical="center" wrapText="1"/>
    </xf>
    <xf numFmtId="0" fontId="5" fillId="17" borderId="81" xfId="0" applyFont="1" applyFill="1" applyBorder="1" applyAlignment="1">
      <alignment horizontal="center" vertical="center" wrapText="1"/>
    </xf>
    <xf numFmtId="0" fontId="0" fillId="21" borderId="25" xfId="0" applyFill="1" applyBorder="1" applyAlignment="1">
      <alignment horizontal="left" vertical="top" wrapText="1"/>
    </xf>
    <xf numFmtId="0" fontId="0" fillId="21" borderId="42" xfId="0" applyFill="1" applyBorder="1" applyAlignment="1">
      <alignment horizontal="left" vertical="top"/>
    </xf>
    <xf numFmtId="0" fontId="6" fillId="0" borderId="3" xfId="0" applyFont="1" applyBorder="1" applyAlignment="1">
      <alignment wrapText="1"/>
    </xf>
    <xf numFmtId="0" fontId="6" fillId="0" borderId="43" xfId="0" applyFont="1" applyBorder="1" applyAlignment="1">
      <alignment wrapText="1"/>
    </xf>
    <xf numFmtId="0" fontId="0" fillId="21" borderId="3" xfId="0" applyFill="1" applyBorder="1" applyAlignment="1">
      <alignment vertical="top" wrapText="1"/>
    </xf>
    <xf numFmtId="49" fontId="6" fillId="0" borderId="3" xfId="0" applyNumberFormat="1" applyFont="1" applyBorder="1"/>
    <xf numFmtId="49" fontId="0" fillId="0" borderId="3" xfId="0" applyNumberFormat="1" applyBorder="1"/>
    <xf numFmtId="49" fontId="0" fillId="15" borderId="3" xfId="0" applyNumberFormat="1" applyFill="1" applyBorder="1"/>
    <xf numFmtId="49" fontId="0" fillId="15" borderId="0" xfId="0" applyNumberFormat="1" applyFill="1"/>
    <xf numFmtId="0" fontId="16" fillId="5" borderId="0" xfId="0" applyFont="1" applyFill="1" applyAlignment="1">
      <alignment vertical="center" wrapText="1"/>
    </xf>
    <xf numFmtId="0" fontId="6" fillId="0" borderId="3" xfId="0" applyFont="1" applyBorder="1" applyAlignment="1">
      <alignment vertical="center" wrapText="1"/>
    </xf>
    <xf numFmtId="0" fontId="6" fillId="19" borderId="43" xfId="0" applyFont="1" applyFill="1" applyBorder="1" applyAlignment="1">
      <alignment vertical="center" wrapText="1"/>
    </xf>
    <xf numFmtId="0" fontId="6" fillId="19" borderId="3" xfId="0" applyFont="1" applyFill="1" applyBorder="1" applyAlignment="1">
      <alignment vertical="center" wrapText="1"/>
    </xf>
    <xf numFmtId="49" fontId="9" fillId="17" borderId="3" xfId="0" applyNumberFormat="1" applyFont="1" applyFill="1" applyBorder="1" applyAlignment="1">
      <alignment horizontal="center" vertical="center" wrapText="1"/>
    </xf>
    <xf numFmtId="0" fontId="32" fillId="17" borderId="42" xfId="0" applyFont="1" applyFill="1" applyBorder="1" applyAlignment="1">
      <alignment horizontal="center" vertical="center" wrapText="1"/>
    </xf>
    <xf numFmtId="49" fontId="0" fillId="24" borderId="0" xfId="0" applyNumberFormat="1" applyFill="1"/>
    <xf numFmtId="49" fontId="33" fillId="0" borderId="0" xfId="0" applyNumberFormat="1" applyFont="1" applyAlignment="1">
      <alignment horizontal="center"/>
    </xf>
    <xf numFmtId="49" fontId="30" fillId="0" borderId="3" xfId="0" applyNumberFormat="1" applyFont="1" applyBorder="1" applyAlignment="1">
      <alignment horizontal="center"/>
    </xf>
    <xf numFmtId="49" fontId="30" fillId="0" borderId="3" xfId="0" applyNumberFormat="1" applyFont="1" applyBorder="1" applyAlignment="1">
      <alignment horizontal="center" vertical="center"/>
    </xf>
    <xf numFmtId="49" fontId="30" fillId="0" borderId="0" xfId="0" applyNumberFormat="1" applyFont="1" applyAlignment="1">
      <alignment horizontal="center"/>
    </xf>
    <xf numFmtId="49" fontId="30" fillId="0" borderId="0" xfId="0" applyNumberFormat="1" applyFont="1"/>
    <xf numFmtId="49" fontId="30" fillId="5" borderId="26" xfId="0" applyNumberFormat="1" applyFont="1" applyFill="1" applyBorder="1" applyAlignment="1">
      <alignment horizontal="center" vertical="center"/>
    </xf>
    <xf numFmtId="49" fontId="30" fillId="5" borderId="0" xfId="0" applyNumberFormat="1" applyFont="1" applyFill="1" applyAlignment="1">
      <alignment horizontal="center" vertical="center"/>
    </xf>
    <xf numFmtId="49" fontId="30" fillId="5" borderId="0" xfId="0" applyNumberFormat="1" applyFont="1" applyFill="1"/>
    <xf numFmtId="49" fontId="30" fillId="5" borderId="3" xfId="0" applyNumberFormat="1" applyFont="1" applyFill="1" applyBorder="1" applyAlignment="1">
      <alignment horizontal="center" vertical="center"/>
    </xf>
    <xf numFmtId="0" fontId="30" fillId="5" borderId="0" xfId="0" applyFont="1" applyFill="1"/>
    <xf numFmtId="0" fontId="30" fillId="0" borderId="3" xfId="0" applyFont="1" applyBorder="1" applyAlignment="1">
      <alignment horizontal="center"/>
    </xf>
    <xf numFmtId="49" fontId="0" fillId="0" borderId="11" xfId="0" applyNumberFormat="1" applyBorder="1" applyAlignment="1">
      <alignment horizontal="center"/>
    </xf>
    <xf numFmtId="49" fontId="30" fillId="5" borderId="25" xfId="0" applyNumberFormat="1" applyFont="1" applyFill="1" applyBorder="1" applyAlignment="1">
      <alignment horizontal="center" vertical="center"/>
    </xf>
    <xf numFmtId="0" fontId="9" fillId="17" borderId="85" xfId="0" applyFont="1" applyFill="1" applyBorder="1" applyAlignment="1">
      <alignment horizontal="center" vertical="center" wrapText="1"/>
    </xf>
    <xf numFmtId="0" fontId="6" fillId="19" borderId="94" xfId="0" applyFont="1" applyFill="1" applyBorder="1" applyAlignment="1">
      <alignment vertical="center" wrapText="1"/>
    </xf>
    <xf numFmtId="0" fontId="9" fillId="17" borderId="26" xfId="0" applyFont="1" applyFill="1" applyBorder="1" applyAlignment="1">
      <alignment horizontal="center" vertical="center" wrapText="1"/>
    </xf>
    <xf numFmtId="16" fontId="10" fillId="17" borderId="26" xfId="0" quotePrefix="1" applyNumberFormat="1" applyFont="1" applyFill="1" applyBorder="1" applyAlignment="1">
      <alignment horizontal="center" vertical="center" wrapText="1"/>
    </xf>
    <xf numFmtId="0" fontId="0" fillId="17" borderId="27" xfId="0" applyFill="1" applyBorder="1" applyAlignment="1">
      <alignment vertical="top" wrapText="1"/>
    </xf>
    <xf numFmtId="0" fontId="6" fillId="0" borderId="26" xfId="0" applyFont="1" applyBorder="1" applyAlignment="1">
      <alignment vertical="center" wrapText="1"/>
    </xf>
    <xf numFmtId="0" fontId="0" fillId="17" borderId="53" xfId="0" applyFill="1" applyBorder="1" applyAlignment="1">
      <alignment vertical="top" wrapText="1"/>
    </xf>
    <xf numFmtId="0" fontId="6" fillId="0" borderId="12" xfId="0" applyFont="1" applyBorder="1" applyAlignment="1">
      <alignment vertical="center" wrapText="1"/>
    </xf>
    <xf numFmtId="49" fontId="0" fillId="16" borderId="0" xfId="0" applyNumberFormat="1" applyFill="1" applyAlignment="1">
      <alignment horizontal="center"/>
    </xf>
    <xf numFmtId="0" fontId="10" fillId="17" borderId="44" xfId="0" applyFont="1" applyFill="1" applyBorder="1" applyAlignment="1">
      <alignment horizontal="center" vertical="top" wrapText="1"/>
    </xf>
    <xf numFmtId="0" fontId="30" fillId="0" borderId="26" xfId="0" applyFont="1" applyBorder="1" applyAlignment="1">
      <alignment horizontal="center"/>
    </xf>
    <xf numFmtId="0" fontId="6" fillId="5" borderId="3" xfId="0" applyFont="1" applyFill="1" applyBorder="1" applyAlignment="1">
      <alignment horizontal="center" vertical="center"/>
    </xf>
    <xf numFmtId="49" fontId="0" fillId="25" borderId="0" xfId="0" applyNumberFormat="1" applyFill="1"/>
    <xf numFmtId="49" fontId="0" fillId="0" borderId="0" xfId="0" applyNumberFormat="1" applyAlignment="1">
      <alignment horizontal="left" vertical="center" wrapText="1"/>
    </xf>
    <xf numFmtId="0" fontId="30" fillId="5" borderId="3" xfId="0" applyFont="1" applyFill="1" applyBorder="1"/>
    <xf numFmtId="49" fontId="30" fillId="5" borderId="80" xfId="0" applyNumberFormat="1" applyFont="1" applyFill="1" applyBorder="1" applyAlignment="1">
      <alignment horizontal="center" vertical="center"/>
    </xf>
    <xf numFmtId="49" fontId="30" fillId="5" borderId="106" xfId="0" applyNumberFormat="1" applyFont="1" applyFill="1" applyBorder="1" applyAlignment="1">
      <alignment horizontal="center" vertical="center"/>
    </xf>
    <xf numFmtId="0" fontId="34" fillId="0" borderId="0" xfId="0" applyFont="1" applyAlignment="1">
      <alignment vertical="center" wrapText="1"/>
    </xf>
    <xf numFmtId="14" fontId="0" fillId="0" borderId="0" xfId="0" applyNumberFormat="1"/>
    <xf numFmtId="0" fontId="0" fillId="0" borderId="3" xfId="0" applyBorder="1"/>
    <xf numFmtId="14" fontId="0" fillId="0" borderId="3" xfId="0" applyNumberFormat="1" applyBorder="1"/>
    <xf numFmtId="0" fontId="34" fillId="0" borderId="82" xfId="0" applyFont="1" applyBorder="1" applyAlignment="1">
      <alignment horizontal="center" vertical="center" wrapText="1"/>
    </xf>
    <xf numFmtId="0" fontId="34" fillId="0" borderId="108" xfId="0" applyFont="1" applyBorder="1" applyAlignment="1">
      <alignment horizontal="center" vertical="center" wrapText="1"/>
    </xf>
    <xf numFmtId="0" fontId="34" fillId="0" borderId="81" xfId="0" applyFont="1" applyBorder="1" applyAlignment="1">
      <alignment horizontal="center" vertical="center" wrapText="1"/>
    </xf>
    <xf numFmtId="0" fontId="0" fillId="0" borderId="85" xfId="0" applyBorder="1" applyAlignment="1">
      <alignment horizontal="center" vertical="center"/>
    </xf>
    <xf numFmtId="0" fontId="0" fillId="0" borderId="43" xfId="0" applyBorder="1" applyAlignment="1">
      <alignment horizontal="center"/>
    </xf>
    <xf numFmtId="0" fontId="0" fillId="0" borderId="103" xfId="0" applyBorder="1" applyAlignment="1">
      <alignment horizontal="center" vertical="center"/>
    </xf>
    <xf numFmtId="0" fontId="0" fillId="0" borderId="46" xfId="0" applyBorder="1" applyAlignment="1">
      <alignment horizontal="center"/>
    </xf>
    <xf numFmtId="0" fontId="34" fillId="0" borderId="66" xfId="0" applyFont="1" applyBorder="1" applyAlignment="1">
      <alignment horizontal="center" vertical="center" wrapText="1"/>
    </xf>
    <xf numFmtId="0" fontId="0" fillId="24" borderId="85" xfId="0" applyFill="1" applyBorder="1" applyAlignment="1">
      <alignment horizontal="center" vertical="center"/>
    </xf>
    <xf numFmtId="0" fontId="0" fillId="24" borderId="43" xfId="0" applyFill="1" applyBorder="1" applyAlignment="1">
      <alignment horizontal="center"/>
    </xf>
    <xf numFmtId="0" fontId="5" fillId="0" borderId="65" xfId="0" applyFont="1" applyBorder="1" applyAlignment="1">
      <alignment horizontal="center" vertical="center"/>
    </xf>
    <xf numFmtId="0" fontId="0" fillId="0" borderId="107" xfId="0" applyBorder="1" applyAlignment="1">
      <alignment horizontal="center" vertical="center"/>
    </xf>
    <xf numFmtId="49" fontId="0" fillId="15" borderId="11" xfId="0" applyNumberFormat="1" applyFill="1" applyBorder="1"/>
    <xf numFmtId="49" fontId="0" fillId="0" borderId="11" xfId="0" applyNumberFormat="1" applyBorder="1" applyAlignment="1">
      <alignment horizontal="center" vertical="center"/>
    </xf>
    <xf numFmtId="0" fontId="0" fillId="0" borderId="25" xfId="0" applyBorder="1"/>
    <xf numFmtId="0" fontId="0" fillId="24" borderId="107" xfId="0" applyFill="1" applyBorder="1" applyAlignment="1">
      <alignment horizontal="center" vertical="center"/>
    </xf>
    <xf numFmtId="0" fontId="35" fillId="26" borderId="2" xfId="0" applyFont="1" applyFill="1" applyBorder="1" applyAlignment="1">
      <alignment horizontal="center" vertical="center"/>
    </xf>
    <xf numFmtId="49" fontId="35" fillId="26" borderId="2" xfId="0" applyNumberFormat="1" applyFont="1" applyFill="1" applyBorder="1" applyAlignment="1">
      <alignment horizontal="left" vertical="center" wrapText="1"/>
    </xf>
    <xf numFmtId="0" fontId="35" fillId="0" borderId="2" xfId="0" applyFont="1" applyBorder="1" applyAlignment="1">
      <alignment horizontal="center" vertical="center"/>
    </xf>
    <xf numFmtId="49" fontId="36" fillId="0" borderId="2" xfId="0" applyNumberFormat="1" applyFont="1" applyBorder="1" applyAlignment="1">
      <alignment horizontal="left" vertical="center" wrapText="1"/>
    </xf>
    <xf numFmtId="49" fontId="37" fillId="0" borderId="2" xfId="0" applyNumberFormat="1" applyFont="1" applyBorder="1" applyAlignment="1">
      <alignment horizontal="left" vertical="center" wrapText="1"/>
    </xf>
    <xf numFmtId="164" fontId="0" fillId="5" borderId="0" xfId="0" applyNumberFormat="1" applyFill="1" applyAlignment="1">
      <alignment horizontal="center"/>
    </xf>
    <xf numFmtId="49" fontId="19" fillId="0" borderId="0" xfId="0" applyNumberFormat="1" applyFont="1"/>
    <xf numFmtId="49" fontId="5" fillId="0" borderId="0" xfId="0" quotePrefix="1" applyNumberFormat="1" applyFont="1"/>
    <xf numFmtId="49" fontId="25" fillId="0" borderId="0" xfId="0" applyNumberFormat="1" applyFont="1"/>
    <xf numFmtId="1" fontId="5" fillId="0" borderId="3" xfId="0" applyNumberFormat="1" applyFont="1" applyBorder="1"/>
    <xf numFmtId="0" fontId="6" fillId="0" borderId="3" xfId="0" applyFont="1" applyBorder="1" applyAlignment="1">
      <alignment horizontal="center" vertical="center"/>
    </xf>
    <xf numFmtId="0" fontId="6" fillId="0" borderId="11" xfId="0" applyFont="1" applyBorder="1" applyAlignment="1">
      <alignment horizontal="center" vertical="center"/>
    </xf>
    <xf numFmtId="0" fontId="30" fillId="0" borderId="25" xfId="0" applyFont="1" applyBorder="1" applyAlignment="1">
      <alignment horizontal="center"/>
    </xf>
    <xf numFmtId="0" fontId="6" fillId="0" borderId="82" xfId="0" applyFont="1" applyBorder="1" applyAlignment="1">
      <alignment horizontal="center" vertical="center"/>
    </xf>
    <xf numFmtId="49" fontId="30" fillId="0" borderId="25" xfId="0" applyNumberFormat="1" applyFont="1" applyBorder="1" applyAlignment="1">
      <alignment horizontal="center"/>
    </xf>
    <xf numFmtId="49" fontId="30" fillId="0" borderId="11" xfId="0" applyNumberFormat="1" applyFont="1" applyBorder="1" applyAlignment="1">
      <alignment horizontal="center" vertical="center"/>
    </xf>
    <xf numFmtId="0" fontId="8" fillId="0" borderId="26" xfId="0" applyFont="1" applyBorder="1" applyAlignment="1">
      <alignment horizontal="center" vertical="center"/>
    </xf>
    <xf numFmtId="49" fontId="5" fillId="0" borderId="3" xfId="0" applyNumberFormat="1" applyFont="1" applyBorder="1" applyAlignment="1">
      <alignment horizontal="center" vertical="center"/>
    </xf>
    <xf numFmtId="14" fontId="6" fillId="0" borderId="3" xfId="0" applyNumberFormat="1" applyFont="1" applyBorder="1" applyAlignment="1">
      <alignment horizontal="center" vertical="center"/>
    </xf>
    <xf numFmtId="0" fontId="6" fillId="0" borderId="3" xfId="0" applyFont="1" applyBorder="1" applyAlignment="1">
      <alignment horizontal="center"/>
    </xf>
    <xf numFmtId="49" fontId="0" fillId="0" borderId="26" xfId="0" applyNumberFormat="1" applyBorder="1" applyAlignment="1">
      <alignment horizontal="center"/>
    </xf>
    <xf numFmtId="49" fontId="0" fillId="0" borderId="52" xfId="0" applyNumberFormat="1" applyBorder="1" applyAlignment="1">
      <alignment horizontal="center"/>
    </xf>
    <xf numFmtId="49" fontId="0" fillId="0" borderId="12" xfId="0" applyNumberFormat="1" applyBorder="1" applyAlignment="1">
      <alignment horizontal="center"/>
    </xf>
    <xf numFmtId="49" fontId="0" fillId="0" borderId="109" xfId="0" applyNumberFormat="1" applyBorder="1" applyAlignment="1">
      <alignment horizontal="center"/>
    </xf>
    <xf numFmtId="49" fontId="0" fillId="0" borderId="106" xfId="0" applyNumberFormat="1" applyBorder="1" applyAlignment="1">
      <alignment horizontal="center"/>
    </xf>
    <xf numFmtId="49" fontId="0" fillId="5" borderId="3" xfId="0" applyNumberFormat="1" applyFill="1" applyBorder="1"/>
    <xf numFmtId="49" fontId="0" fillId="2" borderId="3" xfId="0" applyNumberFormat="1" applyFill="1" applyBorder="1"/>
    <xf numFmtId="4" fontId="0" fillId="5" borderId="3" xfId="0" applyNumberFormat="1" applyFill="1" applyBorder="1"/>
    <xf numFmtId="0" fontId="22" fillId="23" borderId="43" xfId="0" applyFont="1" applyFill="1" applyBorder="1" applyAlignment="1">
      <alignment horizontal="center" vertical="center"/>
    </xf>
    <xf numFmtId="49" fontId="30" fillId="5" borderId="0" xfId="0" applyNumberFormat="1" applyFont="1" applyFill="1" applyAlignment="1">
      <alignment vertical="center"/>
    </xf>
    <xf numFmtId="49" fontId="8" fillId="24" borderId="0" xfId="0" quotePrefix="1" applyNumberFormat="1" applyFont="1" applyFill="1"/>
    <xf numFmtId="49" fontId="8" fillId="15" borderId="0" xfId="0" quotePrefix="1" applyNumberFormat="1" applyFont="1" applyFill="1"/>
    <xf numFmtId="4" fontId="0" fillId="15" borderId="3" xfId="0" applyNumberFormat="1" applyFill="1" applyBorder="1"/>
    <xf numFmtId="49" fontId="30" fillId="0" borderId="3" xfId="0" applyNumberFormat="1" applyFont="1" applyBorder="1" applyAlignment="1">
      <alignment horizontal="left" vertical="top" wrapText="1"/>
    </xf>
    <xf numFmtId="49" fontId="30" fillId="2" borderId="3" xfId="0" applyNumberFormat="1" applyFont="1" applyFill="1" applyBorder="1" applyAlignment="1">
      <alignment horizontal="left" vertical="top" wrapText="1"/>
    </xf>
    <xf numFmtId="49" fontId="0" fillId="0" borderId="11" xfId="0" applyNumberFormat="1" applyBorder="1"/>
    <xf numFmtId="0" fontId="0" fillId="0" borderId="11" xfId="0" applyBorder="1" applyAlignment="1">
      <alignment horizontal="center"/>
    </xf>
    <xf numFmtId="2" fontId="6" fillId="24" borderId="0" xfId="0" applyNumberFormat="1" applyFont="1" applyFill="1"/>
    <xf numFmtId="2" fontId="0" fillId="5" borderId="3" xfId="0" applyNumberFormat="1" applyFill="1" applyBorder="1"/>
    <xf numFmtId="2" fontId="0" fillId="15" borderId="3" xfId="0" applyNumberFormat="1" applyFill="1" applyBorder="1"/>
    <xf numFmtId="0" fontId="40" fillId="27" borderId="28" xfId="0" applyFont="1" applyFill="1" applyBorder="1" applyAlignment="1">
      <alignment wrapText="1"/>
    </xf>
    <xf numFmtId="0" fontId="34" fillId="0" borderId="3" xfId="0" applyFont="1" applyBorder="1" applyAlignment="1">
      <alignment wrapText="1"/>
    </xf>
    <xf numFmtId="49" fontId="30" fillId="0" borderId="0" xfId="0" applyNumberFormat="1" applyFont="1" applyAlignment="1">
      <alignment horizontal="left" vertical="top" wrapText="1"/>
    </xf>
    <xf numFmtId="49" fontId="30" fillId="0" borderId="11" xfId="0" applyNumberFormat="1" applyFont="1" applyBorder="1" applyAlignment="1">
      <alignment horizontal="left" vertical="top" wrapText="1"/>
    </xf>
    <xf numFmtId="0" fontId="9" fillId="17" borderId="50" xfId="0" applyFont="1" applyFill="1" applyBorder="1" applyAlignment="1">
      <alignment horizontal="center" vertical="center" wrapText="1"/>
    </xf>
    <xf numFmtId="0" fontId="14" fillId="17" borderId="50" xfId="0" applyFont="1" applyFill="1" applyBorder="1" applyAlignment="1">
      <alignment horizontal="center" vertical="center" wrapText="1"/>
    </xf>
    <xf numFmtId="4" fontId="0" fillId="0" borderId="3" xfId="0" applyNumberFormat="1" applyBorder="1" applyAlignment="1">
      <alignment horizontal="center"/>
    </xf>
    <xf numFmtId="4" fontId="0" fillId="15" borderId="3" xfId="0" applyNumberFormat="1" applyFill="1" applyBorder="1" applyAlignment="1">
      <alignment horizontal="center"/>
    </xf>
    <xf numFmtId="0" fontId="34" fillId="0" borderId="3" xfId="0" applyFont="1" applyBorder="1" applyAlignment="1">
      <alignment horizontal="left" wrapText="1"/>
    </xf>
    <xf numFmtId="49" fontId="30" fillId="15" borderId="11" xfId="0" applyNumberFormat="1" applyFont="1" applyFill="1" applyBorder="1" applyAlignment="1">
      <alignment horizontal="left" vertical="top" wrapText="1"/>
    </xf>
    <xf numFmtId="49" fontId="0" fillId="15" borderId="26" xfId="0" applyNumberFormat="1" applyFill="1" applyBorder="1"/>
    <xf numFmtId="0" fontId="9" fillId="17" borderId="50" xfId="0" applyFont="1" applyFill="1" applyBorder="1" applyAlignment="1">
      <alignment horizontal="left" vertical="center" wrapText="1"/>
    </xf>
    <xf numFmtId="4" fontId="0" fillId="2" borderId="3" xfId="0" applyNumberFormat="1" applyFill="1" applyBorder="1" applyAlignment="1">
      <alignment horizontal="center"/>
    </xf>
    <xf numFmtId="0" fontId="42" fillId="0" borderId="0" xfId="0" applyFont="1"/>
    <xf numFmtId="0" fontId="42" fillId="0" borderId="0" xfId="0" applyFont="1" applyAlignment="1">
      <alignment wrapText="1"/>
    </xf>
    <xf numFmtId="4" fontId="0" fillId="0" borderId="3" xfId="0" applyNumberFormat="1" applyBorder="1"/>
    <xf numFmtId="49" fontId="0" fillId="15" borderId="27" xfId="0" applyNumberFormat="1" applyFill="1" applyBorder="1"/>
    <xf numFmtId="2" fontId="0" fillId="0" borderId="0" xfId="0" applyNumberFormat="1"/>
    <xf numFmtId="0" fontId="15" fillId="17" borderId="84" xfId="0" applyFont="1" applyFill="1" applyBorder="1" applyAlignment="1">
      <alignment horizontal="center" vertical="center" wrapText="1"/>
    </xf>
    <xf numFmtId="0" fontId="42" fillId="5" borderId="27" xfId="0" applyFont="1" applyFill="1" applyBorder="1"/>
    <xf numFmtId="49" fontId="19" fillId="5" borderId="99" xfId="0" applyNumberFormat="1" applyFont="1" applyFill="1" applyBorder="1"/>
    <xf numFmtId="49" fontId="19" fillId="5" borderId="80" xfId="0" applyNumberFormat="1" applyFont="1" applyFill="1" applyBorder="1"/>
    <xf numFmtId="0" fontId="38" fillId="5" borderId="82" xfId="0" applyFont="1" applyFill="1" applyBorder="1"/>
    <xf numFmtId="49" fontId="19" fillId="5" borderId="0" xfId="0" applyNumberFormat="1" applyFont="1" applyFill="1"/>
    <xf numFmtId="49" fontId="19" fillId="5" borderId="109" xfId="0" applyNumberFormat="1" applyFont="1" applyFill="1" applyBorder="1"/>
    <xf numFmtId="0" fontId="42" fillId="5" borderId="82" xfId="0" applyFont="1" applyFill="1" applyBorder="1"/>
    <xf numFmtId="49" fontId="0" fillId="5" borderId="82" xfId="0" applyNumberFormat="1" applyFill="1" applyBorder="1"/>
    <xf numFmtId="49" fontId="0" fillId="5" borderId="0" xfId="0" applyNumberFormat="1" applyFill="1"/>
    <xf numFmtId="0" fontId="17" fillId="5" borderId="82" xfId="0" applyFont="1" applyFill="1" applyBorder="1"/>
    <xf numFmtId="49" fontId="0" fillId="5" borderId="53" xfId="0" applyNumberFormat="1" applyFill="1" applyBorder="1"/>
    <xf numFmtId="49" fontId="0" fillId="5" borderId="59" xfId="0" applyNumberFormat="1" applyFill="1" applyBorder="1"/>
    <xf numFmtId="49" fontId="0" fillId="5" borderId="52" xfId="0" applyNumberFormat="1" applyFill="1" applyBorder="1"/>
    <xf numFmtId="0" fontId="43" fillId="17" borderId="50" xfId="0" applyFont="1" applyFill="1" applyBorder="1" applyAlignment="1">
      <alignment horizontal="center" vertical="center" wrapText="1"/>
    </xf>
    <xf numFmtId="4" fontId="43" fillId="17" borderId="50" xfId="0" applyNumberFormat="1" applyFont="1" applyFill="1" applyBorder="1" applyAlignment="1">
      <alignment horizontal="center" vertical="center" wrapText="1"/>
    </xf>
    <xf numFmtId="4" fontId="0" fillId="2" borderId="11" xfId="0" applyNumberFormat="1" applyFill="1" applyBorder="1" applyAlignment="1">
      <alignment horizontal="center"/>
    </xf>
    <xf numFmtId="4" fontId="0" fillId="15" borderId="11" xfId="0" applyNumberFormat="1" applyFill="1" applyBorder="1" applyAlignment="1">
      <alignment horizontal="center"/>
    </xf>
    <xf numFmtId="0" fontId="17" fillId="0" borderId="0" xfId="0" quotePrefix="1" applyFont="1"/>
    <xf numFmtId="0" fontId="0" fillId="21" borderId="44" xfId="0" applyFill="1" applyBorder="1" applyAlignment="1">
      <alignment horizontal="center" vertical="center"/>
    </xf>
    <xf numFmtId="0" fontId="0" fillId="21" borderId="11" xfId="0" applyFill="1" applyBorder="1" applyAlignment="1">
      <alignment horizontal="center" vertical="center" wrapText="1"/>
    </xf>
    <xf numFmtId="0" fontId="16" fillId="21" borderId="25" xfId="0" applyFont="1" applyFill="1" applyBorder="1" applyAlignment="1">
      <alignment horizontal="left" vertical="top" wrapText="1"/>
    </xf>
    <xf numFmtId="0" fontId="0" fillId="21" borderId="45" xfId="0" applyFill="1" applyBorder="1" applyAlignment="1">
      <alignment horizontal="left" vertical="top" wrapText="1"/>
    </xf>
    <xf numFmtId="0" fontId="0" fillId="21" borderId="39" xfId="0" applyFill="1" applyBorder="1" applyAlignment="1">
      <alignment horizontal="center" vertical="center" wrapText="1"/>
    </xf>
    <xf numFmtId="0" fontId="0" fillId="21" borderId="75" xfId="0" applyFill="1" applyBorder="1" applyAlignment="1">
      <alignment horizontal="center" vertical="center" wrapText="1"/>
    </xf>
    <xf numFmtId="0" fontId="5" fillId="21" borderId="108" xfId="0" applyFont="1" applyFill="1" applyBorder="1" applyAlignment="1">
      <alignment horizontal="center" vertical="center" wrapText="1"/>
    </xf>
    <xf numFmtId="0" fontId="5" fillId="21" borderId="106" xfId="0" applyFont="1" applyFill="1" applyBorder="1" applyAlignment="1">
      <alignment horizontal="center" vertical="center" wrapText="1"/>
    </xf>
    <xf numFmtId="0" fontId="5" fillId="21" borderId="104" xfId="0" applyFont="1" applyFill="1" applyBorder="1" applyAlignment="1">
      <alignment horizontal="center" vertical="center" wrapText="1"/>
    </xf>
    <xf numFmtId="0" fontId="5" fillId="21" borderId="105" xfId="0" applyFont="1" applyFill="1" applyBorder="1" applyAlignment="1">
      <alignment horizontal="center" vertical="center" wrapText="1"/>
    </xf>
    <xf numFmtId="0" fontId="0" fillId="21" borderId="40" xfId="0" applyFill="1" applyBorder="1" applyAlignment="1">
      <alignment horizontal="center" vertical="center" wrapText="1"/>
    </xf>
    <xf numFmtId="0" fontId="0" fillId="21" borderId="49" xfId="0" applyFill="1" applyBorder="1" applyAlignment="1">
      <alignment horizontal="center" vertical="center" wrapText="1"/>
    </xf>
    <xf numFmtId="0" fontId="0" fillId="21" borderId="39" xfId="0" applyFill="1" applyBorder="1" applyAlignment="1">
      <alignment horizontal="center" vertical="center"/>
    </xf>
    <xf numFmtId="0" fontId="0" fillId="21" borderId="41" xfId="0" applyFill="1" applyBorder="1" applyAlignment="1">
      <alignment vertical="top" wrapText="1"/>
    </xf>
    <xf numFmtId="0" fontId="16" fillId="21" borderId="43" xfId="0" applyFont="1" applyFill="1" applyBorder="1" applyAlignment="1">
      <alignment vertical="top" wrapText="1"/>
    </xf>
    <xf numFmtId="0" fontId="0" fillId="21" borderId="46" xfId="0" applyFill="1" applyBorder="1" applyAlignment="1">
      <alignment vertical="top" wrapText="1"/>
    </xf>
    <xf numFmtId="0" fontId="0" fillId="21" borderId="52" xfId="0" applyFill="1" applyBorder="1" applyAlignment="1">
      <alignment vertical="top" wrapText="1"/>
    </xf>
    <xf numFmtId="0" fontId="0" fillId="21" borderId="25" xfId="0" applyFill="1" applyBorder="1" applyAlignment="1">
      <alignment vertical="top" wrapText="1"/>
    </xf>
    <xf numFmtId="0" fontId="16" fillId="21" borderId="25" xfId="0" applyFont="1" applyFill="1" applyBorder="1" applyAlignment="1">
      <alignment vertical="top" wrapText="1"/>
    </xf>
    <xf numFmtId="0" fontId="16" fillId="21" borderId="98" xfId="0" applyFont="1" applyFill="1" applyBorder="1" applyAlignment="1">
      <alignment vertical="top" wrapText="1"/>
    </xf>
    <xf numFmtId="0" fontId="0" fillId="21" borderId="40" xfId="0" applyFill="1" applyBorder="1" applyAlignment="1">
      <alignment vertical="top" wrapText="1"/>
    </xf>
    <xf numFmtId="0" fontId="0" fillId="21" borderId="45" xfId="0" applyFill="1" applyBorder="1" applyAlignment="1">
      <alignment vertical="top" wrapText="1"/>
    </xf>
    <xf numFmtId="0" fontId="0" fillId="21" borderId="40" xfId="0" applyFill="1" applyBorder="1" applyAlignment="1">
      <alignment horizontal="left" vertical="top" wrapText="1"/>
    </xf>
    <xf numFmtId="0" fontId="0" fillId="21" borderId="41" xfId="0" applyFill="1" applyBorder="1" applyAlignment="1">
      <alignment horizontal="left" vertical="top"/>
    </xf>
    <xf numFmtId="49" fontId="5" fillId="0" borderId="3" xfId="0" applyNumberFormat="1" applyFont="1" applyBorder="1"/>
    <xf numFmtId="0" fontId="0" fillId="21" borderId="39" xfId="0" applyFill="1" applyBorder="1" applyAlignment="1">
      <alignment horizontal="left" vertical="top" wrapText="1"/>
    </xf>
    <xf numFmtId="0" fontId="0" fillId="21" borderId="3" xfId="0" quotePrefix="1" applyFill="1" applyBorder="1" applyAlignment="1">
      <alignment horizontal="left" vertical="top" wrapText="1"/>
    </xf>
    <xf numFmtId="49" fontId="0" fillId="21" borderId="3" xfId="0" applyNumberFormat="1" applyFill="1" applyBorder="1" applyAlignment="1">
      <alignment horizontal="left" vertical="top" wrapText="1"/>
    </xf>
    <xf numFmtId="0" fontId="0" fillId="21" borderId="44" xfId="0" applyFill="1" applyBorder="1" applyAlignment="1">
      <alignment horizontal="left" vertical="top" wrapText="1"/>
    </xf>
    <xf numFmtId="0" fontId="0" fillId="0" borderId="0" xfId="0" applyAlignment="1">
      <alignment horizontal="left" vertical="top"/>
    </xf>
    <xf numFmtId="0" fontId="22" fillId="23" borderId="25" xfId="0" applyFont="1" applyFill="1" applyBorder="1" applyAlignment="1">
      <alignment horizontal="center" vertical="center"/>
    </xf>
    <xf numFmtId="0" fontId="22" fillId="23" borderId="80" xfId="0" applyFont="1" applyFill="1" applyBorder="1" applyAlignment="1">
      <alignment horizontal="center" vertical="center"/>
    </xf>
    <xf numFmtId="0" fontId="0" fillId="23" borderId="39" xfId="0" applyFill="1" applyBorder="1" applyAlignment="1">
      <alignment horizontal="center" vertical="top"/>
    </xf>
    <xf numFmtId="0" fontId="0" fillId="23" borderId="76" xfId="0" applyFill="1" applyBorder="1" applyAlignment="1">
      <alignment horizontal="center" vertical="top" wrapText="1"/>
    </xf>
    <xf numFmtId="0" fontId="0" fillId="23" borderId="40" xfId="0" applyFill="1" applyBorder="1" applyAlignment="1">
      <alignment horizontal="center" vertical="top"/>
    </xf>
    <xf numFmtId="0" fontId="0" fillId="23" borderId="41" xfId="0" applyFill="1" applyBorder="1" applyAlignment="1">
      <alignment horizontal="center" vertical="top" wrapText="1"/>
    </xf>
    <xf numFmtId="4" fontId="0" fillId="15" borderId="3" xfId="0" applyNumberFormat="1" applyFill="1" applyBorder="1" applyAlignment="1">
      <alignment horizontal="right"/>
    </xf>
    <xf numFmtId="4" fontId="6" fillId="0" borderId="0" xfId="0" applyNumberFormat="1" applyFont="1" applyAlignment="1">
      <alignment horizontal="right"/>
    </xf>
    <xf numFmtId="4" fontId="8" fillId="0" borderId="0" xfId="0" applyNumberFormat="1" applyFont="1" applyAlignment="1">
      <alignment horizontal="right"/>
    </xf>
    <xf numFmtId="49" fontId="0" fillId="15" borderId="26" xfId="0" applyNumberFormat="1" applyFill="1" applyBorder="1" applyAlignment="1">
      <alignment horizontal="center"/>
    </xf>
    <xf numFmtId="49" fontId="0" fillId="5" borderId="3" xfId="0" applyNumberFormat="1" applyFill="1" applyBorder="1" applyAlignment="1">
      <alignment horizontal="center"/>
    </xf>
    <xf numFmtId="49" fontId="0" fillId="2" borderId="3" xfId="0" applyNumberFormat="1" applyFill="1" applyBorder="1" applyAlignment="1">
      <alignment horizontal="center"/>
    </xf>
    <xf numFmtId="49" fontId="0" fillId="5" borderId="59" xfId="0" applyNumberFormat="1" applyFill="1" applyBorder="1" applyAlignment="1">
      <alignment horizontal="center"/>
    </xf>
    <xf numFmtId="49" fontId="6" fillId="0" borderId="0" xfId="0" applyNumberFormat="1" applyFont="1" applyAlignment="1">
      <alignment horizontal="center"/>
    </xf>
    <xf numFmtId="49" fontId="8" fillId="0" borderId="0" xfId="0" applyNumberFormat="1" applyFont="1" applyAlignment="1">
      <alignment horizontal="center"/>
    </xf>
    <xf numFmtId="49" fontId="6" fillId="0" borderId="3" xfId="0" applyNumberFormat="1" applyFont="1" applyBorder="1" applyAlignment="1">
      <alignment horizontal="center"/>
    </xf>
    <xf numFmtId="0" fontId="14" fillId="17" borderId="50" xfId="0" applyFont="1" applyFill="1" applyBorder="1" applyAlignment="1">
      <alignment horizontal="center" vertical="top" wrapText="1"/>
    </xf>
    <xf numFmtId="0" fontId="14" fillId="16" borderId="3" xfId="0" applyFont="1" applyFill="1" applyBorder="1" applyAlignment="1">
      <alignment horizontal="center" vertical="center" wrapText="1"/>
    </xf>
    <xf numFmtId="4" fontId="0" fillId="5" borderId="3" xfId="0" applyNumberFormat="1" applyFill="1" applyBorder="1" applyAlignment="1">
      <alignment horizontal="center"/>
    </xf>
    <xf numFmtId="0" fontId="8" fillId="0" borderId="0" xfId="0" applyFont="1"/>
    <xf numFmtId="0" fontId="8" fillId="0" borderId="0" xfId="0" quotePrefix="1" applyFont="1"/>
    <xf numFmtId="0" fontId="6" fillId="0" borderId="2" xfId="0" applyFont="1" applyBorder="1"/>
    <xf numFmtId="0" fontId="6" fillId="0" borderId="22" xfId="0" applyFont="1" applyBorder="1"/>
    <xf numFmtId="0" fontId="8" fillId="0" borderId="23" xfId="0" applyFont="1" applyBorder="1"/>
    <xf numFmtId="0" fontId="8" fillId="0" borderId="24" xfId="0" applyFont="1" applyBorder="1"/>
    <xf numFmtId="14" fontId="8" fillId="0" borderId="24" xfId="0" applyNumberFormat="1" applyFont="1" applyBorder="1"/>
    <xf numFmtId="3" fontId="8" fillId="0" borderId="24" xfId="0" applyNumberFormat="1" applyFont="1" applyBorder="1"/>
    <xf numFmtId="0" fontId="8" fillId="28" borderId="24" xfId="0" applyFont="1" applyFill="1" applyBorder="1"/>
    <xf numFmtId="0" fontId="6" fillId="0" borderId="23" xfId="0" applyFont="1" applyBorder="1"/>
    <xf numFmtId="0" fontId="6" fillId="0" borderId="24" xfId="0" applyFont="1" applyBorder="1"/>
    <xf numFmtId="14" fontId="6" fillId="0" borderId="24" xfId="0" applyNumberFormat="1" applyFont="1" applyBorder="1"/>
    <xf numFmtId="3" fontId="6" fillId="0" borderId="24" xfId="0" applyNumberFormat="1" applyFont="1" applyBorder="1"/>
    <xf numFmtId="0" fontId="6" fillId="28" borderId="24" xfId="0" applyFont="1" applyFill="1" applyBorder="1"/>
    <xf numFmtId="0" fontId="5" fillId="0" borderId="0" xfId="0" applyFont="1" applyAlignment="1">
      <alignment wrapText="1"/>
    </xf>
    <xf numFmtId="0" fontId="5" fillId="0" borderId="0" xfId="0" applyFont="1" applyAlignment="1">
      <alignment vertical="top" wrapText="1"/>
    </xf>
    <xf numFmtId="49" fontId="0" fillId="0" borderId="0" xfId="0" applyNumberFormat="1" applyAlignment="1">
      <alignment wrapText="1"/>
    </xf>
    <xf numFmtId="49" fontId="5" fillId="0" borderId="0" xfId="0" applyNumberFormat="1" applyFont="1" applyAlignment="1">
      <alignment wrapText="1"/>
    </xf>
    <xf numFmtId="49" fontId="0" fillId="0" borderId="3" xfId="0" applyNumberFormat="1" applyBorder="1" applyAlignment="1">
      <alignment wrapText="1"/>
    </xf>
    <xf numFmtId="0" fontId="0" fillId="0" borderId="0" xfId="0" quotePrefix="1" applyAlignment="1">
      <alignment vertical="top" wrapText="1"/>
    </xf>
    <xf numFmtId="49" fontId="0" fillId="15" borderId="3" xfId="0" applyNumberFormat="1" applyFill="1" applyBorder="1" applyAlignment="1">
      <alignment wrapText="1"/>
    </xf>
    <xf numFmtId="49" fontId="0" fillId="0" borderId="0" xfId="0" quotePrefix="1" applyNumberFormat="1"/>
    <xf numFmtId="49" fontId="0" fillId="0" borderId="0" xfId="0" applyNumberFormat="1" applyAlignment="1">
      <alignment vertical="center"/>
    </xf>
    <xf numFmtId="49" fontId="0" fillId="0" borderId="0" xfId="0" quotePrefix="1" applyNumberFormat="1" applyAlignment="1">
      <alignment vertical="center"/>
    </xf>
    <xf numFmtId="49" fontId="0" fillId="0" borderId="3" xfId="0" applyNumberFormat="1" applyBorder="1" applyAlignment="1">
      <alignment vertical="center"/>
    </xf>
    <xf numFmtId="49" fontId="0" fillId="0" borderId="3" xfId="0" applyNumberFormat="1" applyBorder="1" applyAlignment="1">
      <alignment vertical="center" wrapText="1"/>
    </xf>
    <xf numFmtId="165" fontId="0" fillId="0" borderId="0" xfId="0" applyNumberFormat="1"/>
    <xf numFmtId="49" fontId="17" fillId="0" borderId="3" xfId="0" applyNumberFormat="1" applyFont="1" applyBorder="1" applyAlignment="1">
      <alignment horizontal="center" vertical="center" wrapText="1"/>
    </xf>
    <xf numFmtId="49" fontId="0" fillId="15" borderId="3" xfId="0" applyNumberFormat="1" applyFill="1" applyBorder="1" applyAlignment="1">
      <alignment vertical="center" wrapText="1"/>
    </xf>
    <xf numFmtId="165" fontId="0" fillId="15" borderId="3" xfId="0" applyNumberFormat="1" applyFill="1" applyBorder="1" applyAlignment="1">
      <alignment horizontal="center" vertical="center" wrapText="1"/>
    </xf>
    <xf numFmtId="165" fontId="0" fillId="0" borderId="3" xfId="0" applyNumberFormat="1" applyBorder="1" applyAlignment="1">
      <alignment horizontal="center" vertical="center" wrapText="1"/>
    </xf>
    <xf numFmtId="49" fontId="0" fillId="0" borderId="0" xfId="0" applyNumberFormat="1" applyAlignment="1">
      <alignment vertical="center" wrapText="1"/>
    </xf>
    <xf numFmtId="49" fontId="5" fillId="0" borderId="0" xfId="0" applyNumberFormat="1" applyFont="1" applyAlignment="1">
      <alignment vertical="center" wrapText="1"/>
    </xf>
    <xf numFmtId="49" fontId="0" fillId="5" borderId="0" xfId="0" applyNumberFormat="1" applyFill="1" applyAlignment="1">
      <alignment wrapText="1"/>
    </xf>
    <xf numFmtId="49" fontId="0" fillId="15" borderId="3" xfId="0" applyNumberFormat="1" applyFill="1" applyBorder="1" applyAlignment="1">
      <alignment horizontal="center" vertical="center" wrapText="1"/>
    </xf>
    <xf numFmtId="0" fontId="0" fillId="15" borderId="3" xfId="0" applyFill="1" applyBorder="1" applyAlignment="1">
      <alignment horizontal="center" vertical="center"/>
    </xf>
    <xf numFmtId="49" fontId="30" fillId="15" borderId="3" xfId="0" applyNumberFormat="1" applyFont="1" applyFill="1" applyBorder="1" applyAlignment="1">
      <alignment horizontal="center" vertical="center" wrapText="1"/>
    </xf>
    <xf numFmtId="0" fontId="27" fillId="23" borderId="65" xfId="0" applyFont="1" applyFill="1" applyBorder="1" applyAlignment="1">
      <alignment horizontal="center" vertical="center"/>
    </xf>
    <xf numFmtId="0" fontId="3" fillId="22" borderId="71" xfId="0" applyFont="1" applyFill="1" applyBorder="1" applyAlignment="1">
      <alignment horizontal="center" vertical="center" wrapText="1"/>
    </xf>
    <xf numFmtId="0" fontId="27" fillId="23" borderId="85" xfId="0" applyFont="1" applyFill="1" applyBorder="1" applyAlignment="1">
      <alignment horizontal="center" vertical="center"/>
    </xf>
    <xf numFmtId="0" fontId="5" fillId="23" borderId="85" xfId="0" applyFont="1" applyFill="1" applyBorder="1" applyAlignment="1">
      <alignment horizontal="center"/>
    </xf>
    <xf numFmtId="0" fontId="5" fillId="23" borderId="103" xfId="0" applyFont="1" applyFill="1" applyBorder="1" applyAlignment="1">
      <alignment horizontal="center"/>
    </xf>
    <xf numFmtId="0" fontId="5" fillId="23" borderId="63" xfId="0" applyFont="1" applyFill="1" applyBorder="1" applyAlignment="1">
      <alignment horizontal="center"/>
    </xf>
    <xf numFmtId="0" fontId="0" fillId="22" borderId="66" xfId="0" applyFill="1" applyBorder="1" applyAlignment="1">
      <alignment horizontal="center"/>
    </xf>
    <xf numFmtId="0" fontId="0" fillId="22" borderId="67" xfId="0" applyFill="1" applyBorder="1" applyAlignment="1">
      <alignment horizontal="center"/>
    </xf>
    <xf numFmtId="0" fontId="5" fillId="22" borderId="110" xfId="0" applyFont="1" applyFill="1" applyBorder="1" applyAlignment="1">
      <alignment horizontal="center"/>
    </xf>
    <xf numFmtId="49" fontId="5" fillId="5" borderId="0" xfId="0" applyNumberFormat="1" applyFont="1" applyFill="1" applyAlignment="1">
      <alignment horizontal="center"/>
    </xf>
    <xf numFmtId="49" fontId="0" fillId="29" borderId="3" xfId="0" applyNumberFormat="1" applyFill="1" applyBorder="1" applyAlignment="1">
      <alignment wrapText="1"/>
    </xf>
    <xf numFmtId="49" fontId="0" fillId="29" borderId="3" xfId="0" applyNumberFormat="1" applyFill="1" applyBorder="1"/>
    <xf numFmtId="49" fontId="0" fillId="29" borderId="3" xfId="0" applyNumberFormat="1" applyFill="1" applyBorder="1" applyAlignment="1">
      <alignment vertical="center"/>
    </xf>
    <xf numFmtId="49" fontId="17" fillId="29" borderId="3" xfId="0" applyNumberFormat="1" applyFont="1" applyFill="1" applyBorder="1" applyAlignment="1">
      <alignment horizontal="center" vertical="center" wrapText="1"/>
    </xf>
    <xf numFmtId="49" fontId="0" fillId="29" borderId="3" xfId="0" applyNumberFormat="1" applyFill="1" applyBorder="1" applyAlignment="1">
      <alignment horizontal="center" vertical="center" wrapText="1"/>
    </xf>
    <xf numFmtId="165" fontId="0" fillId="29" borderId="3" xfId="0" applyNumberFormat="1" applyFill="1" applyBorder="1" applyAlignment="1">
      <alignment horizontal="center" vertical="center" wrapText="1"/>
    </xf>
    <xf numFmtId="0" fontId="0" fillId="29" borderId="3" xfId="0" applyFill="1" applyBorder="1" applyAlignment="1">
      <alignment horizontal="center" vertical="center"/>
    </xf>
    <xf numFmtId="165" fontId="0" fillId="29" borderId="3" xfId="0" applyNumberFormat="1" applyFill="1" applyBorder="1" applyAlignment="1">
      <alignment horizontal="center" vertical="center"/>
    </xf>
    <xf numFmtId="165" fontId="5" fillId="29" borderId="3" xfId="0" applyNumberFormat="1" applyFont="1" applyFill="1" applyBorder="1"/>
    <xf numFmtId="2" fontId="0" fillId="29" borderId="3" xfId="0" applyNumberFormat="1" applyFill="1" applyBorder="1" applyAlignment="1">
      <alignment vertical="center"/>
    </xf>
    <xf numFmtId="49" fontId="0" fillId="15" borderId="26" xfId="0" applyNumberFormat="1" applyFill="1" applyBorder="1" applyAlignment="1">
      <alignment horizontal="center" vertical="center" wrapText="1"/>
    </xf>
    <xf numFmtId="165" fontId="0" fillId="15" borderId="26" xfId="0" applyNumberFormat="1" applyFill="1" applyBorder="1" applyAlignment="1">
      <alignment horizontal="center" vertical="center" wrapText="1"/>
    </xf>
    <xf numFmtId="0" fontId="0" fillId="15" borderId="26" xfId="0" applyFill="1" applyBorder="1" applyAlignment="1">
      <alignment horizontal="center" vertical="center"/>
    </xf>
    <xf numFmtId="165" fontId="0" fillId="15" borderId="27" xfId="0" applyNumberFormat="1" applyFill="1" applyBorder="1" applyAlignment="1">
      <alignment horizontal="center" vertical="center"/>
    </xf>
    <xf numFmtId="165" fontId="5" fillId="15" borderId="27" xfId="0" applyNumberFormat="1" applyFont="1" applyFill="1" applyBorder="1"/>
    <xf numFmtId="165" fontId="0" fillId="15" borderId="27" xfId="0" applyNumberFormat="1" applyFill="1" applyBorder="1" applyAlignment="1">
      <alignment horizontal="center"/>
    </xf>
    <xf numFmtId="2" fontId="0" fillId="25" borderId="26" xfId="0" applyNumberFormat="1" applyFill="1" applyBorder="1" applyAlignment="1">
      <alignment vertical="center"/>
    </xf>
    <xf numFmtId="49" fontId="0" fillId="29" borderId="3" xfId="0" applyNumberFormat="1" applyFill="1" applyBorder="1" applyAlignment="1">
      <alignment horizontal="center" vertical="center"/>
    </xf>
    <xf numFmtId="49" fontId="0" fillId="29" borderId="3" xfId="0" applyNumberFormat="1" applyFill="1" applyBorder="1" applyAlignment="1">
      <alignment horizontal="center"/>
    </xf>
    <xf numFmtId="165" fontId="5" fillId="29" borderId="3" xfId="0" applyNumberFormat="1" applyFont="1" applyFill="1" applyBorder="1" applyAlignment="1">
      <alignment horizontal="center" indent="1"/>
    </xf>
    <xf numFmtId="0" fontId="0" fillId="21" borderId="39" xfId="0" applyFill="1" applyBorder="1" applyAlignment="1">
      <alignment horizontal="left" vertical="top"/>
    </xf>
    <xf numFmtId="0" fontId="0" fillId="21" borderId="52" xfId="0" applyFill="1" applyBorder="1" applyAlignment="1">
      <alignment horizontal="left" vertical="top" wrapText="1"/>
    </xf>
    <xf numFmtId="165" fontId="5" fillId="15" borderId="3" xfId="0" applyNumberFormat="1" applyFont="1" applyFill="1" applyBorder="1" applyAlignment="1">
      <alignment horizontal="center" vertical="center" wrapText="1" indent="1"/>
    </xf>
    <xf numFmtId="49" fontId="5" fillId="15" borderId="3" xfId="0" applyNumberFormat="1" applyFont="1" applyFill="1" applyBorder="1" applyAlignment="1">
      <alignment horizontal="center" vertical="center" wrapText="1" indent="1"/>
    </xf>
    <xf numFmtId="0" fontId="0" fillId="0" borderId="0" xfId="0" quotePrefix="1" applyAlignment="1">
      <alignment horizontal="left" vertical="top" wrapText="1"/>
    </xf>
    <xf numFmtId="0" fontId="5" fillId="21" borderId="83" xfId="0" applyFont="1" applyFill="1" applyBorder="1" applyAlignment="1">
      <alignment horizontal="center" vertical="center" wrapText="1"/>
    </xf>
    <xf numFmtId="49" fontId="0" fillId="21" borderId="11" xfId="0" applyNumberFormat="1" applyFill="1" applyBorder="1" applyAlignment="1">
      <alignment horizontal="left" vertical="top" wrapText="1"/>
    </xf>
    <xf numFmtId="0" fontId="26" fillId="21" borderId="11" xfId="0" applyFont="1" applyFill="1" applyBorder="1" applyAlignment="1">
      <alignment horizontal="left" vertical="top" wrapText="1"/>
    </xf>
    <xf numFmtId="0" fontId="26" fillId="21" borderId="49" xfId="0" applyFont="1" applyFill="1" applyBorder="1" applyAlignment="1">
      <alignment horizontal="left" vertical="top" wrapText="1"/>
    </xf>
    <xf numFmtId="0" fontId="0" fillId="21" borderId="94" xfId="0" applyFill="1" applyBorder="1" applyAlignment="1">
      <alignment horizontal="center" vertical="center" wrapText="1"/>
    </xf>
    <xf numFmtId="0" fontId="5" fillId="21" borderId="3" xfId="0" applyFont="1" applyFill="1" applyBorder="1" applyAlignment="1">
      <alignment horizontal="center" vertical="center" wrapText="1"/>
    </xf>
    <xf numFmtId="49" fontId="0" fillId="21" borderId="85" xfId="0" applyNumberFormat="1" applyFill="1" applyBorder="1" applyAlignment="1">
      <alignment horizontal="left" vertical="top" wrapText="1"/>
    </xf>
    <xf numFmtId="0" fontId="26" fillId="21" borderId="103" xfId="0" applyFont="1" applyFill="1" applyBorder="1" applyAlignment="1">
      <alignment horizontal="left" vertical="top" wrapText="1"/>
    </xf>
    <xf numFmtId="0" fontId="0" fillId="21" borderId="75" xfId="0" applyFill="1" applyBorder="1" applyAlignment="1">
      <alignment horizontal="left" vertical="top" wrapText="1"/>
    </xf>
    <xf numFmtId="0" fontId="5" fillId="21" borderId="25" xfId="0" applyFont="1" applyFill="1" applyBorder="1" applyAlignment="1">
      <alignment horizontal="center" vertical="center" wrapText="1"/>
    </xf>
    <xf numFmtId="49" fontId="0" fillId="21" borderId="94" xfId="0" applyNumberFormat="1" applyFill="1" applyBorder="1" applyAlignment="1">
      <alignment horizontal="center" vertical="center" wrapText="1"/>
    </xf>
    <xf numFmtId="0" fontId="26" fillId="21" borderId="94" xfId="0" applyFont="1" applyFill="1" applyBorder="1" applyAlignment="1">
      <alignment horizontal="center" vertical="center" wrapText="1"/>
    </xf>
    <xf numFmtId="0" fontId="26" fillId="21" borderId="111" xfId="0" applyFont="1" applyFill="1" applyBorder="1" applyAlignment="1">
      <alignment horizontal="center" vertical="center" wrapText="1"/>
    </xf>
    <xf numFmtId="0" fontId="5" fillId="21" borderId="77" xfId="0" applyFont="1" applyFill="1" applyBorder="1" applyAlignment="1">
      <alignment horizontal="center" vertical="center" wrapText="1"/>
    </xf>
    <xf numFmtId="0" fontId="0" fillId="21" borderId="42" xfId="0" quotePrefix="1" applyFill="1" applyBorder="1" applyAlignment="1">
      <alignment horizontal="left" vertical="top" wrapText="1"/>
    </xf>
    <xf numFmtId="0" fontId="0" fillId="21" borderId="66" xfId="0" applyFill="1" applyBorder="1" applyAlignment="1">
      <alignment horizontal="left" vertical="top" wrapText="1"/>
    </xf>
    <xf numFmtId="0" fontId="19" fillId="21" borderId="11" xfId="0" applyFont="1" applyFill="1" applyBorder="1" applyAlignment="1">
      <alignment horizontal="left" vertical="top" wrapText="1"/>
    </xf>
    <xf numFmtId="0" fontId="0" fillId="21" borderId="66" xfId="0" quotePrefix="1" applyFill="1" applyBorder="1" applyAlignment="1">
      <alignment horizontal="left" vertical="top" wrapText="1"/>
    </xf>
    <xf numFmtId="0" fontId="0" fillId="21" borderId="67" xfId="0" applyFill="1" applyBorder="1" applyAlignment="1">
      <alignment horizontal="left" vertical="top" wrapText="1"/>
    </xf>
    <xf numFmtId="0" fontId="0" fillId="21" borderId="107" xfId="0" applyFill="1" applyBorder="1" applyAlignment="1">
      <alignment vertical="top" wrapText="1"/>
    </xf>
    <xf numFmtId="0" fontId="0" fillId="21" borderId="66" xfId="0" applyFill="1" applyBorder="1" applyAlignment="1">
      <alignment vertical="top" wrapText="1"/>
    </xf>
    <xf numFmtId="0" fontId="0" fillId="21" borderId="93" xfId="0" applyFill="1" applyBorder="1" applyAlignment="1">
      <alignment vertical="top" wrapText="1"/>
    </xf>
    <xf numFmtId="0" fontId="0" fillId="21" borderId="67" xfId="0" applyFill="1" applyBorder="1" applyAlignment="1">
      <alignment vertical="top" wrapText="1"/>
    </xf>
    <xf numFmtId="0" fontId="16" fillId="21" borderId="27" xfId="0" applyFont="1" applyFill="1" applyBorder="1" applyAlignment="1">
      <alignment horizontal="left" vertical="top" wrapText="1"/>
    </xf>
    <xf numFmtId="0" fontId="16" fillId="21" borderId="53" xfId="0" applyFont="1" applyFill="1" applyBorder="1" applyAlignment="1">
      <alignment horizontal="left" vertical="top" wrapText="1"/>
    </xf>
    <xf numFmtId="0" fontId="16" fillId="21" borderId="49" xfId="0" applyFont="1" applyFill="1" applyBorder="1" applyAlignment="1">
      <alignment horizontal="left" vertical="top" wrapText="1"/>
    </xf>
    <xf numFmtId="0" fontId="16" fillId="21" borderId="66" xfId="0" applyFont="1" applyFill="1" applyBorder="1" applyAlignment="1">
      <alignment horizontal="left" vertical="top" wrapText="1"/>
    </xf>
    <xf numFmtId="0" fontId="5" fillId="21" borderId="109" xfId="0" applyFont="1" applyFill="1" applyBorder="1" applyAlignment="1">
      <alignment horizontal="center" vertical="center" wrapText="1"/>
    </xf>
    <xf numFmtId="0" fontId="5" fillId="21" borderId="112" xfId="0" applyFont="1" applyFill="1" applyBorder="1" applyAlignment="1">
      <alignment horizontal="center" vertical="center" wrapText="1"/>
    </xf>
    <xf numFmtId="0" fontId="5" fillId="21" borderId="82" xfId="0" applyFont="1" applyFill="1" applyBorder="1" applyAlignment="1">
      <alignment horizontal="center" vertical="center" wrapText="1"/>
    </xf>
    <xf numFmtId="0" fontId="0" fillId="21" borderId="25" xfId="0" applyFill="1" applyBorder="1" applyAlignment="1">
      <alignment horizontal="center" vertical="top" wrapText="1"/>
    </xf>
    <xf numFmtId="0" fontId="0" fillId="21" borderId="3" xfId="0" applyFill="1" applyBorder="1" applyAlignment="1">
      <alignment horizontal="center" vertical="top" wrapText="1"/>
    </xf>
    <xf numFmtId="0" fontId="16" fillId="5" borderId="0" xfId="0" applyFont="1" applyFill="1" applyAlignment="1">
      <alignment horizontal="center" vertical="top" wrapText="1"/>
    </xf>
    <xf numFmtId="0" fontId="0" fillId="5" borderId="0" xfId="0" applyFill="1" applyAlignment="1">
      <alignment horizontal="center" vertical="top" wrapText="1"/>
    </xf>
    <xf numFmtId="0" fontId="0" fillId="0" borderId="0" xfId="0" applyAlignment="1">
      <alignment horizontal="center" vertical="top" wrapText="1"/>
    </xf>
    <xf numFmtId="0" fontId="0" fillId="0" borderId="0" xfId="0" applyAlignment="1">
      <alignment horizontal="center" vertical="top"/>
    </xf>
    <xf numFmtId="0" fontId="0" fillId="5" borderId="0" xfId="0" applyFill="1" applyAlignment="1">
      <alignment horizontal="center" vertical="top"/>
    </xf>
    <xf numFmtId="0" fontId="0" fillId="21" borderId="25" xfId="0" applyFill="1" applyBorder="1" applyAlignment="1">
      <alignment horizontal="center" vertical="top"/>
    </xf>
    <xf numFmtId="0" fontId="0" fillId="21" borderId="3" xfId="0" applyFill="1" applyBorder="1" applyAlignment="1">
      <alignment horizontal="center" vertical="top"/>
    </xf>
    <xf numFmtId="49" fontId="0" fillId="29" borderId="11" xfId="0" applyNumberFormat="1" applyFill="1" applyBorder="1"/>
    <xf numFmtId="165" fontId="0" fillId="15" borderId="3" xfId="0" applyNumberFormat="1" applyFill="1" applyBorder="1" applyAlignment="1">
      <alignment horizontal="left"/>
    </xf>
    <xf numFmtId="0" fontId="17" fillId="0" borderId="3" xfId="0" applyFont="1" applyBorder="1" applyAlignment="1">
      <alignment horizontal="center" vertical="top" wrapText="1"/>
    </xf>
    <xf numFmtId="0" fontId="0" fillId="0" borderId="3" xfId="0" applyBorder="1" applyAlignment="1">
      <alignment horizontal="center" vertical="top"/>
    </xf>
    <xf numFmtId="0" fontId="0" fillId="0" borderId="3" xfId="0" applyBorder="1" applyAlignment="1">
      <alignment horizontal="center" vertical="top" wrapText="1"/>
    </xf>
    <xf numFmtId="0" fontId="0" fillId="0" borderId="11" xfId="0" applyBorder="1" applyAlignment="1">
      <alignment horizontal="center" vertical="top" wrapText="1"/>
    </xf>
    <xf numFmtId="0" fontId="0" fillId="0" borderId="80" xfId="0" applyBorder="1" applyAlignment="1">
      <alignment horizontal="center" vertical="center" wrapText="1"/>
    </xf>
    <xf numFmtId="0" fontId="0" fillId="11" borderId="26" xfId="0" applyFill="1" applyBorder="1" applyAlignment="1">
      <alignment horizontal="center" vertical="center"/>
    </xf>
    <xf numFmtId="0" fontId="0" fillId="11" borderId="79" xfId="0" applyFill="1" applyBorder="1" applyAlignment="1">
      <alignment horizontal="center"/>
    </xf>
    <xf numFmtId="0" fontId="16" fillId="21" borderId="80" xfId="0" applyFont="1" applyFill="1" applyBorder="1" applyAlignment="1">
      <alignment horizontal="left" vertical="top" wrapText="1"/>
    </xf>
    <xf numFmtId="0" fontId="0" fillId="21" borderId="26" xfId="0" applyFill="1" applyBorder="1" applyAlignment="1">
      <alignment horizontal="left" vertical="top" wrapText="1"/>
    </xf>
    <xf numFmtId="0" fontId="9" fillId="17" borderId="26" xfId="0" quotePrefix="1" applyFont="1" applyFill="1" applyBorder="1" applyAlignment="1">
      <alignment horizontal="center" vertical="center" wrapText="1"/>
    </xf>
    <xf numFmtId="16" fontId="10" fillId="17" borderId="26" xfId="0" quotePrefix="1" applyNumberFormat="1" applyFont="1" applyFill="1" applyBorder="1" applyAlignment="1">
      <alignment horizontal="center" vertical="center"/>
    </xf>
    <xf numFmtId="0" fontId="10" fillId="17" borderId="26" xfId="0" applyFont="1" applyFill="1" applyBorder="1" applyAlignment="1">
      <alignment horizontal="center" vertical="center" wrapText="1"/>
    </xf>
    <xf numFmtId="0" fontId="0" fillId="21" borderId="93" xfId="0" applyFill="1" applyBorder="1" applyAlignment="1">
      <alignment horizontal="left" vertical="top" wrapText="1"/>
    </xf>
    <xf numFmtId="49" fontId="0" fillId="0" borderId="3" xfId="0" quotePrefix="1" applyNumberFormat="1" applyBorder="1"/>
    <xf numFmtId="49" fontId="0" fillId="29" borderId="0" xfId="0" applyNumberFormat="1" applyFill="1"/>
    <xf numFmtId="49" fontId="0" fillId="0" borderId="12" xfId="0" applyNumberFormat="1" applyBorder="1" applyAlignment="1">
      <alignment horizontal="left"/>
    </xf>
    <xf numFmtId="0" fontId="0" fillId="0" borderId="27" xfId="0" applyBorder="1" applyAlignment="1">
      <alignment horizontal="center"/>
    </xf>
    <xf numFmtId="49" fontId="0" fillId="0" borderId="80" xfId="0" applyNumberFormat="1" applyBorder="1" applyAlignment="1">
      <alignment horizontal="center"/>
    </xf>
    <xf numFmtId="0" fontId="6" fillId="5" borderId="3" xfId="0" applyFont="1" applyFill="1" applyBorder="1"/>
    <xf numFmtId="49" fontId="0" fillId="0" borderId="106" xfId="0" applyNumberFormat="1" applyBorder="1" applyAlignment="1">
      <alignment horizontal="center" vertical="center"/>
    </xf>
    <xf numFmtId="49" fontId="0" fillId="0" borderId="26" xfId="0" applyNumberFormat="1" applyBorder="1" applyAlignment="1">
      <alignment horizontal="center" vertical="center"/>
    </xf>
    <xf numFmtId="49" fontId="5" fillId="0" borderId="26" xfId="0" applyNumberFormat="1" applyFont="1" applyBorder="1" applyAlignment="1">
      <alignment horizontal="center" vertical="center"/>
    </xf>
    <xf numFmtId="49" fontId="5" fillId="0" borderId="0" xfId="0" applyNumberFormat="1" applyFont="1" applyAlignment="1">
      <alignment horizontal="center" vertical="center"/>
    </xf>
    <xf numFmtId="49" fontId="5" fillId="0" borderId="27" xfId="0" applyNumberFormat="1" applyFont="1" applyBorder="1" applyAlignment="1">
      <alignment horizontal="center"/>
    </xf>
    <xf numFmtId="49" fontId="5" fillId="0" borderId="80" xfId="0" applyNumberFormat="1" applyFont="1" applyBorder="1" applyAlignment="1">
      <alignment horizontal="center"/>
    </xf>
    <xf numFmtId="49" fontId="5" fillId="0" borderId="80" xfId="0" applyNumberFormat="1" applyFont="1" applyBorder="1" applyAlignment="1">
      <alignment horizontal="center" vertical="center"/>
    </xf>
    <xf numFmtId="49" fontId="0" fillId="0" borderId="27" xfId="0" applyNumberFormat="1" applyBorder="1" applyAlignment="1">
      <alignment horizontal="center" vertical="center"/>
    </xf>
    <xf numFmtId="49" fontId="0" fillId="0" borderId="80" xfId="0" applyNumberFormat="1" applyBorder="1" applyAlignment="1">
      <alignment horizontal="center" vertical="center"/>
    </xf>
    <xf numFmtId="49" fontId="0" fillId="0" borderId="0" xfId="0" applyNumberFormat="1" applyAlignment="1">
      <alignment horizontal="center" vertical="center"/>
    </xf>
    <xf numFmtId="49" fontId="0" fillId="0" borderId="26" xfId="0" applyNumberFormat="1" applyBorder="1" applyAlignment="1">
      <alignment horizontal="left" vertical="top" wrapText="1"/>
    </xf>
    <xf numFmtId="49" fontId="0" fillId="5" borderId="26" xfId="0" applyNumberFormat="1" applyFill="1" applyBorder="1" applyAlignment="1">
      <alignment horizontal="left" vertical="center" wrapText="1"/>
    </xf>
    <xf numFmtId="0" fontId="0" fillId="21" borderId="27" xfId="0" quotePrefix="1" applyFill="1" applyBorder="1" applyAlignment="1">
      <alignment vertical="top" wrapText="1"/>
    </xf>
    <xf numFmtId="2" fontId="0" fillId="29" borderId="0" xfId="0" applyNumberFormat="1" applyFill="1"/>
    <xf numFmtId="0" fontId="6" fillId="0" borderId="2" xfId="0" applyFont="1" applyBorder="1" applyAlignment="1">
      <alignment vertical="center"/>
    </xf>
    <xf numFmtId="0" fontId="6" fillId="0" borderId="0" xfId="0" applyFont="1" applyAlignment="1">
      <alignment vertical="center"/>
    </xf>
    <xf numFmtId="0" fontId="6" fillId="0" borderId="22" xfId="0" applyFont="1" applyBorder="1" applyAlignment="1">
      <alignment horizontal="center" vertical="center"/>
    </xf>
    <xf numFmtId="0" fontId="6" fillId="0" borderId="22" xfId="0" applyFont="1" applyBorder="1" applyAlignment="1">
      <alignment horizontal="center" vertical="center" wrapText="1"/>
    </xf>
    <xf numFmtId="0" fontId="6" fillId="0" borderId="24" xfId="0" applyFont="1" applyBorder="1" applyAlignment="1">
      <alignment horizontal="center"/>
    </xf>
    <xf numFmtId="49" fontId="0" fillId="5" borderId="3" xfId="0" applyNumberFormat="1" applyFill="1" applyBorder="1" applyAlignment="1">
      <alignment horizontal="left" vertical="center"/>
    </xf>
    <xf numFmtId="49" fontId="5" fillId="5" borderId="3" xfId="0" applyNumberFormat="1" applyFont="1" applyFill="1" applyBorder="1" applyAlignment="1">
      <alignment horizontal="center" vertical="center"/>
    </xf>
    <xf numFmtId="49" fontId="0" fillId="0" borderId="3" xfId="0" applyNumberFormat="1" applyBorder="1" applyAlignment="1">
      <alignment horizontal="left" vertical="center"/>
    </xf>
    <xf numFmtId="49" fontId="0" fillId="5" borderId="3" xfId="0" applyNumberFormat="1" applyFill="1" applyBorder="1" applyAlignment="1">
      <alignment vertical="center" wrapText="1"/>
    </xf>
    <xf numFmtId="49" fontId="5" fillId="5" borderId="3" xfId="0" applyNumberFormat="1" applyFont="1" applyFill="1" applyBorder="1" applyAlignment="1">
      <alignment vertical="center"/>
    </xf>
    <xf numFmtId="49" fontId="0" fillId="5" borderId="3" xfId="0" applyNumberFormat="1" applyFill="1" applyBorder="1" applyAlignment="1">
      <alignment vertical="center"/>
    </xf>
    <xf numFmtId="0" fontId="8" fillId="0" borderId="0" xfId="0" applyFont="1" applyAlignment="1">
      <alignment wrapText="1"/>
    </xf>
    <xf numFmtId="0" fontId="0" fillId="5" borderId="3" xfId="0" applyFill="1" applyBorder="1" applyAlignment="1">
      <alignment horizontal="center" vertical="center" wrapText="1"/>
    </xf>
    <xf numFmtId="0" fontId="0" fillId="21" borderId="11" xfId="0" applyFill="1" applyBorder="1" applyAlignment="1">
      <alignment horizontal="center" vertical="top" wrapText="1"/>
    </xf>
    <xf numFmtId="0" fontId="5" fillId="21" borderId="11" xfId="0" applyFont="1" applyFill="1" applyBorder="1" applyAlignment="1">
      <alignment horizontal="center" vertical="center" wrapText="1"/>
    </xf>
    <xf numFmtId="0" fontId="0" fillId="21" borderId="11" xfId="0" applyFill="1" applyBorder="1" applyAlignment="1">
      <alignment horizontal="center" vertical="top"/>
    </xf>
    <xf numFmtId="0" fontId="0" fillId="5" borderId="26" xfId="0" applyFill="1" applyBorder="1" applyAlignment="1">
      <alignment horizontal="center" vertical="center" wrapText="1"/>
    </xf>
    <xf numFmtId="0" fontId="0" fillId="5" borderId="3" xfId="0" applyFill="1" applyBorder="1" applyAlignment="1">
      <alignment horizontal="center" vertical="top" wrapText="1"/>
    </xf>
    <xf numFmtId="0" fontId="0" fillId="5" borderId="12" xfId="0" applyFill="1" applyBorder="1" applyAlignment="1">
      <alignment horizontal="center" vertical="top" wrapText="1"/>
    </xf>
    <xf numFmtId="0" fontId="0" fillId="0" borderId="11" xfId="0" applyBorder="1" applyAlignment="1">
      <alignment vertical="top"/>
    </xf>
    <xf numFmtId="0" fontId="16" fillId="21" borderId="11" xfId="0" quotePrefix="1" applyFont="1" applyFill="1" applyBorder="1" applyAlignment="1">
      <alignment horizontal="left" vertical="top" wrapText="1"/>
    </xf>
    <xf numFmtId="1" fontId="0" fillId="0" borderId="3" xfId="0" applyNumberFormat="1" applyBorder="1" applyAlignment="1">
      <alignment horizontal="center" vertical="center" wrapText="1"/>
    </xf>
    <xf numFmtId="0" fontId="0" fillId="15" borderId="3" xfId="0" applyFill="1" applyBorder="1" applyAlignment="1">
      <alignment horizontal="center" vertical="center" wrapText="1"/>
    </xf>
    <xf numFmtId="2" fontId="17" fillId="29" borderId="3" xfId="0" applyNumberFormat="1" applyFont="1" applyFill="1" applyBorder="1" applyAlignment="1">
      <alignment horizontal="center" vertical="center" wrapText="1"/>
    </xf>
    <xf numFmtId="49" fontId="0" fillId="15" borderId="0" xfId="0" applyNumberFormat="1" applyFill="1" applyAlignment="1">
      <alignment horizontal="right"/>
    </xf>
    <xf numFmtId="0" fontId="3" fillId="23" borderId="88" xfId="0" applyFont="1" applyFill="1" applyBorder="1" applyAlignment="1">
      <alignment horizontal="center" vertical="center"/>
    </xf>
    <xf numFmtId="0" fontId="3" fillId="23" borderId="90" xfId="0" applyFont="1" applyFill="1" applyBorder="1" applyAlignment="1">
      <alignment horizontal="center" vertical="center"/>
    </xf>
    <xf numFmtId="0" fontId="3" fillId="23" borderId="89" xfId="0" applyFont="1" applyFill="1" applyBorder="1" applyAlignment="1">
      <alignment horizontal="center" vertical="center"/>
    </xf>
    <xf numFmtId="0" fontId="3" fillId="23" borderId="96" xfId="0" applyFont="1" applyFill="1" applyBorder="1" applyAlignment="1">
      <alignment horizontal="center" vertical="center"/>
    </xf>
    <xf numFmtId="0" fontId="16" fillId="0" borderId="3" xfId="0" applyFont="1" applyBorder="1" applyAlignment="1">
      <alignment horizontal="center" vertical="center" wrapText="1"/>
    </xf>
    <xf numFmtId="0" fontId="16" fillId="0" borderId="45" xfId="0" applyFont="1" applyBorder="1" applyAlignment="1">
      <alignment horizontal="center" vertical="center" wrapText="1"/>
    </xf>
    <xf numFmtId="0" fontId="16" fillId="5" borderId="45" xfId="0" applyFont="1" applyFill="1" applyBorder="1" applyAlignment="1">
      <alignment horizontal="center" vertical="center" wrapText="1"/>
    </xf>
    <xf numFmtId="0" fontId="23" fillId="21" borderId="106" xfId="0" applyFont="1" applyFill="1" applyBorder="1" applyAlignment="1">
      <alignment horizontal="center" vertical="center" wrapText="1"/>
    </xf>
    <xf numFmtId="0" fontId="23" fillId="21" borderId="82" xfId="0" applyFont="1" applyFill="1" applyBorder="1" applyAlignment="1">
      <alignment horizontal="center" vertical="center" wrapText="1"/>
    </xf>
    <xf numFmtId="0" fontId="16" fillId="21" borderId="75" xfId="0" applyFont="1" applyFill="1" applyBorder="1" applyAlignment="1">
      <alignment horizontal="left" vertical="top" wrapText="1"/>
    </xf>
    <xf numFmtId="0" fontId="16" fillId="21" borderId="58" xfId="0" applyFont="1" applyFill="1" applyBorder="1" applyAlignment="1">
      <alignment horizontal="left" vertical="top" wrapText="1"/>
    </xf>
    <xf numFmtId="0" fontId="16" fillId="21" borderId="107" xfId="0" applyFont="1" applyFill="1" applyBorder="1" applyAlignment="1">
      <alignment horizontal="left" vertical="top" wrapText="1"/>
    </xf>
    <xf numFmtId="0" fontId="16" fillId="21" borderId="85" xfId="0" applyFont="1" applyFill="1" applyBorder="1" applyAlignment="1">
      <alignment horizontal="left" vertical="top" wrapText="1"/>
    </xf>
    <xf numFmtId="0" fontId="16" fillId="21" borderId="53" xfId="0" applyFont="1" applyFill="1" applyBorder="1" applyAlignment="1">
      <alignment vertical="top" wrapText="1"/>
    </xf>
    <xf numFmtId="0" fontId="16" fillId="0" borderId="3" xfId="0" quotePrefix="1" applyFont="1" applyBorder="1" applyAlignment="1">
      <alignment horizontal="center" vertical="center" wrapText="1"/>
    </xf>
    <xf numFmtId="0" fontId="6" fillId="0" borderId="3" xfId="0" applyFont="1" applyBorder="1" applyAlignment="1">
      <alignment horizontal="center" vertical="top" wrapText="1"/>
    </xf>
    <xf numFmtId="0" fontId="9" fillId="5" borderId="3" xfId="0" applyFont="1" applyFill="1" applyBorder="1" applyAlignment="1">
      <alignment horizontal="center" vertical="top" wrapText="1"/>
    </xf>
    <xf numFmtId="0" fontId="16" fillId="0" borderId="3" xfId="0" applyFont="1" applyBorder="1" applyAlignment="1">
      <alignment horizontal="center" vertical="top" wrapText="1"/>
    </xf>
    <xf numFmtId="49" fontId="16" fillId="0" borderId="3" xfId="0" applyNumberFormat="1" applyFont="1" applyBorder="1" applyAlignment="1">
      <alignment horizontal="center" vertical="top" wrapText="1"/>
    </xf>
    <xf numFmtId="0" fontId="16" fillId="21" borderId="66" xfId="0" applyFont="1" applyFill="1" applyBorder="1" applyAlignment="1">
      <alignment vertical="top" wrapText="1"/>
    </xf>
    <xf numFmtId="49" fontId="16" fillId="0" borderId="45" xfId="0" applyNumberFormat="1" applyFont="1" applyBorder="1" applyAlignment="1">
      <alignment horizontal="center" vertical="top" wrapText="1"/>
    </xf>
    <xf numFmtId="0" fontId="16" fillId="0" borderId="45" xfId="0" quotePrefix="1" applyFont="1" applyBorder="1" applyAlignment="1">
      <alignment horizontal="center" vertical="center" wrapText="1"/>
    </xf>
    <xf numFmtId="49" fontId="16" fillId="5" borderId="25" xfId="0" applyNumberFormat="1" applyFont="1" applyFill="1" applyBorder="1" applyAlignment="1">
      <alignment horizontal="center" vertical="center" wrapText="1"/>
    </xf>
    <xf numFmtId="0" fontId="6" fillId="20" borderId="3" xfId="0" applyFont="1" applyFill="1" applyBorder="1" applyAlignment="1">
      <alignment horizontal="left" vertical="center" wrapText="1"/>
    </xf>
    <xf numFmtId="0" fontId="16" fillId="0" borderId="26" xfId="0" applyFont="1" applyBorder="1" applyAlignment="1">
      <alignment horizontal="center" vertical="center" wrapText="1"/>
    </xf>
    <xf numFmtId="49" fontId="16" fillId="0" borderId="26" xfId="0" applyNumberFormat="1" applyFont="1" applyBorder="1" applyAlignment="1">
      <alignment horizontal="center" vertical="center" wrapText="1"/>
    </xf>
    <xf numFmtId="0" fontId="16" fillId="0" borderId="3" xfId="0" applyFont="1" applyBorder="1" applyAlignment="1">
      <alignment horizontal="center"/>
    </xf>
    <xf numFmtId="0" fontId="16" fillId="0" borderId="26" xfId="0" applyFont="1" applyBorder="1" applyAlignment="1">
      <alignment horizontal="center" vertical="center"/>
    </xf>
    <xf numFmtId="0" fontId="16" fillId="0" borderId="3" xfId="0" applyFont="1" applyBorder="1" applyAlignment="1">
      <alignment horizontal="center" vertical="center"/>
    </xf>
    <xf numFmtId="0" fontId="16" fillId="0" borderId="3" xfId="0" quotePrefix="1" applyFont="1" applyBorder="1" applyAlignment="1">
      <alignment horizontal="center" vertical="center"/>
    </xf>
    <xf numFmtId="49" fontId="6" fillId="5" borderId="12" xfId="0" applyNumberFormat="1" applyFont="1" applyFill="1" applyBorder="1"/>
    <xf numFmtId="49" fontId="6" fillId="5" borderId="3" xfId="0" applyNumberFormat="1" applyFont="1" applyFill="1" applyBorder="1"/>
    <xf numFmtId="0" fontId="23" fillId="0" borderId="0" xfId="0" applyFont="1" applyAlignment="1">
      <alignment horizontal="center"/>
    </xf>
    <xf numFmtId="49" fontId="16" fillId="0" borderId="0" xfId="0" applyNumberFormat="1" applyFont="1" applyAlignment="1">
      <alignment horizontal="left" vertical="top" wrapText="1"/>
    </xf>
    <xf numFmtId="49" fontId="23" fillId="0" borderId="0" xfId="0" applyNumberFormat="1" applyFont="1" applyAlignment="1">
      <alignment horizontal="left" vertical="top" wrapText="1"/>
    </xf>
    <xf numFmtId="49" fontId="16" fillId="0" borderId="0" xfId="0" applyNumberFormat="1" applyFont="1" applyAlignment="1">
      <alignment horizontal="center" vertical="top" wrapText="1"/>
    </xf>
    <xf numFmtId="49" fontId="5" fillId="0" borderId="3" xfId="0" applyNumberFormat="1" applyFont="1" applyBorder="1" applyAlignment="1">
      <alignment horizontal="left" vertical="top" wrapText="1"/>
    </xf>
    <xf numFmtId="49" fontId="5" fillId="0" borderId="3" xfId="0" applyNumberFormat="1" applyFont="1" applyBorder="1" applyAlignment="1">
      <alignment horizontal="center" vertical="top" wrapText="1"/>
    </xf>
    <xf numFmtId="49" fontId="16" fillId="5" borderId="99" xfId="0" applyNumberFormat="1" applyFont="1" applyFill="1" applyBorder="1" applyAlignment="1">
      <alignment horizontal="left" vertical="top" wrapText="1"/>
    </xf>
    <xf numFmtId="49" fontId="16" fillId="5" borderId="99" xfId="0" applyNumberFormat="1" applyFont="1" applyFill="1" applyBorder="1" applyAlignment="1">
      <alignment horizontal="center" vertical="top" wrapText="1"/>
    </xf>
    <xf numFmtId="49" fontId="16" fillId="5" borderId="0" xfId="0" applyNumberFormat="1" applyFont="1" applyFill="1" applyAlignment="1">
      <alignment horizontal="left" vertical="top" wrapText="1"/>
    </xf>
    <xf numFmtId="49" fontId="16" fillId="5" borderId="0" xfId="0" applyNumberFormat="1" applyFont="1" applyFill="1" applyAlignment="1">
      <alignment horizontal="center" vertical="top" wrapText="1"/>
    </xf>
    <xf numFmtId="0" fontId="29" fillId="5" borderId="82" xfId="0" applyFont="1" applyFill="1" applyBorder="1"/>
    <xf numFmtId="2" fontId="6" fillId="0" borderId="0" xfId="0" applyNumberFormat="1" applyFont="1"/>
    <xf numFmtId="2" fontId="6" fillId="15" borderId="0" xfId="0" applyNumberFormat="1" applyFont="1" applyFill="1"/>
    <xf numFmtId="0" fontId="9" fillId="0" borderId="11" xfId="0" applyFont="1" applyBorder="1" applyAlignment="1">
      <alignment horizontal="center" vertical="top" wrapText="1"/>
    </xf>
    <xf numFmtId="0" fontId="10" fillId="15" borderId="2" xfId="1" applyFont="1" applyFill="1" applyBorder="1" applyAlignment="1">
      <alignment horizontal="center" vertical="center"/>
    </xf>
    <xf numFmtId="0" fontId="9" fillId="17" borderId="98" xfId="0" applyFont="1" applyFill="1" applyBorder="1" applyAlignment="1">
      <alignment horizontal="center" vertical="center" wrapText="1"/>
    </xf>
    <xf numFmtId="0" fontId="45" fillId="21" borderId="66" xfId="0" applyFont="1" applyFill="1" applyBorder="1" applyAlignment="1">
      <alignment horizontal="left" vertical="top" wrapText="1"/>
    </xf>
    <xf numFmtId="49" fontId="0" fillId="15" borderId="3" xfId="0" applyNumberFormat="1" applyFill="1" applyBorder="1" applyAlignment="1">
      <alignment horizontal="center" vertical="center"/>
    </xf>
    <xf numFmtId="0" fontId="30" fillId="15" borderId="3" xfId="0" applyFont="1" applyFill="1" applyBorder="1" applyAlignment="1">
      <alignment horizontal="center"/>
    </xf>
    <xf numFmtId="49" fontId="5" fillId="15" borderId="26" xfId="0" applyNumberFormat="1" applyFont="1" applyFill="1" applyBorder="1" applyAlignment="1">
      <alignment horizontal="center"/>
    </xf>
    <xf numFmtId="49" fontId="5" fillId="15" borderId="0" xfId="0" applyNumberFormat="1" applyFont="1" applyFill="1" applyAlignment="1">
      <alignment horizontal="center"/>
    </xf>
    <xf numFmtId="0" fontId="30" fillId="15" borderId="26" xfId="0" applyFont="1" applyFill="1" applyBorder="1" applyAlignment="1">
      <alignment horizontal="center"/>
    </xf>
    <xf numFmtId="49" fontId="30" fillId="15" borderId="3" xfId="0" applyNumberFormat="1" applyFont="1" applyFill="1" applyBorder="1" applyAlignment="1">
      <alignment horizontal="center"/>
    </xf>
    <xf numFmtId="49" fontId="0" fillId="15" borderId="27" xfId="0" applyNumberFormat="1" applyFill="1" applyBorder="1" applyAlignment="1">
      <alignment horizontal="center"/>
    </xf>
    <xf numFmtId="49" fontId="5" fillId="15" borderId="80" xfId="0" applyNumberFormat="1" applyFont="1" applyFill="1" applyBorder="1" applyAlignment="1">
      <alignment horizontal="center"/>
    </xf>
    <xf numFmtId="49" fontId="0" fillId="15" borderId="27" xfId="0" applyNumberFormat="1" applyFill="1" applyBorder="1" applyAlignment="1">
      <alignment horizontal="center" wrapText="1"/>
    </xf>
    <xf numFmtId="49" fontId="0" fillId="15" borderId="3" xfId="0" applyNumberFormat="1" applyFill="1" applyBorder="1" applyAlignment="1">
      <alignment horizontal="left" vertical="center"/>
    </xf>
    <xf numFmtId="49" fontId="0" fillId="15" borderId="12" xfId="0" applyNumberFormat="1" applyFill="1" applyBorder="1" applyAlignment="1">
      <alignment horizontal="left" vertical="center"/>
    </xf>
    <xf numFmtId="49" fontId="0" fillId="15" borderId="106" xfId="0" applyNumberFormat="1" applyFill="1" applyBorder="1" applyAlignment="1">
      <alignment horizontal="center"/>
    </xf>
    <xf numFmtId="0" fontId="30" fillId="15" borderId="12" xfId="0" applyFont="1" applyFill="1" applyBorder="1" applyAlignment="1">
      <alignment horizontal="center"/>
    </xf>
    <xf numFmtId="49" fontId="0" fillId="15" borderId="12" xfId="0" applyNumberFormat="1" applyFill="1" applyBorder="1" applyAlignment="1">
      <alignment horizontal="center"/>
    </xf>
    <xf numFmtId="49" fontId="30" fillId="15" borderId="12" xfId="0" applyNumberFormat="1" applyFont="1" applyFill="1" applyBorder="1" applyAlignment="1">
      <alignment horizontal="center" vertical="center"/>
    </xf>
    <xf numFmtId="49" fontId="0" fillId="15" borderId="80" xfId="0" applyNumberFormat="1" applyFill="1" applyBorder="1" applyAlignment="1">
      <alignment horizontal="center" vertical="center"/>
    </xf>
    <xf numFmtId="0" fontId="6" fillId="15" borderId="3" xfId="0" applyFont="1" applyFill="1" applyBorder="1" applyAlignment="1">
      <alignment vertical="center" wrapText="1"/>
    </xf>
    <xf numFmtId="49" fontId="5" fillId="15" borderId="26" xfId="0" applyNumberFormat="1" applyFont="1" applyFill="1" applyBorder="1" applyAlignment="1">
      <alignment horizontal="center" vertical="center"/>
    </xf>
    <xf numFmtId="49" fontId="5" fillId="15" borderId="0" xfId="0" applyNumberFormat="1" applyFont="1" applyFill="1" applyAlignment="1">
      <alignment horizontal="center" vertical="center"/>
    </xf>
    <xf numFmtId="0" fontId="6" fillId="15" borderId="3" xfId="0" applyFont="1" applyFill="1" applyBorder="1" applyAlignment="1">
      <alignment vertical="center"/>
    </xf>
    <xf numFmtId="49" fontId="0" fillId="15" borderId="26" xfId="0" applyNumberFormat="1" applyFill="1" applyBorder="1" applyAlignment="1">
      <alignment horizontal="center" vertical="center"/>
    </xf>
    <xf numFmtId="49" fontId="5" fillId="15" borderId="80" xfId="0" applyNumberFormat="1" applyFont="1" applyFill="1" applyBorder="1" applyAlignment="1">
      <alignment horizontal="center" vertical="center"/>
    </xf>
    <xf numFmtId="0" fontId="5" fillId="17" borderId="39" xfId="0" applyFont="1" applyFill="1" applyBorder="1" applyAlignment="1">
      <alignment horizontal="center" vertical="top" wrapText="1"/>
    </xf>
    <xf numFmtId="0" fontId="5" fillId="17" borderId="40" xfId="0" applyFont="1" applyFill="1" applyBorder="1" applyAlignment="1">
      <alignment horizontal="center" vertical="top" wrapText="1"/>
    </xf>
    <xf numFmtId="0" fontId="5" fillId="17" borderId="40" xfId="0" applyFont="1" applyFill="1" applyBorder="1" applyAlignment="1">
      <alignment horizontal="center" vertical="center" wrapText="1"/>
    </xf>
    <xf numFmtId="0" fontId="5" fillId="17" borderId="41" xfId="0" applyFont="1" applyFill="1" applyBorder="1" applyAlignment="1">
      <alignment horizontal="center" vertical="center" wrapText="1"/>
    </xf>
    <xf numFmtId="49" fontId="0" fillId="0" borderId="82" xfId="0" applyNumberFormat="1" applyBorder="1" applyAlignment="1">
      <alignment horizontal="left" vertical="top"/>
    </xf>
    <xf numFmtId="49" fontId="0" fillId="0" borderId="0" xfId="0" applyNumberFormat="1" applyAlignment="1">
      <alignment horizontal="left" vertical="top"/>
    </xf>
    <xf numFmtId="49" fontId="0" fillId="0" borderId="0" xfId="0" applyNumberFormat="1" applyAlignment="1">
      <alignment horizontal="left" vertical="center" wrapText="1"/>
    </xf>
    <xf numFmtId="0" fontId="5" fillId="21" borderId="90" xfId="0" applyFont="1" applyFill="1" applyBorder="1" applyAlignment="1">
      <alignment horizontal="center" vertical="top"/>
    </xf>
    <xf numFmtId="0" fontId="5" fillId="21" borderId="96" xfId="0" applyFont="1" applyFill="1" applyBorder="1" applyAlignment="1">
      <alignment horizontal="center" vertical="top"/>
    </xf>
    <xf numFmtId="0" fontId="5" fillId="21" borderId="88" xfId="0" applyFont="1" applyFill="1" applyBorder="1" applyAlignment="1">
      <alignment horizontal="center" vertical="top" wrapText="1"/>
    </xf>
    <xf numFmtId="0" fontId="5" fillId="21" borderId="89" xfId="0" applyFont="1" applyFill="1" applyBorder="1" applyAlignment="1">
      <alignment horizontal="center" vertical="top" wrapText="1"/>
    </xf>
    <xf numFmtId="0" fontId="5" fillId="21" borderId="96" xfId="0" applyFont="1" applyFill="1" applyBorder="1" applyAlignment="1">
      <alignment horizontal="center" vertical="top" wrapText="1"/>
    </xf>
    <xf numFmtId="0" fontId="5" fillId="21" borderId="69" xfId="0" applyFont="1" applyFill="1" applyBorder="1" applyAlignment="1">
      <alignment horizontal="center" vertical="top"/>
    </xf>
    <xf numFmtId="0" fontId="5" fillId="21" borderId="70" xfId="0" applyFont="1" applyFill="1" applyBorder="1" applyAlignment="1">
      <alignment horizontal="center" vertical="top"/>
    </xf>
    <xf numFmtId="0" fontId="5" fillId="21" borderId="71" xfId="0" applyFont="1" applyFill="1" applyBorder="1" applyAlignment="1">
      <alignment horizontal="center" vertical="top"/>
    </xf>
    <xf numFmtId="0" fontId="5" fillId="21" borderId="71" xfId="0" applyFont="1" applyFill="1" applyBorder="1" applyAlignment="1">
      <alignment horizontal="center" vertical="center"/>
    </xf>
    <xf numFmtId="0" fontId="5" fillId="21" borderId="110" xfId="0" applyFont="1" applyFill="1" applyBorder="1" applyAlignment="1">
      <alignment horizontal="center" vertical="center"/>
    </xf>
    <xf numFmtId="0" fontId="0" fillId="0" borderId="0" xfId="0" applyAlignment="1">
      <alignment horizontal="left" vertical="top" wrapText="1"/>
    </xf>
    <xf numFmtId="0" fontId="5" fillId="12" borderId="54" xfId="0" applyFont="1" applyFill="1" applyBorder="1" applyAlignment="1">
      <alignment horizontal="center" vertical="top" wrapText="1"/>
    </xf>
    <xf numFmtId="0" fontId="5" fillId="12" borderId="55" xfId="0" applyFont="1" applyFill="1" applyBorder="1" applyAlignment="1">
      <alignment horizontal="center" vertical="top" wrapText="1"/>
    </xf>
    <xf numFmtId="0" fontId="5" fillId="12" borderId="56" xfId="0" applyFont="1" applyFill="1" applyBorder="1" applyAlignment="1">
      <alignment horizontal="center" vertical="top" wrapText="1"/>
    </xf>
    <xf numFmtId="0" fontId="5" fillId="16" borderId="29" xfId="0" applyFont="1" applyFill="1" applyBorder="1" applyAlignment="1">
      <alignment horizontal="center" vertical="top" wrapText="1"/>
    </xf>
    <xf numFmtId="0" fontId="5" fillId="16" borderId="30" xfId="0" applyFont="1" applyFill="1" applyBorder="1" applyAlignment="1">
      <alignment horizontal="center" vertical="top" wrapText="1"/>
    </xf>
    <xf numFmtId="0" fontId="5" fillId="16" borderId="31" xfId="0" applyFont="1" applyFill="1" applyBorder="1" applyAlignment="1">
      <alignment horizontal="center" vertical="top" wrapText="1"/>
    </xf>
    <xf numFmtId="0" fontId="3" fillId="22" borderId="60" xfId="0" applyFont="1" applyFill="1" applyBorder="1" applyAlignment="1">
      <alignment horizontal="center" vertical="center" wrapText="1"/>
    </xf>
    <xf numFmtId="0" fontId="3" fillId="22" borderId="62" xfId="0" applyFont="1" applyFill="1" applyBorder="1" applyAlignment="1">
      <alignment horizontal="center" vertical="center" wrapText="1"/>
    </xf>
    <xf numFmtId="0" fontId="3" fillId="23" borderId="69" xfId="0" applyFont="1" applyFill="1" applyBorder="1" applyAlignment="1">
      <alignment horizontal="center" vertical="center" wrapText="1"/>
    </xf>
    <xf numFmtId="0" fontId="3" fillId="23" borderId="70" xfId="0" applyFont="1" applyFill="1" applyBorder="1" applyAlignment="1">
      <alignment horizontal="center" vertical="center" wrapText="1"/>
    </xf>
    <xf numFmtId="0" fontId="3" fillId="23" borderId="71" xfId="0" applyFont="1" applyFill="1" applyBorder="1" applyAlignment="1">
      <alignment horizontal="center" vertical="center" wrapText="1"/>
    </xf>
    <xf numFmtId="0" fontId="44" fillId="5" borderId="0" xfId="0" applyFont="1" applyFill="1" applyAlignment="1">
      <alignment horizontal="center" vertical="center"/>
    </xf>
    <xf numFmtId="0" fontId="44" fillId="5" borderId="57" xfId="0" applyFont="1" applyFill="1" applyBorder="1" applyAlignment="1">
      <alignment horizontal="center" vertical="center"/>
    </xf>
    <xf numFmtId="0" fontId="5" fillId="21" borderId="3" xfId="0" applyFont="1" applyFill="1" applyBorder="1" applyAlignment="1">
      <alignment horizontal="center" vertical="center" wrapText="1"/>
    </xf>
    <xf numFmtId="0" fontId="5" fillId="21" borderId="69" xfId="0" applyFont="1" applyFill="1" applyBorder="1" applyAlignment="1">
      <alignment horizontal="center" vertical="top" wrapText="1"/>
    </xf>
    <xf numFmtId="0" fontId="5" fillId="21" borderId="70" xfId="0" applyFont="1" applyFill="1" applyBorder="1" applyAlignment="1">
      <alignment horizontal="center" vertical="top" wrapText="1"/>
    </xf>
    <xf numFmtId="0" fontId="5" fillId="21" borderId="62" xfId="0" applyFont="1" applyFill="1" applyBorder="1" applyAlignment="1">
      <alignment horizontal="center" vertical="top" wrapText="1"/>
    </xf>
    <xf numFmtId="0" fontId="5" fillId="17" borderId="41" xfId="0" applyFont="1" applyFill="1" applyBorder="1" applyAlignment="1">
      <alignment horizontal="center" vertical="top" wrapText="1"/>
    </xf>
    <xf numFmtId="49" fontId="5" fillId="13" borderId="61" xfId="0" applyNumberFormat="1" applyFont="1" applyFill="1" applyBorder="1" applyAlignment="1">
      <alignment horizontal="center" vertical="center" wrapText="1"/>
    </xf>
    <xf numFmtId="0" fontId="5" fillId="21" borderId="91" xfId="0" applyFont="1" applyFill="1" applyBorder="1" applyAlignment="1">
      <alignment horizontal="center" vertical="top" wrapText="1"/>
    </xf>
    <xf numFmtId="0" fontId="5" fillId="21" borderId="88" xfId="0" applyFont="1" applyFill="1" applyBorder="1" applyAlignment="1">
      <alignment horizontal="center" vertical="top"/>
    </xf>
    <xf numFmtId="0" fontId="5" fillId="21" borderId="101" xfId="0" applyFont="1" applyFill="1" applyBorder="1" applyAlignment="1">
      <alignment horizontal="center" vertical="center"/>
    </xf>
    <xf numFmtId="0" fontId="5" fillId="21" borderId="94" xfId="0" applyFont="1" applyFill="1" applyBorder="1" applyAlignment="1">
      <alignment horizontal="center" vertical="center"/>
    </xf>
    <xf numFmtId="0" fontId="5" fillId="21" borderId="25" xfId="0" applyFont="1" applyFill="1" applyBorder="1" applyAlignment="1">
      <alignment horizontal="center" vertical="center" wrapText="1"/>
    </xf>
    <xf numFmtId="49" fontId="0" fillId="18" borderId="57" xfId="0" applyNumberFormat="1" applyFill="1" applyBorder="1" applyAlignment="1">
      <alignment horizontal="center" vertical="center" wrapText="1"/>
    </xf>
    <xf numFmtId="0" fontId="0" fillId="0" borderId="26" xfId="0" applyBorder="1" applyAlignment="1">
      <alignment horizontal="left" vertical="top" wrapText="1"/>
    </xf>
    <xf numFmtId="49" fontId="5" fillId="13" borderId="76" xfId="0" applyNumberFormat="1" applyFont="1" applyFill="1" applyBorder="1" applyAlignment="1">
      <alignment horizontal="center" vertical="center" wrapText="1"/>
    </xf>
    <xf numFmtId="49" fontId="5" fillId="13" borderId="40" xfId="0" applyNumberFormat="1" applyFont="1" applyFill="1" applyBorder="1" applyAlignment="1">
      <alignment horizontal="center" vertical="center" wrapText="1"/>
    </xf>
    <xf numFmtId="49" fontId="5" fillId="13" borderId="41" xfId="0" applyNumberFormat="1" applyFont="1" applyFill="1" applyBorder="1" applyAlignment="1">
      <alignment horizontal="center" vertical="center" wrapText="1"/>
    </xf>
    <xf numFmtId="0" fontId="5" fillId="17" borderId="69" xfId="0" applyFont="1" applyFill="1" applyBorder="1" applyAlignment="1">
      <alignment horizontal="center" vertical="center" wrapText="1"/>
    </xf>
    <xf numFmtId="0" fontId="5" fillId="17" borderId="70" xfId="0" applyFont="1" applyFill="1" applyBorder="1" applyAlignment="1">
      <alignment horizontal="center" vertical="center" wrapText="1"/>
    </xf>
    <xf numFmtId="0" fontId="5" fillId="17" borderId="71" xfId="0" applyFont="1" applyFill="1" applyBorder="1" applyAlignment="1">
      <alignment horizontal="center" vertical="center" wrapText="1"/>
    </xf>
    <xf numFmtId="0" fontId="5" fillId="17" borderId="100" xfId="0" applyFont="1" applyFill="1" applyBorder="1" applyAlignment="1">
      <alignment horizontal="center" vertical="center" wrapText="1"/>
    </xf>
    <xf numFmtId="0" fontId="5" fillId="17" borderId="59" xfId="0" applyFont="1" applyFill="1" applyBorder="1" applyAlignment="1">
      <alignment horizontal="center" vertical="center" wrapText="1"/>
    </xf>
    <xf numFmtId="0" fontId="5" fillId="17" borderId="101" xfId="0" applyFont="1" applyFill="1" applyBorder="1" applyAlignment="1">
      <alignment horizontal="center" vertical="center" wrapText="1"/>
    </xf>
    <xf numFmtId="0" fontId="5" fillId="21" borderId="63" xfId="0" applyFont="1" applyFill="1" applyBorder="1" applyAlignment="1">
      <alignment horizontal="center" vertical="top" wrapText="1"/>
    </xf>
    <xf numFmtId="0" fontId="5" fillId="21" borderId="57" xfId="0" applyFont="1" applyFill="1" applyBorder="1" applyAlignment="1">
      <alignment horizontal="center" vertical="top" wrapText="1"/>
    </xf>
    <xf numFmtId="0" fontId="5" fillId="21" borderId="74" xfId="0" applyFont="1" applyFill="1" applyBorder="1" applyAlignment="1">
      <alignment horizontal="center" vertical="top" wrapText="1"/>
    </xf>
    <xf numFmtId="0" fontId="5" fillId="21" borderId="104" xfId="0" applyFont="1" applyFill="1" applyBorder="1" applyAlignment="1">
      <alignment horizontal="center" vertical="top" wrapText="1"/>
    </xf>
    <xf numFmtId="0" fontId="5" fillId="21" borderId="83" xfId="0" applyFont="1" applyFill="1" applyBorder="1" applyAlignment="1">
      <alignment horizontal="center" vertical="top" wrapText="1"/>
    </xf>
    <xf numFmtId="0" fontId="5" fillId="21" borderId="73" xfId="0" applyFont="1" applyFill="1" applyBorder="1" applyAlignment="1">
      <alignment horizontal="center" vertical="center"/>
    </xf>
    <xf numFmtId="0" fontId="5" fillId="21" borderId="60" xfId="0" applyFont="1" applyFill="1" applyBorder="1" applyAlignment="1">
      <alignment horizontal="center" vertical="top" wrapText="1"/>
    </xf>
    <xf numFmtId="0" fontId="5" fillId="21" borderId="61" xfId="0" applyFont="1" applyFill="1" applyBorder="1" applyAlignment="1">
      <alignment horizontal="center" vertical="top" wrapText="1"/>
    </xf>
    <xf numFmtId="0" fontId="5" fillId="17" borderId="39" xfId="0" applyFont="1" applyFill="1" applyBorder="1" applyAlignment="1">
      <alignment horizontal="center" vertical="center" wrapText="1"/>
    </xf>
    <xf numFmtId="49" fontId="23" fillId="13" borderId="76" xfId="0" applyNumberFormat="1" applyFont="1" applyFill="1" applyBorder="1" applyAlignment="1">
      <alignment horizontal="center" vertical="center" wrapText="1"/>
    </xf>
    <xf numFmtId="49" fontId="0" fillId="13" borderId="40" xfId="0" applyNumberFormat="1" applyFill="1" applyBorder="1" applyAlignment="1">
      <alignment horizontal="center" vertical="center" wrapText="1"/>
    </xf>
    <xf numFmtId="49" fontId="0" fillId="13" borderId="41" xfId="0" applyNumberFormat="1" applyFill="1" applyBorder="1" applyAlignment="1">
      <alignment horizontal="center" vertical="center" wrapText="1"/>
    </xf>
    <xf numFmtId="0" fontId="5" fillId="21" borderId="60" xfId="0" applyFont="1" applyFill="1" applyBorder="1" applyAlignment="1">
      <alignment horizontal="center" vertical="center" wrapText="1"/>
    </xf>
    <xf numFmtId="0" fontId="5" fillId="21" borderId="61" xfId="0" applyFont="1" applyFill="1" applyBorder="1" applyAlignment="1">
      <alignment horizontal="center" vertical="center" wrapText="1"/>
    </xf>
    <xf numFmtId="0" fontId="5" fillId="21" borderId="71" xfId="0" applyFont="1" applyFill="1" applyBorder="1" applyAlignment="1">
      <alignment horizontal="center" vertical="center" wrapText="1"/>
    </xf>
    <xf numFmtId="0" fontId="5" fillId="21" borderId="77" xfId="0" applyFont="1" applyFill="1" applyBorder="1" applyAlignment="1">
      <alignment horizontal="center" vertical="top" wrapText="1"/>
    </xf>
    <xf numFmtId="0" fontId="5" fillId="21" borderId="78" xfId="0" applyFont="1" applyFill="1" applyBorder="1" applyAlignment="1">
      <alignment horizontal="center" vertical="top" wrapText="1"/>
    </xf>
    <xf numFmtId="0" fontId="5" fillId="21" borderId="105" xfId="0" applyFont="1" applyFill="1" applyBorder="1" applyAlignment="1">
      <alignment horizontal="center" vertical="top" wrapText="1"/>
    </xf>
    <xf numFmtId="0" fontId="5" fillId="21" borderId="65" xfId="0" applyFont="1" applyFill="1" applyBorder="1" applyAlignment="1">
      <alignment horizontal="center" vertical="center"/>
    </xf>
    <xf numFmtId="0" fontId="5" fillId="21" borderId="107" xfId="0" applyFont="1" applyFill="1" applyBorder="1" applyAlignment="1">
      <alignment horizontal="center" vertical="center"/>
    </xf>
    <xf numFmtId="49" fontId="16" fillId="0" borderId="0" xfId="0" applyNumberFormat="1" applyFont="1" applyAlignment="1">
      <alignment horizontal="left" vertical="top" wrapText="1"/>
    </xf>
    <xf numFmtId="0" fontId="42" fillId="5" borderId="0" xfId="0" applyFont="1" applyFill="1" applyAlignment="1">
      <alignment horizontal="left" vertical="top" wrapText="1"/>
    </xf>
    <xf numFmtId="0" fontId="42" fillId="5" borderId="0" xfId="0" applyFont="1" applyFill="1" applyAlignment="1">
      <alignment horizontal="left" vertical="top"/>
    </xf>
    <xf numFmtId="49" fontId="0" fillId="18" borderId="59" xfId="0" applyNumberFormat="1" applyFill="1" applyBorder="1" applyAlignment="1">
      <alignment horizontal="center" vertical="center" wrapText="1"/>
    </xf>
    <xf numFmtId="49" fontId="24" fillId="0" borderId="47" xfId="0" applyNumberFormat="1" applyFont="1" applyBorder="1" applyAlignment="1">
      <alignment horizontal="center"/>
    </xf>
    <xf numFmtId="49" fontId="24" fillId="0" borderId="64" xfId="0" applyNumberFormat="1" applyFont="1" applyBorder="1" applyAlignment="1">
      <alignment horizontal="center"/>
    </xf>
    <xf numFmtId="0" fontId="0" fillId="0" borderId="11" xfId="0" applyBorder="1" applyAlignment="1">
      <alignment horizontal="center" vertical="center" wrapText="1"/>
    </xf>
    <xf numFmtId="0" fontId="0" fillId="0" borderId="49" xfId="0" applyBorder="1" applyAlignment="1">
      <alignment horizontal="center" vertical="center" wrapText="1"/>
    </xf>
    <xf numFmtId="0" fontId="5" fillId="0" borderId="39" xfId="0" applyFont="1" applyBorder="1" applyAlignment="1">
      <alignment horizontal="center" wrapText="1"/>
    </xf>
    <xf numFmtId="0" fontId="5" fillId="0" borderId="40" xfId="0" applyFont="1" applyBorder="1" applyAlignment="1">
      <alignment horizontal="center" wrapText="1"/>
    </xf>
    <xf numFmtId="0" fontId="5" fillId="0" borderId="41" xfId="0" applyFont="1" applyBorder="1" applyAlignment="1">
      <alignment horizontal="center" wrapText="1"/>
    </xf>
    <xf numFmtId="0" fontId="5" fillId="0" borderId="0" xfId="0" applyFont="1" applyAlignment="1">
      <alignment vertical="top" wrapText="1"/>
    </xf>
    <xf numFmtId="0" fontId="0" fillId="5" borderId="69" xfId="0" applyFill="1" applyBorder="1" applyAlignment="1">
      <alignment horizontal="left" vertical="top" wrapText="1"/>
    </xf>
    <xf numFmtId="0" fontId="0" fillId="5" borderId="70" xfId="0" applyFill="1" applyBorder="1" applyAlignment="1">
      <alignment horizontal="left" vertical="top" wrapText="1"/>
    </xf>
    <xf numFmtId="0" fontId="0" fillId="5" borderId="71" xfId="0" applyFill="1" applyBorder="1" applyAlignment="1">
      <alignment horizontal="left" vertical="top" wrapText="1"/>
    </xf>
    <xf numFmtId="0" fontId="0" fillId="5" borderId="63" xfId="0" applyFill="1" applyBorder="1" applyAlignment="1">
      <alignment horizontal="left" vertical="top" wrapText="1"/>
    </xf>
    <xf numFmtId="0" fontId="0" fillId="5" borderId="57" xfId="0" applyFill="1" applyBorder="1" applyAlignment="1">
      <alignment horizontal="left" vertical="top" wrapText="1"/>
    </xf>
    <xf numFmtId="0" fontId="0" fillId="5" borderId="74" xfId="0" applyFill="1" applyBorder="1" applyAlignment="1">
      <alignment horizontal="left" vertical="top" wrapText="1"/>
    </xf>
    <xf numFmtId="0" fontId="0" fillId="0" borderId="69" xfId="0" quotePrefix="1" applyBorder="1" applyAlignment="1">
      <alignment horizontal="left" vertical="top" wrapText="1"/>
    </xf>
    <xf numFmtId="0" fontId="0" fillId="0" borderId="70" xfId="0" quotePrefix="1" applyBorder="1" applyAlignment="1">
      <alignment horizontal="left" vertical="top" wrapText="1"/>
    </xf>
    <xf numFmtId="0" fontId="0" fillId="0" borderId="71" xfId="0" quotePrefix="1" applyBorder="1" applyAlignment="1">
      <alignment horizontal="left" vertical="top" wrapText="1"/>
    </xf>
    <xf numFmtId="0" fontId="0" fillId="0" borderId="72" xfId="0" quotePrefix="1" applyBorder="1" applyAlignment="1">
      <alignment horizontal="left" vertical="top" wrapText="1"/>
    </xf>
    <xf numFmtId="0" fontId="0" fillId="0" borderId="0" xfId="0" quotePrefix="1" applyAlignment="1">
      <alignment horizontal="left" vertical="top" wrapText="1"/>
    </xf>
    <xf numFmtId="0" fontId="0" fillId="0" borderId="73" xfId="0" quotePrefix="1" applyBorder="1" applyAlignment="1">
      <alignment horizontal="left" vertical="top" wrapText="1"/>
    </xf>
    <xf numFmtId="0" fontId="0" fillId="0" borderId="63" xfId="0" quotePrefix="1" applyBorder="1" applyAlignment="1">
      <alignment horizontal="left" vertical="top" wrapText="1"/>
    </xf>
    <xf numFmtId="0" fontId="0" fillId="0" borderId="57" xfId="0" quotePrefix="1" applyBorder="1" applyAlignment="1">
      <alignment horizontal="left" vertical="top" wrapText="1"/>
    </xf>
    <xf numFmtId="0" fontId="0" fillId="0" borderId="74" xfId="0" quotePrefix="1" applyBorder="1" applyAlignment="1">
      <alignment horizontal="left" vertical="top" wrapText="1"/>
    </xf>
    <xf numFmtId="0" fontId="0" fillId="5" borderId="69" xfId="0" quotePrefix="1" applyFill="1" applyBorder="1" applyAlignment="1">
      <alignment horizontal="left" vertical="top" wrapText="1"/>
    </xf>
    <xf numFmtId="0" fontId="0" fillId="5" borderId="72" xfId="0" applyFill="1" applyBorder="1" applyAlignment="1">
      <alignment horizontal="left" vertical="top" wrapText="1"/>
    </xf>
    <xf numFmtId="0" fontId="0" fillId="5" borderId="0" xfId="0" applyFill="1" applyAlignment="1">
      <alignment horizontal="left" vertical="top" wrapText="1"/>
    </xf>
    <xf numFmtId="0" fontId="0" fillId="5" borderId="73" xfId="0" applyFill="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9</xdr:col>
      <xdr:colOff>285750</xdr:colOff>
      <xdr:row>23</xdr:row>
      <xdr:rowOff>19050</xdr:rowOff>
    </xdr:from>
    <xdr:to>
      <xdr:col>11</xdr:col>
      <xdr:colOff>47625</xdr:colOff>
      <xdr:row>29</xdr:row>
      <xdr:rowOff>85725</xdr:rowOff>
    </xdr:to>
    <xdr:sp macro="" textlink="">
      <xdr:nvSpPr>
        <xdr:cNvPr id="3" name="Oval 2">
          <a:extLst>
            <a:ext uri="{FF2B5EF4-FFF2-40B4-BE49-F238E27FC236}">
              <a16:creationId xmlns:a16="http://schemas.microsoft.com/office/drawing/2014/main" id="{06414E43-1E40-C5C9-972B-3BA379738D71}"/>
            </a:ext>
            <a:ext uri="{147F2762-F138-4A5C-976F-8EAC2B608ADB}">
              <a16:predDERef xmlns:a16="http://schemas.microsoft.com/office/drawing/2014/main" pred="{F2C7FD5B-144F-F0D1-30FF-8FFB86428C99}"/>
            </a:ext>
          </a:extLst>
        </xdr:cNvPr>
        <xdr:cNvSpPr/>
      </xdr:nvSpPr>
      <xdr:spPr>
        <a:xfrm>
          <a:off x="5772150" y="37433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00100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4</xdr:col>
      <xdr:colOff>95250</xdr:colOff>
      <xdr:row>13</xdr:row>
      <xdr:rowOff>47625</xdr:rowOff>
    </xdr:from>
    <xdr:to>
      <xdr:col>5</xdr:col>
      <xdr:colOff>466725</xdr:colOff>
      <xdr:row>19</xdr:row>
      <xdr:rowOff>114300</xdr:rowOff>
    </xdr:to>
    <xdr:sp macro="" textlink="">
      <xdr:nvSpPr>
        <xdr:cNvPr id="4" name="Oval 3">
          <a:extLst>
            <a:ext uri="{FF2B5EF4-FFF2-40B4-BE49-F238E27FC236}">
              <a16:creationId xmlns:a16="http://schemas.microsoft.com/office/drawing/2014/main" id="{B3D64C1E-2AAB-4C87-8562-F25558A3AD68}"/>
            </a:ext>
            <a:ext uri="{147F2762-F138-4A5C-976F-8EAC2B608ADB}">
              <a16:predDERef xmlns:a16="http://schemas.microsoft.com/office/drawing/2014/main" pred="{06414E43-1E40-C5C9-972B-3BA379738D71}"/>
            </a:ext>
          </a:extLst>
        </xdr:cNvPr>
        <xdr:cNvSpPr/>
      </xdr:nvSpPr>
      <xdr:spPr>
        <a:xfrm>
          <a:off x="2533650" y="2152650"/>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01000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2</xdr:col>
      <xdr:colOff>85725</xdr:colOff>
      <xdr:row>1</xdr:row>
      <xdr:rowOff>133350</xdr:rowOff>
    </xdr:from>
    <xdr:to>
      <xdr:col>3</xdr:col>
      <xdr:colOff>457200</xdr:colOff>
      <xdr:row>8</xdr:row>
      <xdr:rowOff>38100</xdr:rowOff>
    </xdr:to>
    <xdr:sp macro="" textlink="">
      <xdr:nvSpPr>
        <xdr:cNvPr id="5" name="Oval 4">
          <a:extLst>
            <a:ext uri="{FF2B5EF4-FFF2-40B4-BE49-F238E27FC236}">
              <a16:creationId xmlns:a16="http://schemas.microsoft.com/office/drawing/2014/main" id="{8007BB50-0F9C-487E-A8BA-39E616779C16}"/>
            </a:ext>
            <a:ext uri="{147F2762-F138-4A5C-976F-8EAC2B608ADB}">
              <a16:predDERef xmlns:a16="http://schemas.microsoft.com/office/drawing/2014/main" pred="{B3D64C1E-2AAB-4C87-8562-F25558A3AD68}"/>
            </a:ext>
          </a:extLst>
        </xdr:cNvPr>
        <xdr:cNvSpPr/>
      </xdr:nvSpPr>
      <xdr:spPr>
        <a:xfrm>
          <a:off x="1304925" y="29527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Entidade 00001</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10</xdr:col>
      <xdr:colOff>166688</xdr:colOff>
      <xdr:row>19</xdr:row>
      <xdr:rowOff>142875</xdr:rowOff>
    </xdr:from>
    <xdr:to>
      <xdr:col>15</xdr:col>
      <xdr:colOff>309563</xdr:colOff>
      <xdr:row>23</xdr:row>
      <xdr:rowOff>19050</xdr:rowOff>
    </xdr:to>
    <xdr:cxnSp macro="">
      <xdr:nvCxnSpPr>
        <xdr:cNvPr id="7" name="Straight Connector 6">
          <a:extLst>
            <a:ext uri="{FF2B5EF4-FFF2-40B4-BE49-F238E27FC236}">
              <a16:creationId xmlns:a16="http://schemas.microsoft.com/office/drawing/2014/main" id="{6D0B78A5-292B-F2EE-B4CF-2743257C1FBC}"/>
            </a:ext>
            <a:ext uri="{147F2762-F138-4A5C-976F-8EAC2B608ADB}">
              <a16:predDERef xmlns:a16="http://schemas.microsoft.com/office/drawing/2014/main" pred="{8007BB50-0F9C-487E-A8BA-39E616779C16}"/>
            </a:ext>
          </a:extLst>
        </xdr:cNvPr>
        <xdr:cNvCxnSpPr>
          <a:cxnSpLocks/>
          <a:stCxn id="3" idx="0"/>
          <a:endCxn id="10" idx="4"/>
          <a:extLst>
            <a:ext uri="{5F17804C-33F3-41E3-A699-7DCFA2EF7971}">
              <a16:cxnDERefs xmlns:a16="http://schemas.microsoft.com/office/drawing/2014/main" st="{06414E43-1E40-C5C9-972B-3BA379738D71}" end="{D1DB2313-618F-49BB-B72B-05EA80946D0B}"/>
            </a:ext>
          </a:extLst>
        </xdr:cNvCxnSpPr>
      </xdr:nvCxnSpPr>
      <xdr:spPr>
        <a:xfrm flipV="1">
          <a:off x="6262688" y="3219450"/>
          <a:ext cx="3190875" cy="5238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576263</xdr:colOff>
      <xdr:row>8</xdr:row>
      <xdr:rowOff>38100</xdr:rowOff>
    </xdr:from>
    <xdr:to>
      <xdr:col>4</xdr:col>
      <xdr:colOff>585788</xdr:colOff>
      <xdr:row>13</xdr:row>
      <xdr:rowOff>47625</xdr:rowOff>
    </xdr:to>
    <xdr:cxnSp macro="">
      <xdr:nvCxnSpPr>
        <xdr:cNvPr id="9" name="Straight Connector 8">
          <a:extLst>
            <a:ext uri="{FF2B5EF4-FFF2-40B4-BE49-F238E27FC236}">
              <a16:creationId xmlns:a16="http://schemas.microsoft.com/office/drawing/2014/main" id="{F04C46D6-0E24-48DE-ADBD-A5A0CC82C0E2}"/>
            </a:ext>
            <a:ext uri="{147F2762-F138-4A5C-976F-8EAC2B608ADB}">
              <a16:predDERef xmlns:a16="http://schemas.microsoft.com/office/drawing/2014/main" pred="{6D0B78A5-292B-F2EE-B4CF-2743257C1FBC}"/>
            </a:ext>
          </a:extLst>
        </xdr:cNvPr>
        <xdr:cNvCxnSpPr>
          <a:cxnSpLocks/>
          <a:stCxn id="4" idx="0"/>
          <a:endCxn id="5" idx="4"/>
          <a:extLst>
            <a:ext uri="{5F17804C-33F3-41E3-A699-7DCFA2EF7971}">
              <a16:cxnDERefs xmlns:a16="http://schemas.microsoft.com/office/drawing/2014/main" st="{B3D64C1E-2AAB-4C87-8562-F25558A3AD68}" end="{8007BB50-0F9C-487E-A8BA-39E616779C16}"/>
            </a:ext>
          </a:extLst>
        </xdr:cNvCxnSpPr>
      </xdr:nvCxnSpPr>
      <xdr:spPr>
        <a:xfrm flipH="1" flipV="1">
          <a:off x="1795463" y="1333500"/>
          <a:ext cx="1228725" cy="8191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428625</xdr:colOff>
      <xdr:row>13</xdr:row>
      <xdr:rowOff>76200</xdr:rowOff>
    </xdr:from>
    <xdr:to>
      <xdr:col>16</xdr:col>
      <xdr:colOff>190500</xdr:colOff>
      <xdr:row>19</xdr:row>
      <xdr:rowOff>142875</xdr:rowOff>
    </xdr:to>
    <xdr:sp macro="" textlink="">
      <xdr:nvSpPr>
        <xdr:cNvPr id="10" name="Oval 9">
          <a:extLst>
            <a:ext uri="{FF2B5EF4-FFF2-40B4-BE49-F238E27FC236}">
              <a16:creationId xmlns:a16="http://schemas.microsoft.com/office/drawing/2014/main" id="{D1DB2313-618F-49BB-B72B-05EA80946D0B}"/>
            </a:ext>
            <a:ext uri="{147F2762-F138-4A5C-976F-8EAC2B608ADB}">
              <a16:predDERef xmlns:a16="http://schemas.microsoft.com/office/drawing/2014/main" pred="{F04C46D6-0E24-48DE-ADBD-A5A0CC82C0E2}"/>
            </a:ext>
          </a:extLst>
        </xdr:cNvPr>
        <xdr:cNvSpPr/>
      </xdr:nvSpPr>
      <xdr:spPr>
        <a:xfrm>
          <a:off x="8963025" y="21812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0200</a:t>
          </a:r>
          <a:endParaRPr lang="en-US" sz="1100" b="0" i="0" u="none" strike="noStrike">
            <a:solidFill>
              <a:srgbClr val="000000"/>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6</xdr:col>
      <xdr:colOff>171450</xdr:colOff>
      <xdr:row>1</xdr:row>
      <xdr:rowOff>152400</xdr:rowOff>
    </xdr:from>
    <xdr:to>
      <xdr:col>7</xdr:col>
      <xdr:colOff>542925</xdr:colOff>
      <xdr:row>8</xdr:row>
      <xdr:rowOff>57150</xdr:rowOff>
    </xdr:to>
    <xdr:sp macro="" textlink="">
      <xdr:nvSpPr>
        <xdr:cNvPr id="11" name="Oval 10">
          <a:extLst>
            <a:ext uri="{FF2B5EF4-FFF2-40B4-BE49-F238E27FC236}">
              <a16:creationId xmlns:a16="http://schemas.microsoft.com/office/drawing/2014/main" id="{20A974B0-39CB-4F8B-819B-3C4A9CDE0591}"/>
            </a:ext>
            <a:ext uri="{147F2762-F138-4A5C-976F-8EAC2B608ADB}">
              <a16:predDERef xmlns:a16="http://schemas.microsoft.com/office/drawing/2014/main" pred="{D1DB2313-618F-49BB-B72B-05EA80946D0B}"/>
            </a:ext>
          </a:extLst>
        </xdr:cNvPr>
        <xdr:cNvSpPr/>
      </xdr:nvSpPr>
      <xdr:spPr>
        <a:xfrm>
          <a:off x="3829050" y="3143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Entidade  00002</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10</xdr:col>
      <xdr:colOff>504825</xdr:colOff>
      <xdr:row>1</xdr:row>
      <xdr:rowOff>38100</xdr:rowOff>
    </xdr:from>
    <xdr:to>
      <xdr:col>12</xdr:col>
      <xdr:colOff>266700</xdr:colOff>
      <xdr:row>7</xdr:row>
      <xdr:rowOff>104775</xdr:rowOff>
    </xdr:to>
    <xdr:sp macro="" textlink="">
      <xdr:nvSpPr>
        <xdr:cNvPr id="12" name="Oval 11">
          <a:extLst>
            <a:ext uri="{FF2B5EF4-FFF2-40B4-BE49-F238E27FC236}">
              <a16:creationId xmlns:a16="http://schemas.microsoft.com/office/drawing/2014/main" id="{06EF9F39-B1C2-463A-BD3F-224490C432B6}"/>
            </a:ext>
            <a:ext uri="{147F2762-F138-4A5C-976F-8EAC2B608ADB}">
              <a16:predDERef xmlns:a16="http://schemas.microsoft.com/office/drawing/2014/main" pred="{20A974B0-39CB-4F8B-819B-3C4A9CDE0591}"/>
            </a:ext>
          </a:extLst>
        </xdr:cNvPr>
        <xdr:cNvSpPr/>
      </xdr:nvSpPr>
      <xdr:spPr>
        <a:xfrm>
          <a:off x="6600825" y="2000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0201</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14</xdr:col>
      <xdr:colOff>476250</xdr:colOff>
      <xdr:row>0</xdr:row>
      <xdr:rowOff>114300</xdr:rowOff>
    </xdr:from>
    <xdr:to>
      <xdr:col>16</xdr:col>
      <xdr:colOff>238125</xdr:colOff>
      <xdr:row>7</xdr:row>
      <xdr:rowOff>19050</xdr:rowOff>
    </xdr:to>
    <xdr:sp macro="" textlink="">
      <xdr:nvSpPr>
        <xdr:cNvPr id="13" name="Oval 12">
          <a:extLst>
            <a:ext uri="{FF2B5EF4-FFF2-40B4-BE49-F238E27FC236}">
              <a16:creationId xmlns:a16="http://schemas.microsoft.com/office/drawing/2014/main" id="{21CB73F3-B179-4152-848F-B2DF272CCFD4}"/>
            </a:ext>
            <a:ext uri="{147F2762-F138-4A5C-976F-8EAC2B608ADB}">
              <a16:predDERef xmlns:a16="http://schemas.microsoft.com/office/drawing/2014/main" pred="{06EF9F39-B1C2-463A-BD3F-224490C432B6}"/>
            </a:ext>
          </a:extLst>
        </xdr:cNvPr>
        <xdr:cNvSpPr/>
      </xdr:nvSpPr>
      <xdr:spPr>
        <a:xfrm>
          <a:off x="9010650" y="114300"/>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0203</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4</xdr:col>
      <xdr:colOff>585788</xdr:colOff>
      <xdr:row>19</xdr:row>
      <xdr:rowOff>114300</xdr:rowOff>
    </xdr:from>
    <xdr:to>
      <xdr:col>10</xdr:col>
      <xdr:colOff>166688</xdr:colOff>
      <xdr:row>23</xdr:row>
      <xdr:rowOff>19050</xdr:rowOff>
    </xdr:to>
    <xdr:cxnSp macro="">
      <xdr:nvCxnSpPr>
        <xdr:cNvPr id="14" name="Straight Connector 13">
          <a:extLst>
            <a:ext uri="{FF2B5EF4-FFF2-40B4-BE49-F238E27FC236}">
              <a16:creationId xmlns:a16="http://schemas.microsoft.com/office/drawing/2014/main" id="{B413F6AF-DA0C-4FA8-8BAD-96205C62EC97}"/>
            </a:ext>
            <a:ext uri="{147F2762-F138-4A5C-976F-8EAC2B608ADB}">
              <a16:predDERef xmlns:a16="http://schemas.microsoft.com/office/drawing/2014/main" pred="{21CB73F3-B179-4152-848F-B2DF272CCFD4}"/>
            </a:ext>
          </a:extLst>
        </xdr:cNvPr>
        <xdr:cNvCxnSpPr>
          <a:cxnSpLocks/>
          <a:stCxn id="3" idx="0"/>
          <a:endCxn id="4" idx="4"/>
          <a:extLst>
            <a:ext uri="{5F17804C-33F3-41E3-A699-7DCFA2EF7971}">
              <a16:cxnDERefs xmlns:a16="http://schemas.microsoft.com/office/drawing/2014/main" st="{06414E43-1E40-C5C9-972B-3BA379738D71}" end="{B3D64C1E-2AAB-4C87-8562-F25558A3AD68}"/>
            </a:ext>
          </a:extLst>
        </xdr:cNvCxnSpPr>
      </xdr:nvCxnSpPr>
      <xdr:spPr>
        <a:xfrm flipH="1" flipV="1">
          <a:off x="3024188" y="3190875"/>
          <a:ext cx="3238500" cy="5524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385763</xdr:colOff>
      <xdr:row>7</xdr:row>
      <xdr:rowOff>104775</xdr:rowOff>
    </xdr:from>
    <xdr:to>
      <xdr:col>15</xdr:col>
      <xdr:colOff>309563</xdr:colOff>
      <xdr:row>13</xdr:row>
      <xdr:rowOff>76200</xdr:rowOff>
    </xdr:to>
    <xdr:cxnSp macro="">
      <xdr:nvCxnSpPr>
        <xdr:cNvPr id="15" name="Straight Connector 14">
          <a:extLst>
            <a:ext uri="{FF2B5EF4-FFF2-40B4-BE49-F238E27FC236}">
              <a16:creationId xmlns:a16="http://schemas.microsoft.com/office/drawing/2014/main" id="{B1242568-A8F3-40C9-B026-38F4959FE450}"/>
            </a:ext>
            <a:ext uri="{147F2762-F138-4A5C-976F-8EAC2B608ADB}">
              <a16:predDERef xmlns:a16="http://schemas.microsoft.com/office/drawing/2014/main" pred="{B413F6AF-DA0C-4FA8-8BAD-96205C62EC97}"/>
            </a:ext>
          </a:extLst>
        </xdr:cNvPr>
        <xdr:cNvCxnSpPr>
          <a:cxnSpLocks/>
          <a:stCxn id="10" idx="0"/>
          <a:endCxn id="12" idx="4"/>
          <a:extLst>
            <a:ext uri="{5F17804C-33F3-41E3-A699-7DCFA2EF7971}">
              <a16:cxnDERefs xmlns:a16="http://schemas.microsoft.com/office/drawing/2014/main" st="{D1DB2313-618F-49BB-B72B-05EA80946D0B}" end="{06EF9F39-B1C2-463A-BD3F-224490C432B6}"/>
            </a:ext>
          </a:extLst>
        </xdr:cNvCxnSpPr>
      </xdr:nvCxnSpPr>
      <xdr:spPr>
        <a:xfrm flipH="1" flipV="1">
          <a:off x="7091363" y="1238250"/>
          <a:ext cx="2362200" cy="9429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309563</xdr:colOff>
      <xdr:row>7</xdr:row>
      <xdr:rowOff>19050</xdr:rowOff>
    </xdr:from>
    <xdr:to>
      <xdr:col>15</xdr:col>
      <xdr:colOff>357188</xdr:colOff>
      <xdr:row>13</xdr:row>
      <xdr:rowOff>76200</xdr:rowOff>
    </xdr:to>
    <xdr:cxnSp macro="">
      <xdr:nvCxnSpPr>
        <xdr:cNvPr id="16" name="Straight Connector 15">
          <a:extLst>
            <a:ext uri="{FF2B5EF4-FFF2-40B4-BE49-F238E27FC236}">
              <a16:creationId xmlns:a16="http://schemas.microsoft.com/office/drawing/2014/main" id="{F793D44E-3854-47A0-9695-84E3C76A504E}"/>
            </a:ext>
            <a:ext uri="{147F2762-F138-4A5C-976F-8EAC2B608ADB}">
              <a16:predDERef xmlns:a16="http://schemas.microsoft.com/office/drawing/2014/main" pred="{B1242568-A8F3-40C9-B026-38F4959FE450}"/>
            </a:ext>
          </a:extLst>
        </xdr:cNvPr>
        <xdr:cNvCxnSpPr>
          <a:cxnSpLocks/>
          <a:stCxn id="10" idx="0"/>
          <a:endCxn id="13" idx="4"/>
          <a:extLst>
            <a:ext uri="{5F17804C-33F3-41E3-A699-7DCFA2EF7971}">
              <a16:cxnDERefs xmlns:a16="http://schemas.microsoft.com/office/drawing/2014/main" st="{D1DB2313-618F-49BB-B72B-05EA80946D0B}" end="{21CB73F3-B179-4152-848F-B2DF272CCFD4}"/>
            </a:ext>
          </a:extLst>
        </xdr:cNvCxnSpPr>
      </xdr:nvCxnSpPr>
      <xdr:spPr>
        <a:xfrm flipV="1">
          <a:off x="9453563" y="1152525"/>
          <a:ext cx="47625" cy="10287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585788</xdr:colOff>
      <xdr:row>8</xdr:row>
      <xdr:rowOff>57150</xdr:rowOff>
    </xdr:from>
    <xdr:to>
      <xdr:col>7</xdr:col>
      <xdr:colOff>52388</xdr:colOff>
      <xdr:row>13</xdr:row>
      <xdr:rowOff>47625</xdr:rowOff>
    </xdr:to>
    <xdr:cxnSp macro="">
      <xdr:nvCxnSpPr>
        <xdr:cNvPr id="17" name="Straight Connector 16">
          <a:extLst>
            <a:ext uri="{FF2B5EF4-FFF2-40B4-BE49-F238E27FC236}">
              <a16:creationId xmlns:a16="http://schemas.microsoft.com/office/drawing/2014/main" id="{6223CAC9-FAF9-4B61-8771-BD8B8451A801}"/>
            </a:ext>
            <a:ext uri="{147F2762-F138-4A5C-976F-8EAC2B608ADB}">
              <a16:predDERef xmlns:a16="http://schemas.microsoft.com/office/drawing/2014/main" pred="{F793D44E-3854-47A0-9695-84E3C76A504E}"/>
            </a:ext>
          </a:extLst>
        </xdr:cNvPr>
        <xdr:cNvCxnSpPr>
          <a:cxnSpLocks/>
          <a:stCxn id="4" idx="0"/>
          <a:endCxn id="11" idx="4"/>
          <a:extLst>
            <a:ext uri="{5F17804C-33F3-41E3-A699-7DCFA2EF7971}">
              <a16:cxnDERefs xmlns:a16="http://schemas.microsoft.com/office/drawing/2014/main" st="{B3D64C1E-2AAB-4C87-8562-F25558A3AD68}" end="{20A974B0-39CB-4F8B-819B-3C4A9CDE0591}"/>
            </a:ext>
          </a:extLst>
        </xdr:cNvCxnSpPr>
      </xdr:nvCxnSpPr>
      <xdr:spPr>
        <a:xfrm flipV="1">
          <a:off x="3024188" y="1352550"/>
          <a:ext cx="1295400" cy="8001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485775</xdr:colOff>
      <xdr:row>0</xdr:row>
      <xdr:rowOff>104775</xdr:rowOff>
    </xdr:from>
    <xdr:to>
      <xdr:col>20</xdr:col>
      <xdr:colOff>247650</xdr:colOff>
      <xdr:row>7</xdr:row>
      <xdr:rowOff>9525</xdr:rowOff>
    </xdr:to>
    <xdr:sp macro="" textlink="">
      <xdr:nvSpPr>
        <xdr:cNvPr id="18" name="Oval 17">
          <a:extLst>
            <a:ext uri="{FF2B5EF4-FFF2-40B4-BE49-F238E27FC236}">
              <a16:creationId xmlns:a16="http://schemas.microsoft.com/office/drawing/2014/main" id="{6B1358F0-830A-49D5-84A2-C56037DCFC5B}"/>
            </a:ext>
            <a:ext uri="{147F2762-F138-4A5C-976F-8EAC2B608ADB}">
              <a16:predDERef xmlns:a16="http://schemas.microsoft.com/office/drawing/2014/main" pred="{6223CAC9-FAF9-4B61-8771-BD8B8451A801}"/>
            </a:ext>
          </a:extLst>
        </xdr:cNvPr>
        <xdr:cNvSpPr/>
      </xdr:nvSpPr>
      <xdr:spPr>
        <a:xfrm>
          <a:off x="11458575" y="10477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0400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15</xdr:col>
      <xdr:colOff>309563</xdr:colOff>
      <xdr:row>7</xdr:row>
      <xdr:rowOff>9525</xdr:rowOff>
    </xdr:from>
    <xdr:to>
      <xdr:col>19</xdr:col>
      <xdr:colOff>366713</xdr:colOff>
      <xdr:row>13</xdr:row>
      <xdr:rowOff>76200</xdr:rowOff>
    </xdr:to>
    <xdr:cxnSp macro="">
      <xdr:nvCxnSpPr>
        <xdr:cNvPr id="19" name="Straight Connector 18">
          <a:extLst>
            <a:ext uri="{FF2B5EF4-FFF2-40B4-BE49-F238E27FC236}">
              <a16:creationId xmlns:a16="http://schemas.microsoft.com/office/drawing/2014/main" id="{31B67D7C-3584-4B98-AE31-91EFAF56C32E}"/>
            </a:ext>
            <a:ext uri="{147F2762-F138-4A5C-976F-8EAC2B608ADB}">
              <a16:predDERef xmlns:a16="http://schemas.microsoft.com/office/drawing/2014/main" pred="{6223CAC9-FAF9-4B61-8771-BD8B8451A801}"/>
            </a:ext>
          </a:extLst>
        </xdr:cNvPr>
        <xdr:cNvCxnSpPr>
          <a:cxnSpLocks/>
          <a:stCxn id="10" idx="0"/>
          <a:endCxn id="18" idx="4"/>
          <a:extLst>
            <a:ext uri="{5F17804C-33F3-41E3-A699-7DCFA2EF7971}">
              <a16:cxnDERefs xmlns:a16="http://schemas.microsoft.com/office/drawing/2014/main" st="{D1DB2313-618F-49BB-B72B-05EA80946D0B}" end="{6B1358F0-830A-49D5-84A2-C56037DCFC5B}"/>
            </a:ext>
          </a:extLst>
        </xdr:cNvCxnSpPr>
      </xdr:nvCxnSpPr>
      <xdr:spPr>
        <a:xfrm flipV="1">
          <a:off x="9453563" y="1143000"/>
          <a:ext cx="2495550" cy="10382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12</xdr:col>
      <xdr:colOff>304800</xdr:colOff>
      <xdr:row>33</xdr:row>
      <xdr:rowOff>76200</xdr:rowOff>
    </xdr:to>
    <xdr:pic>
      <xdr:nvPicPr>
        <xdr:cNvPr id="2" name="Imagem 1" descr="imagem">
          <a:extLst>
            <a:ext uri="{FF2B5EF4-FFF2-40B4-BE49-F238E27FC236}">
              <a16:creationId xmlns:a16="http://schemas.microsoft.com/office/drawing/2014/main" id="{5E7AA941-6D12-64F4-B317-6AAD9AEAE4E5}"/>
            </a:ext>
          </a:extLst>
        </xdr:cNvPr>
        <xdr:cNvPicPr>
          <a:picLocks noChangeAspect="1"/>
        </xdr:cNvPicPr>
      </xdr:nvPicPr>
      <xdr:blipFill>
        <a:blip xmlns:r="http://schemas.openxmlformats.org/officeDocument/2006/relationships" r:embed="rId1"/>
        <a:stretch>
          <a:fillRect/>
        </a:stretch>
      </xdr:blipFill>
      <xdr:spPr>
        <a:xfrm>
          <a:off x="0" y="219075"/>
          <a:ext cx="7620000" cy="5200650"/>
        </a:xfrm>
        <a:prstGeom prst="rect">
          <a:avLst/>
        </a:prstGeom>
      </xdr:spPr>
    </xdr:pic>
    <xdr:clientData/>
  </xdr:twoCellAnchor>
  <xdr:twoCellAnchor editAs="oneCell">
    <xdr:from>
      <xdr:col>0</xdr:col>
      <xdr:colOff>28575</xdr:colOff>
      <xdr:row>37</xdr:row>
      <xdr:rowOff>47625</xdr:rowOff>
    </xdr:from>
    <xdr:to>
      <xdr:col>12</xdr:col>
      <xdr:colOff>333375</xdr:colOff>
      <xdr:row>84</xdr:row>
      <xdr:rowOff>9525</xdr:rowOff>
    </xdr:to>
    <xdr:pic>
      <xdr:nvPicPr>
        <xdr:cNvPr id="4" name="Imagem 3" descr="imagem">
          <a:extLst>
            <a:ext uri="{FF2B5EF4-FFF2-40B4-BE49-F238E27FC236}">
              <a16:creationId xmlns:a16="http://schemas.microsoft.com/office/drawing/2014/main" id="{09B4C4EA-365D-5FFE-37C1-18560AD504F0}"/>
            </a:ext>
            <a:ext uri="{147F2762-F138-4A5C-976F-8EAC2B608ADB}">
              <a16:predDERef xmlns:a16="http://schemas.microsoft.com/office/drawing/2014/main" pred="{73CD57BE-7F21-2C8D-E8B9-9BB2DF8881B9}"/>
            </a:ext>
          </a:extLst>
        </xdr:cNvPr>
        <xdr:cNvPicPr>
          <a:picLocks noChangeAspect="1"/>
        </xdr:cNvPicPr>
      </xdr:nvPicPr>
      <xdr:blipFill>
        <a:blip xmlns:r="http://schemas.openxmlformats.org/officeDocument/2006/relationships" r:embed="rId2"/>
        <a:stretch>
          <a:fillRect/>
        </a:stretch>
      </xdr:blipFill>
      <xdr:spPr>
        <a:xfrm>
          <a:off x="28575" y="10572750"/>
          <a:ext cx="7620000" cy="7572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387350</xdr:colOff>
      <xdr:row>24</xdr:row>
      <xdr:rowOff>28574</xdr:rowOff>
    </xdr:from>
    <xdr:to>
      <xdr:col>24</xdr:col>
      <xdr:colOff>82550</xdr:colOff>
      <xdr:row>54</xdr:row>
      <xdr:rowOff>114299</xdr:rowOff>
    </xdr:to>
    <xdr:pic>
      <xdr:nvPicPr>
        <xdr:cNvPr id="3" name="Imagem 1">
          <a:extLst>
            <a:ext uri="{FF2B5EF4-FFF2-40B4-BE49-F238E27FC236}">
              <a16:creationId xmlns:a16="http://schemas.microsoft.com/office/drawing/2014/main" id="{678ACC11-F529-1C51-93EF-A1CB348474E6}"/>
            </a:ext>
          </a:extLst>
        </xdr:cNvPr>
        <xdr:cNvPicPr>
          <a:picLocks noChangeAspect="1"/>
        </xdr:cNvPicPr>
      </xdr:nvPicPr>
      <xdr:blipFill>
        <a:blip xmlns:r="http://schemas.openxmlformats.org/officeDocument/2006/relationships" r:embed="rId1"/>
        <a:stretch>
          <a:fillRect/>
        </a:stretch>
      </xdr:blipFill>
      <xdr:spPr>
        <a:xfrm>
          <a:off x="6931025" y="5057774"/>
          <a:ext cx="9410700" cy="637222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995F06CE-AF4A-4683-8479-E4D45A8F315B}">
    <nsvFilter filterId="{00000000-0001-0000-0300-000000000000}" ref="A4:T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638B2ED9-6E50-4D59-97EE-2E893423FAFB}">
    <nsvFilter filterId="{00000000-0001-0000-0400-000000000000}" ref="A4:AI19" tableId="0">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8B1B6788-8D37-4529-8BE8-571DC72111FC}">
    <nsvFilter filterId="{00000000-0001-0000-0800-000000000000}" ref="A4:AI15" tableId="0">
      <columnFilter colId="17">
        <filter colId="17">
          <x:filters>
            <x:filter val="Não Concluído"/>
          </x:filters>
        </filter>
      </columnFilter>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10.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opLeftCell="A3" workbookViewId="0">
      <pane ySplit="1" topLeftCell="A5" activePane="bottomLeft" state="frozen"/>
      <selection pane="bottomLeft" activeCell="E5" sqref="E5"/>
    </sheetView>
  </sheetViews>
  <sheetFormatPr defaultRowHeight="46.5" customHeight="1"/>
  <cols>
    <col min="1" max="1" width="17" customWidth="1"/>
    <col min="2" max="2" width="4.85546875" bestFit="1" customWidth="1"/>
    <col min="4" max="4" width="19.5703125" bestFit="1" customWidth="1"/>
    <col min="5" max="5" width="83.85546875" customWidth="1"/>
    <col min="6" max="6" width="19.140625" bestFit="1" customWidth="1"/>
    <col min="7" max="7" width="20.5703125" customWidth="1"/>
  </cols>
  <sheetData>
    <row r="1" spans="1:14" ht="46.5" customHeight="1">
      <c r="A1" s="828" t="s">
        <v>0</v>
      </c>
      <c r="B1" s="828"/>
      <c r="C1" s="828"/>
      <c r="D1" s="828"/>
      <c r="E1" s="828"/>
      <c r="F1" s="828"/>
      <c r="G1" s="828"/>
      <c r="H1" s="2"/>
      <c r="I1" s="2"/>
      <c r="J1" s="2"/>
      <c r="K1" s="2"/>
      <c r="L1" s="2"/>
      <c r="M1" s="2"/>
      <c r="N1" s="40"/>
    </row>
    <row r="2" spans="1:14" ht="46.5" customHeight="1">
      <c r="A2" s="829" t="s">
        <v>1</v>
      </c>
      <c r="B2" s="830"/>
      <c r="C2" s="830"/>
      <c r="D2" s="830"/>
      <c r="E2" s="830"/>
      <c r="F2" s="830"/>
      <c r="G2" s="831"/>
      <c r="H2" s="2"/>
      <c r="I2" s="832" t="s">
        <v>2</v>
      </c>
      <c r="J2" s="833"/>
      <c r="K2" s="833"/>
      <c r="L2" s="833"/>
      <c r="M2" s="833"/>
      <c r="N2" s="834"/>
    </row>
    <row r="3" spans="1:14" ht="46.5" customHeight="1">
      <c r="A3" s="74" t="s">
        <v>3</v>
      </c>
      <c r="B3" s="75" t="s">
        <v>4</v>
      </c>
      <c r="C3" s="75" t="s">
        <v>5</v>
      </c>
      <c r="D3" s="75" t="s">
        <v>6</v>
      </c>
      <c r="E3" s="75" t="s">
        <v>7</v>
      </c>
      <c r="F3" s="75" t="s">
        <v>8</v>
      </c>
      <c r="G3" s="76" t="s">
        <v>9</v>
      </c>
      <c r="H3" s="2"/>
      <c r="I3" s="63" t="s">
        <v>10</v>
      </c>
      <c r="J3" s="64" t="s">
        <v>11</v>
      </c>
      <c r="K3" s="64" t="s">
        <v>12</v>
      </c>
      <c r="L3" s="64" t="s">
        <v>13</v>
      </c>
      <c r="M3" s="64" t="s">
        <v>14</v>
      </c>
      <c r="N3" s="65" t="s">
        <v>15</v>
      </c>
    </row>
    <row r="4" spans="1:14" ht="46.5" customHeight="1">
      <c r="A4" s="77" t="s">
        <v>16</v>
      </c>
      <c r="B4" s="71" t="s">
        <v>17</v>
      </c>
      <c r="C4" s="42" t="s">
        <v>18</v>
      </c>
      <c r="D4" s="42" t="s">
        <v>19</v>
      </c>
      <c r="E4" s="72" t="s">
        <v>20</v>
      </c>
      <c r="F4" s="41"/>
      <c r="G4" s="66"/>
      <c r="H4" s="2"/>
      <c r="I4" s="58"/>
      <c r="J4" s="18"/>
      <c r="K4" s="18"/>
      <c r="L4" s="18"/>
      <c r="M4" s="18"/>
      <c r="N4" s="59"/>
    </row>
    <row r="5" spans="1:14" ht="66" customHeight="1">
      <c r="A5" s="77" t="s">
        <v>21</v>
      </c>
      <c r="B5" s="71" t="s">
        <v>22</v>
      </c>
      <c r="C5" s="42" t="s">
        <v>18</v>
      </c>
      <c r="D5" s="42" t="s">
        <v>19</v>
      </c>
      <c r="E5" s="69" t="s">
        <v>23</v>
      </c>
      <c r="F5" s="41"/>
      <c r="G5" s="66"/>
      <c r="H5" s="2"/>
      <c r="I5" s="58"/>
      <c r="J5" s="18"/>
      <c r="K5" s="18"/>
      <c r="L5" s="18"/>
      <c r="M5" s="18"/>
      <c r="N5" s="59"/>
    </row>
    <row r="6" spans="1:14" ht="42" customHeight="1">
      <c r="A6" s="77" t="s">
        <v>24</v>
      </c>
      <c r="B6" s="71" t="s">
        <v>25</v>
      </c>
      <c r="C6" s="71" t="s">
        <v>18</v>
      </c>
      <c r="D6" s="71" t="s">
        <v>26</v>
      </c>
      <c r="E6" s="69" t="s">
        <v>27</v>
      </c>
      <c r="F6" s="41"/>
      <c r="G6" s="66"/>
      <c r="H6" s="2"/>
      <c r="I6" s="58"/>
      <c r="J6" s="18"/>
      <c r="K6" s="18"/>
      <c r="L6" s="18"/>
      <c r="M6" s="18"/>
      <c r="N6" s="59"/>
    </row>
    <row r="7" spans="1:14" ht="87" customHeight="1">
      <c r="A7" s="77" t="s">
        <v>28</v>
      </c>
      <c r="B7" s="71" t="s">
        <v>29</v>
      </c>
      <c r="C7" s="71" t="s">
        <v>18</v>
      </c>
      <c r="D7" s="42" t="s">
        <v>19</v>
      </c>
      <c r="E7" s="69" t="s">
        <v>30</v>
      </c>
      <c r="F7" s="41"/>
      <c r="G7" s="66"/>
      <c r="H7" s="2"/>
      <c r="I7" s="58"/>
      <c r="J7" s="18"/>
      <c r="K7" s="18"/>
      <c r="L7" s="18"/>
      <c r="M7" s="18"/>
      <c r="N7" s="59"/>
    </row>
    <row r="8" spans="1:14" ht="83.25" customHeight="1">
      <c r="A8" s="77" t="s">
        <v>31</v>
      </c>
      <c r="B8" s="71" t="s">
        <v>32</v>
      </c>
      <c r="C8" s="71" t="s">
        <v>18</v>
      </c>
      <c r="D8" s="42" t="s">
        <v>19</v>
      </c>
      <c r="E8" s="69" t="s">
        <v>33</v>
      </c>
      <c r="F8" s="41"/>
      <c r="G8" s="66"/>
      <c r="H8" s="2"/>
      <c r="I8" s="58"/>
      <c r="J8" s="18"/>
      <c r="K8" s="18"/>
      <c r="L8" s="18"/>
      <c r="M8" s="18"/>
      <c r="N8" s="59"/>
    </row>
    <row r="9" spans="1:14" ht="66.75" customHeight="1">
      <c r="A9" s="77" t="s">
        <v>34</v>
      </c>
      <c r="B9" s="71" t="s">
        <v>35</v>
      </c>
      <c r="C9" s="71" t="s">
        <v>18</v>
      </c>
      <c r="D9" s="42" t="s">
        <v>19</v>
      </c>
      <c r="E9" s="69" t="s">
        <v>36</v>
      </c>
      <c r="F9" s="41"/>
      <c r="G9" s="66"/>
      <c r="H9" s="2"/>
      <c r="I9" s="60"/>
      <c r="J9" s="61"/>
      <c r="K9" s="61"/>
      <c r="L9" s="61"/>
      <c r="M9" s="61"/>
      <c r="N9" s="62"/>
    </row>
    <row r="10" spans="1:14" ht="81" customHeight="1">
      <c r="A10" s="77" t="s">
        <v>37</v>
      </c>
      <c r="B10" s="71" t="s">
        <v>38</v>
      </c>
      <c r="C10" s="71" t="s">
        <v>18</v>
      </c>
      <c r="D10" s="42" t="s">
        <v>19</v>
      </c>
      <c r="E10" s="69" t="s">
        <v>39</v>
      </c>
      <c r="F10" s="41"/>
      <c r="G10" s="66"/>
      <c r="H10" s="2"/>
      <c r="I10" s="60"/>
      <c r="J10" s="61"/>
      <c r="K10" s="61"/>
      <c r="L10" s="61"/>
      <c r="M10" s="61"/>
      <c r="N10" s="62"/>
    </row>
    <row r="11" spans="1:14" ht="46.5" customHeight="1">
      <c r="A11" s="77" t="s">
        <v>40</v>
      </c>
      <c r="B11" s="71" t="s">
        <v>41</v>
      </c>
      <c r="C11" s="71" t="s">
        <v>18</v>
      </c>
      <c r="D11" s="73" t="s">
        <v>42</v>
      </c>
      <c r="E11" s="69" t="s">
        <v>43</v>
      </c>
      <c r="F11" s="41"/>
      <c r="G11" s="66"/>
      <c r="H11" s="2"/>
      <c r="I11" s="60"/>
      <c r="J11" s="61"/>
      <c r="K11" s="61"/>
      <c r="L11" s="61"/>
      <c r="M11" s="61"/>
      <c r="N11" s="62"/>
    </row>
    <row r="12" spans="1:14" ht="46.5" customHeight="1">
      <c r="A12" s="77" t="s">
        <v>44</v>
      </c>
      <c r="B12" s="71" t="s">
        <v>45</v>
      </c>
      <c r="C12" s="71" t="s">
        <v>46</v>
      </c>
      <c r="D12" s="73" t="s">
        <v>47</v>
      </c>
      <c r="E12" s="69" t="s">
        <v>48</v>
      </c>
      <c r="F12" s="41"/>
      <c r="G12" s="66"/>
      <c r="H12" s="2"/>
      <c r="I12" s="60"/>
      <c r="J12" s="61"/>
      <c r="K12" s="61"/>
      <c r="L12" s="61"/>
      <c r="M12" s="61"/>
      <c r="N12" s="62"/>
    </row>
    <row r="13" spans="1:14" ht="46.5" customHeight="1">
      <c r="A13" s="77" t="s">
        <v>49</v>
      </c>
      <c r="B13" s="71" t="s">
        <v>50</v>
      </c>
      <c r="C13" s="71" t="s">
        <v>18</v>
      </c>
      <c r="D13" s="73" t="s">
        <v>51</v>
      </c>
      <c r="E13" s="69" t="s">
        <v>52</v>
      </c>
      <c r="F13" s="41"/>
      <c r="G13" s="66"/>
      <c r="H13" s="2"/>
      <c r="I13" s="60"/>
      <c r="J13" s="61"/>
      <c r="K13" s="61"/>
      <c r="L13" s="61"/>
      <c r="M13" s="61"/>
      <c r="N13" s="62"/>
    </row>
    <row r="14" spans="1:14" ht="46.5" customHeight="1">
      <c r="A14" s="78" t="s">
        <v>53</v>
      </c>
      <c r="B14" s="79" t="s">
        <v>54</v>
      </c>
      <c r="C14" s="79" t="s">
        <v>55</v>
      </c>
      <c r="D14" s="80" t="s">
        <v>56</v>
      </c>
      <c r="E14" s="81" t="s">
        <v>57</v>
      </c>
      <c r="F14" s="67"/>
      <c r="G14" s="70"/>
      <c r="H14" s="2"/>
      <c r="I14" s="60"/>
      <c r="J14" s="61"/>
      <c r="K14" s="61"/>
      <c r="L14" s="61"/>
      <c r="M14" s="61"/>
      <c r="N14" s="62"/>
    </row>
  </sheetData>
  <mergeCells count="3">
    <mergeCell ref="A1:G1"/>
    <mergeCell ref="A2:G2"/>
    <mergeCell ref="I2:N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AUX!$A$16:$A$17</xm:f>
          </x14:formula1>
          <xm:sqref>J4:J14</xm:sqref>
        </x14:dataValidation>
        <x14:dataValidation type="list" allowBlank="1" showInputMessage="1" showErrorMessage="1" xr:uid="{00000000-0002-0000-0000-000001000000}">
          <x14:formula1>
            <xm:f>AUX!$A$16:$A$18</xm:f>
          </x14:formula1>
          <xm:sqref>I4:I14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3"/>
  <sheetViews>
    <sheetView zoomScale="94" zoomScaleNormal="80" workbookViewId="0">
      <selection activeCell="G19" sqref="G19"/>
    </sheetView>
  </sheetViews>
  <sheetFormatPr defaultColWidth="9.140625" defaultRowHeight="16.5"/>
  <cols>
    <col min="1" max="1" width="1.42578125" style="17" customWidth="1"/>
    <col min="2" max="2" width="21.42578125" style="17" customWidth="1"/>
    <col min="3" max="3" width="6.42578125" style="17" bestFit="1" customWidth="1"/>
    <col min="4" max="5" width="21.42578125" style="17" customWidth="1"/>
    <col min="6" max="6" width="16.85546875" style="123" bestFit="1" customWidth="1"/>
    <col min="7" max="7" width="17.5703125" style="123" bestFit="1" customWidth="1"/>
    <col min="8" max="8" width="19.5703125" style="123" customWidth="1"/>
    <col min="9" max="9" width="7" style="123" bestFit="1" customWidth="1"/>
    <col min="10" max="10" width="8.5703125" style="123" customWidth="1"/>
    <col min="11" max="11" width="9.5703125" style="123" customWidth="1"/>
    <col min="12" max="12" width="7" style="17" bestFit="1" customWidth="1"/>
    <col min="13" max="13" width="3.140625" style="17" customWidth="1"/>
    <col min="14" max="15" width="15" style="123" customWidth="1"/>
    <col min="16" max="16" width="17.5703125" style="123" bestFit="1" customWidth="1"/>
    <col min="17" max="17" width="18.140625" style="17" customWidth="1"/>
    <col min="18" max="18" width="23.85546875" style="17" customWidth="1"/>
    <col min="19" max="16384" width="9.140625" style="17"/>
  </cols>
  <sheetData>
    <row r="1" spans="2:16" s="111" customFormat="1" ht="25.5">
      <c r="B1" s="840" t="s">
        <v>58</v>
      </c>
      <c r="C1" s="840"/>
      <c r="D1" s="840"/>
      <c r="E1" s="840"/>
      <c r="F1" s="840"/>
      <c r="G1" s="840"/>
      <c r="H1" s="840"/>
      <c r="I1" s="840"/>
      <c r="J1" s="840"/>
      <c r="K1" s="840"/>
      <c r="L1" s="840"/>
      <c r="N1" s="841" t="s">
        <v>59</v>
      </c>
      <c r="O1" s="841"/>
      <c r="P1" s="209"/>
    </row>
    <row r="2" spans="2:16" ht="18">
      <c r="B2" s="123"/>
      <c r="D2" s="837" t="s">
        <v>60</v>
      </c>
      <c r="E2" s="838"/>
      <c r="F2" s="838"/>
      <c r="G2" s="838"/>
      <c r="H2" s="839"/>
      <c r="I2" s="17"/>
      <c r="J2" s="835" t="s">
        <v>61</v>
      </c>
      <c r="K2" s="836"/>
      <c r="N2" s="606" t="s">
        <v>60</v>
      </c>
      <c r="O2" s="607" t="s">
        <v>61</v>
      </c>
    </row>
    <row r="3" spans="2:16" s="123" customFormat="1" ht="33" customHeight="1">
      <c r="B3" s="294" t="s">
        <v>62</v>
      </c>
      <c r="C3" s="299" t="s">
        <v>63</v>
      </c>
      <c r="D3" s="552" t="s">
        <v>64</v>
      </c>
      <c r="E3" s="553" t="s">
        <v>65</v>
      </c>
      <c r="F3" s="554" t="s">
        <v>66</v>
      </c>
      <c r="G3" s="554" t="s">
        <v>67</v>
      </c>
      <c r="H3" s="555" t="s">
        <v>68</v>
      </c>
      <c r="I3" s="316" t="s">
        <v>63</v>
      </c>
      <c r="J3" s="308" t="s">
        <v>69</v>
      </c>
      <c r="K3" s="309" t="s">
        <v>70</v>
      </c>
      <c r="L3" s="307" t="s">
        <v>63</v>
      </c>
      <c r="N3" s="608" t="s">
        <v>63</v>
      </c>
      <c r="O3" s="307" t="s">
        <v>63</v>
      </c>
    </row>
    <row r="4" spans="2:16" ht="18">
      <c r="B4" s="295" t="s">
        <v>71</v>
      </c>
      <c r="C4" s="310">
        <f>COUNTA('B01.00'!A5:A10)</f>
        <v>6</v>
      </c>
      <c r="D4" s="292">
        <f>COUNTIF('B01.00'!Q5:Q10,"Campo já existente no LT")</f>
        <v>0</v>
      </c>
      <c r="E4" s="550">
        <f>COUNTIF('B01.00'!Q5:Q10,"Campo já existente no LT - Nova Especificação")</f>
        <v>0</v>
      </c>
      <c r="F4" s="293">
        <f>COUNTIF('B01.00'!Q5:Q10,"Campo novo no LT")</f>
        <v>0</v>
      </c>
      <c r="G4" s="293">
        <f>COUNTIF('B01.00'!Q5:Q10,"Campo via Holístico")</f>
        <v>0</v>
      </c>
      <c r="H4" s="471">
        <f>COUNTIF('B01.00'!Q:Q,"Campo não LT (apenas tabela Output)")</f>
        <v>0</v>
      </c>
      <c r="I4" s="317">
        <f>SUM(D4:H4)</f>
        <v>0</v>
      </c>
      <c r="J4" s="291">
        <f>COUNTIF('B01.00'!Q5:Q10,"Em curso")</f>
        <v>0</v>
      </c>
      <c r="K4" s="298">
        <f>COUNTIF('B01.00'!Q5:Q10,"Por iniciar")</f>
        <v>6</v>
      </c>
      <c r="L4" s="312">
        <f>SUM(J4:K4)</f>
        <v>6</v>
      </c>
      <c r="N4" s="609">
        <f>COUNTIF('B01.00'!R5:R10,"Concluído")</f>
        <v>0</v>
      </c>
      <c r="O4" s="612">
        <f>COUNTIF('B01.00'!R5:R10,"Não Concluído")</f>
        <v>6</v>
      </c>
    </row>
    <row r="5" spans="2:16" ht="18">
      <c r="B5" s="296" t="s">
        <v>72</v>
      </c>
      <c r="C5" s="310">
        <f>COUNTA('B02.00'!A5:A85)</f>
        <v>81</v>
      </c>
      <c r="D5" s="292">
        <f>COUNTIF('B02.00'!Q5:Q85,"Campo já existente no LT")</f>
        <v>9</v>
      </c>
      <c r="E5" s="550">
        <f>COUNTIF('B02.00'!Q5:Q85,"Campo já existente no LT - Nova Especificação")</f>
        <v>1</v>
      </c>
      <c r="F5" s="293">
        <f>COUNTIF('B02.00'!Q5:Q85,"Campo novo no LT")</f>
        <v>15</v>
      </c>
      <c r="G5" s="293">
        <f>COUNTIF('B02.00'!Q5:Q85,"Campo via Holístico")</f>
        <v>0</v>
      </c>
      <c r="H5" s="471">
        <f>COUNTIF('B02.00'!Q:Q,"Campo não LT (apenas tabela Output)")</f>
        <v>56</v>
      </c>
      <c r="I5" s="317">
        <f>SUM(D5:H5)</f>
        <v>81</v>
      </c>
      <c r="J5" s="291">
        <f>COUNTIF('B02.00'!Q5:Q85,"Em curso")</f>
        <v>0</v>
      </c>
      <c r="K5" s="298">
        <f>COUNTIF('B02.00'!Q5:Q85,"Por iniciar")</f>
        <v>0</v>
      </c>
      <c r="L5" s="312">
        <f>SUM(J5:K5)</f>
        <v>0</v>
      </c>
      <c r="M5" s="322"/>
      <c r="N5" s="609">
        <f>COUNTIF('B02.00'!R:R,"Concluído")</f>
        <v>81</v>
      </c>
      <c r="O5" s="612">
        <f>COUNTIF('B02.00'!R:R,"Não Concluído")</f>
        <v>0</v>
      </c>
    </row>
    <row r="6" spans="2:16" ht="18">
      <c r="B6" s="296" t="s">
        <v>73</v>
      </c>
      <c r="C6" s="310">
        <f>COUNTA('B05.00'!A5:A19)</f>
        <v>15</v>
      </c>
      <c r="D6" s="292">
        <f>COUNTIF('B05.00'!Q5:Q19,"Campo já existente no LT")</f>
        <v>3</v>
      </c>
      <c r="E6" s="550">
        <f>COUNTIF('B05.00'!Q5:Q19,"Campo já existente no LT - Nova Especificação")</f>
        <v>0</v>
      </c>
      <c r="F6" s="293">
        <f>COUNTIF('B05.00'!Q5:Q19,"Campo novo no LT")</f>
        <v>1</v>
      </c>
      <c r="G6" s="293">
        <f>COUNTIF('B05.00'!Q5:Q19,"Campo via Holístico")</f>
        <v>0</v>
      </c>
      <c r="H6" s="471">
        <f>COUNTIF('B05.00'!Q:Q,"Campo não LT (apenas tabela Output)")</f>
        <v>11</v>
      </c>
      <c r="I6" s="317">
        <f>SUM(D6:H6)</f>
        <v>15</v>
      </c>
      <c r="J6" s="291">
        <f>COUNTIF('B05.00'!Q5:Q19,"Em curso")</f>
        <v>0</v>
      </c>
      <c r="K6" s="298">
        <f>COUNTIF('B05.00'!Q5:Q19,"Por iniciar")</f>
        <v>0</v>
      </c>
      <c r="L6" s="312">
        <f>SUM(J6:K6)</f>
        <v>0</v>
      </c>
      <c r="N6" s="609">
        <f>COUNTIF('B05.00'!R:R,"Concluído")</f>
        <v>15</v>
      </c>
      <c r="O6" s="612">
        <f>COUNTIF('B05.00'!R:R,"Não Concluído")</f>
        <v>0</v>
      </c>
    </row>
    <row r="7" spans="2:16" ht="18">
      <c r="B7" s="302" t="s">
        <v>74</v>
      </c>
      <c r="C7" s="311">
        <f>COUNTA('B90.00'!A5:A15)</f>
        <v>11</v>
      </c>
      <c r="D7" s="303">
        <f>COUNTIF('B90.00'!Q5:Q15,"Campo já existente no LT")</f>
        <v>4</v>
      </c>
      <c r="E7" s="551">
        <f>COUNTIF('B90.00'!Q5:Q15,"Campo já existente no LT - Nova Especificação")</f>
        <v>0</v>
      </c>
      <c r="F7" s="304">
        <f>COUNTIF('B90.00'!Q5:Q15,"Campo novo no LT")</f>
        <v>2</v>
      </c>
      <c r="G7" s="304">
        <f>COUNTIF('B90.00'!Q5:Q15,"Campo via Holístico")</f>
        <v>0</v>
      </c>
      <c r="H7" s="471">
        <f>COUNTIF('B90.00'!Q5:Q15,"Campo não LT (apenas tabela Output)")</f>
        <v>5</v>
      </c>
      <c r="I7" s="318">
        <f>SUM(D7:H7)</f>
        <v>11</v>
      </c>
      <c r="J7" s="305">
        <f>COUNTIF('B90.00'!Q5:Q15,"Em curso")</f>
        <v>0</v>
      </c>
      <c r="K7" s="306">
        <f>COUNTIF('B90.00'!Q5:Q15,"Por iniciar")</f>
        <v>0</v>
      </c>
      <c r="L7" s="313">
        <f>SUM(J7:K7)</f>
        <v>0</v>
      </c>
      <c r="N7" s="610">
        <f>COUNTIF('B90.00'!R5:R15,"Concluído")</f>
        <v>11</v>
      </c>
      <c r="O7" s="613">
        <f>COUNTIF('B90.00'!R5:R15,"Não Concluído")</f>
        <v>0</v>
      </c>
    </row>
    <row r="8" spans="2:16" s="103" customFormat="1" ht="18">
      <c r="B8" s="300" t="s">
        <v>75</v>
      </c>
      <c r="C8" s="300">
        <f t="shared" ref="C8:H8" si="0">SUM(C4:C7)</f>
        <v>113</v>
      </c>
      <c r="D8" s="740">
        <f t="shared" si="0"/>
        <v>16</v>
      </c>
      <c r="E8" s="741">
        <f t="shared" si="0"/>
        <v>1</v>
      </c>
      <c r="F8" s="742">
        <f t="shared" si="0"/>
        <v>18</v>
      </c>
      <c r="G8" s="742">
        <f t="shared" si="0"/>
        <v>0</v>
      </c>
      <c r="H8" s="743">
        <f t="shared" si="0"/>
        <v>72</v>
      </c>
      <c r="I8" s="319">
        <f>SUM(D8:H8)</f>
        <v>107</v>
      </c>
      <c r="J8" s="314">
        <f>SUM(J4:J7)</f>
        <v>0</v>
      </c>
      <c r="K8" s="315">
        <f>SUM(K4:K7)</f>
        <v>6</v>
      </c>
      <c r="L8" s="301">
        <f>SUM(J8:K8)</f>
        <v>6</v>
      </c>
      <c r="N8" s="611">
        <f>SUM(N4:N7)</f>
        <v>107</v>
      </c>
      <c r="O8" s="614">
        <f>SUM(O4:O7)</f>
        <v>6</v>
      </c>
      <c r="P8" s="297"/>
    </row>
    <row r="9" spans="2:16">
      <c r="B9" s="123" t="s">
        <v>76</v>
      </c>
      <c r="C9" s="123"/>
      <c r="D9" s="123"/>
      <c r="E9" s="123"/>
      <c r="I9" s="448">
        <f>(I8/C8)</f>
        <v>0.94690265486725667</v>
      </c>
      <c r="L9" s="448">
        <f>L8/C8</f>
        <v>5.3097345132743362E-2</v>
      </c>
      <c r="N9" s="448">
        <f>N8/C8</f>
        <v>0.94690265486725667</v>
      </c>
      <c r="O9" s="448">
        <f>O8/C8</f>
        <v>5.3097345132743362E-2</v>
      </c>
    </row>
    <row r="10" spans="2:16">
      <c r="B10" s="123" t="s">
        <v>77</v>
      </c>
      <c r="C10" s="123"/>
      <c r="D10" s="123"/>
      <c r="E10" s="123"/>
      <c r="I10" s="448"/>
      <c r="L10" s="448"/>
      <c r="N10" s="448"/>
      <c r="O10" s="448"/>
    </row>
    <row r="12" spans="2:16">
      <c r="C12" s="17" t="s">
        <v>78</v>
      </c>
    </row>
    <row r="13" spans="2:16">
      <c r="B13" s="17" t="s">
        <v>77</v>
      </c>
    </row>
  </sheetData>
  <mergeCells count="4">
    <mergeCell ref="J2:K2"/>
    <mergeCell ref="D2:H2"/>
    <mergeCell ref="B1:L1"/>
    <mergeCell ref="N1:O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
  <sheetViews>
    <sheetView workbookViewId="0">
      <selection activeCell="E24" sqref="E24"/>
    </sheetView>
  </sheetViews>
  <sheetFormatPr defaultRowHeight="16.5"/>
  <cols>
    <col min="1" max="1" width="21.42578125" customWidth="1"/>
    <col min="2" max="2" width="13.42578125" bestFit="1" customWidth="1"/>
    <col min="3" max="3" width="15.5703125" customWidth="1"/>
    <col min="4" max="4" width="18.85546875" bestFit="1" customWidth="1"/>
    <col min="7" max="7" width="19.85546875" bestFit="1" customWidth="1"/>
    <col min="9" max="9" width="12.42578125" bestFit="1" customWidth="1"/>
    <col min="10" max="10" width="24" bestFit="1" customWidth="1"/>
  </cols>
  <sheetData>
    <row r="1" spans="1:2">
      <c r="A1" t="s">
        <v>79</v>
      </c>
    </row>
    <row r="2" spans="1:2">
      <c r="A2" t="s">
        <v>80</v>
      </c>
    </row>
    <row r="3" spans="1:2">
      <c r="A3" t="s">
        <v>81</v>
      </c>
    </row>
    <row r="4" spans="1:2">
      <c r="A4" t="s">
        <v>82</v>
      </c>
    </row>
    <row r="5" spans="1:2">
      <c r="A5" t="s">
        <v>83</v>
      </c>
    </row>
    <row r="7" spans="1:2">
      <c r="A7" t="s">
        <v>84</v>
      </c>
    </row>
    <row r="8" spans="1:2">
      <c r="A8" t="s">
        <v>85</v>
      </c>
    </row>
    <row r="9" spans="1:2">
      <c r="A9" t="s">
        <v>86</v>
      </c>
    </row>
    <row r="10" spans="1:2">
      <c r="A10" t="s">
        <v>87</v>
      </c>
    </row>
    <row r="13" spans="1:2">
      <c r="A13" s="43" t="s">
        <v>88</v>
      </c>
    </row>
    <row r="14" spans="1:2">
      <c r="A14" s="35" t="s">
        <v>89</v>
      </c>
      <c r="B14" s="36" t="s">
        <v>90</v>
      </c>
    </row>
    <row r="15" spans="1:2">
      <c r="A15" s="37" t="s">
        <v>91</v>
      </c>
      <c r="B15" s="38">
        <v>30000</v>
      </c>
    </row>
    <row r="17" spans="1:6">
      <c r="A17" s="32" t="s">
        <v>92</v>
      </c>
      <c r="B17" s="33"/>
      <c r="C17" s="33"/>
      <c r="D17" s="33"/>
      <c r="E17" s="33"/>
      <c r="F17" s="34"/>
    </row>
    <row r="18" spans="1:6">
      <c r="A18" s="35" t="s">
        <v>89</v>
      </c>
      <c r="B18" s="36" t="s">
        <v>93</v>
      </c>
      <c r="C18" s="36" t="s">
        <v>94</v>
      </c>
      <c r="D18" s="36" t="s">
        <v>90</v>
      </c>
      <c r="E18" s="33"/>
      <c r="F18" s="34"/>
    </row>
    <row r="19" spans="1:6">
      <c r="A19" s="37" t="s">
        <v>91</v>
      </c>
      <c r="B19" s="38" t="s">
        <v>95</v>
      </c>
      <c r="C19" s="38" t="s">
        <v>96</v>
      </c>
      <c r="D19" s="38">
        <v>30000</v>
      </c>
      <c r="E19" s="33"/>
      <c r="F19" s="34"/>
    </row>
    <row r="20" spans="1:6">
      <c r="A20" s="37" t="s">
        <v>91</v>
      </c>
      <c r="B20" s="38">
        <v>123</v>
      </c>
      <c r="C20" s="38" t="s">
        <v>97</v>
      </c>
      <c r="D20" s="38">
        <v>30000</v>
      </c>
      <c r="E20" s="33"/>
      <c r="F20" s="34"/>
    </row>
    <row r="21" spans="1:6">
      <c r="A21" s="37" t="s">
        <v>91</v>
      </c>
      <c r="B21" s="38">
        <v>1234</v>
      </c>
      <c r="C21" s="38" t="s">
        <v>98</v>
      </c>
      <c r="D21" s="38">
        <v>30000</v>
      </c>
      <c r="E21" s="33"/>
      <c r="F21" s="34"/>
    </row>
    <row r="22" spans="1:6">
      <c r="A22" s="33"/>
      <c r="B22" s="33"/>
      <c r="C22" s="33"/>
      <c r="D22" s="33"/>
      <c r="E22" s="33"/>
      <c r="F22" s="34"/>
    </row>
    <row r="23" spans="1:6">
      <c r="A23" s="32" t="s">
        <v>99</v>
      </c>
      <c r="B23" s="33"/>
      <c r="C23" s="33"/>
      <c r="D23" s="33"/>
      <c r="E23" s="33"/>
      <c r="F23" s="34"/>
    </row>
    <row r="24" spans="1:6">
      <c r="A24" s="35" t="s">
        <v>89</v>
      </c>
      <c r="B24" s="36" t="s">
        <v>93</v>
      </c>
      <c r="C24" s="36" t="s">
        <v>94</v>
      </c>
      <c r="D24" s="36" t="s">
        <v>90</v>
      </c>
      <c r="E24" s="33"/>
      <c r="F24" s="34"/>
    </row>
    <row r="25" spans="1:6">
      <c r="A25" s="37" t="s">
        <v>91</v>
      </c>
      <c r="B25" s="38" t="s">
        <v>100</v>
      </c>
      <c r="C25" s="38" t="s">
        <v>101</v>
      </c>
      <c r="D25" s="38" t="s">
        <v>102</v>
      </c>
      <c r="E25" s="33"/>
      <c r="F25" s="34"/>
    </row>
    <row r="26" spans="1:6">
      <c r="A26" s="33"/>
      <c r="B26" s="33"/>
      <c r="C26" s="33"/>
      <c r="D26" s="33"/>
      <c r="E26" s="33"/>
      <c r="F26" s="34"/>
    </row>
    <row r="27" spans="1:6">
      <c r="A27" s="33" t="s">
        <v>103</v>
      </c>
      <c r="B27" s="33"/>
      <c r="C27" s="33"/>
      <c r="D27" s="33"/>
      <c r="E27" s="33"/>
      <c r="F27" s="34"/>
    </row>
    <row r="28" spans="1:6">
      <c r="A28" s="35" t="s">
        <v>89</v>
      </c>
      <c r="B28" s="36" t="s">
        <v>93</v>
      </c>
      <c r="C28" s="36" t="s">
        <v>94</v>
      </c>
      <c r="D28" s="36" t="s">
        <v>90</v>
      </c>
      <c r="E28" s="33"/>
      <c r="F28" s="34"/>
    </row>
    <row r="29" spans="1:6">
      <c r="A29" s="37" t="s">
        <v>91</v>
      </c>
      <c r="B29" s="38">
        <v>123</v>
      </c>
      <c r="C29" s="38" t="s">
        <v>96</v>
      </c>
      <c r="D29" s="38" t="s">
        <v>104</v>
      </c>
      <c r="E29" s="33"/>
      <c r="F29" s="34"/>
    </row>
    <row r="30" spans="1:6">
      <c r="A30" s="37" t="s">
        <v>91</v>
      </c>
      <c r="B30" s="38">
        <v>123</v>
      </c>
      <c r="C30" s="38" t="s">
        <v>97</v>
      </c>
      <c r="D30" s="38" t="s">
        <v>104</v>
      </c>
    </row>
    <row r="31" spans="1:6">
      <c r="A31" s="37" t="s">
        <v>91</v>
      </c>
      <c r="B31" s="38">
        <v>1234</v>
      </c>
      <c r="C31" s="38" t="s">
        <v>98</v>
      </c>
      <c r="D31" s="38" t="s">
        <v>104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election activeCell="C2" sqref="C2"/>
    </sheetView>
  </sheetViews>
  <sheetFormatPr defaultColWidth="9" defaultRowHeight="16.5"/>
  <cols>
    <col min="1" max="1" width="9" style="3"/>
    <col min="2" max="2" width="94.85546875" style="3" bestFit="1" customWidth="1"/>
    <col min="3" max="3" width="29.85546875" style="3" bestFit="1" customWidth="1"/>
    <col min="4" max="16384" width="9" style="3"/>
  </cols>
  <sheetData>
    <row r="1" spans="1:3" ht="17.100000000000001" thickBot="1">
      <c r="A1" s="1" t="s">
        <v>105</v>
      </c>
      <c r="B1" s="1" t="s">
        <v>106</v>
      </c>
      <c r="C1" s="1" t="s">
        <v>107</v>
      </c>
    </row>
    <row r="2" spans="1:3" ht="33">
      <c r="A2" s="3">
        <v>1</v>
      </c>
      <c r="B2" s="2" t="s">
        <v>108</v>
      </c>
      <c r="C2" s="3" t="s">
        <v>109</v>
      </c>
    </row>
    <row r="3" spans="1:3" ht="33">
      <c r="A3" s="3">
        <f>+A2+1</f>
        <v>2</v>
      </c>
      <c r="B3" s="2" t="s">
        <v>110</v>
      </c>
      <c r="C3" s="3" t="s">
        <v>109</v>
      </c>
    </row>
    <row r="4" spans="1:3">
      <c r="A4" s="3">
        <f>+A3+1</f>
        <v>3</v>
      </c>
      <c r="B4" s="3" t="s">
        <v>111</v>
      </c>
      <c r="C4" s="3" t="s">
        <v>112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
  <sheetViews>
    <sheetView workbookViewId="0">
      <selection activeCell="U16" sqref="U16"/>
    </sheetView>
  </sheetViews>
  <sheetFormatPr defaultColWidth="9.140625" defaultRowHeight="16.5"/>
  <cols>
    <col min="1" max="16384" width="9.140625" style="17"/>
  </cols>
  <sheetData>
    <row r="3" spans="1:1">
      <c r="A3" s="16" t="b">
        <v>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lha1"/>
  <dimension ref="A1:AH12"/>
  <sheetViews>
    <sheetView showGridLines="0" zoomScale="85" zoomScaleNormal="85" workbookViewId="0">
      <pane xSplit="5" ySplit="4" topLeftCell="F6" activePane="bottomRight" state="frozen"/>
      <selection pane="bottomRight" activeCell="E7" sqref="E7"/>
      <selection pane="bottomLeft"/>
      <selection pane="topRight"/>
    </sheetView>
  </sheetViews>
  <sheetFormatPr defaultColWidth="18.42578125" defaultRowHeight="12.75" customHeight="1"/>
  <cols>
    <col min="1" max="1" width="11.5703125" style="39" customWidth="1"/>
    <col min="2" max="2" width="5" style="39" customWidth="1"/>
    <col min="3" max="3" width="5.5703125" style="39" customWidth="1"/>
    <col min="4" max="4" width="10.42578125" style="39" customWidth="1"/>
    <col min="5" max="5" width="70.140625" style="39" customWidth="1"/>
    <col min="6" max="6" width="10" style="2" customWidth="1"/>
    <col min="7" max="7" width="9.5703125" style="2" customWidth="1"/>
    <col min="8" max="8" width="2.42578125" style="2" customWidth="1"/>
    <col min="9" max="9" width="7" style="40" customWidth="1"/>
    <col min="10" max="10" width="15.42578125" style="40" customWidth="1"/>
    <col min="11" max="12" width="12.140625" style="40" customWidth="1"/>
    <col min="13" max="13" width="24" style="2" customWidth="1"/>
    <col min="14" max="14" width="28.85546875" style="2" customWidth="1"/>
    <col min="15" max="16" width="51.42578125" style="2" customWidth="1"/>
    <col min="17" max="18" width="16.5703125" style="40" customWidth="1"/>
    <col min="19" max="19" width="15.42578125" style="2" hidden="1" customWidth="1"/>
    <col min="20" max="20" width="13.85546875" style="2" hidden="1" customWidth="1"/>
    <col min="21" max="21" width="12.5703125" style="2" hidden="1" customWidth="1"/>
    <col min="22" max="22" width="15.42578125" style="2" hidden="1" customWidth="1"/>
    <col min="23" max="23" width="19.85546875" style="2" hidden="1" customWidth="1"/>
    <col min="24" max="24" width="7.5703125" style="2" hidden="1" customWidth="1"/>
    <col min="25" max="25" width="7" style="2" hidden="1" customWidth="1"/>
    <col min="26" max="26" width="10.42578125" style="2" hidden="1" customWidth="1"/>
    <col min="27" max="27" width="8.42578125" style="2" hidden="1" customWidth="1"/>
    <col min="28" max="28" width="7.140625" style="2" hidden="1" customWidth="1"/>
    <col min="29" max="29" width="6.85546875" style="2" hidden="1" customWidth="1"/>
    <col min="30" max="30" width="9" style="2" hidden="1" customWidth="1"/>
    <col min="31" max="31" width="9.5703125" style="2" hidden="1" customWidth="1"/>
    <col min="32" max="32" width="7.42578125" style="2" hidden="1" customWidth="1"/>
    <col min="33" max="33" width="8.5703125" style="2" hidden="1" customWidth="1"/>
    <col min="34" max="34" width="16.140625" style="2" hidden="1" customWidth="1"/>
    <col min="35" max="35" width="18.42578125" style="2" customWidth="1"/>
    <col min="36" max="16384" width="18.42578125" style="2"/>
  </cols>
  <sheetData>
    <row r="1" spans="1:34" ht="19.5" customHeight="1">
      <c r="A1" s="828" t="s">
        <v>0</v>
      </c>
      <c r="B1" s="828"/>
      <c r="C1" s="828"/>
      <c r="D1" s="828"/>
      <c r="E1" s="828"/>
      <c r="F1" s="828"/>
      <c r="G1" s="828"/>
      <c r="H1" s="828"/>
      <c r="I1" s="828"/>
      <c r="J1" s="828"/>
      <c r="K1" s="828"/>
      <c r="L1" s="828"/>
      <c r="M1" s="828"/>
      <c r="N1" s="828"/>
      <c r="O1" s="828"/>
      <c r="P1" s="828"/>
      <c r="Q1" s="828"/>
      <c r="R1" s="828"/>
      <c r="S1" s="828"/>
      <c r="T1" s="828"/>
      <c r="U1" s="828"/>
      <c r="V1" s="828"/>
      <c r="W1" s="214"/>
      <c r="X1" s="214"/>
      <c r="Y1" s="214"/>
      <c r="Z1" s="214"/>
      <c r="AA1" s="214"/>
      <c r="AB1" s="214"/>
      <c r="AC1" s="214"/>
      <c r="AD1" s="214"/>
      <c r="AE1" s="214"/>
    </row>
    <row r="2" spans="1:34" ht="18" customHeight="1">
      <c r="A2" s="811" t="s">
        <v>113</v>
      </c>
      <c r="B2" s="812"/>
      <c r="C2" s="812"/>
      <c r="D2" s="812"/>
      <c r="E2" s="812"/>
      <c r="F2" s="812"/>
      <c r="G2" s="846"/>
      <c r="H2" s="232"/>
      <c r="I2" s="843" t="s">
        <v>114</v>
      </c>
      <c r="J2" s="844"/>
      <c r="K2" s="844"/>
      <c r="L2" s="844"/>
      <c r="M2" s="844"/>
      <c r="N2" s="844"/>
      <c r="O2" s="844"/>
      <c r="P2" s="845"/>
      <c r="Q2" s="2"/>
      <c r="R2" s="2"/>
      <c r="S2" s="847" t="s">
        <v>115</v>
      </c>
      <c r="T2" s="847"/>
      <c r="U2" s="847"/>
      <c r="V2" s="847"/>
      <c r="W2" s="847"/>
      <c r="X2" s="847"/>
      <c r="Y2" s="847"/>
      <c r="Z2" s="847"/>
      <c r="AA2" s="847"/>
      <c r="AB2" s="847"/>
      <c r="AC2" s="847"/>
      <c r="AD2" s="847"/>
      <c r="AE2" s="847"/>
      <c r="AF2" s="847"/>
      <c r="AG2" s="847"/>
      <c r="AH2" s="219"/>
    </row>
    <row r="3" spans="1:34" ht="18" customHeight="1">
      <c r="A3" s="350"/>
      <c r="B3" s="351"/>
      <c r="C3" s="351"/>
      <c r="D3" s="351"/>
      <c r="E3" s="351"/>
      <c r="F3" s="351"/>
      <c r="G3" s="352"/>
      <c r="H3" s="232"/>
      <c r="I3" s="820" t="s">
        <v>116</v>
      </c>
      <c r="J3" s="821"/>
      <c r="K3" s="848"/>
      <c r="L3" s="848"/>
      <c r="M3" s="848"/>
      <c r="N3" s="849" t="s">
        <v>117</v>
      </c>
      <c r="O3" s="819"/>
      <c r="P3" s="850" t="s">
        <v>118</v>
      </c>
      <c r="Q3" s="852" t="s">
        <v>119</v>
      </c>
      <c r="R3" s="842" t="s">
        <v>120</v>
      </c>
      <c r="S3" s="368"/>
      <c r="T3" s="368"/>
      <c r="U3" s="368"/>
      <c r="V3" s="368"/>
      <c r="W3" s="368"/>
      <c r="X3" s="368"/>
      <c r="Y3" s="368"/>
      <c r="Z3" s="368"/>
      <c r="AA3" s="368"/>
      <c r="AB3" s="368"/>
      <c r="AC3" s="368"/>
      <c r="AD3" s="368"/>
      <c r="AE3" s="368"/>
      <c r="AF3" s="368"/>
      <c r="AG3" s="368"/>
      <c r="AH3" s="369"/>
    </row>
    <row r="4" spans="1:34" ht="57" customHeight="1">
      <c r="A4" s="221" t="s">
        <v>3</v>
      </c>
      <c r="B4" s="222" t="s">
        <v>4</v>
      </c>
      <c r="C4" s="222" t="s">
        <v>5</v>
      </c>
      <c r="D4" s="222" t="s">
        <v>121</v>
      </c>
      <c r="E4" s="222" t="s">
        <v>7</v>
      </c>
      <c r="F4" s="251" t="s">
        <v>8</v>
      </c>
      <c r="G4" s="256" t="s">
        <v>9</v>
      </c>
      <c r="H4" s="277"/>
      <c r="I4" s="526" t="s">
        <v>122</v>
      </c>
      <c r="J4" s="527" t="s">
        <v>123</v>
      </c>
      <c r="K4" s="527" t="s">
        <v>124</v>
      </c>
      <c r="L4" s="527" t="s">
        <v>125</v>
      </c>
      <c r="M4" s="670" t="s">
        <v>126</v>
      </c>
      <c r="N4" s="654" t="s">
        <v>123</v>
      </c>
      <c r="O4" s="641" t="s">
        <v>126</v>
      </c>
      <c r="P4" s="851"/>
      <c r="Q4" s="852"/>
      <c r="R4" s="842"/>
      <c r="S4" s="215" t="s">
        <v>127</v>
      </c>
      <c r="T4" s="215" t="s">
        <v>128</v>
      </c>
      <c r="U4" s="215" t="s">
        <v>129</v>
      </c>
      <c r="V4" s="216" t="s">
        <v>130</v>
      </c>
      <c r="W4" s="216" t="s">
        <v>131</v>
      </c>
      <c r="X4" s="216" t="s">
        <v>132</v>
      </c>
      <c r="Y4" s="216" t="s">
        <v>133</v>
      </c>
      <c r="Z4" s="216" t="s">
        <v>134</v>
      </c>
      <c r="AA4" s="216" t="s">
        <v>135</v>
      </c>
      <c r="AB4" s="216" t="s">
        <v>136</v>
      </c>
      <c r="AC4" s="216" t="s">
        <v>137</v>
      </c>
      <c r="AD4" s="216" t="s">
        <v>138</v>
      </c>
      <c r="AE4" s="216" t="s">
        <v>139</v>
      </c>
      <c r="AF4" s="216" t="s">
        <v>140</v>
      </c>
      <c r="AG4" s="217" t="s">
        <v>141</v>
      </c>
      <c r="AH4" s="132" t="s">
        <v>142</v>
      </c>
    </row>
    <row r="5" spans="1:34" ht="142.5" customHeight="1">
      <c r="A5" s="268" t="s">
        <v>143</v>
      </c>
      <c r="B5" s="269" t="s">
        <v>17</v>
      </c>
      <c r="C5" s="270" t="s">
        <v>55</v>
      </c>
      <c r="D5" s="270" t="s">
        <v>144</v>
      </c>
      <c r="E5" s="271" t="s">
        <v>145</v>
      </c>
      <c r="F5" s="41"/>
      <c r="G5" s="66"/>
      <c r="H5" s="17"/>
      <c r="I5" s="524" t="s">
        <v>146</v>
      </c>
      <c r="J5" s="530"/>
      <c r="K5" s="525"/>
      <c r="L5" s="525"/>
      <c r="M5" s="649"/>
      <c r="N5" s="357" t="s">
        <v>147</v>
      </c>
      <c r="O5" s="370" t="s">
        <v>148</v>
      </c>
      <c r="P5" s="645"/>
      <c r="Q5" s="367" t="s">
        <v>70</v>
      </c>
      <c r="R5" s="252" t="s">
        <v>149</v>
      </c>
      <c r="S5" s="205"/>
      <c r="T5" s="205"/>
      <c r="U5" s="205"/>
      <c r="V5" s="98"/>
      <c r="W5" s="98"/>
      <c r="X5" s="98">
        <v>1</v>
      </c>
      <c r="Y5" s="98" t="s">
        <v>17</v>
      </c>
      <c r="Z5" s="98" t="s">
        <v>150</v>
      </c>
      <c r="AA5" s="108"/>
      <c r="AB5" s="108"/>
      <c r="AC5" s="98" t="s">
        <v>151</v>
      </c>
      <c r="AD5" s="98"/>
      <c r="AE5" s="98" t="s">
        <v>152</v>
      </c>
      <c r="AF5" s="108"/>
      <c r="AG5" s="218" t="s">
        <v>153</v>
      </c>
      <c r="AH5" s="118" t="s">
        <v>154</v>
      </c>
    </row>
    <row r="6" spans="1:34" ht="74.25" customHeight="1">
      <c r="A6" s="268" t="s">
        <v>155</v>
      </c>
      <c r="B6" s="269" t="s">
        <v>22</v>
      </c>
      <c r="C6" s="270" t="s">
        <v>18</v>
      </c>
      <c r="D6" s="270" t="s">
        <v>19</v>
      </c>
      <c r="E6" s="271" t="s">
        <v>156</v>
      </c>
      <c r="F6" s="41"/>
      <c r="G6" s="66"/>
      <c r="H6" s="17"/>
      <c r="I6" s="254" t="s">
        <v>146</v>
      </c>
      <c r="J6" s="252"/>
      <c r="K6" s="521"/>
      <c r="L6" s="521"/>
      <c r="M6" s="642"/>
      <c r="N6" s="647" t="s">
        <v>157</v>
      </c>
      <c r="O6" s="371" t="s">
        <v>158</v>
      </c>
      <c r="P6" s="651"/>
      <c r="Q6" s="367" t="s">
        <v>70</v>
      </c>
      <c r="R6" s="252" t="s">
        <v>149</v>
      </c>
      <c r="S6" s="208" t="s">
        <v>159</v>
      </c>
      <c r="T6" s="208" t="s">
        <v>160</v>
      </c>
      <c r="U6" s="208" t="s">
        <v>161</v>
      </c>
      <c r="V6" s="98" t="s">
        <v>159</v>
      </c>
      <c r="W6" s="744" t="s">
        <v>162</v>
      </c>
      <c r="X6" s="98" t="s">
        <v>163</v>
      </c>
      <c r="Y6" s="98" t="s">
        <v>22</v>
      </c>
      <c r="Z6" s="98" t="s">
        <v>164</v>
      </c>
      <c r="AA6" s="108"/>
      <c r="AB6" s="108"/>
      <c r="AC6" s="98" t="s">
        <v>151</v>
      </c>
      <c r="AD6" s="98"/>
      <c r="AE6" s="98" t="s">
        <v>152</v>
      </c>
      <c r="AF6" s="108"/>
      <c r="AG6" s="218" t="s">
        <v>153</v>
      </c>
      <c r="AH6" s="118" t="s">
        <v>154</v>
      </c>
    </row>
    <row r="7" spans="1:34" ht="293.25" customHeight="1">
      <c r="A7" s="268" t="s">
        <v>165</v>
      </c>
      <c r="B7" s="269" t="s">
        <v>25</v>
      </c>
      <c r="C7" s="269" t="s">
        <v>18</v>
      </c>
      <c r="D7" s="269" t="s">
        <v>42</v>
      </c>
      <c r="E7" s="271" t="s">
        <v>166</v>
      </c>
      <c r="F7" s="41"/>
      <c r="G7" s="66"/>
      <c r="H7" s="17"/>
      <c r="I7" s="254" t="s">
        <v>146</v>
      </c>
      <c r="J7" s="252"/>
      <c r="K7" s="521"/>
      <c r="L7" s="521"/>
      <c r="M7" s="642"/>
      <c r="N7" s="647" t="s">
        <v>167</v>
      </c>
      <c r="O7" s="371" t="s">
        <v>168</v>
      </c>
      <c r="P7" s="651"/>
      <c r="Q7" s="367" t="s">
        <v>70</v>
      </c>
      <c r="R7" s="252" t="s">
        <v>149</v>
      </c>
      <c r="S7" s="208" t="s">
        <v>159</v>
      </c>
      <c r="T7" s="208" t="s">
        <v>160</v>
      </c>
      <c r="U7" s="208" t="s">
        <v>161</v>
      </c>
      <c r="V7" s="98" t="s">
        <v>159</v>
      </c>
      <c r="W7" s="744" t="s">
        <v>169</v>
      </c>
      <c r="X7" s="98" t="s">
        <v>170</v>
      </c>
      <c r="Y7" s="98" t="s">
        <v>25</v>
      </c>
      <c r="Z7" s="98" t="s">
        <v>164</v>
      </c>
      <c r="AA7" s="108"/>
      <c r="AB7" s="108"/>
      <c r="AC7" s="98" t="s">
        <v>151</v>
      </c>
      <c r="AD7" s="98"/>
      <c r="AE7" s="98" t="s">
        <v>152</v>
      </c>
      <c r="AF7" s="108"/>
      <c r="AG7" s="218" t="s">
        <v>153</v>
      </c>
      <c r="AH7" s="118" t="s">
        <v>154</v>
      </c>
    </row>
    <row r="8" spans="1:34" ht="102" customHeight="1">
      <c r="A8" s="268" t="s">
        <v>171</v>
      </c>
      <c r="B8" s="269" t="s">
        <v>29</v>
      </c>
      <c r="C8" s="269" t="s">
        <v>18</v>
      </c>
      <c r="D8" s="269" t="s">
        <v>42</v>
      </c>
      <c r="E8" s="271" t="s">
        <v>172</v>
      </c>
      <c r="F8" s="41"/>
      <c r="G8" s="66"/>
      <c r="H8" s="17"/>
      <c r="I8" s="254" t="s">
        <v>146</v>
      </c>
      <c r="J8" s="252"/>
      <c r="K8" s="521"/>
      <c r="L8" s="521"/>
      <c r="M8" s="265"/>
      <c r="N8" s="647" t="s">
        <v>173</v>
      </c>
      <c r="O8" s="370" t="s">
        <v>174</v>
      </c>
      <c r="P8" s="645"/>
      <c r="Q8" s="367" t="s">
        <v>70</v>
      </c>
      <c r="R8" s="252" t="s">
        <v>149</v>
      </c>
      <c r="S8" s="208" t="s">
        <v>159</v>
      </c>
      <c r="T8" s="208" t="s">
        <v>160</v>
      </c>
      <c r="U8" s="208" t="s">
        <v>161</v>
      </c>
      <c r="V8" s="98" t="s">
        <v>159</v>
      </c>
      <c r="W8" s="744" t="s">
        <v>175</v>
      </c>
      <c r="X8" s="98" t="s">
        <v>176</v>
      </c>
      <c r="Y8" s="98" t="s">
        <v>29</v>
      </c>
      <c r="Z8" s="98" t="s">
        <v>164</v>
      </c>
      <c r="AA8" s="108"/>
      <c r="AB8" s="108"/>
      <c r="AC8" s="98" t="s">
        <v>151</v>
      </c>
      <c r="AD8" s="98"/>
      <c r="AE8" s="98" t="s">
        <v>152</v>
      </c>
      <c r="AF8" s="108"/>
      <c r="AG8" s="218" t="s">
        <v>153</v>
      </c>
      <c r="AH8" s="118" t="s">
        <v>154</v>
      </c>
    </row>
    <row r="9" spans="1:34" ht="99" customHeight="1">
      <c r="A9" s="268" t="s">
        <v>177</v>
      </c>
      <c r="B9" s="269" t="s">
        <v>35</v>
      </c>
      <c r="C9" s="269" t="s">
        <v>55</v>
      </c>
      <c r="D9" s="272" t="s">
        <v>178</v>
      </c>
      <c r="E9" s="271" t="s">
        <v>179</v>
      </c>
      <c r="F9" s="200" t="s">
        <v>180</v>
      </c>
      <c r="G9" s="66"/>
      <c r="H9" s="17"/>
      <c r="I9" s="524" t="s">
        <v>146</v>
      </c>
      <c r="J9" s="252"/>
      <c r="K9" s="521"/>
      <c r="L9" s="521"/>
      <c r="M9" s="643"/>
      <c r="N9" s="647" t="s">
        <v>181</v>
      </c>
      <c r="O9" s="372" t="s">
        <v>182</v>
      </c>
      <c r="P9" s="652"/>
      <c r="Q9" s="367" t="s">
        <v>70</v>
      </c>
      <c r="R9" s="252" t="s">
        <v>149</v>
      </c>
      <c r="S9" s="208" t="s">
        <v>159</v>
      </c>
      <c r="T9" s="208" t="s">
        <v>160</v>
      </c>
      <c r="U9" s="208" t="s">
        <v>161</v>
      </c>
      <c r="V9" s="744" t="s">
        <v>183</v>
      </c>
      <c r="W9" s="131" t="s">
        <v>184</v>
      </c>
      <c r="X9" s="98" t="s">
        <v>185</v>
      </c>
      <c r="Y9" s="98" t="s">
        <v>35</v>
      </c>
      <c r="Z9" s="98" t="s">
        <v>186</v>
      </c>
      <c r="AA9" s="108"/>
      <c r="AB9" s="108"/>
      <c r="AC9" s="98" t="s">
        <v>151</v>
      </c>
      <c r="AD9" s="98"/>
      <c r="AE9" s="98" t="s">
        <v>152</v>
      </c>
      <c r="AF9" s="108"/>
      <c r="AG9" s="218" t="s">
        <v>153</v>
      </c>
      <c r="AH9" s="118" t="s">
        <v>154</v>
      </c>
    </row>
    <row r="10" spans="1:34" ht="60.75" customHeight="1">
      <c r="A10" s="273" t="s">
        <v>187</v>
      </c>
      <c r="B10" s="274" t="s">
        <v>41</v>
      </c>
      <c r="C10" s="274" t="s">
        <v>55</v>
      </c>
      <c r="D10" s="275" t="s">
        <v>178</v>
      </c>
      <c r="E10" s="276" t="s">
        <v>188</v>
      </c>
      <c r="F10" s="67"/>
      <c r="G10" s="70"/>
      <c r="H10" s="17"/>
      <c r="I10" s="255" t="s">
        <v>146</v>
      </c>
      <c r="J10" s="356"/>
      <c r="K10" s="531"/>
      <c r="L10" s="531"/>
      <c r="M10" s="644"/>
      <c r="N10" s="648" t="s">
        <v>189</v>
      </c>
      <c r="O10" s="373" t="s">
        <v>190</v>
      </c>
      <c r="P10" s="653"/>
      <c r="Q10" s="367" t="s">
        <v>70</v>
      </c>
      <c r="R10" s="252" t="s">
        <v>149</v>
      </c>
      <c r="S10" s="208" t="s">
        <v>159</v>
      </c>
      <c r="T10" s="208" t="s">
        <v>160</v>
      </c>
      <c r="U10" s="208" t="s">
        <v>161</v>
      </c>
      <c r="V10" s="745" t="s">
        <v>183</v>
      </c>
      <c r="W10" s="746" t="s">
        <v>191</v>
      </c>
      <c r="X10" s="134" t="s">
        <v>192</v>
      </c>
      <c r="Y10" s="134" t="s">
        <v>41</v>
      </c>
      <c r="Z10" s="134" t="s">
        <v>186</v>
      </c>
      <c r="AA10" s="135"/>
      <c r="AB10" s="135"/>
      <c r="AC10" s="134" t="s">
        <v>151</v>
      </c>
      <c r="AD10" s="134"/>
      <c r="AE10" s="134" t="s">
        <v>152</v>
      </c>
      <c r="AF10" s="135"/>
      <c r="AG10" s="218" t="s">
        <v>153</v>
      </c>
      <c r="AH10" s="118" t="s">
        <v>154</v>
      </c>
    </row>
    <row r="11" spans="1:34" ht="60.75" customHeight="1">
      <c r="I11" s="6"/>
      <c r="J11" s="6"/>
      <c r="K11" s="6"/>
      <c r="L11" s="6"/>
    </row>
    <row r="12" spans="1:34" ht="60.75" customHeight="1"/>
  </sheetData>
  <mergeCells count="9">
    <mergeCell ref="R3:R4"/>
    <mergeCell ref="I2:P2"/>
    <mergeCell ref="A2:G2"/>
    <mergeCell ref="S2:AG2"/>
    <mergeCell ref="A1:V1"/>
    <mergeCell ref="I3:M3"/>
    <mergeCell ref="N3:O3"/>
    <mergeCell ref="P3:P4"/>
    <mergeCell ref="Q3:Q4"/>
  </mergeCells>
  <dataValidations count="1">
    <dataValidation allowBlank="1" showInputMessage="1" showErrorMessage="1" sqref="J5:L10" xr:uid="{2CBA1C0E-0977-4765-8FEC-B574CB54E90C}"/>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AUX!$A$16:$A$17</xm:f>
          </x14:formula1>
          <xm:sqref>I5:I10</xm:sqref>
        </x14:dataValidation>
        <x14:dataValidation type="list" allowBlank="1" showInputMessage="1" showErrorMessage="1" xr:uid="{3662FC9A-FE4C-4B4D-A81C-F937F29DD18D}">
          <x14:formula1>
            <xm:f>AUX!$A$3:$A$15</xm:f>
          </x14:formula1>
          <xm:sqref>AH5:AH10 Q5:Q10</xm:sqref>
        </x14:dataValidation>
        <x14:dataValidation type="list" allowBlank="1" showInputMessage="1" showErrorMessage="1" xr:uid="{7AB02D8B-E1CE-4840-B374-B73D003CB0F5}">
          <x14:formula1>
            <xm:f>AUX!$D$2:$D$3</xm:f>
          </x14:formula1>
          <xm:sqref>R5:R10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951CC-7EA7-46ED-8758-A00D9AC8FCF9}">
  <dimension ref="A1:H13"/>
  <sheetViews>
    <sheetView workbookViewId="0">
      <selection activeCell="I6" sqref="I6"/>
    </sheetView>
  </sheetViews>
  <sheetFormatPr defaultColWidth="23" defaultRowHeight="16.5"/>
  <cols>
    <col min="1" max="1" width="16.5703125" customWidth="1"/>
    <col min="2" max="2" width="8.140625" bestFit="1" customWidth="1"/>
    <col min="3" max="3" width="8.5703125" customWidth="1"/>
    <col min="4" max="4" width="7.42578125" bestFit="1" customWidth="1"/>
    <col min="5" max="5" width="8.5703125" bestFit="1" customWidth="1"/>
    <col min="6" max="6" width="16.5703125" bestFit="1" customWidth="1"/>
    <col min="7" max="7" width="9.85546875" customWidth="1"/>
    <col min="8" max="8" width="16.5703125" bestFit="1" customWidth="1"/>
    <col min="9" max="9" width="70.140625" bestFit="1" customWidth="1"/>
  </cols>
  <sheetData>
    <row r="1" spans="1:8" ht="12.75" customHeight="1">
      <c r="A1" s="853" t="s">
        <v>193</v>
      </c>
      <c r="B1" s="853"/>
      <c r="C1" s="853"/>
      <c r="D1" s="853"/>
      <c r="E1" s="853"/>
      <c r="F1" s="853"/>
      <c r="G1" s="853"/>
      <c r="H1" s="853"/>
    </row>
    <row r="2" spans="1:8">
      <c r="A2" s="110" t="s">
        <v>160</v>
      </c>
      <c r="B2" s="110" t="s">
        <v>135</v>
      </c>
      <c r="C2" s="110" t="s">
        <v>136</v>
      </c>
      <c r="D2" s="110" t="s">
        <v>137</v>
      </c>
      <c r="E2" s="110" t="s">
        <v>138</v>
      </c>
      <c r="F2" s="110" t="s">
        <v>139</v>
      </c>
      <c r="G2" s="110" t="s">
        <v>140</v>
      </c>
      <c r="H2" s="110" t="s">
        <v>141</v>
      </c>
    </row>
    <row r="3" spans="1:8">
      <c r="A3" s="105" t="s">
        <v>161</v>
      </c>
      <c r="B3" s="105"/>
      <c r="C3" s="105"/>
      <c r="D3" s="98" t="s">
        <v>151</v>
      </c>
      <c r="E3" s="98"/>
      <c r="F3" s="97" t="s">
        <v>152</v>
      </c>
      <c r="G3" s="105"/>
      <c r="H3" s="106">
        <v>1</v>
      </c>
    </row>
    <row r="4" spans="1:8">
      <c r="A4" s="105" t="s">
        <v>161</v>
      </c>
      <c r="B4" s="105"/>
      <c r="C4" s="105"/>
      <c r="D4" s="98" t="s">
        <v>151</v>
      </c>
      <c r="E4" s="98"/>
      <c r="F4" s="97" t="s">
        <v>161</v>
      </c>
      <c r="G4" s="105"/>
      <c r="H4" s="106">
        <v>1</v>
      </c>
    </row>
    <row r="5" spans="1:8">
      <c r="A5" s="105" t="s">
        <v>194</v>
      </c>
      <c r="B5" s="105"/>
      <c r="C5" s="105"/>
      <c r="D5" s="98" t="s">
        <v>151</v>
      </c>
      <c r="E5" s="98"/>
      <c r="F5" s="97" t="s">
        <v>194</v>
      </c>
      <c r="G5" s="105"/>
      <c r="H5" s="106">
        <v>1</v>
      </c>
    </row>
    <row r="6" spans="1:8">
      <c r="A6" s="106"/>
      <c r="B6" s="105"/>
      <c r="C6" s="105"/>
      <c r="D6" s="98" t="s">
        <v>151</v>
      </c>
      <c r="E6" s="98"/>
      <c r="F6" s="97" t="s">
        <v>195</v>
      </c>
      <c r="G6" s="105"/>
      <c r="H6" s="106">
        <v>1</v>
      </c>
    </row>
    <row r="8" spans="1:8">
      <c r="A8" t="s">
        <v>196</v>
      </c>
      <c r="C8" s="34"/>
    </row>
    <row r="9" spans="1:8">
      <c r="A9" t="s">
        <v>197</v>
      </c>
    </row>
    <row r="10" spans="1:8">
      <c r="A10" t="s">
        <v>198</v>
      </c>
    </row>
    <row r="11" spans="1:8">
      <c r="A11" t="s">
        <v>199</v>
      </c>
    </row>
    <row r="12" spans="1:8">
      <c r="C12" s="107"/>
    </row>
    <row r="13" spans="1:8" ht="159" customHeight="1"/>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1"/>
  <sheetViews>
    <sheetView tabSelected="1" zoomScale="70" zoomScaleNormal="70" workbookViewId="0">
      <pane xSplit="5" ySplit="4" topLeftCell="F53" activePane="bottomRight" state="frozen"/>
      <selection pane="bottomRight" activeCell="B54" sqref="B54"/>
      <selection pane="bottomLeft"/>
      <selection pane="topRight"/>
    </sheetView>
  </sheetViews>
  <sheetFormatPr defaultColWidth="9.140625" defaultRowHeight="12.75" customHeight="1"/>
  <cols>
    <col min="1" max="1" width="12.5703125" style="116" customWidth="1"/>
    <col min="2" max="2" width="4.85546875" style="116" bestFit="1" customWidth="1"/>
    <col min="3" max="3" width="7.5703125" style="116" customWidth="1"/>
    <col min="4" max="4" width="8.5703125" style="116" customWidth="1"/>
    <col min="5" max="5" width="76.85546875" style="116" customWidth="1"/>
    <col min="6" max="6" width="10.42578125" style="68" customWidth="1"/>
    <col min="7" max="7" width="10" style="68" customWidth="1"/>
    <col min="8" max="8" width="2.42578125" style="116" customWidth="1"/>
    <col min="9" max="9" width="6.140625" style="99" customWidth="1"/>
    <col min="10" max="10" width="15.5703125" style="99" customWidth="1"/>
    <col min="11" max="12" width="16.5703125" style="99" customWidth="1"/>
    <col min="13" max="13" width="52" style="122" customWidth="1"/>
    <col min="14" max="14" width="23.85546875" style="122" customWidth="1"/>
    <col min="15" max="15" width="45.42578125" style="122" customWidth="1"/>
    <col min="16" max="16" width="27.42578125" style="122" customWidth="1"/>
    <col min="17" max="18" width="14.5703125" style="674" customWidth="1"/>
    <col min="19" max="19" width="25.140625" style="674" customWidth="1"/>
    <col min="20" max="20" width="0" style="116" hidden="1" customWidth="1"/>
    <col min="21" max="16384" width="9.140625" style="116"/>
  </cols>
  <sheetData>
    <row r="1" spans="1:20" ht="20.25" customHeight="1">
      <c r="A1" s="815" t="s">
        <v>200</v>
      </c>
      <c r="B1" s="816"/>
      <c r="C1" s="816"/>
      <c r="D1" s="816"/>
      <c r="E1" s="816"/>
      <c r="F1" s="817"/>
      <c r="G1" s="817"/>
      <c r="H1" s="816"/>
      <c r="I1" s="816"/>
      <c r="J1" s="816"/>
      <c r="K1" s="816"/>
      <c r="L1" s="816"/>
      <c r="M1" s="816"/>
      <c r="N1" s="816"/>
      <c r="O1" s="816"/>
      <c r="P1" s="816"/>
      <c r="Q1" s="816"/>
      <c r="R1" s="816"/>
      <c r="S1" s="816"/>
    </row>
    <row r="2" spans="1:20" ht="21" customHeight="1">
      <c r="A2" s="811" t="s">
        <v>201</v>
      </c>
      <c r="B2" s="812"/>
      <c r="C2" s="812"/>
      <c r="D2" s="812"/>
      <c r="E2" s="812"/>
      <c r="F2" s="813"/>
      <c r="G2" s="814"/>
      <c r="H2" s="232"/>
      <c r="I2" s="823" t="s">
        <v>202</v>
      </c>
      <c r="J2" s="824"/>
      <c r="K2" s="824"/>
      <c r="L2" s="824"/>
      <c r="M2" s="824"/>
      <c r="N2" s="824"/>
      <c r="O2" s="824"/>
      <c r="P2" s="825"/>
      <c r="Q2" s="99"/>
      <c r="R2" s="99"/>
    </row>
    <row r="3" spans="1:20" ht="20.25" customHeight="1">
      <c r="A3" s="350"/>
      <c r="B3" s="351"/>
      <c r="C3" s="351"/>
      <c r="D3" s="351"/>
      <c r="E3" s="351"/>
      <c r="F3" s="375"/>
      <c r="G3" s="376"/>
      <c r="H3" s="232"/>
      <c r="I3" s="820" t="s">
        <v>116</v>
      </c>
      <c r="J3" s="821"/>
      <c r="K3" s="821"/>
      <c r="L3" s="821"/>
      <c r="M3" s="822"/>
      <c r="N3" s="818" t="s">
        <v>117</v>
      </c>
      <c r="O3" s="819"/>
      <c r="P3" s="826" t="s">
        <v>118</v>
      </c>
      <c r="Q3" s="209"/>
      <c r="R3" s="209"/>
      <c r="S3" s="677"/>
    </row>
    <row r="4" spans="1:20" ht="62.25" customHeight="1">
      <c r="A4" s="235" t="s">
        <v>3</v>
      </c>
      <c r="B4" s="236" t="s">
        <v>4</v>
      </c>
      <c r="C4" s="236" t="s">
        <v>5</v>
      </c>
      <c r="D4" s="236" t="s">
        <v>121</v>
      </c>
      <c r="E4" s="236" t="s">
        <v>7</v>
      </c>
      <c r="F4" s="360" t="s">
        <v>8</v>
      </c>
      <c r="G4" s="361" t="s">
        <v>9</v>
      </c>
      <c r="H4" s="232"/>
      <c r="I4" s="526" t="s">
        <v>122</v>
      </c>
      <c r="J4" s="527" t="s">
        <v>123</v>
      </c>
      <c r="K4" s="747" t="s">
        <v>124</v>
      </c>
      <c r="L4" s="747" t="s">
        <v>125</v>
      </c>
      <c r="M4" s="748" t="s">
        <v>126</v>
      </c>
      <c r="N4" s="654" t="s">
        <v>123</v>
      </c>
      <c r="O4" s="529" t="s">
        <v>126</v>
      </c>
      <c r="P4" s="827"/>
      <c r="Q4" s="650" t="s">
        <v>119</v>
      </c>
      <c r="R4" s="729" t="s">
        <v>120</v>
      </c>
      <c r="S4" s="727" t="s">
        <v>203</v>
      </c>
    </row>
    <row r="5" spans="1:20" ht="83.25">
      <c r="A5" s="239" t="s">
        <v>204</v>
      </c>
      <c r="B5" s="362" t="s">
        <v>17</v>
      </c>
      <c r="C5" s="363" t="s">
        <v>55</v>
      </c>
      <c r="D5" s="363" t="s">
        <v>144</v>
      </c>
      <c r="E5" s="364" t="s">
        <v>205</v>
      </c>
      <c r="F5" s="365"/>
      <c r="G5" s="366"/>
      <c r="H5" s="68"/>
      <c r="I5" s="545" t="s">
        <v>146</v>
      </c>
      <c r="J5" s="542"/>
      <c r="K5" s="542"/>
      <c r="L5" s="542"/>
      <c r="M5" s="749"/>
      <c r="N5" s="750" t="s">
        <v>206</v>
      </c>
      <c r="O5" s="665" t="s">
        <v>207</v>
      </c>
      <c r="P5" s="751" t="s">
        <v>208</v>
      </c>
      <c r="Q5" s="671" t="s">
        <v>209</v>
      </c>
      <c r="R5" s="728" t="s">
        <v>210</v>
      </c>
      <c r="S5" s="733" t="s">
        <v>211</v>
      </c>
      <c r="T5" s="116" t="str">
        <f t="shared" ref="T5:T26" si="0">IF(SEARCH(B5,N5,4),"ok","nok")</f>
        <v>ok</v>
      </c>
    </row>
    <row r="6" spans="1:20" ht="70.5" customHeight="1">
      <c r="A6" s="223" t="s">
        <v>212</v>
      </c>
      <c r="B6" s="243" t="s">
        <v>22</v>
      </c>
      <c r="C6" s="227" t="s">
        <v>18</v>
      </c>
      <c r="D6" s="227" t="s">
        <v>19</v>
      </c>
      <c r="E6" s="244" t="s">
        <v>213</v>
      </c>
      <c r="F6" s="117"/>
      <c r="G6" s="257"/>
      <c r="H6" s="68"/>
      <c r="I6" s="358" t="s">
        <v>146</v>
      </c>
      <c r="J6" s="253" t="s">
        <v>214</v>
      </c>
      <c r="K6" s="253"/>
      <c r="L6" s="253" t="str" cm="1">
        <f t="array" ref="L6">_xlfn.SWITCH(C6,"Numeric","999999999999999","String","Not applicable","Date","0001-01-01")</f>
        <v>Not applicable</v>
      </c>
      <c r="M6" s="242"/>
      <c r="N6" s="349" t="s">
        <v>215</v>
      </c>
      <c r="O6" s="242" t="s">
        <v>216</v>
      </c>
      <c r="P6" s="667" t="s">
        <v>217</v>
      </c>
      <c r="Q6" s="671" t="s">
        <v>64</v>
      </c>
      <c r="R6" s="728" t="s">
        <v>210</v>
      </c>
      <c r="S6" s="733" t="s">
        <v>211</v>
      </c>
      <c r="T6" s="116" t="str">
        <f t="shared" si="0"/>
        <v>ok</v>
      </c>
    </row>
    <row r="7" spans="1:20" ht="162.75" customHeight="1">
      <c r="A7" s="223" t="s">
        <v>218</v>
      </c>
      <c r="B7" s="243" t="s">
        <v>25</v>
      </c>
      <c r="C7" s="227" t="s">
        <v>18</v>
      </c>
      <c r="D7" s="227" t="s">
        <v>19</v>
      </c>
      <c r="E7" s="244" t="s">
        <v>219</v>
      </c>
      <c r="F7" s="117"/>
      <c r="G7" s="257"/>
      <c r="H7" s="68"/>
      <c r="I7" s="358" t="s">
        <v>146</v>
      </c>
      <c r="J7" s="253" t="s">
        <v>220</v>
      </c>
      <c r="K7" s="253"/>
      <c r="L7" s="253" t="str" cm="1">
        <f t="array" ref="L7">_xlfn.SWITCH(C7,"Numeric","999999999999999","String","Not applicable","Date","0001-01-01")</f>
        <v>Not applicable</v>
      </c>
      <c r="M7" s="265"/>
      <c r="N7" s="358" t="s">
        <v>221</v>
      </c>
      <c r="O7" s="242" t="s">
        <v>220</v>
      </c>
      <c r="P7" s="667" t="s">
        <v>217</v>
      </c>
      <c r="Q7" s="671" t="s">
        <v>64</v>
      </c>
      <c r="R7" s="728" t="s">
        <v>210</v>
      </c>
      <c r="S7" s="733" t="s">
        <v>211</v>
      </c>
      <c r="T7" s="116" t="str">
        <f t="shared" si="0"/>
        <v>ok</v>
      </c>
    </row>
    <row r="8" spans="1:20" ht="168" customHeight="1">
      <c r="A8" s="223" t="s">
        <v>222</v>
      </c>
      <c r="B8" s="224" t="s">
        <v>29</v>
      </c>
      <c r="C8" s="227" t="s">
        <v>18</v>
      </c>
      <c r="D8" s="227" t="s">
        <v>223</v>
      </c>
      <c r="E8" s="244" t="s">
        <v>224</v>
      </c>
      <c r="F8" s="117"/>
      <c r="G8" s="257"/>
      <c r="H8" s="68"/>
      <c r="I8" s="358" t="s">
        <v>146</v>
      </c>
      <c r="J8" s="253"/>
      <c r="K8" s="253"/>
      <c r="L8" s="253"/>
      <c r="M8" s="657"/>
      <c r="N8" s="358" t="s">
        <v>225</v>
      </c>
      <c r="O8" s="242" t="s">
        <v>226</v>
      </c>
      <c r="P8" s="656" t="s">
        <v>227</v>
      </c>
      <c r="Q8" s="671" t="s">
        <v>209</v>
      </c>
      <c r="R8" s="728" t="s">
        <v>210</v>
      </c>
      <c r="S8" s="732" t="s">
        <v>211</v>
      </c>
      <c r="T8" s="116" t="str">
        <f t="shared" si="0"/>
        <v>ok</v>
      </c>
    </row>
    <row r="9" spans="1:20" ht="190.5" customHeight="1">
      <c r="A9" s="223" t="s">
        <v>228</v>
      </c>
      <c r="B9" s="243">
        <v>50</v>
      </c>
      <c r="C9" s="226" t="s">
        <v>55</v>
      </c>
      <c r="D9" s="226" t="s">
        <v>178</v>
      </c>
      <c r="E9" s="244" t="s">
        <v>229</v>
      </c>
      <c r="F9" s="18" t="s">
        <v>230</v>
      </c>
      <c r="G9" s="257"/>
      <c r="H9" s="68"/>
      <c r="I9" s="358" t="s">
        <v>231</v>
      </c>
      <c r="J9" s="253" t="s">
        <v>232</v>
      </c>
      <c r="K9" s="253"/>
      <c r="L9" s="253" t="str" cm="1">
        <f t="array" ref="L9">_xlfn.SWITCH(C9,"Numeric","999999999999999","String","Not applicable","Date","0001-01-01")</f>
        <v>999999999999999</v>
      </c>
      <c r="M9" s="265" t="s">
        <v>233</v>
      </c>
      <c r="N9" s="358" t="s">
        <v>234</v>
      </c>
      <c r="O9" s="265" t="s">
        <v>232</v>
      </c>
      <c r="P9" s="656" t="s">
        <v>235</v>
      </c>
      <c r="Q9" s="671" t="s">
        <v>66</v>
      </c>
      <c r="R9" s="728" t="s">
        <v>210</v>
      </c>
      <c r="S9" s="732" t="s">
        <v>211</v>
      </c>
      <c r="T9" s="116" t="str">
        <f t="shared" si="0"/>
        <v>ok</v>
      </c>
    </row>
    <row r="10" spans="1:20" ht="96.75" customHeight="1">
      <c r="A10" s="223" t="s">
        <v>236</v>
      </c>
      <c r="B10" s="243" t="s">
        <v>41</v>
      </c>
      <c r="C10" s="226" t="s">
        <v>55</v>
      </c>
      <c r="D10" s="226" t="s">
        <v>178</v>
      </c>
      <c r="E10" s="244" t="s">
        <v>237</v>
      </c>
      <c r="F10" s="18" t="s">
        <v>230</v>
      </c>
      <c r="G10" s="257"/>
      <c r="H10" s="68"/>
      <c r="I10" s="358" t="s">
        <v>231</v>
      </c>
      <c r="J10" s="253" t="s">
        <v>238</v>
      </c>
      <c r="K10" s="253"/>
      <c r="L10" s="253" t="str" cm="1">
        <f t="array" ref="L10">_xlfn.SWITCH(C10,"Numeric","999999999999999","String","Not applicable","Date","0001-01-01")</f>
        <v>999999999999999</v>
      </c>
      <c r="M10" s="242" t="s">
        <v>239</v>
      </c>
      <c r="N10" s="358" t="s">
        <v>240</v>
      </c>
      <c r="O10" s="265" t="s">
        <v>238</v>
      </c>
      <c r="P10" s="656" t="s">
        <v>235</v>
      </c>
      <c r="Q10" s="671" t="s">
        <v>66</v>
      </c>
      <c r="R10" s="728" t="s">
        <v>210</v>
      </c>
      <c r="S10" s="732" t="s">
        <v>211</v>
      </c>
      <c r="T10" s="116" t="str">
        <f t="shared" si="0"/>
        <v>ok</v>
      </c>
    </row>
    <row r="11" spans="1:20" ht="94.5" customHeight="1">
      <c r="A11" s="223" t="s">
        <v>241</v>
      </c>
      <c r="B11" s="390" t="s">
        <v>45</v>
      </c>
      <c r="C11" s="227" t="s">
        <v>18</v>
      </c>
      <c r="D11" s="227" t="s">
        <v>51</v>
      </c>
      <c r="E11" s="244" t="s">
        <v>242</v>
      </c>
      <c r="F11" s="18" t="s">
        <v>243</v>
      </c>
      <c r="G11" s="257"/>
      <c r="H11" s="68"/>
      <c r="I11" s="358" t="s">
        <v>146</v>
      </c>
      <c r="J11" s="253" t="s">
        <v>244</v>
      </c>
      <c r="K11" s="253"/>
      <c r="L11" s="253" t="s">
        <v>245</v>
      </c>
      <c r="M11" s="242"/>
      <c r="N11" s="358" t="s">
        <v>246</v>
      </c>
      <c r="O11" s="242" t="s">
        <v>244</v>
      </c>
      <c r="P11" s="667" t="s">
        <v>217</v>
      </c>
      <c r="Q11" s="671" t="s">
        <v>64</v>
      </c>
      <c r="R11" s="728" t="s">
        <v>210</v>
      </c>
      <c r="S11" s="732" t="s">
        <v>211</v>
      </c>
      <c r="T11" s="116" t="str">
        <f t="shared" si="0"/>
        <v>ok</v>
      </c>
    </row>
    <row r="12" spans="1:20" ht="155.25" customHeight="1">
      <c r="A12" s="223" t="s">
        <v>247</v>
      </c>
      <c r="B12" s="243">
        <v>80</v>
      </c>
      <c r="C12" s="226" t="s">
        <v>55</v>
      </c>
      <c r="D12" s="226" t="s">
        <v>178</v>
      </c>
      <c r="E12" s="244" t="s">
        <v>248</v>
      </c>
      <c r="F12" s="18"/>
      <c r="G12" s="257"/>
      <c r="H12" s="68"/>
      <c r="I12" s="358" t="s">
        <v>231</v>
      </c>
      <c r="J12" s="253" t="s">
        <v>249</v>
      </c>
      <c r="K12" s="253"/>
      <c r="L12" s="253" t="str" cm="1">
        <f t="array" ref="L12">_xlfn.SWITCH(C12,"Numeric","999999999999999","String","Not applicable","Date","0001-01-01")</f>
        <v>999999999999999</v>
      </c>
      <c r="M12" s="735" t="s">
        <v>250</v>
      </c>
      <c r="N12" s="358" t="s">
        <v>251</v>
      </c>
      <c r="O12" s="242" t="s">
        <v>252</v>
      </c>
      <c r="P12" s="656" t="s">
        <v>253</v>
      </c>
      <c r="Q12" s="671" t="s">
        <v>66</v>
      </c>
      <c r="R12" s="728" t="s">
        <v>210</v>
      </c>
      <c r="S12" s="732" t="s">
        <v>211</v>
      </c>
      <c r="T12" s="787" t="str">
        <f t="shared" si="0"/>
        <v>ok</v>
      </c>
    </row>
    <row r="13" spans="1:20" ht="83.25" customHeight="1">
      <c r="A13" s="223" t="s">
        <v>254</v>
      </c>
      <c r="B13" s="243" t="s">
        <v>54</v>
      </c>
      <c r="C13" s="226" t="s">
        <v>55</v>
      </c>
      <c r="D13" s="226" t="s">
        <v>178</v>
      </c>
      <c r="E13" s="244" t="s">
        <v>255</v>
      </c>
      <c r="F13" s="18" t="s">
        <v>230</v>
      </c>
      <c r="G13" s="257"/>
      <c r="H13" s="68"/>
      <c r="I13" s="358" t="s">
        <v>231</v>
      </c>
      <c r="J13" s="253" t="s">
        <v>256</v>
      </c>
      <c r="K13" s="253"/>
      <c r="L13" s="253" t="str" cm="1">
        <f t="array" ref="L13">_xlfn.SWITCH(C13,"Numeric","999999999999999","String","Not applicable","Date","0001-01-01")</f>
        <v>999999999999999</v>
      </c>
      <c r="M13" s="266" t="s">
        <v>257</v>
      </c>
      <c r="N13" s="655" t="s">
        <v>258</v>
      </c>
      <c r="O13" s="266" t="s">
        <v>259</v>
      </c>
      <c r="P13" s="658" t="s">
        <v>260</v>
      </c>
      <c r="Q13" s="671" t="s">
        <v>66</v>
      </c>
      <c r="R13" s="728" t="s">
        <v>210</v>
      </c>
      <c r="S13" s="732" t="s">
        <v>211</v>
      </c>
      <c r="T13" s="116" t="str">
        <f t="shared" si="0"/>
        <v>ok</v>
      </c>
    </row>
    <row r="14" spans="1:20" ht="135.75" customHeight="1">
      <c r="A14" s="223" t="s">
        <v>261</v>
      </c>
      <c r="B14" s="243">
        <v>100</v>
      </c>
      <c r="C14" s="226" t="s">
        <v>55</v>
      </c>
      <c r="D14" s="226" t="s">
        <v>178</v>
      </c>
      <c r="E14" s="244" t="s">
        <v>262</v>
      </c>
      <c r="F14" s="18" t="s">
        <v>230</v>
      </c>
      <c r="G14" s="257" t="s">
        <v>263</v>
      </c>
      <c r="H14" s="68"/>
      <c r="I14" s="358" t="s">
        <v>231</v>
      </c>
      <c r="J14" s="546" t="s">
        <v>264</v>
      </c>
      <c r="K14" s="546"/>
      <c r="L14" s="253" t="str" cm="1">
        <f t="array" ref="L14">_xlfn.SWITCH(C14,"Numeric","999999999999999","String","Not applicable","Date","0001-01-01")</f>
        <v>999999999999999</v>
      </c>
      <c r="M14" s="266" t="s">
        <v>265</v>
      </c>
      <c r="N14" s="655" t="s">
        <v>266</v>
      </c>
      <c r="O14" s="266" t="s">
        <v>267</v>
      </c>
      <c r="P14" s="658" t="s">
        <v>268</v>
      </c>
      <c r="Q14" s="671" t="s">
        <v>65</v>
      </c>
      <c r="R14" s="728" t="s">
        <v>210</v>
      </c>
      <c r="S14" s="732" t="s">
        <v>269</v>
      </c>
      <c r="T14" s="787" t="str">
        <f t="shared" si="0"/>
        <v>ok</v>
      </c>
    </row>
    <row r="15" spans="1:20" ht="141" customHeight="1">
      <c r="A15" s="223" t="s">
        <v>270</v>
      </c>
      <c r="B15" s="243">
        <v>110</v>
      </c>
      <c r="C15" s="226" t="s">
        <v>55</v>
      </c>
      <c r="D15" s="226" t="s">
        <v>178</v>
      </c>
      <c r="E15" s="244" t="s">
        <v>271</v>
      </c>
      <c r="F15" s="18" t="s">
        <v>230</v>
      </c>
      <c r="G15" s="257" t="s">
        <v>263</v>
      </c>
      <c r="H15" s="68"/>
      <c r="I15" s="358" t="s">
        <v>146</v>
      </c>
      <c r="J15" s="253"/>
      <c r="K15" s="253"/>
      <c r="L15" s="253"/>
      <c r="M15" s="266"/>
      <c r="N15" s="655" t="s">
        <v>272</v>
      </c>
      <c r="O15" s="266" t="s">
        <v>273</v>
      </c>
      <c r="P15" s="658" t="s">
        <v>274</v>
      </c>
      <c r="Q15" s="671" t="s">
        <v>209</v>
      </c>
      <c r="R15" s="728" t="s">
        <v>210</v>
      </c>
      <c r="S15" s="732" t="s">
        <v>211</v>
      </c>
      <c r="T15" s="787" t="str">
        <f t="shared" si="0"/>
        <v>ok</v>
      </c>
    </row>
    <row r="16" spans="1:20" ht="165" customHeight="1">
      <c r="A16" s="223" t="s">
        <v>275</v>
      </c>
      <c r="B16" s="243" t="s">
        <v>276</v>
      </c>
      <c r="C16" s="226" t="s">
        <v>55</v>
      </c>
      <c r="D16" s="226" t="s">
        <v>178</v>
      </c>
      <c r="E16" s="244" t="s">
        <v>277</v>
      </c>
      <c r="F16" s="117" t="s">
        <v>230</v>
      </c>
      <c r="G16" s="257"/>
      <c r="H16" s="68"/>
      <c r="I16" s="358" t="s">
        <v>146</v>
      </c>
      <c r="J16" s="253"/>
      <c r="K16" s="253"/>
      <c r="L16" s="253"/>
      <c r="M16" s="265"/>
      <c r="N16" s="655" t="s">
        <v>278</v>
      </c>
      <c r="O16" s="265" t="s">
        <v>279</v>
      </c>
      <c r="P16" s="656" t="s">
        <v>280</v>
      </c>
      <c r="Q16" s="671" t="s">
        <v>209</v>
      </c>
      <c r="R16" s="728" t="s">
        <v>210</v>
      </c>
      <c r="S16" s="732" t="s">
        <v>269</v>
      </c>
      <c r="T16" s="116" t="str">
        <f t="shared" si="0"/>
        <v>ok</v>
      </c>
    </row>
    <row r="17" spans="1:21" ht="127.5" customHeight="1">
      <c r="A17" s="391" t="s">
        <v>281</v>
      </c>
      <c r="B17" s="243" t="s">
        <v>282</v>
      </c>
      <c r="C17" s="226" t="s">
        <v>55</v>
      </c>
      <c r="D17" s="226" t="s">
        <v>178</v>
      </c>
      <c r="E17" s="244" t="s">
        <v>283</v>
      </c>
      <c r="F17" s="117"/>
      <c r="G17" s="257"/>
      <c r="H17" s="68"/>
      <c r="I17" s="358" t="s">
        <v>146</v>
      </c>
      <c r="J17" s="253"/>
      <c r="K17" s="253"/>
      <c r="L17" s="253"/>
      <c r="M17" s="265"/>
      <c r="N17" s="655" t="s">
        <v>182</v>
      </c>
      <c r="O17" s="265" t="s">
        <v>284</v>
      </c>
      <c r="P17" s="656" t="s">
        <v>285</v>
      </c>
      <c r="Q17" s="671" t="s">
        <v>209</v>
      </c>
      <c r="R17" s="728" t="s">
        <v>210</v>
      </c>
      <c r="S17" s="732" t="s">
        <v>269</v>
      </c>
      <c r="T17" s="116" t="str">
        <f t="shared" si="0"/>
        <v>ok</v>
      </c>
    </row>
    <row r="18" spans="1:21" ht="192" customHeight="1">
      <c r="A18" s="223" t="s">
        <v>286</v>
      </c>
      <c r="B18" s="243" t="s">
        <v>287</v>
      </c>
      <c r="C18" s="227" t="s">
        <v>18</v>
      </c>
      <c r="D18" s="227" t="s">
        <v>42</v>
      </c>
      <c r="E18" s="244" t="s">
        <v>288</v>
      </c>
      <c r="F18" s="117"/>
      <c r="G18" s="257"/>
      <c r="H18" s="68"/>
      <c r="I18" s="358" t="s">
        <v>146</v>
      </c>
      <c r="J18" s="253" t="s">
        <v>289</v>
      </c>
      <c r="K18" s="253"/>
      <c r="L18" s="253" t="str" cm="1">
        <f t="array" ref="L18">_xlfn.SWITCH(C18,"Numeric","999999999999999","String","Not applicable","Date","0001-01-01")</f>
        <v>Not applicable</v>
      </c>
      <c r="M18" s="265" t="s">
        <v>290</v>
      </c>
      <c r="N18" s="655" t="s">
        <v>291</v>
      </c>
      <c r="O18" s="265" t="s">
        <v>289</v>
      </c>
      <c r="P18" s="667" t="s">
        <v>292</v>
      </c>
      <c r="Q18" s="671" t="s">
        <v>64</v>
      </c>
      <c r="R18" s="728" t="s">
        <v>210</v>
      </c>
      <c r="S18" s="732" t="s">
        <v>211</v>
      </c>
      <c r="T18" s="116" t="str">
        <f t="shared" si="0"/>
        <v>ok</v>
      </c>
    </row>
    <row r="19" spans="1:21" ht="69" customHeight="1">
      <c r="A19" s="223" t="s">
        <v>293</v>
      </c>
      <c r="B19" s="243" t="s">
        <v>294</v>
      </c>
      <c r="C19" s="227" t="s">
        <v>18</v>
      </c>
      <c r="D19" s="227" t="s">
        <v>19</v>
      </c>
      <c r="E19" s="244" t="s">
        <v>295</v>
      </c>
      <c r="F19" s="117"/>
      <c r="G19" s="257"/>
      <c r="H19" s="68"/>
      <c r="I19" s="358" t="s">
        <v>146</v>
      </c>
      <c r="J19" s="253"/>
      <c r="K19" s="253"/>
      <c r="L19" s="253"/>
      <c r="M19" s="265"/>
      <c r="N19" s="655" t="s">
        <v>296</v>
      </c>
      <c r="O19" s="242" t="s">
        <v>297</v>
      </c>
      <c r="P19" s="667" t="s">
        <v>298</v>
      </c>
      <c r="Q19" s="671" t="s">
        <v>209</v>
      </c>
      <c r="R19" s="728" t="s">
        <v>210</v>
      </c>
      <c r="S19" s="732" t="s">
        <v>211</v>
      </c>
      <c r="T19" s="116" t="str">
        <f t="shared" si="0"/>
        <v>ok</v>
      </c>
      <c r="U19" s="116" t="s">
        <v>299</v>
      </c>
    </row>
    <row r="20" spans="1:21" ht="66.75" customHeight="1">
      <c r="A20" s="223" t="s">
        <v>300</v>
      </c>
      <c r="B20" s="243" t="s">
        <v>301</v>
      </c>
      <c r="C20" s="227" t="s">
        <v>18</v>
      </c>
      <c r="D20" s="227" t="s">
        <v>302</v>
      </c>
      <c r="E20" s="244" t="s">
        <v>303</v>
      </c>
      <c r="F20" s="117"/>
      <c r="G20" s="257"/>
      <c r="H20" s="68"/>
      <c r="I20" s="358" t="s">
        <v>146</v>
      </c>
      <c r="J20" s="253"/>
      <c r="K20" s="253"/>
      <c r="L20" s="253"/>
      <c r="M20" s="265"/>
      <c r="N20" s="358" t="s">
        <v>304</v>
      </c>
      <c r="O20" s="242" t="s">
        <v>297</v>
      </c>
      <c r="P20" s="667" t="s">
        <v>305</v>
      </c>
      <c r="Q20" s="671" t="s">
        <v>209</v>
      </c>
      <c r="R20" s="728" t="s">
        <v>210</v>
      </c>
      <c r="S20" s="732" t="s">
        <v>211</v>
      </c>
      <c r="T20" s="116" t="str">
        <f t="shared" si="0"/>
        <v>ok</v>
      </c>
    </row>
    <row r="21" spans="1:21" ht="115.5" customHeight="1">
      <c r="A21" s="223" t="s">
        <v>306</v>
      </c>
      <c r="B21" s="243" t="s">
        <v>307</v>
      </c>
      <c r="C21" s="226" t="s">
        <v>55</v>
      </c>
      <c r="D21" s="227" t="s">
        <v>144</v>
      </c>
      <c r="E21" s="244" t="s">
        <v>308</v>
      </c>
      <c r="F21" s="117"/>
      <c r="G21" s="257"/>
      <c r="H21" s="68"/>
      <c r="I21" s="358" t="s">
        <v>231</v>
      </c>
      <c r="J21" s="253" t="s">
        <v>309</v>
      </c>
      <c r="K21" s="253"/>
      <c r="L21" s="253" t="str" cm="1">
        <f t="array" ref="L21">_xlfn.SWITCH(C21,"Numeric","999999999999999","String","Not applicable","Date","0001-01-01")</f>
        <v>999999999999999</v>
      </c>
      <c r="M21" s="265" t="s">
        <v>310</v>
      </c>
      <c r="N21" s="358" t="s">
        <v>158</v>
      </c>
      <c r="O21" s="265" t="s">
        <v>309</v>
      </c>
      <c r="P21" s="656" t="s">
        <v>311</v>
      </c>
      <c r="Q21" s="671" t="s">
        <v>66</v>
      </c>
      <c r="R21" s="728" t="s">
        <v>210</v>
      </c>
      <c r="S21" s="732" t="s">
        <v>211</v>
      </c>
      <c r="T21" s="116" t="str">
        <f t="shared" si="0"/>
        <v>ok</v>
      </c>
    </row>
    <row r="22" spans="1:21" ht="162" customHeight="1">
      <c r="A22" s="223" t="s">
        <v>312</v>
      </c>
      <c r="B22" s="243" t="s">
        <v>313</v>
      </c>
      <c r="C22" s="226" t="s">
        <v>55</v>
      </c>
      <c r="D22" s="226" t="s">
        <v>178</v>
      </c>
      <c r="E22" s="244" t="s">
        <v>314</v>
      </c>
      <c r="F22" s="18" t="s">
        <v>230</v>
      </c>
      <c r="G22" s="257"/>
      <c r="H22" s="68"/>
      <c r="I22" s="358" t="s">
        <v>146</v>
      </c>
      <c r="J22" s="253"/>
      <c r="K22" s="253"/>
      <c r="L22" s="253"/>
      <c r="M22" s="265"/>
      <c r="N22" s="358" t="s">
        <v>315</v>
      </c>
      <c r="O22" s="265" t="s">
        <v>316</v>
      </c>
      <c r="P22" s="656" t="s">
        <v>317</v>
      </c>
      <c r="Q22" s="671" t="s">
        <v>209</v>
      </c>
      <c r="R22" s="728" t="s">
        <v>210</v>
      </c>
      <c r="S22" s="732" t="s">
        <v>211</v>
      </c>
      <c r="T22" s="116" t="str">
        <f t="shared" si="0"/>
        <v>ok</v>
      </c>
    </row>
    <row r="23" spans="1:21" ht="163.5" customHeight="1">
      <c r="A23" s="223" t="s">
        <v>318</v>
      </c>
      <c r="B23" s="243">
        <v>162</v>
      </c>
      <c r="C23" s="227" t="s">
        <v>18</v>
      </c>
      <c r="D23" s="227" t="s">
        <v>319</v>
      </c>
      <c r="E23" s="244" t="s">
        <v>320</v>
      </c>
      <c r="F23" s="117"/>
      <c r="G23" s="257"/>
      <c r="H23" s="68"/>
      <c r="I23" s="358" t="s">
        <v>146</v>
      </c>
      <c r="J23" s="253" t="s">
        <v>309</v>
      </c>
      <c r="K23" s="253"/>
      <c r="L23" s="253" t="str" cm="1">
        <f t="array" ref="L23">_xlfn.SWITCH(C23,"Numeric","999999999999999","String","Not applicable","Date","0001-01-01")</f>
        <v>Not applicable</v>
      </c>
      <c r="M23" s="265"/>
      <c r="N23" s="358" t="s">
        <v>321</v>
      </c>
      <c r="O23" s="265" t="s">
        <v>309</v>
      </c>
      <c r="P23" s="656" t="s">
        <v>322</v>
      </c>
      <c r="Q23" s="671" t="s">
        <v>209</v>
      </c>
      <c r="R23" s="728" t="s">
        <v>210</v>
      </c>
      <c r="S23" s="732" t="s">
        <v>211</v>
      </c>
      <c r="T23" s="116" t="str">
        <f t="shared" si="0"/>
        <v>ok</v>
      </c>
    </row>
    <row r="24" spans="1:21" ht="99.75" customHeight="1">
      <c r="A24" s="223" t="s">
        <v>323</v>
      </c>
      <c r="B24" s="243" t="s">
        <v>324</v>
      </c>
      <c r="C24" s="226" t="s">
        <v>46</v>
      </c>
      <c r="D24" s="226" t="s">
        <v>325</v>
      </c>
      <c r="E24" s="244" t="s">
        <v>326</v>
      </c>
      <c r="F24" s="117"/>
      <c r="G24" s="257"/>
      <c r="H24" s="68"/>
      <c r="I24" s="358" t="s">
        <v>146</v>
      </c>
      <c r="J24" s="253" t="s">
        <v>327</v>
      </c>
      <c r="K24" s="253"/>
      <c r="L24" s="253" t="str" cm="1">
        <f t="array" ref="L24">_xlfn.SWITCH(C24,"Numeric","999999999999999","String","Not applicable","Date","0001-01-01")</f>
        <v>0001-01-01</v>
      </c>
      <c r="M24" s="265" t="s">
        <v>328</v>
      </c>
      <c r="N24" s="358" t="s">
        <v>329</v>
      </c>
      <c r="O24" s="265" t="s">
        <v>327</v>
      </c>
      <c r="P24" s="656" t="s">
        <v>330</v>
      </c>
      <c r="Q24" s="671" t="s">
        <v>64</v>
      </c>
      <c r="R24" s="728" t="s">
        <v>210</v>
      </c>
      <c r="S24" s="732" t="s">
        <v>211</v>
      </c>
      <c r="T24" s="116" t="str">
        <f t="shared" si="0"/>
        <v>ok</v>
      </c>
    </row>
    <row r="25" spans="1:21" ht="180" customHeight="1">
      <c r="A25" s="223" t="s">
        <v>331</v>
      </c>
      <c r="B25" s="390" t="s">
        <v>332</v>
      </c>
      <c r="C25" s="226" t="s">
        <v>46</v>
      </c>
      <c r="D25" s="226" t="s">
        <v>325</v>
      </c>
      <c r="E25" s="244" t="s">
        <v>333</v>
      </c>
      <c r="F25" s="18" t="s">
        <v>334</v>
      </c>
      <c r="G25" s="258" t="s">
        <v>263</v>
      </c>
      <c r="H25" s="68"/>
      <c r="I25" s="358" t="s">
        <v>231</v>
      </c>
      <c r="J25" s="253" t="s">
        <v>335</v>
      </c>
      <c r="K25" s="253"/>
      <c r="L25" s="253" t="str" cm="1">
        <f t="array" ref="L25">_xlfn.SWITCH(C25,"Numeric","999999999999999","String","Not applicable","Date","0001-01-01")</f>
        <v>0001-01-01</v>
      </c>
      <c r="M25" s="265" t="s">
        <v>336</v>
      </c>
      <c r="N25" s="358" t="s">
        <v>337</v>
      </c>
      <c r="O25" s="265" t="s">
        <v>335</v>
      </c>
      <c r="P25" s="656" t="s">
        <v>338</v>
      </c>
      <c r="Q25" s="671" t="s">
        <v>66</v>
      </c>
      <c r="R25" s="728" t="s">
        <v>210</v>
      </c>
      <c r="S25" s="732" t="s">
        <v>211</v>
      </c>
      <c r="T25" s="116" t="str">
        <f t="shared" si="0"/>
        <v>ok</v>
      </c>
    </row>
    <row r="26" spans="1:21" ht="121.5" customHeight="1">
      <c r="A26" s="223" t="s">
        <v>339</v>
      </c>
      <c r="B26" s="243" t="s">
        <v>340</v>
      </c>
      <c r="C26" s="226" t="s">
        <v>46</v>
      </c>
      <c r="D26" s="226" t="s">
        <v>325</v>
      </c>
      <c r="E26" s="244" t="s">
        <v>341</v>
      </c>
      <c r="F26" s="18" t="s">
        <v>342</v>
      </c>
      <c r="G26" s="257"/>
      <c r="H26" s="68"/>
      <c r="I26" s="358" t="s">
        <v>146</v>
      </c>
      <c r="J26" s="253" t="s">
        <v>343</v>
      </c>
      <c r="K26" s="253"/>
      <c r="L26" s="253" t="s">
        <v>344</v>
      </c>
      <c r="M26" s="265"/>
      <c r="N26" s="358" t="s">
        <v>345</v>
      </c>
      <c r="O26" s="265" t="s">
        <v>343</v>
      </c>
      <c r="P26" s="656" t="s">
        <v>346</v>
      </c>
      <c r="Q26" s="671" t="s">
        <v>209</v>
      </c>
      <c r="R26" s="728" t="s">
        <v>210</v>
      </c>
      <c r="S26" s="732" t="s">
        <v>211</v>
      </c>
      <c r="T26" s="116" t="str">
        <f t="shared" si="0"/>
        <v>ok</v>
      </c>
    </row>
    <row r="27" spans="1:21" ht="147" customHeight="1">
      <c r="A27" s="223" t="s">
        <v>347</v>
      </c>
      <c r="B27" s="390" t="s">
        <v>348</v>
      </c>
      <c r="C27" s="226" t="s">
        <v>46</v>
      </c>
      <c r="D27" s="226" t="s">
        <v>325</v>
      </c>
      <c r="E27" s="244" t="s">
        <v>349</v>
      </c>
      <c r="F27" s="18" t="s">
        <v>334</v>
      </c>
      <c r="G27" s="257"/>
      <c r="H27" s="68"/>
      <c r="I27" s="358" t="s">
        <v>146</v>
      </c>
      <c r="J27" s="253"/>
      <c r="K27" s="253"/>
      <c r="L27" s="253"/>
      <c r="M27" s="265"/>
      <c r="N27" s="358" t="s">
        <v>350</v>
      </c>
      <c r="O27" s="265" t="s">
        <v>351</v>
      </c>
      <c r="P27" s="656" t="s">
        <v>352</v>
      </c>
      <c r="Q27" s="671" t="s">
        <v>209</v>
      </c>
      <c r="R27" s="728" t="s">
        <v>210</v>
      </c>
      <c r="S27" s="732" t="s">
        <v>211</v>
      </c>
      <c r="T27" s="359" t="s">
        <v>353</v>
      </c>
    </row>
    <row r="28" spans="1:21" ht="131.25" customHeight="1">
      <c r="A28" s="223" t="s">
        <v>354</v>
      </c>
      <c r="B28" s="390" t="s">
        <v>355</v>
      </c>
      <c r="C28" s="226" t="s">
        <v>46</v>
      </c>
      <c r="D28" s="226" t="s">
        <v>325</v>
      </c>
      <c r="E28" s="244" t="s">
        <v>356</v>
      </c>
      <c r="F28" s="18" t="s">
        <v>334</v>
      </c>
      <c r="G28" s="257"/>
      <c r="H28" s="68"/>
      <c r="I28" s="358" t="s">
        <v>146</v>
      </c>
      <c r="J28" s="253" t="s">
        <v>343</v>
      </c>
      <c r="K28" s="253"/>
      <c r="L28" s="253" t="s">
        <v>344</v>
      </c>
      <c r="M28" s="242" t="s">
        <v>357</v>
      </c>
      <c r="N28" s="358" t="s">
        <v>358</v>
      </c>
      <c r="O28" s="242" t="s">
        <v>343</v>
      </c>
      <c r="P28" s="656" t="s">
        <v>359</v>
      </c>
      <c r="Q28" s="671" t="s">
        <v>64</v>
      </c>
      <c r="R28" s="728" t="s">
        <v>210</v>
      </c>
      <c r="S28" s="732" t="s">
        <v>211</v>
      </c>
      <c r="T28" s="116" t="str">
        <f t="shared" ref="T28:T59" si="1">IF(SEARCH(B28,N28,4),"ok","nok")</f>
        <v>ok</v>
      </c>
    </row>
    <row r="29" spans="1:21" ht="88.5" customHeight="1">
      <c r="A29" s="223" t="s">
        <v>360</v>
      </c>
      <c r="B29" s="243" t="s">
        <v>361</v>
      </c>
      <c r="C29" s="227" t="s">
        <v>18</v>
      </c>
      <c r="D29" s="226" t="s">
        <v>362</v>
      </c>
      <c r="E29" s="244" t="s">
        <v>363</v>
      </c>
      <c r="F29" s="18" t="s">
        <v>364</v>
      </c>
      <c r="G29" s="257"/>
      <c r="H29" s="68"/>
      <c r="I29" s="358" t="s">
        <v>146</v>
      </c>
      <c r="J29" s="253" t="s">
        <v>365</v>
      </c>
      <c r="K29" s="253"/>
      <c r="L29" s="253" t="s">
        <v>366</v>
      </c>
      <c r="M29" s="265"/>
      <c r="N29" s="358" t="s">
        <v>367</v>
      </c>
      <c r="O29" s="265" t="s">
        <v>365</v>
      </c>
      <c r="P29" s="656" t="s">
        <v>330</v>
      </c>
      <c r="Q29" s="671" t="s">
        <v>64</v>
      </c>
      <c r="R29" s="728" t="s">
        <v>210</v>
      </c>
      <c r="S29" s="732" t="s">
        <v>211</v>
      </c>
      <c r="T29" s="116" t="str">
        <f t="shared" si="1"/>
        <v>ok</v>
      </c>
    </row>
    <row r="30" spans="1:21" ht="177.75" customHeight="1">
      <c r="A30" s="223" t="s">
        <v>368</v>
      </c>
      <c r="B30" s="390" t="s">
        <v>369</v>
      </c>
      <c r="C30" s="227" t="s">
        <v>18</v>
      </c>
      <c r="D30" s="227" t="s">
        <v>42</v>
      </c>
      <c r="E30" s="244" t="s">
        <v>370</v>
      </c>
      <c r="F30" s="18" t="s">
        <v>180</v>
      </c>
      <c r="G30" s="257"/>
      <c r="H30" s="68"/>
      <c r="I30" s="358" t="s">
        <v>146</v>
      </c>
      <c r="J30" s="253"/>
      <c r="K30" s="253"/>
      <c r="L30" s="253"/>
      <c r="M30" s="265"/>
      <c r="N30" s="358" t="s">
        <v>371</v>
      </c>
      <c r="O30" s="265" t="s">
        <v>372</v>
      </c>
      <c r="P30" s="656" t="s">
        <v>373</v>
      </c>
      <c r="Q30" s="671" t="s">
        <v>209</v>
      </c>
      <c r="R30" s="728" t="s">
        <v>210</v>
      </c>
      <c r="S30" s="732" t="s">
        <v>211</v>
      </c>
      <c r="T30" s="116" t="str">
        <f t="shared" si="1"/>
        <v>ok</v>
      </c>
    </row>
    <row r="31" spans="1:21" ht="119.25" customHeight="1">
      <c r="A31" s="223" t="s">
        <v>374</v>
      </c>
      <c r="B31" s="390" t="s">
        <v>375</v>
      </c>
      <c r="C31" s="227" t="s">
        <v>18</v>
      </c>
      <c r="D31" s="227" t="s">
        <v>42</v>
      </c>
      <c r="E31" s="244" t="s">
        <v>376</v>
      </c>
      <c r="F31" s="203"/>
      <c r="G31" s="259"/>
      <c r="H31" s="68"/>
      <c r="I31" s="358" t="s">
        <v>146</v>
      </c>
      <c r="J31" s="253"/>
      <c r="K31" s="253"/>
      <c r="L31" s="253"/>
      <c r="M31" s="265"/>
      <c r="N31" s="358" t="s">
        <v>377</v>
      </c>
      <c r="O31" s="265" t="s">
        <v>378</v>
      </c>
      <c r="P31" s="656" t="s">
        <v>379</v>
      </c>
      <c r="Q31" s="671" t="s">
        <v>209</v>
      </c>
      <c r="R31" s="728" t="s">
        <v>210</v>
      </c>
      <c r="S31" s="732" t="s">
        <v>211</v>
      </c>
      <c r="T31" s="116" t="str">
        <f t="shared" si="1"/>
        <v>ok</v>
      </c>
    </row>
    <row r="32" spans="1:21" ht="276" customHeight="1">
      <c r="A32" s="223" t="s">
        <v>380</v>
      </c>
      <c r="B32" s="243" t="s">
        <v>381</v>
      </c>
      <c r="C32" s="227" t="s">
        <v>18</v>
      </c>
      <c r="D32" s="227" t="s">
        <v>42</v>
      </c>
      <c r="E32" s="245" t="s">
        <v>382</v>
      </c>
      <c r="F32" s="201" t="s">
        <v>383</v>
      </c>
      <c r="G32" s="260" t="s">
        <v>383</v>
      </c>
      <c r="H32" s="264"/>
      <c r="I32" s="358" t="s">
        <v>146</v>
      </c>
      <c r="J32" s="253"/>
      <c r="K32" s="253"/>
      <c r="L32" s="253"/>
      <c r="M32" s="265"/>
      <c r="N32" s="358" t="s">
        <v>384</v>
      </c>
      <c r="O32" s="752" t="s">
        <v>385</v>
      </c>
      <c r="P32" s="788" t="s">
        <v>386</v>
      </c>
      <c r="Q32" s="671" t="s">
        <v>209</v>
      </c>
      <c r="R32" s="728" t="s">
        <v>210</v>
      </c>
      <c r="S32" s="732" t="s">
        <v>211</v>
      </c>
      <c r="T32" s="116" t="str">
        <f t="shared" si="1"/>
        <v>ok</v>
      </c>
    </row>
    <row r="33" spans="1:20" ht="78.75" customHeight="1">
      <c r="A33" s="223" t="s">
        <v>387</v>
      </c>
      <c r="B33" s="243" t="s">
        <v>388</v>
      </c>
      <c r="C33" s="226" t="s">
        <v>55</v>
      </c>
      <c r="D33" s="226" t="s">
        <v>178</v>
      </c>
      <c r="E33" s="245" t="s">
        <v>389</v>
      </c>
      <c r="F33" s="201" t="s">
        <v>383</v>
      </c>
      <c r="G33" s="260" t="s">
        <v>383</v>
      </c>
      <c r="H33" s="264"/>
      <c r="I33" s="358" t="s">
        <v>146</v>
      </c>
      <c r="J33" s="253"/>
      <c r="K33" s="253"/>
      <c r="L33" s="253"/>
      <c r="M33" s="265"/>
      <c r="N33" s="358" t="s">
        <v>390</v>
      </c>
      <c r="O33" s="242" t="s">
        <v>391</v>
      </c>
      <c r="P33" s="667" t="s">
        <v>392</v>
      </c>
      <c r="Q33" s="671" t="s">
        <v>209</v>
      </c>
      <c r="R33" s="728" t="s">
        <v>210</v>
      </c>
      <c r="S33" s="732" t="s">
        <v>211</v>
      </c>
      <c r="T33" s="116" t="str">
        <f t="shared" si="1"/>
        <v>ok</v>
      </c>
    </row>
    <row r="34" spans="1:20" ht="104.25" customHeight="1">
      <c r="A34" s="223" t="s">
        <v>393</v>
      </c>
      <c r="B34" s="243" t="s">
        <v>394</v>
      </c>
      <c r="C34" s="226" t="s">
        <v>55</v>
      </c>
      <c r="D34" s="226" t="s">
        <v>178</v>
      </c>
      <c r="E34" s="245" t="s">
        <v>395</v>
      </c>
      <c r="F34" s="201" t="s">
        <v>383</v>
      </c>
      <c r="G34" s="260" t="s">
        <v>383</v>
      </c>
      <c r="H34" s="264"/>
      <c r="I34" s="358" t="s">
        <v>146</v>
      </c>
      <c r="J34" s="253"/>
      <c r="K34" s="253"/>
      <c r="L34" s="253"/>
      <c r="M34" s="265"/>
      <c r="N34" s="358" t="s">
        <v>396</v>
      </c>
      <c r="O34" s="265" t="s">
        <v>316</v>
      </c>
      <c r="P34" s="667" t="s">
        <v>392</v>
      </c>
      <c r="Q34" s="671" t="s">
        <v>209</v>
      </c>
      <c r="R34" s="728" t="s">
        <v>210</v>
      </c>
      <c r="S34" s="732" t="s">
        <v>211</v>
      </c>
      <c r="T34" s="116" t="str">
        <f t="shared" si="1"/>
        <v>ok</v>
      </c>
    </row>
    <row r="35" spans="1:20" ht="67.5" customHeight="1">
      <c r="A35" s="223" t="s">
        <v>397</v>
      </c>
      <c r="B35" s="243" t="s">
        <v>398</v>
      </c>
      <c r="C35" s="227" t="s">
        <v>18</v>
      </c>
      <c r="D35" s="227" t="s">
        <v>302</v>
      </c>
      <c r="E35" s="245" t="s">
        <v>399</v>
      </c>
      <c r="F35" s="201" t="s">
        <v>383</v>
      </c>
      <c r="G35" s="260" t="s">
        <v>383</v>
      </c>
      <c r="H35" s="264"/>
      <c r="I35" s="358" t="s">
        <v>146</v>
      </c>
      <c r="J35" s="253"/>
      <c r="K35" s="253"/>
      <c r="L35" s="253"/>
      <c r="M35" s="265"/>
      <c r="N35" s="358" t="s">
        <v>400</v>
      </c>
      <c r="O35" s="357" t="s">
        <v>401</v>
      </c>
      <c r="P35" s="656" t="s">
        <v>402</v>
      </c>
      <c r="Q35" s="671" t="s">
        <v>209</v>
      </c>
      <c r="R35" s="728" t="s">
        <v>210</v>
      </c>
      <c r="S35" s="732" t="s">
        <v>211</v>
      </c>
      <c r="T35" s="116" t="str">
        <f t="shared" si="1"/>
        <v>ok</v>
      </c>
    </row>
    <row r="36" spans="1:20" ht="67.5" customHeight="1">
      <c r="A36" s="223" t="s">
        <v>403</v>
      </c>
      <c r="B36" s="243" t="s">
        <v>404</v>
      </c>
      <c r="C36" s="227" t="s">
        <v>18</v>
      </c>
      <c r="D36" s="227" t="s">
        <v>302</v>
      </c>
      <c r="E36" s="245" t="s">
        <v>405</v>
      </c>
      <c r="F36" s="201" t="s">
        <v>383</v>
      </c>
      <c r="G36" s="260" t="s">
        <v>383</v>
      </c>
      <c r="H36" s="264"/>
      <c r="I36" s="358" t="s">
        <v>146</v>
      </c>
      <c r="J36" s="253"/>
      <c r="K36" s="253"/>
      <c r="L36" s="253"/>
      <c r="M36" s="265"/>
      <c r="N36" s="358" t="s">
        <v>406</v>
      </c>
      <c r="O36" s="357" t="s">
        <v>401</v>
      </c>
      <c r="P36" s="656" t="s">
        <v>402</v>
      </c>
      <c r="Q36" s="671" t="s">
        <v>209</v>
      </c>
      <c r="R36" s="728" t="s">
        <v>210</v>
      </c>
      <c r="S36" s="732" t="s">
        <v>211</v>
      </c>
      <c r="T36" s="116" t="str">
        <f t="shared" si="1"/>
        <v>ok</v>
      </c>
    </row>
    <row r="37" spans="1:20" ht="113.25" customHeight="1">
      <c r="A37" s="223" t="s">
        <v>407</v>
      </c>
      <c r="B37" s="243" t="s">
        <v>408</v>
      </c>
      <c r="C37" s="226" t="s">
        <v>55</v>
      </c>
      <c r="D37" s="226" t="s">
        <v>178</v>
      </c>
      <c r="E37" s="245" t="s">
        <v>409</v>
      </c>
      <c r="F37" s="201" t="s">
        <v>383</v>
      </c>
      <c r="G37" s="260" t="s">
        <v>383</v>
      </c>
      <c r="H37" s="264"/>
      <c r="I37" s="358" t="s">
        <v>146</v>
      </c>
      <c r="J37" s="253"/>
      <c r="K37" s="253"/>
      <c r="L37" s="253"/>
      <c r="M37" s="242"/>
      <c r="N37" s="349" t="s">
        <v>410</v>
      </c>
      <c r="O37" s="242" t="s">
        <v>316</v>
      </c>
      <c r="P37" s="656" t="s">
        <v>411</v>
      </c>
      <c r="Q37" s="671" t="s">
        <v>209</v>
      </c>
      <c r="R37" s="728" t="s">
        <v>210</v>
      </c>
      <c r="S37" s="732" t="s">
        <v>211</v>
      </c>
      <c r="T37" s="116" t="str">
        <f t="shared" si="1"/>
        <v>ok</v>
      </c>
    </row>
    <row r="38" spans="1:20" ht="93" customHeight="1">
      <c r="A38" s="223" t="s">
        <v>412</v>
      </c>
      <c r="B38" s="243" t="s">
        <v>413</v>
      </c>
      <c r="C38" s="227" t="s">
        <v>18</v>
      </c>
      <c r="D38" s="227" t="s">
        <v>42</v>
      </c>
      <c r="E38" s="245" t="s">
        <v>414</v>
      </c>
      <c r="F38" s="201" t="s">
        <v>383</v>
      </c>
      <c r="G38" s="260" t="s">
        <v>383</v>
      </c>
      <c r="H38" s="264"/>
      <c r="I38" s="358" t="s">
        <v>146</v>
      </c>
      <c r="J38" s="253"/>
      <c r="K38" s="253"/>
      <c r="L38" s="253"/>
      <c r="M38" s="265"/>
      <c r="N38" s="358" t="s">
        <v>415</v>
      </c>
      <c r="O38" s="752" t="s">
        <v>416</v>
      </c>
      <c r="P38" s="788" t="s">
        <v>417</v>
      </c>
      <c r="Q38" s="671" t="s">
        <v>209</v>
      </c>
      <c r="R38" s="728" t="s">
        <v>210</v>
      </c>
      <c r="S38" s="732" t="s">
        <v>211</v>
      </c>
      <c r="T38" s="116" t="str">
        <f t="shared" si="1"/>
        <v>ok</v>
      </c>
    </row>
    <row r="39" spans="1:20" ht="147" customHeight="1">
      <c r="A39" s="223" t="s">
        <v>418</v>
      </c>
      <c r="B39" s="243" t="s">
        <v>419</v>
      </c>
      <c r="C39" s="226" t="s">
        <v>55</v>
      </c>
      <c r="D39" s="226" t="s">
        <v>178</v>
      </c>
      <c r="E39" s="245" t="s">
        <v>420</v>
      </c>
      <c r="F39" s="201" t="s">
        <v>383</v>
      </c>
      <c r="G39" s="260" t="s">
        <v>383</v>
      </c>
      <c r="H39" s="264"/>
      <c r="I39" s="358" t="s">
        <v>146</v>
      </c>
      <c r="J39" s="253"/>
      <c r="K39" s="253"/>
      <c r="L39" s="253"/>
      <c r="M39" s="242"/>
      <c r="N39" s="349" t="s">
        <v>421</v>
      </c>
      <c r="O39" s="265" t="s">
        <v>316</v>
      </c>
      <c r="P39" s="667" t="s">
        <v>392</v>
      </c>
      <c r="Q39" s="671" t="s">
        <v>209</v>
      </c>
      <c r="R39" s="728" t="s">
        <v>210</v>
      </c>
      <c r="S39" s="732" t="s">
        <v>211</v>
      </c>
      <c r="T39" s="116" t="str">
        <f t="shared" si="1"/>
        <v>ok</v>
      </c>
    </row>
    <row r="40" spans="1:20" ht="70.5" customHeight="1">
      <c r="A40" s="223" t="s">
        <v>422</v>
      </c>
      <c r="B40" s="243" t="s">
        <v>423</v>
      </c>
      <c r="C40" s="226" t="s">
        <v>55</v>
      </c>
      <c r="D40" s="226" t="s">
        <v>178</v>
      </c>
      <c r="E40" s="245" t="s">
        <v>424</v>
      </c>
      <c r="F40" s="201" t="s">
        <v>383</v>
      </c>
      <c r="G40" s="261" t="s">
        <v>263</v>
      </c>
      <c r="H40" s="264"/>
      <c r="I40" s="358" t="s">
        <v>146</v>
      </c>
      <c r="J40" s="253"/>
      <c r="K40" s="253"/>
      <c r="L40" s="253"/>
      <c r="M40" s="242"/>
      <c r="N40" s="349" t="s">
        <v>425</v>
      </c>
      <c r="O40" s="265" t="s">
        <v>316</v>
      </c>
      <c r="P40" s="667" t="s">
        <v>392</v>
      </c>
      <c r="Q40" s="671" t="s">
        <v>209</v>
      </c>
      <c r="R40" s="728" t="s">
        <v>210</v>
      </c>
      <c r="S40" s="732" t="s">
        <v>211</v>
      </c>
      <c r="T40" s="116" t="str">
        <f t="shared" si="1"/>
        <v>ok</v>
      </c>
    </row>
    <row r="41" spans="1:20" ht="85.5" customHeight="1">
      <c r="A41" s="223" t="s">
        <v>426</v>
      </c>
      <c r="B41" s="243" t="s">
        <v>427</v>
      </c>
      <c r="C41" s="227" t="s">
        <v>18</v>
      </c>
      <c r="D41" s="227" t="s">
        <v>19</v>
      </c>
      <c r="E41" s="245" t="s">
        <v>428</v>
      </c>
      <c r="F41" s="201" t="s">
        <v>383</v>
      </c>
      <c r="G41" s="260" t="s">
        <v>383</v>
      </c>
      <c r="H41" s="264"/>
      <c r="I41" s="358" t="s">
        <v>146</v>
      </c>
      <c r="J41" s="253"/>
      <c r="K41" s="253"/>
      <c r="L41" s="253"/>
      <c r="M41" s="265"/>
      <c r="N41" s="358" t="s">
        <v>429</v>
      </c>
      <c r="O41" s="242" t="s">
        <v>297</v>
      </c>
      <c r="P41" s="667" t="s">
        <v>392</v>
      </c>
      <c r="Q41" s="671" t="s">
        <v>209</v>
      </c>
      <c r="R41" s="728" t="s">
        <v>210</v>
      </c>
      <c r="S41" s="732" t="s">
        <v>211</v>
      </c>
      <c r="T41" s="116" t="str">
        <f t="shared" si="1"/>
        <v>ok</v>
      </c>
    </row>
    <row r="42" spans="1:20" ht="117.75" customHeight="1">
      <c r="A42" s="223" t="s">
        <v>430</v>
      </c>
      <c r="B42" s="243" t="s">
        <v>431</v>
      </c>
      <c r="C42" s="227" t="s">
        <v>18</v>
      </c>
      <c r="D42" s="227" t="s">
        <v>42</v>
      </c>
      <c r="E42" s="245" t="s">
        <v>432</v>
      </c>
      <c r="F42" s="379" t="s">
        <v>180</v>
      </c>
      <c r="G42" s="380" t="s">
        <v>263</v>
      </c>
      <c r="H42" s="264"/>
      <c r="I42" s="358" t="s">
        <v>146</v>
      </c>
      <c r="J42" s="253"/>
      <c r="K42" s="253"/>
      <c r="L42" s="253"/>
      <c r="M42" s="265"/>
      <c r="N42" s="358" t="s">
        <v>433</v>
      </c>
      <c r="O42" s="242" t="s">
        <v>297</v>
      </c>
      <c r="P42" s="667" t="s">
        <v>392</v>
      </c>
      <c r="Q42" s="671" t="s">
        <v>209</v>
      </c>
      <c r="R42" s="728" t="s">
        <v>210</v>
      </c>
      <c r="S42" s="732" t="s">
        <v>211</v>
      </c>
      <c r="T42" s="116" t="str">
        <f t="shared" si="1"/>
        <v>ok</v>
      </c>
    </row>
    <row r="43" spans="1:20" ht="55.5" customHeight="1">
      <c r="A43" s="223" t="s">
        <v>434</v>
      </c>
      <c r="B43" s="243" t="s">
        <v>435</v>
      </c>
      <c r="C43" s="227" t="s">
        <v>18</v>
      </c>
      <c r="D43" s="227" t="s">
        <v>19</v>
      </c>
      <c r="E43" s="245" t="s">
        <v>436</v>
      </c>
      <c r="F43" s="201" t="s">
        <v>383</v>
      </c>
      <c r="G43" s="260" t="s">
        <v>383</v>
      </c>
      <c r="H43" s="264"/>
      <c r="I43" s="358" t="s">
        <v>146</v>
      </c>
      <c r="J43" s="253"/>
      <c r="K43" s="253"/>
      <c r="L43" s="253"/>
      <c r="M43" s="265"/>
      <c r="N43" s="358" t="s">
        <v>437</v>
      </c>
      <c r="O43" s="242" t="s">
        <v>297</v>
      </c>
      <c r="P43" s="667" t="s">
        <v>392</v>
      </c>
      <c r="Q43" s="671" t="s">
        <v>209</v>
      </c>
      <c r="R43" s="728" t="s">
        <v>210</v>
      </c>
      <c r="S43" s="732" t="s">
        <v>211</v>
      </c>
      <c r="T43" s="116" t="str">
        <f t="shared" si="1"/>
        <v>ok</v>
      </c>
    </row>
    <row r="44" spans="1:20" ht="244.5" customHeight="1">
      <c r="A44" s="223" t="s">
        <v>438</v>
      </c>
      <c r="B44" s="243" t="s">
        <v>439</v>
      </c>
      <c r="C44" s="227" t="s">
        <v>18</v>
      </c>
      <c r="D44" s="227" t="s">
        <v>42</v>
      </c>
      <c r="E44" s="245" t="s">
        <v>440</v>
      </c>
      <c r="F44" s="201" t="s">
        <v>383</v>
      </c>
      <c r="G44" s="260" t="s">
        <v>383</v>
      </c>
      <c r="H44" s="264"/>
      <c r="I44" s="358" t="s">
        <v>231</v>
      </c>
      <c r="J44" s="253" t="s">
        <v>441</v>
      </c>
      <c r="K44" s="253"/>
      <c r="L44" s="253" t="str" cm="1">
        <f t="array" ref="L44">_xlfn.SWITCH(C44,"Numeric","999999999999999","String","Not applicable","Date","0001-01-01")</f>
        <v>Not applicable</v>
      </c>
      <c r="M44" s="265" t="s">
        <v>442</v>
      </c>
      <c r="N44" s="358" t="s">
        <v>443</v>
      </c>
      <c r="O44" s="265" t="s">
        <v>441</v>
      </c>
      <c r="P44" s="656" t="s">
        <v>444</v>
      </c>
      <c r="Q44" s="671" t="s">
        <v>66</v>
      </c>
      <c r="R44" s="728" t="s">
        <v>210</v>
      </c>
      <c r="S44" s="732" t="s">
        <v>211</v>
      </c>
      <c r="T44" s="116" t="str">
        <f t="shared" si="1"/>
        <v>ok</v>
      </c>
    </row>
    <row r="45" spans="1:20" ht="129.75" customHeight="1">
      <c r="A45" s="246" t="s">
        <v>445</v>
      </c>
      <c r="B45" s="243">
        <v>370</v>
      </c>
      <c r="C45" s="226" t="s">
        <v>55</v>
      </c>
      <c r="D45" s="226" t="s">
        <v>178</v>
      </c>
      <c r="E45" s="245" t="s">
        <v>446</v>
      </c>
      <c r="F45" s="201" t="s">
        <v>383</v>
      </c>
      <c r="G45" s="260" t="s">
        <v>383</v>
      </c>
      <c r="H45" s="264"/>
      <c r="I45" s="358" t="s">
        <v>231</v>
      </c>
      <c r="J45" s="253" t="s">
        <v>447</v>
      </c>
      <c r="K45" s="253"/>
      <c r="L45" s="253" t="str" cm="1">
        <f t="array" ref="L45">_xlfn.SWITCH(C45,"Numeric","999999999999999","String","Not applicable","Date","0001-01-01")</f>
        <v>999999999999999</v>
      </c>
      <c r="M45" s="265" t="s">
        <v>448</v>
      </c>
      <c r="N45" s="358" t="s">
        <v>449</v>
      </c>
      <c r="O45" s="265" t="s">
        <v>447</v>
      </c>
      <c r="P45" s="656" t="s">
        <v>450</v>
      </c>
      <c r="Q45" s="671" t="s">
        <v>66</v>
      </c>
      <c r="R45" s="728" t="s">
        <v>210</v>
      </c>
      <c r="S45" s="732" t="s">
        <v>211</v>
      </c>
      <c r="T45" s="116" t="str">
        <f t="shared" si="1"/>
        <v>ok</v>
      </c>
    </row>
    <row r="46" spans="1:20" ht="117.75" customHeight="1">
      <c r="A46" s="246" t="s">
        <v>451</v>
      </c>
      <c r="B46" s="243" t="s">
        <v>452</v>
      </c>
      <c r="C46" s="226" t="s">
        <v>55</v>
      </c>
      <c r="D46" s="226" t="s">
        <v>178</v>
      </c>
      <c r="E46" s="245" t="s">
        <v>453</v>
      </c>
      <c r="F46" s="201" t="s">
        <v>383</v>
      </c>
      <c r="G46" s="260" t="s">
        <v>383</v>
      </c>
      <c r="H46" s="264"/>
      <c r="I46" s="358" t="s">
        <v>231</v>
      </c>
      <c r="J46" s="253" t="s">
        <v>454</v>
      </c>
      <c r="K46" s="253"/>
      <c r="L46" s="253" t="str" cm="1">
        <f t="array" ref="L46">_xlfn.SWITCH(C46,"Numeric","999999999999999","String","Not applicable","Date","0001-01-01")</f>
        <v>999999999999999</v>
      </c>
      <c r="M46" s="265" t="s">
        <v>455</v>
      </c>
      <c r="N46" s="358" t="s">
        <v>456</v>
      </c>
      <c r="O46" s="265" t="s">
        <v>454</v>
      </c>
      <c r="P46" s="656" t="s">
        <v>457</v>
      </c>
      <c r="Q46" s="671" t="s">
        <v>66</v>
      </c>
      <c r="R46" s="728" t="s">
        <v>210</v>
      </c>
      <c r="S46" s="732" t="s">
        <v>211</v>
      </c>
      <c r="T46" s="116" t="str">
        <f t="shared" si="1"/>
        <v>ok</v>
      </c>
    </row>
    <row r="47" spans="1:20" ht="153" customHeight="1">
      <c r="A47" s="246" t="s">
        <v>458</v>
      </c>
      <c r="B47" s="243">
        <v>390</v>
      </c>
      <c r="C47" s="226" t="s">
        <v>55</v>
      </c>
      <c r="D47" s="226" t="s">
        <v>144</v>
      </c>
      <c r="E47" s="245" t="s">
        <v>459</v>
      </c>
      <c r="F47" s="201" t="s">
        <v>383</v>
      </c>
      <c r="G47" s="260" t="s">
        <v>383</v>
      </c>
      <c r="H47" s="264"/>
      <c r="I47" s="358" t="s">
        <v>146</v>
      </c>
      <c r="J47" s="253"/>
      <c r="K47" s="253"/>
      <c r="L47" s="253"/>
      <c r="M47" s="265"/>
      <c r="N47" s="358" t="s">
        <v>460</v>
      </c>
      <c r="O47" s="265" t="s">
        <v>461</v>
      </c>
      <c r="P47" s="656" t="s">
        <v>462</v>
      </c>
      <c r="Q47" s="671" t="s">
        <v>209</v>
      </c>
      <c r="R47" s="728" t="s">
        <v>210</v>
      </c>
      <c r="S47" s="732" t="s">
        <v>211</v>
      </c>
      <c r="T47" s="116" t="str">
        <f t="shared" si="1"/>
        <v>ok</v>
      </c>
    </row>
    <row r="48" spans="1:20" ht="135" customHeight="1">
      <c r="A48" s="246" t="s">
        <v>463</v>
      </c>
      <c r="B48" s="243" t="s">
        <v>464</v>
      </c>
      <c r="C48" s="226" t="s">
        <v>55</v>
      </c>
      <c r="D48" s="226" t="s">
        <v>144</v>
      </c>
      <c r="E48" s="245" t="s">
        <v>465</v>
      </c>
      <c r="F48" s="201" t="s">
        <v>383</v>
      </c>
      <c r="G48" s="260" t="s">
        <v>383</v>
      </c>
      <c r="H48" s="264"/>
      <c r="I48" s="358" t="s">
        <v>146</v>
      </c>
      <c r="J48" s="253"/>
      <c r="K48" s="253"/>
      <c r="L48" s="253"/>
      <c r="M48" s="265"/>
      <c r="N48" s="358" t="s">
        <v>466</v>
      </c>
      <c r="O48" s="265" t="s">
        <v>467</v>
      </c>
      <c r="P48" s="656" t="s">
        <v>468</v>
      </c>
      <c r="Q48" s="671" t="s">
        <v>209</v>
      </c>
      <c r="R48" s="728" t="s">
        <v>210</v>
      </c>
      <c r="S48" s="732" t="s">
        <v>211</v>
      </c>
      <c r="T48" s="116" t="str">
        <f t="shared" si="1"/>
        <v>ok</v>
      </c>
    </row>
    <row r="49" spans="1:20" ht="205.5" customHeight="1">
      <c r="A49" s="246" t="s">
        <v>469</v>
      </c>
      <c r="B49" s="243" t="s">
        <v>470</v>
      </c>
      <c r="C49" s="226" t="s">
        <v>55</v>
      </c>
      <c r="D49" s="226" t="s">
        <v>56</v>
      </c>
      <c r="E49" s="245" t="s">
        <v>471</v>
      </c>
      <c r="F49" s="201" t="s">
        <v>383</v>
      </c>
      <c r="G49" s="260" t="s">
        <v>383</v>
      </c>
      <c r="H49" s="264"/>
      <c r="I49" s="358" t="s">
        <v>146</v>
      </c>
      <c r="J49" s="253"/>
      <c r="K49" s="253"/>
      <c r="L49" s="253"/>
      <c r="M49" s="265"/>
      <c r="N49" s="358" t="s">
        <v>472</v>
      </c>
      <c r="O49" s="265" t="s">
        <v>473</v>
      </c>
      <c r="P49" s="656" t="s">
        <v>474</v>
      </c>
      <c r="Q49" s="671" t="s">
        <v>209</v>
      </c>
      <c r="R49" s="728" t="s">
        <v>210</v>
      </c>
      <c r="S49" s="732" t="s">
        <v>269</v>
      </c>
      <c r="T49" s="116" t="str">
        <f t="shared" si="1"/>
        <v>ok</v>
      </c>
    </row>
    <row r="50" spans="1:20" ht="153.75" customHeight="1">
      <c r="A50" s="246" t="s">
        <v>475</v>
      </c>
      <c r="B50" s="243" t="s">
        <v>476</v>
      </c>
      <c r="C50" s="226" t="s">
        <v>55</v>
      </c>
      <c r="D50" s="226" t="s">
        <v>56</v>
      </c>
      <c r="E50" s="245" t="s">
        <v>477</v>
      </c>
      <c r="F50" s="201" t="s">
        <v>383</v>
      </c>
      <c r="G50" s="260" t="s">
        <v>383</v>
      </c>
      <c r="H50" s="264"/>
      <c r="I50" s="358" t="s">
        <v>146</v>
      </c>
      <c r="J50" s="253"/>
      <c r="K50" s="253"/>
      <c r="L50" s="253"/>
      <c r="M50" s="265"/>
      <c r="N50" s="358" t="s">
        <v>478</v>
      </c>
      <c r="O50" s="265" t="s">
        <v>479</v>
      </c>
      <c r="P50" s="656" t="s">
        <v>480</v>
      </c>
      <c r="Q50" s="671" t="s">
        <v>209</v>
      </c>
      <c r="R50" s="728" t="s">
        <v>210</v>
      </c>
      <c r="S50" s="732" t="s">
        <v>211</v>
      </c>
      <c r="T50" s="116" t="str">
        <f t="shared" si="1"/>
        <v>ok</v>
      </c>
    </row>
    <row r="51" spans="1:20" ht="87" customHeight="1">
      <c r="A51" s="246" t="s">
        <v>481</v>
      </c>
      <c r="B51" s="243" t="s">
        <v>482</v>
      </c>
      <c r="C51" s="226" t="s">
        <v>55</v>
      </c>
      <c r="D51" s="226" t="s">
        <v>56</v>
      </c>
      <c r="E51" s="245" t="s">
        <v>483</v>
      </c>
      <c r="F51" s="201" t="s">
        <v>383</v>
      </c>
      <c r="G51" s="260" t="s">
        <v>383</v>
      </c>
      <c r="H51" s="264"/>
      <c r="I51" s="358" t="s">
        <v>146</v>
      </c>
      <c r="J51" s="253"/>
      <c r="K51" s="253"/>
      <c r="L51" s="253"/>
      <c r="M51" s="265"/>
      <c r="N51" s="358" t="s">
        <v>484</v>
      </c>
      <c r="O51" s="265" t="s">
        <v>316</v>
      </c>
      <c r="P51" s="656" t="s">
        <v>485</v>
      </c>
      <c r="Q51" s="671" t="s">
        <v>209</v>
      </c>
      <c r="R51" s="728" t="s">
        <v>210</v>
      </c>
      <c r="S51" s="732" t="s">
        <v>211</v>
      </c>
      <c r="T51" s="116" t="str">
        <f t="shared" si="1"/>
        <v>ok</v>
      </c>
    </row>
    <row r="52" spans="1:20" ht="165" customHeight="1">
      <c r="A52" s="246" t="s">
        <v>486</v>
      </c>
      <c r="B52" s="243" t="s">
        <v>487</v>
      </c>
      <c r="C52" s="226" t="s">
        <v>55</v>
      </c>
      <c r="D52" s="226" t="s">
        <v>178</v>
      </c>
      <c r="E52" s="245" t="s">
        <v>488</v>
      </c>
      <c r="F52" s="202" t="s">
        <v>230</v>
      </c>
      <c r="G52" s="260" t="s">
        <v>383</v>
      </c>
      <c r="H52" s="264"/>
      <c r="I52" s="358" t="s">
        <v>146</v>
      </c>
      <c r="J52" s="253"/>
      <c r="K52" s="253"/>
      <c r="L52" s="253"/>
      <c r="M52" s="265"/>
      <c r="N52" s="358" t="s">
        <v>489</v>
      </c>
      <c r="O52" s="265" t="s">
        <v>316</v>
      </c>
      <c r="P52" s="656" t="s">
        <v>490</v>
      </c>
      <c r="Q52" s="671" t="s">
        <v>209</v>
      </c>
      <c r="R52" s="728" t="s">
        <v>210</v>
      </c>
      <c r="S52" s="732" t="s">
        <v>211</v>
      </c>
      <c r="T52" s="116" t="str">
        <f t="shared" si="1"/>
        <v>ok</v>
      </c>
    </row>
    <row r="53" spans="1:20" ht="114.75" customHeight="1">
      <c r="A53" s="246" t="s">
        <v>491</v>
      </c>
      <c r="B53" s="243" t="s">
        <v>492</v>
      </c>
      <c r="C53" s="226" t="s">
        <v>55</v>
      </c>
      <c r="D53" s="226" t="s">
        <v>178</v>
      </c>
      <c r="E53" s="245" t="s">
        <v>493</v>
      </c>
      <c r="F53" s="202" t="s">
        <v>230</v>
      </c>
      <c r="G53" s="260" t="s">
        <v>383</v>
      </c>
      <c r="H53" s="264"/>
      <c r="I53" s="358" t="s">
        <v>146</v>
      </c>
      <c r="J53" s="253"/>
      <c r="K53" s="253"/>
      <c r="L53" s="253"/>
      <c r="M53" s="265"/>
      <c r="N53" s="358" t="s">
        <v>494</v>
      </c>
      <c r="O53" s="265" t="s">
        <v>316</v>
      </c>
      <c r="P53" s="656" t="s">
        <v>495</v>
      </c>
      <c r="Q53" s="671" t="s">
        <v>209</v>
      </c>
      <c r="R53" s="728" t="s">
        <v>210</v>
      </c>
      <c r="S53" s="732" t="s">
        <v>211</v>
      </c>
      <c r="T53" s="116" t="str">
        <f t="shared" si="1"/>
        <v>ok</v>
      </c>
    </row>
    <row r="54" spans="1:20" ht="165" customHeight="1">
      <c r="A54" s="246" t="s">
        <v>496</v>
      </c>
      <c r="B54" s="243">
        <v>440</v>
      </c>
      <c r="C54" s="227" t="s">
        <v>18</v>
      </c>
      <c r="D54" s="227" t="s">
        <v>42</v>
      </c>
      <c r="E54" s="245" t="s">
        <v>497</v>
      </c>
      <c r="F54" s="202" t="s">
        <v>180</v>
      </c>
      <c r="G54" s="260" t="s">
        <v>383</v>
      </c>
      <c r="H54" s="264"/>
      <c r="I54" s="358" t="s">
        <v>146</v>
      </c>
      <c r="J54" s="253"/>
      <c r="K54" s="253"/>
      <c r="L54" s="253"/>
      <c r="M54" s="265"/>
      <c r="N54" s="358" t="s">
        <v>498</v>
      </c>
      <c r="O54" s="242" t="s">
        <v>297</v>
      </c>
      <c r="P54" s="656" t="s">
        <v>499</v>
      </c>
      <c r="Q54" s="671" t="s">
        <v>209</v>
      </c>
      <c r="R54" s="728" t="s">
        <v>210</v>
      </c>
      <c r="S54" s="732" t="s">
        <v>211</v>
      </c>
      <c r="T54" s="116" t="str">
        <f t="shared" si="1"/>
        <v>ok</v>
      </c>
    </row>
    <row r="55" spans="1:20" ht="195.75" customHeight="1">
      <c r="A55" s="223" t="s">
        <v>500</v>
      </c>
      <c r="B55" s="243" t="s">
        <v>501</v>
      </c>
      <c r="C55" s="226" t="s">
        <v>55</v>
      </c>
      <c r="D55" s="226" t="s">
        <v>502</v>
      </c>
      <c r="E55" s="245" t="s">
        <v>503</v>
      </c>
      <c r="F55" s="387" t="s">
        <v>504</v>
      </c>
      <c r="G55" s="388" t="s">
        <v>383</v>
      </c>
      <c r="H55" s="264"/>
      <c r="I55" s="358" t="s">
        <v>146</v>
      </c>
      <c r="J55" s="253"/>
      <c r="K55" s="253"/>
      <c r="L55" s="547"/>
      <c r="M55" s="265"/>
      <c r="N55" s="358" t="s">
        <v>505</v>
      </c>
      <c r="O55" s="265" t="s">
        <v>506</v>
      </c>
      <c r="P55" s="656" t="s">
        <v>507</v>
      </c>
      <c r="Q55" s="671" t="s">
        <v>209</v>
      </c>
      <c r="R55" s="728" t="s">
        <v>210</v>
      </c>
      <c r="S55" s="732" t="s">
        <v>211</v>
      </c>
      <c r="T55" s="116" t="str">
        <f t="shared" si="1"/>
        <v>ok</v>
      </c>
    </row>
    <row r="56" spans="1:20" ht="291.75" customHeight="1">
      <c r="A56" s="223" t="s">
        <v>508</v>
      </c>
      <c r="B56" s="243" t="s">
        <v>509</v>
      </c>
      <c r="C56" s="227" t="s">
        <v>18</v>
      </c>
      <c r="D56" s="227" t="s">
        <v>319</v>
      </c>
      <c r="E56" s="245" t="s">
        <v>510</v>
      </c>
      <c r="F56" s="389" t="s">
        <v>383</v>
      </c>
      <c r="G56" s="388" t="s">
        <v>383</v>
      </c>
      <c r="H56" s="264"/>
      <c r="I56" s="358" t="s">
        <v>231</v>
      </c>
      <c r="J56" s="253" t="s">
        <v>511</v>
      </c>
      <c r="K56" s="253"/>
      <c r="L56" s="253" t="str" cm="1">
        <f t="array" ref="L56">_xlfn.SWITCH(C56,"Numeric","999999999999999","String","Not applicable","Date","0001-01-01")</f>
        <v>Not applicable</v>
      </c>
      <c r="M56" s="265" t="s">
        <v>512</v>
      </c>
      <c r="N56" s="358" t="s">
        <v>513</v>
      </c>
      <c r="O56" s="265" t="s">
        <v>511</v>
      </c>
      <c r="P56" s="656" t="s">
        <v>514</v>
      </c>
      <c r="Q56" s="671" t="s">
        <v>66</v>
      </c>
      <c r="R56" s="728" t="s">
        <v>210</v>
      </c>
      <c r="S56" s="732" t="s">
        <v>211</v>
      </c>
      <c r="T56" s="116" t="str">
        <f t="shared" si="1"/>
        <v>ok</v>
      </c>
    </row>
    <row r="57" spans="1:20" ht="101.25" customHeight="1">
      <c r="A57" s="223" t="s">
        <v>515</v>
      </c>
      <c r="B57" s="243" t="s">
        <v>516</v>
      </c>
      <c r="C57" s="227" t="s">
        <v>18</v>
      </c>
      <c r="D57" s="227" t="s">
        <v>19</v>
      </c>
      <c r="E57" s="245" t="s">
        <v>517</v>
      </c>
      <c r="F57" s="389" t="s">
        <v>383</v>
      </c>
      <c r="G57" s="388" t="s">
        <v>383</v>
      </c>
      <c r="H57" s="264"/>
      <c r="I57" s="358" t="s">
        <v>231</v>
      </c>
      <c r="J57" s="253" t="s">
        <v>518</v>
      </c>
      <c r="K57" s="253"/>
      <c r="L57" s="253" t="str" cm="1">
        <f t="array" ref="L57">_xlfn.SWITCH(C57,"Numeric","999999999999999","String","Not applicable","Date","0001-01-01")</f>
        <v>Not applicable</v>
      </c>
      <c r="M57" s="242" t="s">
        <v>519</v>
      </c>
      <c r="N57" s="358" t="s">
        <v>520</v>
      </c>
      <c r="O57" s="265" t="s">
        <v>518</v>
      </c>
      <c r="P57" s="656" t="s">
        <v>514</v>
      </c>
      <c r="Q57" s="671" t="s">
        <v>66</v>
      </c>
      <c r="R57" s="728" t="s">
        <v>210</v>
      </c>
      <c r="S57" s="732" t="s">
        <v>211</v>
      </c>
      <c r="T57" s="116" t="str">
        <f t="shared" si="1"/>
        <v>ok</v>
      </c>
    </row>
    <row r="58" spans="1:20" ht="77.25" customHeight="1">
      <c r="A58" s="223" t="s">
        <v>521</v>
      </c>
      <c r="B58" s="243" t="s">
        <v>522</v>
      </c>
      <c r="C58" s="227" t="s">
        <v>18</v>
      </c>
      <c r="D58" s="227" t="s">
        <v>19</v>
      </c>
      <c r="E58" s="245" t="s">
        <v>523</v>
      </c>
      <c r="F58" s="389" t="s">
        <v>383</v>
      </c>
      <c r="G58" s="388" t="s">
        <v>383</v>
      </c>
      <c r="H58" s="264"/>
      <c r="I58" s="358" t="s">
        <v>146</v>
      </c>
      <c r="J58" s="253"/>
      <c r="K58" s="253"/>
      <c r="L58" s="253"/>
      <c r="M58" s="265"/>
      <c r="N58" s="358" t="s">
        <v>524</v>
      </c>
      <c r="O58" s="242" t="s">
        <v>297</v>
      </c>
      <c r="P58" s="656" t="s">
        <v>525</v>
      </c>
      <c r="Q58" s="671" t="s">
        <v>209</v>
      </c>
      <c r="R58" s="728" t="s">
        <v>210</v>
      </c>
      <c r="S58" s="732" t="s">
        <v>211</v>
      </c>
      <c r="T58" s="116" t="str">
        <f t="shared" si="1"/>
        <v>ok</v>
      </c>
    </row>
    <row r="59" spans="1:20" ht="168.75" customHeight="1">
      <c r="A59" s="223" t="s">
        <v>526</v>
      </c>
      <c r="B59" s="243" t="s">
        <v>527</v>
      </c>
      <c r="C59" s="227" t="s">
        <v>18</v>
      </c>
      <c r="D59" s="227" t="s">
        <v>19</v>
      </c>
      <c r="E59" s="245" t="s">
        <v>528</v>
      </c>
      <c r="F59" s="387" t="s">
        <v>180</v>
      </c>
      <c r="G59" s="388" t="s">
        <v>383</v>
      </c>
      <c r="H59" s="264"/>
      <c r="I59" s="358" t="s">
        <v>231</v>
      </c>
      <c r="J59" s="253" t="s">
        <v>529</v>
      </c>
      <c r="K59" s="253"/>
      <c r="L59" s="253" t="str" cm="1">
        <f t="array" ref="L59">_xlfn.SWITCH(C59,"Numeric","999999999999999","String","Not applicable","Date","0001-01-01")</f>
        <v>Not applicable</v>
      </c>
      <c r="M59" s="265" t="s">
        <v>530</v>
      </c>
      <c r="N59" s="358" t="s">
        <v>531</v>
      </c>
      <c r="O59" s="265" t="s">
        <v>529</v>
      </c>
      <c r="P59" s="656" t="s">
        <v>514</v>
      </c>
      <c r="Q59" s="671" t="s">
        <v>66</v>
      </c>
      <c r="R59" s="728" t="s">
        <v>210</v>
      </c>
      <c r="S59" s="732" t="s">
        <v>211</v>
      </c>
      <c r="T59" s="116" t="str">
        <f t="shared" si="1"/>
        <v>ok</v>
      </c>
    </row>
    <row r="60" spans="1:20" ht="143.25" customHeight="1">
      <c r="A60" s="223" t="s">
        <v>532</v>
      </c>
      <c r="B60" s="408" t="s">
        <v>533</v>
      </c>
      <c r="C60" s="409" t="s">
        <v>18</v>
      </c>
      <c r="D60" s="409" t="s">
        <v>19</v>
      </c>
      <c r="E60" s="410" t="s">
        <v>534</v>
      </c>
      <c r="F60" s="411" t="s">
        <v>180</v>
      </c>
      <c r="G60" s="388" t="s">
        <v>383</v>
      </c>
      <c r="H60" s="264"/>
      <c r="I60" s="358" t="s">
        <v>231</v>
      </c>
      <c r="J60" s="253" t="s">
        <v>535</v>
      </c>
      <c r="K60" s="253"/>
      <c r="L60" s="253" t="str" cm="1">
        <f t="array" ref="L60">_xlfn.SWITCH(C60,"Numeric","999999999999999","String","Not applicable","Date","0001-01-01")</f>
        <v>Not applicable</v>
      </c>
      <c r="M60" s="265" t="s">
        <v>536</v>
      </c>
      <c r="N60" s="358" t="s">
        <v>537</v>
      </c>
      <c r="O60" s="265" t="s">
        <v>535</v>
      </c>
      <c r="P60" s="656" t="s">
        <v>514</v>
      </c>
      <c r="Q60" s="671" t="s">
        <v>66</v>
      </c>
      <c r="R60" s="728" t="s">
        <v>210</v>
      </c>
      <c r="S60" s="732" t="s">
        <v>211</v>
      </c>
      <c r="T60" s="116" t="str">
        <f t="shared" ref="T60:T85" si="2">IF(SEARCH(B60,N60,4),"ok","nok")</f>
        <v>ok</v>
      </c>
    </row>
    <row r="61" spans="1:20" ht="227.25" customHeight="1">
      <c r="A61" s="406" t="s">
        <v>538</v>
      </c>
      <c r="B61" s="243" t="s">
        <v>539</v>
      </c>
      <c r="C61" s="227" t="s">
        <v>18</v>
      </c>
      <c r="D61" s="227" t="s">
        <v>19</v>
      </c>
      <c r="E61" s="244" t="s">
        <v>540</v>
      </c>
      <c r="F61" s="387" t="s">
        <v>180</v>
      </c>
      <c r="G61" s="407" t="s">
        <v>383</v>
      </c>
      <c r="H61" s="264"/>
      <c r="I61" s="358" t="s">
        <v>146</v>
      </c>
      <c r="J61" s="253"/>
      <c r="K61" s="253"/>
      <c r="L61" s="253"/>
      <c r="M61" s="265"/>
      <c r="N61" s="358" t="s">
        <v>541</v>
      </c>
      <c r="O61" s="242" t="s">
        <v>297</v>
      </c>
      <c r="P61" s="656" t="s">
        <v>542</v>
      </c>
      <c r="Q61" s="671" t="s">
        <v>209</v>
      </c>
      <c r="R61" s="728" t="s">
        <v>210</v>
      </c>
      <c r="S61" s="732" t="s">
        <v>211</v>
      </c>
      <c r="T61" s="116" t="str">
        <f t="shared" si="2"/>
        <v>ok</v>
      </c>
    </row>
    <row r="62" spans="1:20" ht="102.75" customHeight="1">
      <c r="A62" s="223" t="s">
        <v>543</v>
      </c>
      <c r="B62" s="362" t="s">
        <v>544</v>
      </c>
      <c r="C62" s="363" t="s">
        <v>18</v>
      </c>
      <c r="D62" s="363" t="s">
        <v>19</v>
      </c>
      <c r="E62" s="412" t="s">
        <v>545</v>
      </c>
      <c r="F62" s="413" t="s">
        <v>180</v>
      </c>
      <c r="G62" s="388" t="s">
        <v>383</v>
      </c>
      <c r="H62" s="264"/>
      <c r="I62" s="358" t="s">
        <v>146</v>
      </c>
      <c r="J62" s="253"/>
      <c r="K62" s="253"/>
      <c r="L62" s="253"/>
      <c r="M62" s="265"/>
      <c r="N62" s="358" t="s">
        <v>546</v>
      </c>
      <c r="O62" s="242" t="s">
        <v>297</v>
      </c>
      <c r="P62" s="656" t="s">
        <v>547</v>
      </c>
      <c r="Q62" s="671" t="s">
        <v>209</v>
      </c>
      <c r="R62" s="728" t="s">
        <v>210</v>
      </c>
      <c r="S62" s="732" t="s">
        <v>211</v>
      </c>
      <c r="T62" s="116" t="str">
        <f t="shared" si="2"/>
        <v>ok</v>
      </c>
    </row>
    <row r="63" spans="1:20" ht="105.75" customHeight="1">
      <c r="A63" s="223" t="s">
        <v>548</v>
      </c>
      <c r="B63" s="243" t="s">
        <v>549</v>
      </c>
      <c r="C63" s="227" t="s">
        <v>18</v>
      </c>
      <c r="D63" s="227" t="s">
        <v>19</v>
      </c>
      <c r="E63" s="245" t="s">
        <v>550</v>
      </c>
      <c r="F63" s="387" t="s">
        <v>180</v>
      </c>
      <c r="G63" s="388" t="s">
        <v>383</v>
      </c>
      <c r="H63" s="264"/>
      <c r="I63" s="358" t="s">
        <v>146</v>
      </c>
      <c r="J63" s="253" t="s">
        <v>511</v>
      </c>
      <c r="K63" s="253"/>
      <c r="L63" s="253" t="str" cm="1">
        <f t="array" ref="L63">_xlfn.SWITCH(C63,"Numeric","999999999999999","String","Not applicable","Date","0001-01-01")</f>
        <v>Not applicable</v>
      </c>
      <c r="M63" s="265"/>
      <c r="N63" s="358" t="s">
        <v>551</v>
      </c>
      <c r="O63" s="265" t="s">
        <v>511</v>
      </c>
      <c r="P63" s="656" t="s">
        <v>552</v>
      </c>
      <c r="Q63" s="671" t="s">
        <v>209</v>
      </c>
      <c r="R63" s="728" t="s">
        <v>210</v>
      </c>
      <c r="S63" s="732" t="s">
        <v>211</v>
      </c>
      <c r="T63" s="116" t="str">
        <f t="shared" si="2"/>
        <v>ok</v>
      </c>
    </row>
    <row r="64" spans="1:20" ht="135" customHeight="1">
      <c r="A64" s="223" t="s">
        <v>553</v>
      </c>
      <c r="B64" s="243" t="s">
        <v>554</v>
      </c>
      <c r="C64" s="227" t="s">
        <v>18</v>
      </c>
      <c r="D64" s="227" t="s">
        <v>19</v>
      </c>
      <c r="E64" s="245" t="s">
        <v>555</v>
      </c>
      <c r="F64" s="387" t="s">
        <v>180</v>
      </c>
      <c r="G64" s="388" t="s">
        <v>383</v>
      </c>
      <c r="H64" s="264"/>
      <c r="I64" s="358" t="s">
        <v>146</v>
      </c>
      <c r="J64" s="253" t="s">
        <v>518</v>
      </c>
      <c r="K64" s="253"/>
      <c r="L64" s="253" t="str" cm="1">
        <f t="array" ref="L64">_xlfn.SWITCH(C64,"Numeric","999999999999999","String","Not applicable","Date","0001-01-01")</f>
        <v>Not applicable</v>
      </c>
      <c r="M64" s="265"/>
      <c r="N64" s="358" t="s">
        <v>556</v>
      </c>
      <c r="O64" s="265" t="s">
        <v>518</v>
      </c>
      <c r="P64" s="656" t="s">
        <v>557</v>
      </c>
      <c r="Q64" s="671" t="s">
        <v>209</v>
      </c>
      <c r="R64" s="728" t="s">
        <v>210</v>
      </c>
      <c r="S64" s="732" t="s">
        <v>211</v>
      </c>
      <c r="T64" s="116" t="str">
        <f t="shared" si="2"/>
        <v>ok</v>
      </c>
    </row>
    <row r="65" spans="1:20" ht="145.5" customHeight="1">
      <c r="A65" s="223" t="s">
        <v>558</v>
      </c>
      <c r="B65" s="243" t="s">
        <v>559</v>
      </c>
      <c r="C65" s="227" t="s">
        <v>18</v>
      </c>
      <c r="D65" s="227" t="s">
        <v>19</v>
      </c>
      <c r="E65" s="245" t="s">
        <v>560</v>
      </c>
      <c r="F65" s="202" t="s">
        <v>180</v>
      </c>
      <c r="G65" s="260" t="s">
        <v>383</v>
      </c>
      <c r="H65" s="264"/>
      <c r="I65" s="358" t="s">
        <v>146</v>
      </c>
      <c r="J65" s="253" t="s">
        <v>511</v>
      </c>
      <c r="K65" s="253"/>
      <c r="L65" s="253" t="str" cm="1">
        <f t="array" ref="L65">_xlfn.SWITCH(C65,"Numeric","999999999999999","String","Not applicable","Date","0001-01-01")</f>
        <v>Not applicable</v>
      </c>
      <c r="M65" s="265" t="s">
        <v>328</v>
      </c>
      <c r="N65" s="358" t="s">
        <v>561</v>
      </c>
      <c r="O65" s="265" t="s">
        <v>511</v>
      </c>
      <c r="P65" s="656" t="s">
        <v>562</v>
      </c>
      <c r="Q65" s="671" t="s">
        <v>209</v>
      </c>
      <c r="R65" s="728" t="s">
        <v>210</v>
      </c>
      <c r="S65" s="732" t="s">
        <v>211</v>
      </c>
      <c r="T65" s="116" t="str">
        <f t="shared" si="2"/>
        <v>ok</v>
      </c>
    </row>
    <row r="66" spans="1:20" ht="83.25" customHeight="1">
      <c r="A66" s="223" t="s">
        <v>563</v>
      </c>
      <c r="B66" s="243" t="s">
        <v>564</v>
      </c>
      <c r="C66" s="227" t="s">
        <v>18</v>
      </c>
      <c r="D66" s="227" t="s">
        <v>19</v>
      </c>
      <c r="E66" s="245" t="s">
        <v>565</v>
      </c>
      <c r="F66" s="202" t="s">
        <v>180</v>
      </c>
      <c r="G66" s="260" t="s">
        <v>383</v>
      </c>
      <c r="H66" s="264"/>
      <c r="I66" s="358" t="s">
        <v>146</v>
      </c>
      <c r="J66" s="253" t="s">
        <v>518</v>
      </c>
      <c r="K66" s="253"/>
      <c r="L66" s="253" t="str" cm="1">
        <f t="array" ref="L66">_xlfn.SWITCH(C66,"Numeric","999999999999999","String","Not applicable","Date","0001-01-01")</f>
        <v>Not applicable</v>
      </c>
      <c r="M66" s="265"/>
      <c r="N66" s="358" t="s">
        <v>566</v>
      </c>
      <c r="O66" s="265" t="s">
        <v>518</v>
      </c>
      <c r="P66" s="656" t="s">
        <v>567</v>
      </c>
      <c r="Q66" s="671" t="s">
        <v>209</v>
      </c>
      <c r="R66" s="728" t="s">
        <v>210</v>
      </c>
      <c r="S66" s="732" t="s">
        <v>211</v>
      </c>
      <c r="T66" s="116" t="str">
        <f t="shared" si="2"/>
        <v>ok</v>
      </c>
    </row>
    <row r="67" spans="1:20" ht="130.5" customHeight="1">
      <c r="A67" s="223" t="s">
        <v>568</v>
      </c>
      <c r="B67" s="243" t="s">
        <v>569</v>
      </c>
      <c r="C67" s="227" t="s">
        <v>18</v>
      </c>
      <c r="D67" s="227" t="s">
        <v>19</v>
      </c>
      <c r="E67" s="245" t="s">
        <v>570</v>
      </c>
      <c r="F67" s="202" t="s">
        <v>180</v>
      </c>
      <c r="G67" s="260" t="s">
        <v>383</v>
      </c>
      <c r="H67" s="264"/>
      <c r="I67" s="358" t="s">
        <v>146</v>
      </c>
      <c r="J67" s="253"/>
      <c r="K67" s="253"/>
      <c r="L67" s="253"/>
      <c r="M67" s="265"/>
      <c r="N67" s="358" t="s">
        <v>571</v>
      </c>
      <c r="O67" s="242" t="s">
        <v>297</v>
      </c>
      <c r="P67" s="656" t="s">
        <v>572</v>
      </c>
      <c r="Q67" s="671" t="s">
        <v>209</v>
      </c>
      <c r="R67" s="728" t="s">
        <v>210</v>
      </c>
      <c r="S67" s="732" t="s">
        <v>211</v>
      </c>
      <c r="T67" s="116" t="str">
        <f t="shared" si="2"/>
        <v>ok</v>
      </c>
    </row>
    <row r="68" spans="1:20" ht="85.5" customHeight="1">
      <c r="A68" s="223" t="s">
        <v>573</v>
      </c>
      <c r="B68" s="243" t="s">
        <v>574</v>
      </c>
      <c r="C68" s="227" t="s">
        <v>18</v>
      </c>
      <c r="D68" s="227" t="s">
        <v>19</v>
      </c>
      <c r="E68" s="245" t="s">
        <v>575</v>
      </c>
      <c r="F68" s="202" t="s">
        <v>180</v>
      </c>
      <c r="G68" s="260" t="s">
        <v>383</v>
      </c>
      <c r="H68" s="264"/>
      <c r="I68" s="358" t="s">
        <v>146</v>
      </c>
      <c r="J68" s="253"/>
      <c r="K68" s="253"/>
      <c r="L68" s="253"/>
      <c r="M68" s="265"/>
      <c r="N68" s="358" t="s">
        <v>576</v>
      </c>
      <c r="O68" s="242" t="s">
        <v>297</v>
      </c>
      <c r="P68" s="656" t="s">
        <v>577</v>
      </c>
      <c r="Q68" s="671" t="s">
        <v>209</v>
      </c>
      <c r="R68" s="728" t="s">
        <v>210</v>
      </c>
      <c r="S68" s="732" t="s">
        <v>211</v>
      </c>
      <c r="T68" s="116" t="str">
        <f t="shared" si="2"/>
        <v>ok</v>
      </c>
    </row>
    <row r="69" spans="1:20" ht="114" customHeight="1">
      <c r="A69" s="223" t="s">
        <v>578</v>
      </c>
      <c r="B69" s="243" t="s">
        <v>579</v>
      </c>
      <c r="C69" s="227" t="s">
        <v>18</v>
      </c>
      <c r="D69" s="227" t="s">
        <v>19</v>
      </c>
      <c r="E69" s="245" t="s">
        <v>580</v>
      </c>
      <c r="F69" s="202" t="s">
        <v>180</v>
      </c>
      <c r="G69" s="260" t="s">
        <v>383</v>
      </c>
      <c r="H69" s="264"/>
      <c r="I69" s="358" t="s">
        <v>146</v>
      </c>
      <c r="J69" s="253"/>
      <c r="K69" s="253"/>
      <c r="L69" s="253"/>
      <c r="M69" s="265"/>
      <c r="N69" s="358" t="s">
        <v>581</v>
      </c>
      <c r="O69" s="242" t="s">
        <v>297</v>
      </c>
      <c r="P69" s="656" t="s">
        <v>582</v>
      </c>
      <c r="Q69" s="671" t="s">
        <v>209</v>
      </c>
      <c r="R69" s="728" t="s">
        <v>210</v>
      </c>
      <c r="S69" s="732" t="s">
        <v>211</v>
      </c>
      <c r="T69" s="116" t="str">
        <f t="shared" si="2"/>
        <v>ok</v>
      </c>
    </row>
    <row r="70" spans="1:20" ht="90.75" customHeight="1">
      <c r="A70" s="223" t="s">
        <v>583</v>
      </c>
      <c r="B70" s="243" t="s">
        <v>584</v>
      </c>
      <c r="C70" s="227" t="s">
        <v>18</v>
      </c>
      <c r="D70" s="227" t="s">
        <v>19</v>
      </c>
      <c r="E70" s="245" t="s">
        <v>585</v>
      </c>
      <c r="F70" s="202" t="s">
        <v>180</v>
      </c>
      <c r="G70" s="260" t="s">
        <v>383</v>
      </c>
      <c r="H70" s="264"/>
      <c r="I70" s="358" t="s">
        <v>146</v>
      </c>
      <c r="J70" s="253"/>
      <c r="K70" s="253"/>
      <c r="L70" s="253"/>
      <c r="M70" s="265"/>
      <c r="N70" s="358" t="s">
        <v>586</v>
      </c>
      <c r="O70" s="242" t="s">
        <v>297</v>
      </c>
      <c r="P70" s="656" t="s">
        <v>587</v>
      </c>
      <c r="Q70" s="671" t="s">
        <v>209</v>
      </c>
      <c r="R70" s="728" t="s">
        <v>210</v>
      </c>
      <c r="S70" s="732" t="s">
        <v>211</v>
      </c>
      <c r="T70" s="116" t="str">
        <f t="shared" si="2"/>
        <v>ok</v>
      </c>
    </row>
    <row r="71" spans="1:20" ht="241.5" customHeight="1">
      <c r="A71" s="223" t="s">
        <v>588</v>
      </c>
      <c r="B71" s="243" t="s">
        <v>589</v>
      </c>
      <c r="C71" s="227" t="s">
        <v>18</v>
      </c>
      <c r="D71" s="227" t="s">
        <v>42</v>
      </c>
      <c r="E71" s="245" t="s">
        <v>590</v>
      </c>
      <c r="F71" s="387" t="s">
        <v>180</v>
      </c>
      <c r="G71" s="388" t="s">
        <v>383</v>
      </c>
      <c r="H71" s="264"/>
      <c r="I71" s="358" t="s">
        <v>231</v>
      </c>
      <c r="J71" s="253" t="s">
        <v>591</v>
      </c>
      <c r="K71" s="253"/>
      <c r="L71" s="253" t="str" cm="1">
        <f t="array" ref="L71">_xlfn.SWITCH(C71,"Numeric","999999999999999","String","Not applicable","Date","0001-01-01")</f>
        <v>Not applicable</v>
      </c>
      <c r="M71" s="265" t="s">
        <v>592</v>
      </c>
      <c r="N71" s="358" t="s">
        <v>593</v>
      </c>
      <c r="O71" s="265" t="s">
        <v>591</v>
      </c>
      <c r="P71" s="656" t="s">
        <v>594</v>
      </c>
      <c r="Q71" s="671" t="s">
        <v>66</v>
      </c>
      <c r="R71" s="728" t="s">
        <v>210</v>
      </c>
      <c r="S71" s="732" t="s">
        <v>211</v>
      </c>
      <c r="T71" s="116" t="str">
        <f t="shared" si="2"/>
        <v>ok</v>
      </c>
    </row>
    <row r="72" spans="1:20" ht="88.5" customHeight="1">
      <c r="A72" s="223" t="s">
        <v>595</v>
      </c>
      <c r="B72" s="243" t="s">
        <v>596</v>
      </c>
      <c r="C72" s="226" t="s">
        <v>55</v>
      </c>
      <c r="D72" s="226" t="s">
        <v>178</v>
      </c>
      <c r="E72" s="245" t="s">
        <v>597</v>
      </c>
      <c r="F72" s="387" t="s">
        <v>230</v>
      </c>
      <c r="G72" s="388" t="s">
        <v>383</v>
      </c>
      <c r="H72" s="264"/>
      <c r="I72" s="358" t="s">
        <v>231</v>
      </c>
      <c r="J72" s="253" t="s">
        <v>598</v>
      </c>
      <c r="K72" s="253"/>
      <c r="L72" s="253" t="str" cm="1">
        <f t="array" ref="L72">_xlfn.SWITCH(C72,"Numeric","999999999999999","String","Not applicable","Date","0001-01-01")</f>
        <v>999999999999999</v>
      </c>
      <c r="M72" s="265" t="s">
        <v>599</v>
      </c>
      <c r="N72" s="358" t="s">
        <v>600</v>
      </c>
      <c r="O72" s="265" t="s">
        <v>598</v>
      </c>
      <c r="P72" s="656" t="s">
        <v>594</v>
      </c>
      <c r="Q72" s="671" t="s">
        <v>66</v>
      </c>
      <c r="R72" s="728" t="s">
        <v>210</v>
      </c>
      <c r="S72" s="732" t="s">
        <v>269</v>
      </c>
      <c r="T72" s="116" t="str">
        <f t="shared" si="2"/>
        <v>ok</v>
      </c>
    </row>
    <row r="73" spans="1:20" ht="409.5">
      <c r="A73" s="223" t="s">
        <v>601</v>
      </c>
      <c r="B73" s="243" t="s">
        <v>602</v>
      </c>
      <c r="C73" s="227" t="s">
        <v>18</v>
      </c>
      <c r="D73" s="227" t="s">
        <v>42</v>
      </c>
      <c r="E73" s="245" t="s">
        <v>603</v>
      </c>
      <c r="F73" s="387" t="s">
        <v>180</v>
      </c>
      <c r="G73" s="388" t="s">
        <v>383</v>
      </c>
      <c r="H73" s="264"/>
      <c r="I73" s="358" t="s">
        <v>146</v>
      </c>
      <c r="J73" s="253" t="s">
        <v>591</v>
      </c>
      <c r="K73" s="253"/>
      <c r="L73" s="253" t="str" cm="1">
        <f t="array" ref="L73">_xlfn.SWITCH(C73,"Numeric","999999999999999","String","Not applicable","Date","0001-01-01")</f>
        <v>Not applicable</v>
      </c>
      <c r="M73" s="265"/>
      <c r="N73" s="358" t="s">
        <v>604</v>
      </c>
      <c r="O73" s="265" t="s">
        <v>591</v>
      </c>
      <c r="P73" s="656" t="s">
        <v>605</v>
      </c>
      <c r="Q73" s="671" t="s">
        <v>209</v>
      </c>
      <c r="R73" s="728" t="s">
        <v>210</v>
      </c>
      <c r="S73" s="732" t="s">
        <v>211</v>
      </c>
      <c r="T73" s="116" t="str">
        <f t="shared" si="2"/>
        <v>ok</v>
      </c>
    </row>
    <row r="74" spans="1:20" ht="106.5" customHeight="1">
      <c r="A74" s="223" t="s">
        <v>606</v>
      </c>
      <c r="B74" s="243" t="s">
        <v>607</v>
      </c>
      <c r="C74" s="226" t="s">
        <v>55</v>
      </c>
      <c r="D74" s="226" t="s">
        <v>178</v>
      </c>
      <c r="E74" s="245" t="s">
        <v>608</v>
      </c>
      <c r="F74" s="202" t="s">
        <v>230</v>
      </c>
      <c r="G74" s="260" t="s">
        <v>383</v>
      </c>
      <c r="H74" s="264"/>
      <c r="I74" s="358" t="s">
        <v>146</v>
      </c>
      <c r="J74" s="253" t="s">
        <v>598</v>
      </c>
      <c r="K74" s="253"/>
      <c r="L74" s="253" t="str" cm="1">
        <f t="array" ref="L74">_xlfn.SWITCH(C74,"Numeric","999999999999999","String","Not applicable","Date","0001-01-01")</f>
        <v>999999999999999</v>
      </c>
      <c r="M74" s="265"/>
      <c r="N74" s="358" t="s">
        <v>609</v>
      </c>
      <c r="O74" s="265" t="s">
        <v>598</v>
      </c>
      <c r="P74" s="656" t="s">
        <v>610</v>
      </c>
      <c r="Q74" s="671" t="s">
        <v>209</v>
      </c>
      <c r="R74" s="728" t="s">
        <v>210</v>
      </c>
      <c r="S74" s="732" t="s">
        <v>269</v>
      </c>
      <c r="T74" s="116" t="str">
        <f t="shared" si="2"/>
        <v>ok</v>
      </c>
    </row>
    <row r="75" spans="1:20" ht="74.25" customHeight="1">
      <c r="A75" s="246" t="s">
        <v>611</v>
      </c>
      <c r="B75" s="243" t="s">
        <v>612</v>
      </c>
      <c r="C75" s="226" t="s">
        <v>55</v>
      </c>
      <c r="D75" s="226" t="s">
        <v>178</v>
      </c>
      <c r="E75" s="245" t="s">
        <v>613</v>
      </c>
      <c r="F75" s="201" t="s">
        <v>383</v>
      </c>
      <c r="G75" s="260" t="s">
        <v>383</v>
      </c>
      <c r="H75" s="264"/>
      <c r="I75" s="358" t="s">
        <v>146</v>
      </c>
      <c r="J75" s="253"/>
      <c r="K75" s="253"/>
      <c r="L75" s="253"/>
      <c r="M75" s="265"/>
      <c r="N75" s="358" t="s">
        <v>614</v>
      </c>
      <c r="O75" s="265" t="s">
        <v>273</v>
      </c>
      <c r="P75" s="656" t="s">
        <v>615</v>
      </c>
      <c r="Q75" s="671" t="s">
        <v>209</v>
      </c>
      <c r="R75" s="728" t="s">
        <v>210</v>
      </c>
      <c r="S75" s="732" t="s">
        <v>211</v>
      </c>
      <c r="T75" s="116" t="str">
        <f t="shared" si="2"/>
        <v>ok</v>
      </c>
    </row>
    <row r="76" spans="1:20" ht="60" customHeight="1">
      <c r="A76" s="246" t="s">
        <v>616</v>
      </c>
      <c r="B76" s="243" t="s">
        <v>617</v>
      </c>
      <c r="C76" s="227" t="s">
        <v>18</v>
      </c>
      <c r="D76" s="227" t="s">
        <v>19</v>
      </c>
      <c r="E76" s="245" t="s">
        <v>618</v>
      </c>
      <c r="F76" s="202" t="s">
        <v>180</v>
      </c>
      <c r="G76" s="260" t="s">
        <v>383</v>
      </c>
      <c r="H76" s="264"/>
      <c r="I76" s="358" t="s">
        <v>146</v>
      </c>
      <c r="J76" s="253"/>
      <c r="K76" s="253"/>
      <c r="L76" s="253"/>
      <c r="M76" s="265"/>
      <c r="N76" s="358" t="s">
        <v>619</v>
      </c>
      <c r="O76" s="242" t="s">
        <v>297</v>
      </c>
      <c r="P76" s="656" t="s">
        <v>620</v>
      </c>
      <c r="Q76" s="671" t="s">
        <v>209</v>
      </c>
      <c r="R76" s="728" t="s">
        <v>210</v>
      </c>
      <c r="S76" s="732" t="s">
        <v>211</v>
      </c>
      <c r="T76" s="116" t="str">
        <f t="shared" si="2"/>
        <v>ok</v>
      </c>
    </row>
    <row r="77" spans="1:20" ht="63" customHeight="1">
      <c r="A77" s="246" t="s">
        <v>621</v>
      </c>
      <c r="B77" s="243" t="s">
        <v>622</v>
      </c>
      <c r="C77" s="227" t="s">
        <v>18</v>
      </c>
      <c r="D77" s="227" t="s">
        <v>19</v>
      </c>
      <c r="E77" s="245" t="s">
        <v>623</v>
      </c>
      <c r="F77" s="202" t="s">
        <v>180</v>
      </c>
      <c r="G77" s="260" t="s">
        <v>383</v>
      </c>
      <c r="H77" s="264"/>
      <c r="I77" s="358" t="s">
        <v>146</v>
      </c>
      <c r="J77" s="253"/>
      <c r="K77" s="253"/>
      <c r="L77" s="253"/>
      <c r="M77" s="265"/>
      <c r="N77" s="358" t="s">
        <v>624</v>
      </c>
      <c r="O77" s="242" t="s">
        <v>297</v>
      </c>
      <c r="P77" s="656" t="s">
        <v>620</v>
      </c>
      <c r="Q77" s="671" t="s">
        <v>209</v>
      </c>
      <c r="R77" s="728" t="s">
        <v>210</v>
      </c>
      <c r="S77" s="732" t="s">
        <v>211</v>
      </c>
      <c r="T77" s="116" t="str">
        <f t="shared" si="2"/>
        <v>ok</v>
      </c>
    </row>
    <row r="78" spans="1:20" ht="219.75" customHeight="1">
      <c r="A78" s="246" t="s">
        <v>625</v>
      </c>
      <c r="B78" s="243" t="s">
        <v>626</v>
      </c>
      <c r="C78" s="227" t="s">
        <v>18</v>
      </c>
      <c r="D78" s="227" t="s">
        <v>42</v>
      </c>
      <c r="E78" s="245" t="s">
        <v>627</v>
      </c>
      <c r="F78" s="202" t="s">
        <v>180</v>
      </c>
      <c r="G78" s="260" t="s">
        <v>383</v>
      </c>
      <c r="H78" s="264"/>
      <c r="I78" s="358" t="s">
        <v>146</v>
      </c>
      <c r="J78" s="253"/>
      <c r="K78" s="253"/>
      <c r="L78" s="253"/>
      <c r="M78" s="265"/>
      <c r="N78" s="358" t="s">
        <v>628</v>
      </c>
      <c r="O78" s="265" t="s">
        <v>297</v>
      </c>
      <c r="P78" s="656" t="s">
        <v>620</v>
      </c>
      <c r="Q78" s="671" t="s">
        <v>209</v>
      </c>
      <c r="R78" s="728" t="s">
        <v>210</v>
      </c>
      <c r="S78" s="732" t="s">
        <v>211</v>
      </c>
      <c r="T78" s="116" t="str">
        <f t="shared" si="2"/>
        <v>ok</v>
      </c>
    </row>
    <row r="79" spans="1:20" ht="65.25" customHeight="1">
      <c r="A79" s="223" t="s">
        <v>629</v>
      </c>
      <c r="B79" s="243" t="s">
        <v>630</v>
      </c>
      <c r="C79" s="227" t="s">
        <v>18</v>
      </c>
      <c r="D79" s="227" t="s">
        <v>302</v>
      </c>
      <c r="E79" s="245" t="s">
        <v>631</v>
      </c>
      <c r="F79" s="202" t="s">
        <v>180</v>
      </c>
      <c r="G79" s="260" t="s">
        <v>383</v>
      </c>
      <c r="H79" s="264"/>
      <c r="I79" s="358" t="s">
        <v>146</v>
      </c>
      <c r="J79" s="253"/>
      <c r="K79" s="253"/>
      <c r="L79" s="253"/>
      <c r="M79" s="265"/>
      <c r="N79" s="358" t="s">
        <v>632</v>
      </c>
      <c r="O79" s="265" t="s">
        <v>401</v>
      </c>
      <c r="P79" s="656" t="s">
        <v>633</v>
      </c>
      <c r="Q79" s="671" t="s">
        <v>209</v>
      </c>
      <c r="R79" s="728" t="s">
        <v>210</v>
      </c>
      <c r="S79" s="732" t="s">
        <v>211</v>
      </c>
      <c r="T79" s="116" t="str">
        <f t="shared" si="2"/>
        <v>ok</v>
      </c>
    </row>
    <row r="80" spans="1:20" ht="90.75" customHeight="1">
      <c r="A80" s="247" t="s">
        <v>634</v>
      </c>
      <c r="B80" s="243" t="s">
        <v>635</v>
      </c>
      <c r="C80" s="226" t="s">
        <v>55</v>
      </c>
      <c r="D80" s="226" t="s">
        <v>178</v>
      </c>
      <c r="E80" s="245" t="s">
        <v>636</v>
      </c>
      <c r="F80" s="201" t="s">
        <v>383</v>
      </c>
      <c r="G80" s="260" t="s">
        <v>383</v>
      </c>
      <c r="H80" s="264"/>
      <c r="I80" s="358" t="s">
        <v>146</v>
      </c>
      <c r="J80" s="253" t="s">
        <v>637</v>
      </c>
      <c r="K80" s="253"/>
      <c r="L80" s="253" t="str" cm="1">
        <f t="array" ref="L80">_xlfn.SWITCH(C80,"Numeric","999999999999999","String","Not applicable","Date","0001-01-01")</f>
        <v>999999999999999</v>
      </c>
      <c r="M80" s="266"/>
      <c r="N80" s="358" t="s">
        <v>638</v>
      </c>
      <c r="O80" s="266" t="s">
        <v>639</v>
      </c>
      <c r="P80" s="658" t="s">
        <v>640</v>
      </c>
      <c r="Q80" s="671" t="s">
        <v>64</v>
      </c>
      <c r="R80" s="728" t="s">
        <v>210</v>
      </c>
      <c r="S80" s="732" t="s">
        <v>269</v>
      </c>
      <c r="T80" s="116" t="str">
        <f t="shared" si="2"/>
        <v>ok</v>
      </c>
    </row>
    <row r="81" spans="1:20" ht="166.5" customHeight="1">
      <c r="A81" s="247" t="s">
        <v>641</v>
      </c>
      <c r="B81" s="243" t="s">
        <v>642</v>
      </c>
      <c r="C81" s="227" t="s">
        <v>18</v>
      </c>
      <c r="D81" s="227" t="s">
        <v>42</v>
      </c>
      <c r="E81" s="245" t="s">
        <v>643</v>
      </c>
      <c r="F81" s="201" t="s">
        <v>383</v>
      </c>
      <c r="G81" s="260" t="s">
        <v>383</v>
      </c>
      <c r="H81" s="264"/>
      <c r="I81" s="358" t="s">
        <v>146</v>
      </c>
      <c r="J81" s="253" t="s">
        <v>644</v>
      </c>
      <c r="K81" s="253"/>
      <c r="L81" s="253" t="str" cm="1">
        <f t="array" ref="L81">_xlfn.SWITCH(C81,"Numeric","999999999999999","String","Not applicable","Date","0001-01-01")</f>
        <v>Not applicable</v>
      </c>
      <c r="M81" s="265" t="s">
        <v>645</v>
      </c>
      <c r="N81" s="358" t="s">
        <v>646</v>
      </c>
      <c r="O81" s="265" t="s">
        <v>644</v>
      </c>
      <c r="P81" s="656" t="s">
        <v>647</v>
      </c>
      <c r="Q81" s="671" t="s">
        <v>64</v>
      </c>
      <c r="R81" s="728" t="s">
        <v>210</v>
      </c>
      <c r="S81" s="732" t="s">
        <v>211</v>
      </c>
      <c r="T81" s="116" t="str">
        <f t="shared" si="2"/>
        <v>ok</v>
      </c>
    </row>
    <row r="82" spans="1:20" ht="243.75" customHeight="1">
      <c r="A82" s="247" t="s">
        <v>648</v>
      </c>
      <c r="B82" s="243" t="s">
        <v>649</v>
      </c>
      <c r="C82" s="226" t="s">
        <v>55</v>
      </c>
      <c r="D82" s="226" t="s">
        <v>178</v>
      </c>
      <c r="E82" s="245" t="s">
        <v>650</v>
      </c>
      <c r="F82" s="201" t="s">
        <v>383</v>
      </c>
      <c r="G82" s="260" t="s">
        <v>383</v>
      </c>
      <c r="H82" s="264"/>
      <c r="I82" s="358" t="s">
        <v>146</v>
      </c>
      <c r="J82" s="253"/>
      <c r="K82" s="253"/>
      <c r="L82" s="253"/>
      <c r="M82" s="266"/>
      <c r="N82" s="358" t="s">
        <v>651</v>
      </c>
      <c r="O82" s="266" t="s">
        <v>316</v>
      </c>
      <c r="P82" s="658" t="s">
        <v>652</v>
      </c>
      <c r="Q82" s="671" t="s">
        <v>209</v>
      </c>
      <c r="R82" s="728" t="s">
        <v>210</v>
      </c>
      <c r="S82" s="732" t="s">
        <v>211</v>
      </c>
      <c r="T82" s="116" t="str">
        <f t="shared" si="2"/>
        <v>ok</v>
      </c>
    </row>
    <row r="83" spans="1:20" ht="94.5" customHeight="1">
      <c r="A83" s="247" t="s">
        <v>653</v>
      </c>
      <c r="B83" s="243" t="s">
        <v>654</v>
      </c>
      <c r="C83" s="227" t="s">
        <v>18</v>
      </c>
      <c r="D83" s="227" t="s">
        <v>19</v>
      </c>
      <c r="E83" s="245" t="s">
        <v>655</v>
      </c>
      <c r="F83" s="201" t="s">
        <v>383</v>
      </c>
      <c r="G83" s="260" t="s">
        <v>383</v>
      </c>
      <c r="H83" s="264"/>
      <c r="I83" s="358" t="s">
        <v>146</v>
      </c>
      <c r="J83" s="253"/>
      <c r="K83" s="253"/>
      <c r="L83" s="253"/>
      <c r="M83" s="265"/>
      <c r="N83" s="358" t="s">
        <v>656</v>
      </c>
      <c r="O83" s="242" t="s">
        <v>297</v>
      </c>
      <c r="P83" s="656" t="s">
        <v>657</v>
      </c>
      <c r="Q83" s="671" t="s">
        <v>209</v>
      </c>
      <c r="R83" s="728" t="s">
        <v>210</v>
      </c>
      <c r="S83" s="732" t="s">
        <v>211</v>
      </c>
      <c r="T83" s="116" t="str">
        <f t="shared" si="2"/>
        <v>ok</v>
      </c>
    </row>
    <row r="84" spans="1:20" ht="126.75" customHeight="1">
      <c r="A84" s="247" t="s">
        <v>658</v>
      </c>
      <c r="B84" s="243" t="s">
        <v>659</v>
      </c>
      <c r="C84" s="227" t="s">
        <v>18</v>
      </c>
      <c r="D84" s="227" t="s">
        <v>302</v>
      </c>
      <c r="E84" s="245" t="s">
        <v>660</v>
      </c>
      <c r="F84" s="201" t="s">
        <v>383</v>
      </c>
      <c r="G84" s="260" t="s">
        <v>383</v>
      </c>
      <c r="H84" s="264"/>
      <c r="I84" s="358" t="s">
        <v>146</v>
      </c>
      <c r="J84" s="253"/>
      <c r="K84" s="253"/>
      <c r="L84" s="253"/>
      <c r="M84" s="265"/>
      <c r="N84" s="358" t="s">
        <v>661</v>
      </c>
      <c r="O84" s="265" t="s">
        <v>401</v>
      </c>
      <c r="P84" s="656" t="s">
        <v>662</v>
      </c>
      <c r="Q84" s="671" t="s">
        <v>209</v>
      </c>
      <c r="R84" s="728" t="s">
        <v>210</v>
      </c>
      <c r="S84" s="732" t="s">
        <v>211</v>
      </c>
      <c r="T84" s="116" t="str">
        <f t="shared" si="2"/>
        <v>ok</v>
      </c>
    </row>
    <row r="85" spans="1:20" ht="84.75" customHeight="1">
      <c r="A85" s="415" t="s">
        <v>663</v>
      </c>
      <c r="B85" s="248" t="s">
        <v>664</v>
      </c>
      <c r="C85" s="249" t="s">
        <v>18</v>
      </c>
      <c r="D85" s="249" t="s">
        <v>302</v>
      </c>
      <c r="E85" s="250" t="s">
        <v>665</v>
      </c>
      <c r="F85" s="262" t="s">
        <v>383</v>
      </c>
      <c r="G85" s="263" t="s">
        <v>383</v>
      </c>
      <c r="H85" s="264"/>
      <c r="I85" s="548" t="s">
        <v>146</v>
      </c>
      <c r="J85" s="523"/>
      <c r="K85" s="523"/>
      <c r="L85" s="523"/>
      <c r="M85" s="267"/>
      <c r="N85" s="548" t="s">
        <v>666</v>
      </c>
      <c r="O85" s="267" t="s">
        <v>667</v>
      </c>
      <c r="P85" s="659" t="s">
        <v>668</v>
      </c>
      <c r="Q85" s="671" t="s">
        <v>209</v>
      </c>
      <c r="R85" s="728" t="s">
        <v>210</v>
      </c>
      <c r="S85" s="732" t="s">
        <v>211</v>
      </c>
      <c r="T85" s="116" t="str">
        <f t="shared" si="2"/>
        <v>ok</v>
      </c>
    </row>
    <row r="86" spans="1:20" s="119" customFormat="1" ht="16.5">
      <c r="F86" s="386"/>
      <c r="G86" s="386"/>
      <c r="I86" s="549">
        <f>COUNTIF(I5:I85,"Não")</f>
        <v>65</v>
      </c>
      <c r="J86" s="122"/>
      <c r="K86" s="122"/>
      <c r="L86" s="122"/>
      <c r="M86" s="121"/>
      <c r="N86" s="121"/>
      <c r="O86" s="121"/>
      <c r="P86" s="121"/>
      <c r="Q86" s="673"/>
      <c r="R86" s="673"/>
      <c r="S86" s="673"/>
    </row>
    <row r="87" spans="1:20" s="119" customFormat="1" ht="16.5">
      <c r="F87" s="386"/>
      <c r="G87" s="386"/>
      <c r="I87" s="120"/>
      <c r="J87" s="120"/>
      <c r="K87" s="120"/>
      <c r="L87" s="120"/>
      <c r="M87" s="121"/>
      <c r="N87" s="121"/>
      <c r="O87" s="121"/>
      <c r="P87" s="121"/>
      <c r="Q87" s="673"/>
      <c r="R87" s="673"/>
      <c r="S87" s="673"/>
    </row>
    <row r="88" spans="1:20" s="119" customFormat="1" ht="16.5">
      <c r="F88" s="386"/>
      <c r="G88" s="386"/>
      <c r="I88" s="120"/>
      <c r="J88" s="120"/>
      <c r="K88" s="120"/>
      <c r="L88" s="120"/>
      <c r="M88" s="121"/>
      <c r="N88" s="121"/>
      <c r="O88" s="121"/>
      <c r="P88" s="121"/>
      <c r="Q88" s="673"/>
      <c r="R88" s="673"/>
      <c r="S88" s="673"/>
    </row>
    <row r="89" spans="1:20" s="119" customFormat="1" ht="16.5">
      <c r="F89" s="386"/>
      <c r="G89" s="386"/>
      <c r="I89" s="120"/>
      <c r="J89" s="120"/>
      <c r="K89" s="120"/>
      <c r="L89" s="120"/>
      <c r="M89" s="121"/>
      <c r="N89" s="121"/>
      <c r="O89" s="121"/>
      <c r="P89" s="121"/>
      <c r="Q89" s="673"/>
      <c r="R89" s="673"/>
      <c r="S89" s="673"/>
    </row>
    <row r="90" spans="1:20" s="119" customFormat="1" ht="16.5">
      <c r="F90" s="386"/>
      <c r="G90" s="386"/>
      <c r="I90" s="120"/>
      <c r="J90" s="120"/>
      <c r="K90" s="120"/>
      <c r="L90" s="120"/>
      <c r="M90" s="121"/>
      <c r="N90" s="121"/>
      <c r="O90" s="121"/>
      <c r="P90" s="121"/>
      <c r="Q90" s="673"/>
      <c r="R90" s="673"/>
      <c r="S90" s="673"/>
    </row>
    <row r="91" spans="1:20" s="119" customFormat="1" ht="16.5">
      <c r="F91" s="386"/>
      <c r="G91" s="386"/>
      <c r="I91" s="120"/>
      <c r="J91" s="120"/>
      <c r="K91" s="120"/>
      <c r="L91" s="120"/>
      <c r="M91" s="121"/>
      <c r="N91" s="121"/>
      <c r="O91" s="121"/>
      <c r="P91" s="121"/>
      <c r="Q91" s="673"/>
      <c r="R91" s="673"/>
      <c r="S91" s="673"/>
    </row>
    <row r="92" spans="1:20" s="119" customFormat="1" ht="16.5">
      <c r="F92" s="386"/>
      <c r="G92" s="386"/>
      <c r="I92" s="120"/>
      <c r="J92" s="120"/>
      <c r="K92" s="120"/>
      <c r="L92" s="120"/>
      <c r="M92" s="121"/>
      <c r="N92" s="121"/>
      <c r="O92" s="121"/>
      <c r="P92" s="121"/>
      <c r="Q92" s="673"/>
      <c r="R92" s="673"/>
      <c r="S92" s="673"/>
    </row>
    <row r="93" spans="1:20" s="119" customFormat="1" ht="16.5">
      <c r="F93" s="386"/>
      <c r="G93" s="386"/>
      <c r="I93" s="120"/>
      <c r="J93" s="120"/>
      <c r="K93" s="120"/>
      <c r="L93" s="120"/>
      <c r="M93" s="121"/>
      <c r="N93" s="121"/>
      <c r="O93" s="121"/>
      <c r="P93" s="121"/>
      <c r="Q93" s="673"/>
      <c r="R93" s="673"/>
      <c r="S93" s="673"/>
    </row>
    <row r="94" spans="1:20" s="119" customFormat="1" ht="16.5">
      <c r="F94" s="386"/>
      <c r="G94" s="386"/>
      <c r="I94" s="120"/>
      <c r="J94" s="120"/>
      <c r="K94" s="120"/>
      <c r="L94" s="120"/>
      <c r="M94" s="121"/>
      <c r="N94" s="121"/>
      <c r="O94" s="121"/>
      <c r="P94" s="121"/>
      <c r="Q94" s="673"/>
      <c r="R94" s="673"/>
      <c r="S94" s="673"/>
    </row>
    <row r="95" spans="1:20" s="119" customFormat="1" ht="16.5">
      <c r="F95" s="386"/>
      <c r="G95" s="386"/>
      <c r="I95" s="120"/>
      <c r="J95" s="120"/>
      <c r="K95" s="120"/>
      <c r="L95" s="120"/>
      <c r="M95" s="121"/>
      <c r="N95" s="121"/>
      <c r="O95" s="121"/>
      <c r="P95" s="121"/>
      <c r="Q95" s="673"/>
      <c r="R95" s="673"/>
      <c r="S95" s="673"/>
    </row>
    <row r="96" spans="1:20" s="119" customFormat="1" ht="16.5">
      <c r="F96" s="386"/>
      <c r="G96" s="386"/>
      <c r="I96" s="120"/>
      <c r="J96" s="120"/>
      <c r="K96" s="120"/>
      <c r="L96" s="120"/>
      <c r="M96" s="121"/>
      <c r="N96" s="121"/>
      <c r="O96" s="121"/>
      <c r="P96" s="121"/>
      <c r="Q96" s="673"/>
      <c r="R96" s="673"/>
      <c r="S96" s="673"/>
    </row>
    <row r="97" spans="6:19" s="119" customFormat="1" ht="16.5">
      <c r="F97" s="386"/>
      <c r="G97" s="386"/>
      <c r="I97" s="120"/>
      <c r="J97" s="120"/>
      <c r="K97" s="120"/>
      <c r="L97" s="120"/>
      <c r="M97" s="121"/>
      <c r="N97" s="121"/>
      <c r="O97" s="121"/>
      <c r="P97" s="121"/>
      <c r="Q97" s="673"/>
      <c r="R97" s="673"/>
      <c r="S97" s="673"/>
    </row>
    <row r="98" spans="6:19" s="119" customFormat="1" ht="16.5">
      <c r="F98" s="386"/>
      <c r="G98" s="386"/>
      <c r="I98" s="120"/>
      <c r="J98" s="120"/>
      <c r="K98" s="120"/>
      <c r="L98" s="120"/>
      <c r="M98" s="121"/>
      <c r="N98" s="121"/>
      <c r="O98" s="121"/>
      <c r="P98" s="121"/>
      <c r="Q98" s="673"/>
      <c r="R98" s="673"/>
      <c r="S98" s="673"/>
    </row>
    <row r="99" spans="6:19" s="119" customFormat="1" ht="16.5">
      <c r="F99" s="386"/>
      <c r="G99" s="386"/>
      <c r="I99" s="120"/>
      <c r="J99" s="120"/>
      <c r="K99" s="120"/>
      <c r="L99" s="120"/>
      <c r="M99" s="121"/>
      <c r="N99" s="121"/>
      <c r="O99" s="121"/>
      <c r="P99" s="121"/>
      <c r="Q99" s="673"/>
      <c r="R99" s="673"/>
      <c r="S99" s="673"/>
    </row>
    <row r="100" spans="6:19" s="119" customFormat="1" ht="16.5">
      <c r="F100" s="386"/>
      <c r="G100" s="386"/>
      <c r="I100" s="120"/>
      <c r="J100" s="120"/>
      <c r="K100" s="120"/>
      <c r="L100" s="120"/>
      <c r="M100" s="121"/>
      <c r="N100" s="121"/>
      <c r="O100" s="121"/>
      <c r="P100" s="121"/>
      <c r="Q100" s="673"/>
      <c r="R100" s="673"/>
      <c r="S100" s="673"/>
    </row>
    <row r="101" spans="6:19" s="119" customFormat="1" ht="16.5">
      <c r="F101" s="386"/>
      <c r="G101" s="386"/>
      <c r="I101" s="120"/>
      <c r="J101" s="120"/>
      <c r="K101" s="120"/>
      <c r="L101" s="120"/>
      <c r="M101" s="121"/>
      <c r="N101" s="121"/>
      <c r="O101" s="121"/>
      <c r="P101" s="121"/>
      <c r="Q101" s="673"/>
      <c r="R101" s="673"/>
      <c r="S101" s="673"/>
    </row>
  </sheetData>
  <autoFilter ref="A4:T85" xr:uid="{00000000-0001-0000-0300-000000000000}"/>
  <mergeCells count="6">
    <mergeCell ref="A2:G2"/>
    <mergeCell ref="A1:S1"/>
    <mergeCell ref="N3:O3"/>
    <mergeCell ref="I3:M3"/>
    <mergeCell ref="I2:P2"/>
    <mergeCell ref="P3:P4"/>
  </mergeCells>
  <dataValidations count="1">
    <dataValidation allowBlank="1" showInputMessage="1" showErrorMessage="1" sqref="J87:L1048576 O10 L5:L85 J5:K43" xr:uid="{03AAB02B-2BFF-4685-B662-FF9D6581A6C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1000000}">
          <x14:formula1>
            <xm:f>AUX!$A$16:$A$17</xm:f>
          </x14:formula1>
          <xm:sqref>I5:I85</xm:sqref>
        </x14:dataValidation>
        <x14:dataValidation type="list" allowBlank="1" showInputMessage="1" showErrorMessage="1" xr:uid="{C60FE515-A614-43CE-9F33-D61144E9E679}">
          <x14:formula1>
            <xm:f>AUX!$A$3:$A$15</xm:f>
          </x14:formula1>
          <xm:sqref>Q5:Q85</xm:sqref>
        </x14:dataValidation>
        <x14:dataValidation type="list" allowBlank="1" showInputMessage="1" showErrorMessage="1" xr:uid="{D6716CD4-C570-41E6-A046-6058A5110070}">
          <x14:formula1>
            <xm:f>AUX!$D$2:$D$3</xm:f>
          </x14:formula1>
          <xm:sqref>R5:R85</xm:sqref>
        </x14:dataValidation>
        <x14:dataValidation type="list" allowBlank="1" showInputMessage="1" showErrorMessage="1" xr:uid="{B151B5D9-EB8F-4F21-BA66-A591FCAFDC0A}">
          <x14:formula1>
            <xm:f>AUX!$A$21:$A$26</xm:f>
          </x14:formula1>
          <xm:sqref>T27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20"/>
  <sheetViews>
    <sheetView zoomScale="70" zoomScaleNormal="80" workbookViewId="0">
      <pane xSplit="5" ySplit="4" topLeftCell="F5" activePane="bottomRight" state="frozen"/>
      <selection pane="bottomRight"/>
      <selection pane="bottomLeft"/>
      <selection pane="topRight"/>
    </sheetView>
  </sheetViews>
  <sheetFormatPr defaultColWidth="9.140625" defaultRowHeight="12.75" customHeight="1"/>
  <cols>
    <col min="1" max="1" width="14.5703125" customWidth="1"/>
    <col min="2" max="2" width="5" customWidth="1"/>
    <col min="3" max="3" width="6.85546875" customWidth="1"/>
    <col min="4" max="4" width="9.140625" customWidth="1"/>
    <col min="5" max="5" width="54.42578125" customWidth="1"/>
    <col min="6" max="6" width="14.42578125" customWidth="1"/>
    <col min="7" max="7" width="13.5703125" customWidth="1"/>
    <col min="8" max="8" width="2.85546875" customWidth="1"/>
    <col min="9" max="9" width="7.140625" style="4" customWidth="1"/>
    <col min="10" max="11" width="15.140625" style="4" customWidth="1"/>
    <col min="12" max="12" width="16.5703125" style="4" customWidth="1"/>
    <col min="13" max="13" width="35.140625" customWidth="1"/>
    <col min="14" max="14" width="24.85546875" customWidth="1"/>
    <col min="15" max="15" width="40.42578125" customWidth="1"/>
    <col min="16" max="16" width="32.5703125" style="338" customWidth="1"/>
    <col min="17" max="18" width="17" style="676" customWidth="1"/>
    <col min="19" max="19" width="15.5703125" hidden="1" customWidth="1"/>
    <col min="20" max="20" width="14.42578125" hidden="1" customWidth="1"/>
    <col min="21" max="21" width="12.5703125" hidden="1" customWidth="1"/>
    <col min="22" max="22" width="15.140625" hidden="1" customWidth="1"/>
    <col min="23" max="23" width="15.85546875" hidden="1" customWidth="1"/>
    <col min="24" max="24" width="7.85546875" hidden="1" customWidth="1"/>
    <col min="25" max="25" width="6.5703125" hidden="1" customWidth="1"/>
    <col min="26" max="26" width="10.5703125" hidden="1" customWidth="1"/>
    <col min="27" max="33" width="9.140625" hidden="1" customWidth="1"/>
    <col min="34" max="34" width="14.140625" style="338" customWidth="1"/>
    <col min="35" max="35" width="24.140625" style="676" customWidth="1"/>
  </cols>
  <sheetData>
    <row r="1" spans="1:35" s="44" customFormat="1" ht="21" customHeight="1">
      <c r="A1" s="854" t="s">
        <v>669</v>
      </c>
      <c r="B1" s="854"/>
      <c r="C1" s="854"/>
      <c r="D1" s="854"/>
      <c r="E1" s="854"/>
      <c r="F1" s="854"/>
      <c r="G1" s="854"/>
      <c r="H1" s="854"/>
      <c r="I1" s="854"/>
      <c r="J1" s="854"/>
      <c r="K1" s="854"/>
      <c r="L1" s="854"/>
      <c r="M1" s="854"/>
      <c r="N1" s="854"/>
      <c r="O1" s="854"/>
      <c r="P1" s="854"/>
      <c r="Q1" s="854"/>
      <c r="R1" s="675"/>
      <c r="AH1" s="549"/>
      <c r="AI1" s="676"/>
    </row>
    <row r="2" spans="1:35" ht="17.25" customHeight="1">
      <c r="A2" s="858" t="s">
        <v>201</v>
      </c>
      <c r="B2" s="859"/>
      <c r="C2" s="859"/>
      <c r="D2" s="859"/>
      <c r="E2" s="859"/>
      <c r="F2" s="859"/>
      <c r="G2" s="860"/>
      <c r="H2" s="232"/>
      <c r="I2" s="870" t="s">
        <v>114</v>
      </c>
      <c r="J2" s="871"/>
      <c r="K2" s="871"/>
      <c r="L2" s="871"/>
      <c r="M2" s="871"/>
      <c r="N2" s="871"/>
      <c r="O2" s="871"/>
      <c r="P2" s="845"/>
      <c r="S2" s="855" t="s">
        <v>115</v>
      </c>
      <c r="T2" s="856"/>
      <c r="U2" s="856"/>
      <c r="V2" s="856"/>
      <c r="W2" s="856"/>
      <c r="X2" s="856"/>
      <c r="Y2" s="856"/>
      <c r="Z2" s="856"/>
      <c r="AA2" s="856"/>
      <c r="AB2" s="856"/>
      <c r="AC2" s="856"/>
      <c r="AD2" s="856"/>
      <c r="AE2" s="856"/>
      <c r="AF2" s="856"/>
      <c r="AG2" s="857"/>
    </row>
    <row r="3" spans="1:35" ht="17.25" customHeight="1">
      <c r="A3" s="861"/>
      <c r="B3" s="862"/>
      <c r="C3" s="862"/>
      <c r="D3" s="862"/>
      <c r="E3" s="862"/>
      <c r="F3" s="862"/>
      <c r="G3" s="863"/>
      <c r="H3" s="232"/>
      <c r="I3" s="864" t="s">
        <v>116</v>
      </c>
      <c r="J3" s="865"/>
      <c r="K3" s="865"/>
      <c r="L3" s="865"/>
      <c r="M3" s="866"/>
      <c r="N3" s="867" t="s">
        <v>117</v>
      </c>
      <c r="O3" s="868"/>
      <c r="P3" s="869" t="s">
        <v>118</v>
      </c>
      <c r="S3" s="343"/>
      <c r="T3" s="343"/>
      <c r="U3" s="343"/>
      <c r="V3" s="344"/>
      <c r="W3" s="344"/>
      <c r="X3" s="344"/>
      <c r="Y3" s="344"/>
      <c r="Z3" s="344"/>
      <c r="AA3" s="344"/>
      <c r="AB3" s="344"/>
      <c r="AC3" s="344"/>
      <c r="AD3" s="344"/>
      <c r="AE3" s="344"/>
      <c r="AF3" s="344"/>
      <c r="AG3" s="345"/>
    </row>
    <row r="4" spans="1:35" ht="59.25" customHeight="1">
      <c r="A4" s="235" t="s">
        <v>3</v>
      </c>
      <c r="B4" s="236" t="s">
        <v>4</v>
      </c>
      <c r="C4" s="236" t="s">
        <v>5</v>
      </c>
      <c r="D4" s="236" t="s">
        <v>121</v>
      </c>
      <c r="E4" s="236" t="s">
        <v>7</v>
      </c>
      <c r="F4" s="237" t="s">
        <v>8</v>
      </c>
      <c r="G4" s="238" t="s">
        <v>9</v>
      </c>
      <c r="H4" s="233"/>
      <c r="I4" s="526" t="s">
        <v>122</v>
      </c>
      <c r="J4" s="668" t="s">
        <v>123</v>
      </c>
      <c r="K4" s="668" t="s">
        <v>124</v>
      </c>
      <c r="L4" s="668" t="s">
        <v>125</v>
      </c>
      <c r="M4" s="669" t="s">
        <v>126</v>
      </c>
      <c r="N4" s="528" t="s">
        <v>123</v>
      </c>
      <c r="O4" s="529" t="s">
        <v>126</v>
      </c>
      <c r="P4" s="827"/>
      <c r="Q4" s="650" t="s">
        <v>119</v>
      </c>
      <c r="R4" s="646" t="s">
        <v>120</v>
      </c>
      <c r="S4" s="204" t="s">
        <v>127</v>
      </c>
      <c r="T4" s="204" t="s">
        <v>128</v>
      </c>
      <c r="U4" s="204" t="s">
        <v>129</v>
      </c>
      <c r="V4" s="132" t="s">
        <v>130</v>
      </c>
      <c r="W4" s="132" t="s">
        <v>131</v>
      </c>
      <c r="X4" s="132" t="s">
        <v>132</v>
      </c>
      <c r="Y4" s="132" t="s">
        <v>133</v>
      </c>
      <c r="Z4" s="132" t="s">
        <v>134</v>
      </c>
      <c r="AA4" s="132" t="s">
        <v>135</v>
      </c>
      <c r="AB4" s="132" t="s">
        <v>136</v>
      </c>
      <c r="AC4" s="132" t="s">
        <v>137</v>
      </c>
      <c r="AD4" s="132" t="s">
        <v>138</v>
      </c>
      <c r="AE4" s="132" t="s">
        <v>139</v>
      </c>
      <c r="AF4" s="132" t="s">
        <v>140</v>
      </c>
      <c r="AG4" s="133" t="s">
        <v>141</v>
      </c>
      <c r="AH4" s="3" t="s">
        <v>670</v>
      </c>
      <c r="AI4" s="731" t="s">
        <v>203</v>
      </c>
    </row>
    <row r="5" spans="1:35" ht="112.5" customHeight="1">
      <c r="A5" s="239" t="s">
        <v>204</v>
      </c>
      <c r="B5" s="240" t="s">
        <v>17</v>
      </c>
      <c r="C5" s="241" t="s">
        <v>55</v>
      </c>
      <c r="D5" s="241" t="s">
        <v>144</v>
      </c>
      <c r="E5" s="330" t="s">
        <v>205</v>
      </c>
      <c r="F5" s="331"/>
      <c r="G5" s="332"/>
      <c r="H5" s="17"/>
      <c r="I5" s="532" t="s">
        <v>146</v>
      </c>
      <c r="J5" s="540"/>
      <c r="K5" s="540"/>
      <c r="L5" s="530"/>
      <c r="M5" s="533"/>
      <c r="N5" s="536" t="s">
        <v>671</v>
      </c>
      <c r="O5" s="753" t="s">
        <v>672</v>
      </c>
      <c r="P5" s="660" t="s">
        <v>673</v>
      </c>
      <c r="Q5" s="671" t="s">
        <v>209</v>
      </c>
      <c r="R5" s="672" t="s">
        <v>210</v>
      </c>
      <c r="S5" s="205"/>
      <c r="T5" s="205"/>
      <c r="U5" s="205"/>
      <c r="V5" s="98"/>
      <c r="W5" s="333"/>
      <c r="X5" s="98" t="s">
        <v>153</v>
      </c>
      <c r="Y5" s="744" t="s">
        <v>17</v>
      </c>
      <c r="Z5" s="98" t="s">
        <v>150</v>
      </c>
      <c r="AA5" s="108"/>
      <c r="AB5" s="108"/>
      <c r="AC5" s="124" t="s">
        <v>151</v>
      </c>
      <c r="AD5" s="124"/>
      <c r="AE5" s="98" t="s">
        <v>194</v>
      </c>
      <c r="AF5" s="130"/>
      <c r="AG5" s="218" t="s">
        <v>153</v>
      </c>
      <c r="AH5" s="734" t="s">
        <v>674</v>
      </c>
      <c r="AI5" s="683" t="s">
        <v>211</v>
      </c>
    </row>
    <row r="6" spans="1:35" ht="128.25" customHeight="1">
      <c r="A6" s="223" t="s">
        <v>675</v>
      </c>
      <c r="B6" s="224" t="s">
        <v>22</v>
      </c>
      <c r="C6" s="225" t="s">
        <v>18</v>
      </c>
      <c r="D6" s="225" t="s">
        <v>19</v>
      </c>
      <c r="E6" s="327" t="s">
        <v>676</v>
      </c>
      <c r="F6" s="328"/>
      <c r="G6" s="329"/>
      <c r="H6" s="17"/>
      <c r="I6" s="234" t="s">
        <v>146</v>
      </c>
      <c r="J6" s="381" t="s">
        <v>677</v>
      </c>
      <c r="K6" s="381"/>
      <c r="L6" s="252" t="str" cm="1">
        <f t="array" ref="L6">_xlfn.SWITCH(C6,"Numeric","999999999999999","String","Not applicable","Date","0001-01-01")</f>
        <v>Not applicable</v>
      </c>
      <c r="M6" s="346"/>
      <c r="N6" s="522" t="s">
        <v>678</v>
      </c>
      <c r="O6" s="242" t="s">
        <v>679</v>
      </c>
      <c r="P6" s="660" t="s">
        <v>680</v>
      </c>
      <c r="Q6" s="671" t="s">
        <v>64</v>
      </c>
      <c r="R6" s="672" t="s">
        <v>210</v>
      </c>
      <c r="S6" s="208" t="s">
        <v>159</v>
      </c>
      <c r="T6" s="208" t="s">
        <v>160</v>
      </c>
      <c r="U6" s="208" t="s">
        <v>194</v>
      </c>
      <c r="V6" s="131" t="s">
        <v>681</v>
      </c>
      <c r="W6" s="744" t="s">
        <v>682</v>
      </c>
      <c r="X6" s="98" t="s">
        <v>163</v>
      </c>
      <c r="Y6" s="754" t="s">
        <v>22</v>
      </c>
      <c r="Z6" s="98" t="s">
        <v>164</v>
      </c>
      <c r="AA6" s="108"/>
      <c r="AB6" s="108"/>
      <c r="AC6" s="124" t="s">
        <v>151</v>
      </c>
      <c r="AD6" s="124"/>
      <c r="AE6" s="98" t="s">
        <v>194</v>
      </c>
      <c r="AF6" s="130"/>
      <c r="AG6" s="218" t="s">
        <v>153</v>
      </c>
      <c r="AH6" s="734" t="s">
        <v>674</v>
      </c>
      <c r="AI6" s="683" t="s">
        <v>211</v>
      </c>
    </row>
    <row r="7" spans="1:35" ht="231.75" customHeight="1">
      <c r="A7" s="223" t="s">
        <v>360</v>
      </c>
      <c r="B7" s="224" t="s">
        <v>25</v>
      </c>
      <c r="C7" s="225" t="s">
        <v>18</v>
      </c>
      <c r="D7" s="226" t="s">
        <v>362</v>
      </c>
      <c r="E7" s="327" t="s">
        <v>683</v>
      </c>
      <c r="F7" s="328"/>
      <c r="G7" s="329"/>
      <c r="H7" s="17"/>
      <c r="I7" s="234" t="s">
        <v>146</v>
      </c>
      <c r="J7" s="381"/>
      <c r="K7" s="381"/>
      <c r="L7" s="252"/>
      <c r="M7" s="346"/>
      <c r="N7" s="522" t="s">
        <v>684</v>
      </c>
      <c r="O7" s="242" t="s">
        <v>685</v>
      </c>
      <c r="P7" s="660" t="s">
        <v>686</v>
      </c>
      <c r="Q7" s="671" t="s">
        <v>209</v>
      </c>
      <c r="R7" s="672" t="s">
        <v>210</v>
      </c>
      <c r="S7" s="208" t="s">
        <v>159</v>
      </c>
      <c r="T7" s="208" t="s">
        <v>160</v>
      </c>
      <c r="U7" s="208" t="s">
        <v>194</v>
      </c>
      <c r="V7" s="98" t="s">
        <v>159</v>
      </c>
      <c r="W7" s="755" t="s">
        <v>687</v>
      </c>
      <c r="X7" s="98" t="s">
        <v>170</v>
      </c>
      <c r="Y7" s="754" t="s">
        <v>25</v>
      </c>
      <c r="Z7" s="98" t="s">
        <v>164</v>
      </c>
      <c r="AA7" s="108"/>
      <c r="AB7" s="108"/>
      <c r="AC7" s="124" t="s">
        <v>151</v>
      </c>
      <c r="AD7" s="124"/>
      <c r="AE7" s="98" t="s">
        <v>194</v>
      </c>
      <c r="AF7" s="130"/>
      <c r="AG7" s="218" t="s">
        <v>153</v>
      </c>
      <c r="AH7" s="734" t="s">
        <v>674</v>
      </c>
      <c r="AI7" s="683" t="s">
        <v>211</v>
      </c>
    </row>
    <row r="8" spans="1:35" ht="88.5" customHeight="1">
      <c r="A8" s="223" t="s">
        <v>688</v>
      </c>
      <c r="B8" s="224" t="s">
        <v>29</v>
      </c>
      <c r="C8" s="225" t="s">
        <v>18</v>
      </c>
      <c r="D8" s="227" t="s">
        <v>302</v>
      </c>
      <c r="E8" s="327" t="s">
        <v>689</v>
      </c>
      <c r="F8" s="328"/>
      <c r="G8" s="329"/>
      <c r="H8" s="17"/>
      <c r="I8" s="234" t="s">
        <v>146</v>
      </c>
      <c r="J8" s="381"/>
      <c r="K8" s="381"/>
      <c r="L8" s="252"/>
      <c r="M8" s="346"/>
      <c r="N8" s="522" t="s">
        <v>690</v>
      </c>
      <c r="O8" s="242" t="s">
        <v>401</v>
      </c>
      <c r="P8" s="660" t="s">
        <v>691</v>
      </c>
      <c r="Q8" s="671" t="s">
        <v>209</v>
      </c>
      <c r="R8" s="672" t="s">
        <v>210</v>
      </c>
      <c r="S8" s="208" t="s">
        <v>159</v>
      </c>
      <c r="T8" s="208" t="s">
        <v>160</v>
      </c>
      <c r="U8" s="208" t="s">
        <v>194</v>
      </c>
      <c r="V8" s="131" t="s">
        <v>681</v>
      </c>
      <c r="W8" s="756" t="s">
        <v>692</v>
      </c>
      <c r="X8" s="98" t="s">
        <v>176</v>
      </c>
      <c r="Y8" s="754" t="s">
        <v>29</v>
      </c>
      <c r="Z8" s="98" t="s">
        <v>164</v>
      </c>
      <c r="AA8" s="108"/>
      <c r="AB8" s="108"/>
      <c r="AC8" s="124" t="s">
        <v>151</v>
      </c>
      <c r="AD8" s="124"/>
      <c r="AE8" s="98" t="s">
        <v>194</v>
      </c>
      <c r="AF8" s="130"/>
      <c r="AG8" s="218" t="s">
        <v>153</v>
      </c>
      <c r="AH8" s="734" t="s">
        <v>674</v>
      </c>
      <c r="AI8" s="683" t="s">
        <v>211</v>
      </c>
    </row>
    <row r="9" spans="1:35" ht="151.5" customHeight="1">
      <c r="A9" s="223" t="s">
        <v>693</v>
      </c>
      <c r="B9" s="224" t="s">
        <v>35</v>
      </c>
      <c r="C9" s="225" t="s">
        <v>18</v>
      </c>
      <c r="D9" s="225" t="s">
        <v>694</v>
      </c>
      <c r="E9" s="327" t="s">
        <v>695</v>
      </c>
      <c r="F9" s="328"/>
      <c r="G9" s="329"/>
      <c r="H9" s="17"/>
      <c r="I9" s="234" t="s">
        <v>146</v>
      </c>
      <c r="J9" s="381"/>
      <c r="K9" s="381"/>
      <c r="L9" s="252"/>
      <c r="M9" s="347"/>
      <c r="N9" s="537" t="s">
        <v>696</v>
      </c>
      <c r="O9" s="242" t="s">
        <v>697</v>
      </c>
      <c r="P9" s="660" t="s">
        <v>698</v>
      </c>
      <c r="Q9" s="671" t="s">
        <v>209</v>
      </c>
      <c r="R9" s="672" t="s">
        <v>210</v>
      </c>
      <c r="S9" s="208" t="s">
        <v>159</v>
      </c>
      <c r="T9" s="208" t="s">
        <v>160</v>
      </c>
      <c r="U9" s="208" t="s">
        <v>194</v>
      </c>
      <c r="V9" s="131" t="s">
        <v>681</v>
      </c>
      <c r="W9" s="333" t="s">
        <v>699</v>
      </c>
      <c r="X9" s="98" t="s">
        <v>185</v>
      </c>
      <c r="Y9" s="754" t="s">
        <v>35</v>
      </c>
      <c r="Z9" s="98" t="s">
        <v>164</v>
      </c>
      <c r="AA9" s="108"/>
      <c r="AB9" s="108"/>
      <c r="AC9" s="124" t="s">
        <v>151</v>
      </c>
      <c r="AD9" s="124"/>
      <c r="AE9" s="98" t="s">
        <v>194</v>
      </c>
      <c r="AF9" s="130"/>
      <c r="AG9" s="218" t="s">
        <v>153</v>
      </c>
      <c r="AH9" s="734" t="s">
        <v>674</v>
      </c>
      <c r="AI9" s="683" t="s">
        <v>211</v>
      </c>
    </row>
    <row r="10" spans="1:35" ht="150.75" customHeight="1">
      <c r="A10" s="223" t="s">
        <v>700</v>
      </c>
      <c r="B10" s="224" t="s">
        <v>41</v>
      </c>
      <c r="C10" s="225" t="s">
        <v>55</v>
      </c>
      <c r="D10" s="228" t="s">
        <v>178</v>
      </c>
      <c r="E10" s="327" t="s">
        <v>701</v>
      </c>
      <c r="F10" s="328"/>
      <c r="G10" s="329"/>
      <c r="H10" s="17"/>
      <c r="I10" s="234" t="s">
        <v>146</v>
      </c>
      <c r="J10" s="381" t="s">
        <v>702</v>
      </c>
      <c r="K10" s="381"/>
      <c r="L10" s="252" t="str" cm="1">
        <f t="array" ref="L10">_xlfn.SWITCH(C10,"Numeric","999999999999999","String","Not applicable","Date","0001-01-01")</f>
        <v>999999999999999</v>
      </c>
      <c r="M10" s="534"/>
      <c r="N10" s="538" t="s">
        <v>703</v>
      </c>
      <c r="O10" s="242" t="s">
        <v>702</v>
      </c>
      <c r="P10" s="660" t="s">
        <v>704</v>
      </c>
      <c r="Q10" s="671" t="s">
        <v>64</v>
      </c>
      <c r="R10" s="672" t="s">
        <v>210</v>
      </c>
      <c r="S10" s="208" t="s">
        <v>159</v>
      </c>
      <c r="T10" s="208" t="s">
        <v>160</v>
      </c>
      <c r="U10" s="208" t="s">
        <v>194</v>
      </c>
      <c r="V10" s="131" t="s">
        <v>681</v>
      </c>
      <c r="W10" s="757" t="s">
        <v>705</v>
      </c>
      <c r="X10" s="98" t="s">
        <v>192</v>
      </c>
      <c r="Y10" s="754" t="s">
        <v>41</v>
      </c>
      <c r="Z10" s="98" t="s">
        <v>186</v>
      </c>
      <c r="AA10" s="108"/>
      <c r="AB10" s="108"/>
      <c r="AC10" s="124" t="s">
        <v>151</v>
      </c>
      <c r="AD10" s="124"/>
      <c r="AE10" s="98" t="s">
        <v>194</v>
      </c>
      <c r="AF10" s="130"/>
      <c r="AG10" s="218" t="s">
        <v>153</v>
      </c>
      <c r="AH10" s="734" t="s">
        <v>674</v>
      </c>
      <c r="AI10" s="683"/>
    </row>
    <row r="11" spans="1:35" ht="181.5" customHeight="1">
      <c r="A11" s="223" t="s">
        <v>706</v>
      </c>
      <c r="B11" s="224" t="s">
        <v>45</v>
      </c>
      <c r="C11" s="225" t="s">
        <v>18</v>
      </c>
      <c r="D11" s="225" t="s">
        <v>694</v>
      </c>
      <c r="E11" s="327" t="s">
        <v>707</v>
      </c>
      <c r="F11" s="328"/>
      <c r="G11" s="329"/>
      <c r="H11" s="17"/>
      <c r="I11" s="234" t="s">
        <v>231</v>
      </c>
      <c r="J11" s="381" t="s">
        <v>708</v>
      </c>
      <c r="K11" s="381"/>
      <c r="L11" s="252" t="str" cm="1">
        <f t="array" ref="L11">_xlfn.SWITCH(C11,"Numeric","999999999999999","String","Not applicable","Date","0001-01-01")</f>
        <v>Not applicable</v>
      </c>
      <c r="M11" s="534" t="s">
        <v>709</v>
      </c>
      <c r="N11" s="538" t="s">
        <v>710</v>
      </c>
      <c r="O11" s="664" t="s">
        <v>711</v>
      </c>
      <c r="P11" s="660" t="s">
        <v>712</v>
      </c>
      <c r="Q11" s="671" t="s">
        <v>66</v>
      </c>
      <c r="R11" s="672" t="s">
        <v>210</v>
      </c>
      <c r="S11" s="208" t="s">
        <v>159</v>
      </c>
      <c r="T11" s="208" t="s">
        <v>160</v>
      </c>
      <c r="U11" s="208" t="s">
        <v>194</v>
      </c>
      <c r="V11" s="131" t="s">
        <v>681</v>
      </c>
      <c r="W11" s="758" t="s">
        <v>713</v>
      </c>
      <c r="X11" s="98" t="s">
        <v>714</v>
      </c>
      <c r="Y11" s="754" t="s">
        <v>45</v>
      </c>
      <c r="Z11" s="98" t="s">
        <v>164</v>
      </c>
      <c r="AA11" s="108"/>
      <c r="AB11" s="108"/>
      <c r="AC11" s="124" t="s">
        <v>151</v>
      </c>
      <c r="AD11" s="124"/>
      <c r="AE11" s="98" t="s">
        <v>194</v>
      </c>
      <c r="AF11" s="130"/>
      <c r="AG11" s="218" t="s">
        <v>153</v>
      </c>
      <c r="AH11" s="734" t="s">
        <v>674</v>
      </c>
      <c r="AI11" s="683" t="s">
        <v>211</v>
      </c>
    </row>
    <row r="12" spans="1:35" ht="133.5" customHeight="1">
      <c r="A12" s="223" t="s">
        <v>715</v>
      </c>
      <c r="B12" s="224" t="s">
        <v>50</v>
      </c>
      <c r="C12" s="225" t="s">
        <v>55</v>
      </c>
      <c r="D12" s="228" t="s">
        <v>178</v>
      </c>
      <c r="E12" s="327" t="s">
        <v>716</v>
      </c>
      <c r="F12" s="328"/>
      <c r="G12" s="329"/>
      <c r="H12" s="17"/>
      <c r="I12" s="234" t="s">
        <v>146</v>
      </c>
      <c r="J12" s="381"/>
      <c r="K12" s="381"/>
      <c r="L12" s="252"/>
      <c r="M12" s="347"/>
      <c r="N12" s="539" t="s">
        <v>717</v>
      </c>
      <c r="O12" s="242" t="s">
        <v>718</v>
      </c>
      <c r="P12" s="661" t="s">
        <v>719</v>
      </c>
      <c r="Q12" s="671" t="s">
        <v>209</v>
      </c>
      <c r="R12" s="672" t="s">
        <v>210</v>
      </c>
      <c r="S12" s="208" t="s">
        <v>159</v>
      </c>
      <c r="T12" s="208" t="s">
        <v>160</v>
      </c>
      <c r="U12" s="208" t="s">
        <v>194</v>
      </c>
      <c r="V12" s="131" t="s">
        <v>681</v>
      </c>
      <c r="W12" s="758" t="s">
        <v>720</v>
      </c>
      <c r="X12" s="98" t="s">
        <v>721</v>
      </c>
      <c r="Y12" s="754" t="s">
        <v>50</v>
      </c>
      <c r="Z12" s="98" t="s">
        <v>186</v>
      </c>
      <c r="AA12" s="108"/>
      <c r="AB12" s="108"/>
      <c r="AC12" s="124" t="s">
        <v>151</v>
      </c>
      <c r="AD12" s="124"/>
      <c r="AE12" s="98" t="s">
        <v>194</v>
      </c>
      <c r="AF12" s="130"/>
      <c r="AG12" s="218" t="s">
        <v>153</v>
      </c>
      <c r="AH12" s="734" t="s">
        <v>722</v>
      </c>
      <c r="AI12" s="683" t="s">
        <v>211</v>
      </c>
    </row>
    <row r="13" spans="1:35" ht="249" customHeight="1">
      <c r="A13" s="223" t="s">
        <v>723</v>
      </c>
      <c r="B13" s="224" t="s">
        <v>54</v>
      </c>
      <c r="C13" s="225" t="s">
        <v>18</v>
      </c>
      <c r="D13" s="228" t="s">
        <v>319</v>
      </c>
      <c r="E13" s="327" t="s">
        <v>724</v>
      </c>
      <c r="F13" s="328"/>
      <c r="G13" s="329"/>
      <c r="H13" s="17"/>
      <c r="I13" s="234" t="s">
        <v>146</v>
      </c>
      <c r="J13" s="381"/>
      <c r="K13" s="381"/>
      <c r="L13" s="252"/>
      <c r="M13" s="534" t="s">
        <v>725</v>
      </c>
      <c r="N13" s="537" t="s">
        <v>726</v>
      </c>
      <c r="O13" s="665" t="s">
        <v>727</v>
      </c>
      <c r="P13" s="759" t="s">
        <v>728</v>
      </c>
      <c r="Q13" s="671" t="s">
        <v>209</v>
      </c>
      <c r="R13" s="672" t="s">
        <v>210</v>
      </c>
      <c r="S13" s="208" t="s">
        <v>159</v>
      </c>
      <c r="T13" s="208" t="s">
        <v>160</v>
      </c>
      <c r="U13" s="208" t="s">
        <v>194</v>
      </c>
      <c r="V13" s="131" t="s">
        <v>681</v>
      </c>
      <c r="W13" s="758" t="s">
        <v>729</v>
      </c>
      <c r="X13" s="98" t="s">
        <v>730</v>
      </c>
      <c r="Y13" s="754" t="s">
        <v>54</v>
      </c>
      <c r="Z13" s="98" t="s">
        <v>164</v>
      </c>
      <c r="AA13" s="108"/>
      <c r="AB13" s="108"/>
      <c r="AC13" s="124" t="s">
        <v>151</v>
      </c>
      <c r="AD13" s="124"/>
      <c r="AE13" s="98" t="s">
        <v>194</v>
      </c>
      <c r="AF13" s="130"/>
      <c r="AG13" s="218" t="s">
        <v>153</v>
      </c>
      <c r="AH13" s="734" t="s">
        <v>674</v>
      </c>
      <c r="AI13" s="683" t="s">
        <v>211</v>
      </c>
    </row>
    <row r="14" spans="1:35" ht="114" customHeight="1">
      <c r="A14" s="223" t="s">
        <v>731</v>
      </c>
      <c r="B14" s="224" t="s">
        <v>732</v>
      </c>
      <c r="C14" s="228" t="s">
        <v>46</v>
      </c>
      <c r="D14" s="228" t="s">
        <v>325</v>
      </c>
      <c r="E14" s="327" t="s">
        <v>733</v>
      </c>
      <c r="F14" s="328"/>
      <c r="G14" s="329"/>
      <c r="H14" s="17"/>
      <c r="I14" s="234" t="s">
        <v>146</v>
      </c>
      <c r="J14" s="381" t="s">
        <v>734</v>
      </c>
      <c r="K14" s="381"/>
      <c r="L14" s="252" t="str" cm="1">
        <f t="array" ref="L14">_xlfn.SWITCH(C14,"Numeric","999999999999999","String","Not applicable","Date","0001-01-01")</f>
        <v>0001-01-01</v>
      </c>
      <c r="M14" s="347"/>
      <c r="N14" s="537" t="s">
        <v>735</v>
      </c>
      <c r="O14" s="242" t="s">
        <v>734</v>
      </c>
      <c r="P14" s="661" t="s">
        <v>736</v>
      </c>
      <c r="Q14" s="671" t="s">
        <v>64</v>
      </c>
      <c r="R14" s="672" t="s">
        <v>210</v>
      </c>
      <c r="S14" s="208" t="s">
        <v>159</v>
      </c>
      <c r="T14" s="208" t="s">
        <v>160</v>
      </c>
      <c r="U14" s="208" t="s">
        <v>194</v>
      </c>
      <c r="V14" s="131" t="s">
        <v>681</v>
      </c>
      <c r="W14" s="757" t="s">
        <v>737</v>
      </c>
      <c r="X14" s="98" t="s">
        <v>738</v>
      </c>
      <c r="Y14" s="754" t="s">
        <v>732</v>
      </c>
      <c r="Z14" s="98" t="s">
        <v>164</v>
      </c>
      <c r="AA14" s="108"/>
      <c r="AB14" s="108"/>
      <c r="AC14" s="124" t="s">
        <v>151</v>
      </c>
      <c r="AD14" s="124"/>
      <c r="AE14" s="98" t="s">
        <v>194</v>
      </c>
      <c r="AF14" s="130"/>
      <c r="AG14" s="218" t="s">
        <v>153</v>
      </c>
      <c r="AH14" s="734" t="s">
        <v>674</v>
      </c>
      <c r="AI14" s="683" t="s">
        <v>211</v>
      </c>
    </row>
    <row r="15" spans="1:35" ht="144.75" customHeight="1">
      <c r="A15" s="223" t="s">
        <v>739</v>
      </c>
      <c r="B15" s="224" t="s">
        <v>740</v>
      </c>
      <c r="C15" s="225" t="s">
        <v>18</v>
      </c>
      <c r="D15" s="225" t="s">
        <v>19</v>
      </c>
      <c r="E15" s="327" t="s">
        <v>741</v>
      </c>
      <c r="F15" s="328"/>
      <c r="G15" s="329"/>
      <c r="H15" s="17"/>
      <c r="I15" s="234" t="s">
        <v>146</v>
      </c>
      <c r="J15" s="381"/>
      <c r="K15" s="381"/>
      <c r="L15" s="252"/>
      <c r="M15" s="347"/>
      <c r="N15" s="537" t="s">
        <v>742</v>
      </c>
      <c r="O15" s="242" t="s">
        <v>297</v>
      </c>
      <c r="P15" s="662" t="s">
        <v>743</v>
      </c>
      <c r="Q15" s="671" t="s">
        <v>209</v>
      </c>
      <c r="R15" s="672" t="s">
        <v>210</v>
      </c>
      <c r="S15" s="208" t="s">
        <v>159</v>
      </c>
      <c r="T15" s="208" t="s">
        <v>160</v>
      </c>
      <c r="U15" s="208" t="s">
        <v>194</v>
      </c>
      <c r="V15" s="131" t="s">
        <v>681</v>
      </c>
      <c r="W15" s="758" t="s">
        <v>744</v>
      </c>
      <c r="X15" s="98" t="s">
        <v>745</v>
      </c>
      <c r="Y15" s="754" t="s">
        <v>740</v>
      </c>
      <c r="Z15" s="98" t="s">
        <v>164</v>
      </c>
      <c r="AA15" s="108"/>
      <c r="AB15" s="108"/>
      <c r="AC15" s="124" t="s">
        <v>151</v>
      </c>
      <c r="AD15" s="124"/>
      <c r="AE15" s="98" t="s">
        <v>194</v>
      </c>
      <c r="AF15" s="130"/>
      <c r="AG15" s="218" t="s">
        <v>153</v>
      </c>
      <c r="AH15" s="734" t="s">
        <v>746</v>
      </c>
      <c r="AI15" s="683" t="s">
        <v>211</v>
      </c>
    </row>
    <row r="16" spans="1:35" ht="156" customHeight="1">
      <c r="A16" s="223" t="s">
        <v>747</v>
      </c>
      <c r="B16" s="224" t="s">
        <v>276</v>
      </c>
      <c r="C16" s="225" t="s">
        <v>18</v>
      </c>
      <c r="D16" s="225" t="s">
        <v>19</v>
      </c>
      <c r="E16" s="327" t="s">
        <v>748</v>
      </c>
      <c r="F16" s="328"/>
      <c r="G16" s="329"/>
      <c r="H16" s="17"/>
      <c r="I16" s="234" t="s">
        <v>146</v>
      </c>
      <c r="J16" s="381"/>
      <c r="K16" s="381"/>
      <c r="L16" s="252"/>
      <c r="M16" s="347"/>
      <c r="N16" s="537" t="s">
        <v>749</v>
      </c>
      <c r="O16" s="242" t="s">
        <v>297</v>
      </c>
      <c r="P16" s="661" t="s">
        <v>750</v>
      </c>
      <c r="Q16" s="671" t="s">
        <v>209</v>
      </c>
      <c r="R16" s="672" t="s">
        <v>210</v>
      </c>
      <c r="S16" s="208" t="s">
        <v>159</v>
      </c>
      <c r="T16" s="208" t="s">
        <v>160</v>
      </c>
      <c r="U16" s="208" t="s">
        <v>194</v>
      </c>
      <c r="V16" s="206" t="s">
        <v>681</v>
      </c>
      <c r="W16" s="758" t="s">
        <v>751</v>
      </c>
      <c r="X16" s="98" t="s">
        <v>745</v>
      </c>
      <c r="Y16" s="754" t="s">
        <v>276</v>
      </c>
      <c r="Z16" s="98" t="s">
        <v>164</v>
      </c>
      <c r="AA16" s="108"/>
      <c r="AB16" s="108"/>
      <c r="AC16" s="124" t="s">
        <v>151</v>
      </c>
      <c r="AD16" s="124"/>
      <c r="AE16" s="98" t="s">
        <v>194</v>
      </c>
      <c r="AF16" s="130"/>
      <c r="AG16" s="218" t="s">
        <v>153</v>
      </c>
      <c r="AH16" s="734" t="s">
        <v>722</v>
      </c>
      <c r="AI16" s="683" t="s">
        <v>211</v>
      </c>
    </row>
    <row r="17" spans="1:35" ht="217.5" customHeight="1">
      <c r="A17" s="246" t="s">
        <v>752</v>
      </c>
      <c r="B17" s="339" t="s">
        <v>282</v>
      </c>
      <c r="C17" s="225" t="s">
        <v>18</v>
      </c>
      <c r="D17" s="225" t="s">
        <v>694</v>
      </c>
      <c r="E17" s="327" t="s">
        <v>753</v>
      </c>
      <c r="F17" s="328"/>
      <c r="G17" s="329"/>
      <c r="H17" s="17"/>
      <c r="I17" s="234" t="s">
        <v>146</v>
      </c>
      <c r="J17" s="381"/>
      <c r="K17" s="381"/>
      <c r="L17" s="252"/>
      <c r="M17" s="347"/>
      <c r="N17" s="537" t="s">
        <v>754</v>
      </c>
      <c r="O17" s="242" t="s">
        <v>297</v>
      </c>
      <c r="P17" s="660" t="s">
        <v>755</v>
      </c>
      <c r="Q17" s="671" t="s">
        <v>209</v>
      </c>
      <c r="R17" s="672" t="s">
        <v>210</v>
      </c>
      <c r="S17" s="208" t="s">
        <v>159</v>
      </c>
      <c r="T17" s="208" t="s">
        <v>160</v>
      </c>
      <c r="U17" s="208" t="s">
        <v>194</v>
      </c>
      <c r="V17" s="340" t="s">
        <v>681</v>
      </c>
      <c r="W17" s="341" t="s">
        <v>756</v>
      </c>
      <c r="X17" s="98" t="s">
        <v>745</v>
      </c>
      <c r="Y17" s="342" t="s">
        <v>282</v>
      </c>
      <c r="Z17" s="98" t="s">
        <v>164</v>
      </c>
      <c r="AA17" s="108"/>
      <c r="AB17" s="108"/>
      <c r="AC17" s="130" t="s">
        <v>151</v>
      </c>
      <c r="AD17" s="130"/>
      <c r="AE17" s="98" t="s">
        <v>194</v>
      </c>
      <c r="AF17" s="130"/>
      <c r="AG17" s="218" t="s">
        <v>153</v>
      </c>
      <c r="AH17" s="734" t="s">
        <v>722</v>
      </c>
      <c r="AI17" s="683" t="s">
        <v>211</v>
      </c>
    </row>
    <row r="18" spans="1:35" ht="192.75" customHeight="1">
      <c r="A18" s="223" t="s">
        <v>757</v>
      </c>
      <c r="B18" s="224" t="s">
        <v>287</v>
      </c>
      <c r="C18" s="228" t="s">
        <v>46</v>
      </c>
      <c r="D18" s="228" t="s">
        <v>325</v>
      </c>
      <c r="E18" s="327" t="s">
        <v>758</v>
      </c>
      <c r="F18" s="328"/>
      <c r="G18" s="329"/>
      <c r="H18" s="17"/>
      <c r="I18" s="234" t="s">
        <v>146</v>
      </c>
      <c r="J18" s="381"/>
      <c r="K18" s="381"/>
      <c r="L18" s="252"/>
      <c r="M18" s="347"/>
      <c r="N18" s="537" t="s">
        <v>759</v>
      </c>
      <c r="O18" s="242" t="s">
        <v>760</v>
      </c>
      <c r="P18" s="662" t="s">
        <v>761</v>
      </c>
      <c r="Q18" s="671" t="s">
        <v>209</v>
      </c>
      <c r="R18" s="672" t="s">
        <v>210</v>
      </c>
      <c r="S18" s="208" t="s">
        <v>159</v>
      </c>
      <c r="T18" s="208" t="s">
        <v>160</v>
      </c>
      <c r="U18" s="208" t="s">
        <v>194</v>
      </c>
      <c r="V18" s="131" t="s">
        <v>681</v>
      </c>
      <c r="W18" s="758" t="s">
        <v>762</v>
      </c>
      <c r="X18" s="98" t="s">
        <v>745</v>
      </c>
      <c r="Y18" s="754" t="s">
        <v>287</v>
      </c>
      <c r="Z18" s="98" t="s">
        <v>164</v>
      </c>
      <c r="AA18" s="108"/>
      <c r="AB18" s="108"/>
      <c r="AC18" s="124" t="s">
        <v>151</v>
      </c>
      <c r="AD18" s="124"/>
      <c r="AE18" s="98" t="s">
        <v>194</v>
      </c>
      <c r="AF18" s="130"/>
      <c r="AG18" s="218" t="s">
        <v>153</v>
      </c>
      <c r="AH18" s="734" t="s">
        <v>722</v>
      </c>
      <c r="AI18" s="683" t="s">
        <v>211</v>
      </c>
    </row>
    <row r="19" spans="1:35" ht="280.5" customHeight="1">
      <c r="A19" s="229" t="s">
        <v>763</v>
      </c>
      <c r="B19" s="230" t="s">
        <v>301</v>
      </c>
      <c r="C19" s="231" t="s">
        <v>18</v>
      </c>
      <c r="D19" s="231" t="s">
        <v>694</v>
      </c>
      <c r="E19" s="334" t="s">
        <v>764</v>
      </c>
      <c r="F19" s="335"/>
      <c r="G19" s="336"/>
      <c r="H19" s="17"/>
      <c r="I19" s="520" t="s">
        <v>146</v>
      </c>
      <c r="J19" s="541"/>
      <c r="K19" s="541"/>
      <c r="L19" s="356"/>
      <c r="M19" s="535"/>
      <c r="N19" s="348" t="s">
        <v>765</v>
      </c>
      <c r="O19" s="666" t="s">
        <v>297</v>
      </c>
      <c r="P19" s="663" t="s">
        <v>766</v>
      </c>
      <c r="Q19" s="671" t="s">
        <v>209</v>
      </c>
      <c r="R19" s="672" t="s">
        <v>210</v>
      </c>
      <c r="S19" s="208" t="s">
        <v>159</v>
      </c>
      <c r="T19" s="208" t="s">
        <v>160</v>
      </c>
      <c r="U19" s="208" t="s">
        <v>194</v>
      </c>
      <c r="V19" s="197" t="s">
        <v>681</v>
      </c>
      <c r="W19" s="760" t="s">
        <v>767</v>
      </c>
      <c r="X19" s="134" t="s">
        <v>745</v>
      </c>
      <c r="Y19" s="761" t="s">
        <v>301</v>
      </c>
      <c r="Z19" s="134" t="s">
        <v>164</v>
      </c>
      <c r="AA19" s="135"/>
      <c r="AB19" s="135"/>
      <c r="AC19" s="198" t="s">
        <v>151</v>
      </c>
      <c r="AD19" s="198"/>
      <c r="AE19" s="134" t="s">
        <v>194</v>
      </c>
      <c r="AF19" s="199"/>
      <c r="AG19" s="337" t="s">
        <v>153</v>
      </c>
      <c r="AH19" s="734" t="s">
        <v>722</v>
      </c>
      <c r="AI19" s="683" t="s">
        <v>211</v>
      </c>
    </row>
    <row r="20" spans="1:35" ht="16.5">
      <c r="I20" s="6"/>
      <c r="J20" s="6"/>
      <c r="K20" s="6"/>
      <c r="L20" s="6"/>
    </row>
  </sheetData>
  <autoFilter ref="A4:AI19" xr:uid="{00000000-0001-0000-0400-000000000000}"/>
  <mergeCells count="7">
    <mergeCell ref="A1:Q1"/>
    <mergeCell ref="S2:AG2"/>
    <mergeCell ref="A2:G3"/>
    <mergeCell ref="I3:M3"/>
    <mergeCell ref="N3:O3"/>
    <mergeCell ref="P3:P4"/>
    <mergeCell ref="I2:P2"/>
  </mergeCells>
  <dataValidations count="1">
    <dataValidation allowBlank="1" showInputMessage="1" showErrorMessage="1" sqref="J5:L19" xr:uid="{FD89357A-09E8-40E9-BB6A-60B2510038D5}"/>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AUX!$A$16:$A$17</xm:f>
          </x14:formula1>
          <xm:sqref>I5:I19</xm:sqref>
        </x14:dataValidation>
        <x14:dataValidation type="list" allowBlank="1" showInputMessage="1" showErrorMessage="1" xr:uid="{1BF30F01-3518-4E5B-8776-5A6BBD790356}">
          <x14:formula1>
            <xm:f>AUX!$A$3:$A$15</xm:f>
          </x14:formula1>
          <xm:sqref>Q5:Q19</xm:sqref>
        </x14:dataValidation>
        <x14:dataValidation type="list" allowBlank="1" showInputMessage="1" showErrorMessage="1" xr:uid="{96E320CC-A97C-4F24-AA3B-2515D87921B0}">
          <x14:formula1>
            <xm:f>AUX!$D$2:$D$3</xm:f>
          </x14:formula1>
          <xm:sqref>R5:R19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5"/>
  <sheetViews>
    <sheetView zoomScale="70" zoomScaleNormal="70" workbookViewId="0">
      <pane xSplit="5" ySplit="4" topLeftCell="M13" activePane="bottomRight" state="frozen"/>
      <selection pane="bottomRight" activeCell="A13" sqref="A13"/>
      <selection pane="bottomLeft"/>
      <selection pane="topRight"/>
    </sheetView>
  </sheetViews>
  <sheetFormatPr defaultColWidth="9.140625" defaultRowHeight="39.75" customHeight="1"/>
  <cols>
    <col min="1" max="1" width="11.85546875" customWidth="1"/>
    <col min="2" max="2" width="4.85546875" customWidth="1"/>
    <col min="3" max="3" width="7.42578125" customWidth="1"/>
    <col min="4" max="4" width="8.140625" customWidth="1"/>
    <col min="5" max="5" width="73.42578125" customWidth="1"/>
    <col min="6" max="6" width="14.140625" customWidth="1"/>
    <col min="7" max="7" width="14.5703125" customWidth="1"/>
    <col min="8" max="8" width="1.140625" style="17" customWidth="1"/>
    <col min="9" max="9" width="6.140625" style="6" customWidth="1"/>
    <col min="10" max="10" width="14.42578125" style="6" customWidth="1"/>
    <col min="11" max="11" width="12.140625" style="6" customWidth="1"/>
    <col min="12" max="12" width="13.42578125" style="6" customWidth="1"/>
    <col min="13" max="13" width="32.85546875" customWidth="1"/>
    <col min="14" max="14" width="18.5703125" customWidth="1"/>
    <col min="15" max="15" width="55.42578125" customWidth="1"/>
    <col min="16" max="16" width="31.42578125" customWidth="1"/>
    <col min="17" max="19" width="15.42578125" style="676" customWidth="1"/>
    <col min="20" max="20" width="16" hidden="1" customWidth="1"/>
    <col min="21" max="22" width="14.42578125" hidden="1" customWidth="1"/>
    <col min="23" max="23" width="15.5703125" hidden="1" customWidth="1"/>
    <col min="24" max="24" width="26.5703125" hidden="1" customWidth="1"/>
    <col min="25" max="25" width="7.5703125" hidden="1" customWidth="1"/>
    <col min="26" max="26" width="7.42578125" hidden="1" customWidth="1"/>
    <col min="27" max="27" width="11.42578125" hidden="1" customWidth="1"/>
    <col min="28" max="28" width="8.42578125" hidden="1" customWidth="1"/>
    <col min="29" max="29" width="6.5703125" hidden="1" customWidth="1"/>
    <col min="30" max="30" width="6.42578125" hidden="1" customWidth="1"/>
    <col min="31" max="31" width="8.42578125" hidden="1" customWidth="1"/>
    <col min="32" max="32" width="9.140625" hidden="1" customWidth="1"/>
    <col min="33" max="33" width="7.42578125" hidden="1" customWidth="1"/>
    <col min="34" max="34" width="8.85546875" hidden="1" customWidth="1"/>
    <col min="35" max="35" width="13" style="17" hidden="1" customWidth="1"/>
  </cols>
  <sheetData>
    <row r="1" spans="1:35" s="44" customFormat="1" ht="19.5" customHeight="1">
      <c r="A1" s="828" t="s">
        <v>768</v>
      </c>
      <c r="B1" s="828"/>
      <c r="C1" s="828"/>
      <c r="D1" s="828"/>
      <c r="E1" s="828"/>
      <c r="F1" s="828"/>
      <c r="G1" s="828"/>
      <c r="H1" s="828"/>
      <c r="I1" s="828"/>
      <c r="J1" s="828"/>
      <c r="K1" s="828"/>
      <c r="L1" s="828"/>
      <c r="M1" s="828"/>
      <c r="N1" s="828"/>
      <c r="O1" s="828"/>
      <c r="P1" s="828"/>
      <c r="Q1" s="828"/>
      <c r="R1" s="675"/>
      <c r="S1" s="675"/>
      <c r="AI1" s="207"/>
    </row>
    <row r="2" spans="1:35" ht="22.5" customHeight="1">
      <c r="A2" s="872" t="s">
        <v>201</v>
      </c>
      <c r="B2" s="813"/>
      <c r="C2" s="813"/>
      <c r="D2" s="813"/>
      <c r="E2" s="813"/>
      <c r="F2" s="813"/>
      <c r="G2" s="814"/>
      <c r="H2" s="277"/>
      <c r="I2" s="876" t="s">
        <v>114</v>
      </c>
      <c r="J2" s="877"/>
      <c r="K2" s="877"/>
      <c r="L2" s="877"/>
      <c r="M2" s="877"/>
      <c r="N2" s="877"/>
      <c r="O2" s="877"/>
      <c r="P2" s="878"/>
      <c r="Q2" s="677"/>
      <c r="R2" s="677"/>
      <c r="S2" s="677"/>
      <c r="T2" s="873" t="s">
        <v>115</v>
      </c>
      <c r="U2" s="873"/>
      <c r="V2" s="873"/>
      <c r="W2" s="874"/>
      <c r="X2" s="874"/>
      <c r="Y2" s="874"/>
      <c r="Z2" s="874"/>
      <c r="AA2" s="874"/>
      <c r="AB2" s="874"/>
      <c r="AC2" s="874"/>
      <c r="AD2" s="874"/>
      <c r="AE2" s="874"/>
      <c r="AF2" s="874"/>
      <c r="AG2" s="874"/>
      <c r="AH2" s="875"/>
    </row>
    <row r="3" spans="1:35" ht="22.5" customHeight="1">
      <c r="A3" s="374"/>
      <c r="B3" s="375"/>
      <c r="C3" s="375"/>
      <c r="D3" s="375"/>
      <c r="E3" s="375"/>
      <c r="F3" s="375"/>
      <c r="G3" s="376"/>
      <c r="H3" s="277"/>
      <c r="I3" s="879" t="s">
        <v>116</v>
      </c>
      <c r="J3" s="880"/>
      <c r="K3" s="881"/>
      <c r="L3" s="881"/>
      <c r="M3" s="868"/>
      <c r="N3" s="867" t="s">
        <v>117</v>
      </c>
      <c r="O3" s="881"/>
      <c r="P3" s="882" t="s">
        <v>118</v>
      </c>
      <c r="Q3" s="677"/>
      <c r="R3" s="677"/>
      <c r="S3" s="677"/>
      <c r="T3" s="353"/>
      <c r="U3" s="353"/>
      <c r="V3" s="353"/>
      <c r="W3" s="354"/>
      <c r="X3" s="354"/>
      <c r="Y3" s="354"/>
      <c r="Z3" s="354"/>
      <c r="AA3" s="354"/>
      <c r="AB3" s="354"/>
      <c r="AC3" s="354"/>
      <c r="AD3" s="354"/>
      <c r="AE3" s="354"/>
      <c r="AF3" s="354"/>
      <c r="AG3" s="354"/>
      <c r="AH3" s="355"/>
    </row>
    <row r="4" spans="1:35" ht="50.25" customHeight="1">
      <c r="A4" s="221" t="s">
        <v>3</v>
      </c>
      <c r="B4" s="222" t="s">
        <v>4</v>
      </c>
      <c r="C4" s="222" t="s">
        <v>5</v>
      </c>
      <c r="D4" s="222" t="s">
        <v>121</v>
      </c>
      <c r="E4" s="222" t="s">
        <v>7</v>
      </c>
      <c r="F4" s="279" t="s">
        <v>8</v>
      </c>
      <c r="G4" s="280" t="s">
        <v>9</v>
      </c>
      <c r="H4" s="233"/>
      <c r="I4" s="526" t="s">
        <v>122</v>
      </c>
      <c r="J4" s="668" t="s">
        <v>123</v>
      </c>
      <c r="K4" s="668" t="s">
        <v>124</v>
      </c>
      <c r="L4" s="668" t="s">
        <v>125</v>
      </c>
      <c r="M4" s="669" t="s">
        <v>126</v>
      </c>
      <c r="N4" s="528" t="s">
        <v>123</v>
      </c>
      <c r="O4" s="529" t="s">
        <v>126</v>
      </c>
      <c r="P4" s="883"/>
      <c r="Q4" s="650" t="s">
        <v>119</v>
      </c>
      <c r="R4" s="729" t="s">
        <v>120</v>
      </c>
      <c r="S4" s="727" t="s">
        <v>203</v>
      </c>
      <c r="T4" s="204" t="s">
        <v>127</v>
      </c>
      <c r="U4" s="204" t="s">
        <v>128</v>
      </c>
      <c r="V4" s="204" t="s">
        <v>129</v>
      </c>
      <c r="W4" s="132" t="s">
        <v>130</v>
      </c>
      <c r="X4" s="132" t="s">
        <v>131</v>
      </c>
      <c r="Y4" s="132" t="s">
        <v>132</v>
      </c>
      <c r="Z4" s="132" t="s">
        <v>133</v>
      </c>
      <c r="AA4" s="132" t="s">
        <v>134</v>
      </c>
      <c r="AB4" s="132" t="s">
        <v>135</v>
      </c>
      <c r="AC4" s="132" t="s">
        <v>136</v>
      </c>
      <c r="AD4" s="132" t="s">
        <v>137</v>
      </c>
      <c r="AE4" s="132" t="s">
        <v>138</v>
      </c>
      <c r="AF4" s="132" t="s">
        <v>139</v>
      </c>
      <c r="AG4" s="132" t="s">
        <v>140</v>
      </c>
      <c r="AH4" s="133" t="s">
        <v>141</v>
      </c>
      <c r="AI4" s="220" t="s">
        <v>142</v>
      </c>
    </row>
    <row r="5" spans="1:35" ht="102" customHeight="1">
      <c r="A5" s="223" t="s">
        <v>204</v>
      </c>
      <c r="B5" s="224" t="s">
        <v>17</v>
      </c>
      <c r="C5" s="225" t="s">
        <v>55</v>
      </c>
      <c r="D5" s="227" t="s">
        <v>144</v>
      </c>
      <c r="E5" s="278" t="s">
        <v>769</v>
      </c>
      <c r="F5" s="41"/>
      <c r="G5" s="66"/>
      <c r="I5" s="636" t="s">
        <v>146</v>
      </c>
      <c r="J5" s="542"/>
      <c r="K5" s="542"/>
      <c r="L5" s="542"/>
      <c r="M5" s="543"/>
      <c r="N5" s="637" t="s">
        <v>770</v>
      </c>
      <c r="O5" s="665" t="s">
        <v>771</v>
      </c>
      <c r="P5" s="656" t="s">
        <v>772</v>
      </c>
      <c r="Q5" s="671" t="s">
        <v>209</v>
      </c>
      <c r="R5" s="679" t="s">
        <v>210</v>
      </c>
      <c r="S5" s="683" t="s">
        <v>211</v>
      </c>
      <c r="T5" s="208"/>
      <c r="U5" s="205"/>
      <c r="V5" s="205"/>
      <c r="W5" s="130"/>
      <c r="X5" s="98"/>
      <c r="Y5" s="98" t="s">
        <v>153</v>
      </c>
      <c r="Z5" s="98" t="s">
        <v>17</v>
      </c>
      <c r="AA5" s="98" t="s">
        <v>150</v>
      </c>
      <c r="AB5" s="108"/>
      <c r="AC5" s="108"/>
      <c r="AD5" s="98" t="s">
        <v>151</v>
      </c>
      <c r="AE5" s="98"/>
      <c r="AF5" s="98" t="s">
        <v>195</v>
      </c>
      <c r="AG5" s="108"/>
      <c r="AH5" s="196" t="s">
        <v>153</v>
      </c>
      <c r="AI5" s="118" t="s">
        <v>154</v>
      </c>
    </row>
    <row r="6" spans="1:35" ht="159.75" customHeight="1">
      <c r="A6" s="223" t="s">
        <v>773</v>
      </c>
      <c r="B6" s="224" t="s">
        <v>774</v>
      </c>
      <c r="C6" s="225" t="s">
        <v>18</v>
      </c>
      <c r="D6" s="227" t="s">
        <v>42</v>
      </c>
      <c r="E6" s="271" t="s">
        <v>775</v>
      </c>
      <c r="F6" s="41"/>
      <c r="G6" s="66"/>
      <c r="I6" s="378" t="s">
        <v>146</v>
      </c>
      <c r="J6" s="253"/>
      <c r="K6" s="253"/>
      <c r="L6" s="253"/>
      <c r="M6" s="370"/>
      <c r="N6" s="377" t="s">
        <v>776</v>
      </c>
      <c r="O6" s="266" t="s">
        <v>777</v>
      </c>
      <c r="P6" s="656" t="s">
        <v>772</v>
      </c>
      <c r="Q6" s="671" t="s">
        <v>209</v>
      </c>
      <c r="R6" s="679" t="s">
        <v>210</v>
      </c>
      <c r="S6" s="683" t="s">
        <v>211</v>
      </c>
      <c r="T6" s="208"/>
      <c r="U6" s="208"/>
      <c r="V6" s="762"/>
      <c r="W6" s="130" t="s">
        <v>778</v>
      </c>
      <c r="X6" s="126" t="s">
        <v>160</v>
      </c>
      <c r="Y6" s="98" t="s">
        <v>163</v>
      </c>
      <c r="Z6" s="98" t="s">
        <v>774</v>
      </c>
      <c r="AA6" s="98" t="s">
        <v>164</v>
      </c>
      <c r="AB6" s="108"/>
      <c r="AC6" s="108"/>
      <c r="AD6" s="98" t="s">
        <v>151</v>
      </c>
      <c r="AE6" s="98"/>
      <c r="AF6" s="98" t="s">
        <v>195</v>
      </c>
      <c r="AG6" s="108"/>
      <c r="AH6" s="196" t="s">
        <v>153</v>
      </c>
      <c r="AI6" s="118" t="s">
        <v>154</v>
      </c>
    </row>
    <row r="7" spans="1:35" ht="274.5" customHeight="1">
      <c r="A7" s="487" t="s">
        <v>218</v>
      </c>
      <c r="B7" s="691" t="s">
        <v>22</v>
      </c>
      <c r="C7" s="692" t="s">
        <v>18</v>
      </c>
      <c r="D7" s="409" t="s">
        <v>19</v>
      </c>
      <c r="E7" s="281" t="s">
        <v>779</v>
      </c>
      <c r="F7" s="282"/>
      <c r="G7" s="283"/>
      <c r="H7" s="207"/>
      <c r="I7" s="378" t="s">
        <v>146</v>
      </c>
      <c r="J7" s="253"/>
      <c r="K7" s="253"/>
      <c r="L7" s="253"/>
      <c r="M7" s="370"/>
      <c r="N7" s="377" t="s">
        <v>780</v>
      </c>
      <c r="O7" s="266" t="s">
        <v>781</v>
      </c>
      <c r="P7" s="656" t="s">
        <v>772</v>
      </c>
      <c r="Q7" s="671" t="s">
        <v>209</v>
      </c>
      <c r="R7" s="679" t="s">
        <v>210</v>
      </c>
      <c r="S7" s="683" t="s">
        <v>211</v>
      </c>
      <c r="T7" s="284" t="s">
        <v>159</v>
      </c>
      <c r="U7" s="284" t="s">
        <v>160</v>
      </c>
      <c r="V7" s="284" t="s">
        <v>161</v>
      </c>
      <c r="W7" s="285" t="s">
        <v>159</v>
      </c>
      <c r="X7" s="763" t="s">
        <v>782</v>
      </c>
      <c r="Y7" s="285" t="s">
        <v>170</v>
      </c>
      <c r="Z7" s="285" t="s">
        <v>22</v>
      </c>
      <c r="AA7" s="285" t="s">
        <v>164</v>
      </c>
      <c r="AB7" s="286"/>
      <c r="AC7" s="286"/>
      <c r="AD7" s="285" t="s">
        <v>151</v>
      </c>
      <c r="AE7" s="285"/>
      <c r="AF7" s="285" t="s">
        <v>195</v>
      </c>
      <c r="AG7" s="286"/>
      <c r="AH7" s="287" t="s">
        <v>153</v>
      </c>
      <c r="AI7" s="288" t="s">
        <v>154</v>
      </c>
    </row>
    <row r="8" spans="1:35" ht="125.25" customHeight="1">
      <c r="A8" s="223" t="s">
        <v>783</v>
      </c>
      <c r="B8" s="243" t="s">
        <v>25</v>
      </c>
      <c r="C8" s="225" t="s">
        <v>18</v>
      </c>
      <c r="D8" s="227" t="s">
        <v>42</v>
      </c>
      <c r="E8" s="271" t="s">
        <v>784</v>
      </c>
      <c r="F8" s="41"/>
      <c r="G8" s="66"/>
      <c r="I8" s="378" t="s">
        <v>231</v>
      </c>
      <c r="J8" s="253" t="s">
        <v>785</v>
      </c>
      <c r="K8" s="253"/>
      <c r="L8" s="253" t="str" cm="1">
        <f t="array" ref="L8">_xlfn.SWITCH(C8,"Numeric","999999999999999","String","Not applicable","Date","0001-01-01")</f>
        <v>Not applicable</v>
      </c>
      <c r="M8" s="346" t="s">
        <v>786</v>
      </c>
      <c r="N8" s="522" t="s">
        <v>787</v>
      </c>
      <c r="O8" s="242" t="s">
        <v>785</v>
      </c>
      <c r="P8" s="667" t="s">
        <v>788</v>
      </c>
      <c r="Q8" s="678" t="s">
        <v>66</v>
      </c>
      <c r="R8" s="730" t="s">
        <v>210</v>
      </c>
      <c r="S8" s="683" t="s">
        <v>211</v>
      </c>
      <c r="T8" s="208"/>
      <c r="U8" s="208"/>
      <c r="V8" s="762"/>
      <c r="W8" s="744" t="s">
        <v>789</v>
      </c>
      <c r="X8" s="126" t="s">
        <v>790</v>
      </c>
      <c r="Y8" s="98" t="s">
        <v>176</v>
      </c>
      <c r="Z8" s="98" t="s">
        <v>25</v>
      </c>
      <c r="AA8" s="98" t="s">
        <v>164</v>
      </c>
      <c r="AB8" s="108"/>
      <c r="AC8" s="108"/>
      <c r="AD8" s="98" t="s">
        <v>151</v>
      </c>
      <c r="AE8" s="98"/>
      <c r="AF8" s="98" t="s">
        <v>195</v>
      </c>
      <c r="AG8" s="108"/>
      <c r="AH8" s="196" t="s">
        <v>153</v>
      </c>
      <c r="AI8" s="118" t="s">
        <v>154</v>
      </c>
    </row>
    <row r="9" spans="1:35" ht="102" customHeight="1">
      <c r="A9" s="223" t="s">
        <v>791</v>
      </c>
      <c r="B9" s="243" t="s">
        <v>29</v>
      </c>
      <c r="C9" s="225" t="s">
        <v>18</v>
      </c>
      <c r="D9" s="227" t="s">
        <v>19</v>
      </c>
      <c r="E9" s="271" t="s">
        <v>792</v>
      </c>
      <c r="F9" s="18" t="s">
        <v>180</v>
      </c>
      <c r="G9" s="66"/>
      <c r="I9" s="378" t="s">
        <v>146</v>
      </c>
      <c r="J9" s="253" t="s">
        <v>793</v>
      </c>
      <c r="K9" s="546" t="s">
        <v>794</v>
      </c>
      <c r="L9" s="253" t="str" cm="1">
        <f t="array" ref="L9">_xlfn.SWITCH(C9,"Numeric","999999999999999","String","Not applicable","Date","0001-01-01")</f>
        <v>Not applicable</v>
      </c>
      <c r="M9" s="346"/>
      <c r="N9" s="522" t="s">
        <v>795</v>
      </c>
      <c r="O9" s="242" t="s">
        <v>796</v>
      </c>
      <c r="P9" s="667" t="s">
        <v>797</v>
      </c>
      <c r="Q9" s="671" t="s">
        <v>64</v>
      </c>
      <c r="R9" s="730" t="s">
        <v>210</v>
      </c>
      <c r="S9" s="683" t="s">
        <v>211</v>
      </c>
      <c r="T9" s="208"/>
      <c r="U9" s="208"/>
      <c r="V9" s="762"/>
      <c r="W9" s="744" t="s">
        <v>789</v>
      </c>
      <c r="X9" s="125" t="s">
        <v>798</v>
      </c>
      <c r="Y9" s="98" t="s">
        <v>185</v>
      </c>
      <c r="Z9" s="98" t="s">
        <v>29</v>
      </c>
      <c r="AA9" s="98" t="s">
        <v>164</v>
      </c>
      <c r="AB9" s="108"/>
      <c r="AC9" s="108"/>
      <c r="AD9" s="98" t="s">
        <v>151</v>
      </c>
      <c r="AE9" s="98"/>
      <c r="AF9" s="98" t="s">
        <v>195</v>
      </c>
      <c r="AG9" s="108"/>
      <c r="AH9" s="196" t="s">
        <v>153</v>
      </c>
      <c r="AI9" s="118" t="s">
        <v>154</v>
      </c>
    </row>
    <row r="10" spans="1:35" ht="175.5" customHeight="1">
      <c r="A10" s="223" t="s">
        <v>799</v>
      </c>
      <c r="B10" s="243" t="s">
        <v>35</v>
      </c>
      <c r="C10" s="225" t="s">
        <v>18</v>
      </c>
      <c r="D10" s="227" t="s">
        <v>19</v>
      </c>
      <c r="E10" s="271" t="s">
        <v>800</v>
      </c>
      <c r="F10" s="18" t="s">
        <v>180</v>
      </c>
      <c r="G10" s="66"/>
      <c r="I10" s="378" t="s">
        <v>146</v>
      </c>
      <c r="J10" s="253" t="s">
        <v>801</v>
      </c>
      <c r="K10" s="253"/>
      <c r="L10" s="253" t="str" cm="1">
        <f t="array" ref="L10">_xlfn.SWITCH(C10,"Numeric","999999999999999","String","Not applicable","Date","0001-01-01")</f>
        <v>Not applicable</v>
      </c>
      <c r="M10" s="346"/>
      <c r="N10" s="522" t="s">
        <v>802</v>
      </c>
      <c r="O10" s="735" t="s">
        <v>803</v>
      </c>
      <c r="P10" s="667" t="s">
        <v>804</v>
      </c>
      <c r="Q10" s="671" t="s">
        <v>64</v>
      </c>
      <c r="R10" s="730" t="s">
        <v>210</v>
      </c>
      <c r="S10" s="683" t="s">
        <v>211</v>
      </c>
      <c r="T10" s="208"/>
      <c r="U10" s="208"/>
      <c r="V10" s="762"/>
      <c r="W10" s="744" t="s">
        <v>789</v>
      </c>
      <c r="X10" s="744" t="s">
        <v>805</v>
      </c>
      <c r="Y10" s="98" t="s">
        <v>192</v>
      </c>
      <c r="Z10" s="98" t="s">
        <v>35</v>
      </c>
      <c r="AA10" s="98" t="s">
        <v>164</v>
      </c>
      <c r="AB10" s="108"/>
      <c r="AC10" s="108"/>
      <c r="AD10" s="98" t="s">
        <v>151</v>
      </c>
      <c r="AE10" s="98"/>
      <c r="AF10" s="98" t="s">
        <v>195</v>
      </c>
      <c r="AG10" s="108"/>
      <c r="AH10" s="196" t="s">
        <v>153</v>
      </c>
      <c r="AI10" s="118" t="s">
        <v>154</v>
      </c>
    </row>
    <row r="11" spans="1:35" ht="112.5" customHeight="1">
      <c r="A11" s="223" t="s">
        <v>806</v>
      </c>
      <c r="B11" s="243" t="s">
        <v>41</v>
      </c>
      <c r="C11" s="225" t="s">
        <v>18</v>
      </c>
      <c r="D11" s="289" t="s">
        <v>223</v>
      </c>
      <c r="E11" s="271" t="s">
        <v>807</v>
      </c>
      <c r="F11" s="18" t="s">
        <v>180</v>
      </c>
      <c r="G11" s="66"/>
      <c r="I11" s="378" t="s">
        <v>146</v>
      </c>
      <c r="J11" s="253" t="s">
        <v>808</v>
      </c>
      <c r="K11" s="253"/>
      <c r="L11" s="253" t="str" cm="1">
        <f t="array" ref="L11">_xlfn.SWITCH(C11,"Numeric","999999999999999","String","Not applicable","Date","0001-01-01")</f>
        <v>Not applicable</v>
      </c>
      <c r="M11" s="346" t="s">
        <v>328</v>
      </c>
      <c r="N11" s="522" t="s">
        <v>809</v>
      </c>
      <c r="O11" s="735" t="s">
        <v>810</v>
      </c>
      <c r="P11" s="667" t="s">
        <v>811</v>
      </c>
      <c r="Q11" s="671" t="s">
        <v>209</v>
      </c>
      <c r="R11" s="730" t="s">
        <v>210</v>
      </c>
      <c r="S11" s="683" t="s">
        <v>211</v>
      </c>
      <c r="T11" s="208"/>
      <c r="U11" s="208"/>
      <c r="V11" s="762"/>
      <c r="W11" s="744" t="s">
        <v>789</v>
      </c>
      <c r="X11" s="125" t="s">
        <v>812</v>
      </c>
      <c r="Y11" s="98" t="s">
        <v>714</v>
      </c>
      <c r="Z11" s="98" t="s">
        <v>41</v>
      </c>
      <c r="AA11" s="98" t="s">
        <v>164</v>
      </c>
      <c r="AB11" s="108"/>
      <c r="AC11" s="108"/>
      <c r="AD11" s="98" t="s">
        <v>151</v>
      </c>
      <c r="AE11" s="98"/>
      <c r="AF11" s="98" t="s">
        <v>195</v>
      </c>
      <c r="AG11" s="108"/>
      <c r="AH11" s="196" t="s">
        <v>153</v>
      </c>
      <c r="AI11" s="118" t="s">
        <v>154</v>
      </c>
    </row>
    <row r="12" spans="1:35" ht="127.5" customHeight="1">
      <c r="A12" s="223" t="s">
        <v>813</v>
      </c>
      <c r="B12" s="243" t="s">
        <v>45</v>
      </c>
      <c r="C12" s="225" t="s">
        <v>18</v>
      </c>
      <c r="D12" s="227" t="s">
        <v>19</v>
      </c>
      <c r="E12" s="271" t="s">
        <v>814</v>
      </c>
      <c r="F12" s="18" t="s">
        <v>180</v>
      </c>
      <c r="G12" s="66"/>
      <c r="I12" s="378" t="s">
        <v>146</v>
      </c>
      <c r="J12" s="253" t="s">
        <v>815</v>
      </c>
      <c r="K12" s="253"/>
      <c r="L12" s="253"/>
      <c r="M12" s="346" t="s">
        <v>328</v>
      </c>
      <c r="N12" s="522" t="s">
        <v>816</v>
      </c>
      <c r="O12" s="735" t="s">
        <v>817</v>
      </c>
      <c r="P12" s="667" t="s">
        <v>811</v>
      </c>
      <c r="Q12" s="678" t="s">
        <v>64</v>
      </c>
      <c r="R12" s="730" t="s">
        <v>210</v>
      </c>
      <c r="S12" s="683" t="s">
        <v>211</v>
      </c>
      <c r="T12" s="208"/>
      <c r="U12" s="208"/>
      <c r="V12" s="762"/>
      <c r="W12" s="744" t="s">
        <v>789</v>
      </c>
      <c r="X12" s="125" t="s">
        <v>818</v>
      </c>
      <c r="Y12" s="98" t="s">
        <v>721</v>
      </c>
      <c r="Z12" s="98" t="s">
        <v>45</v>
      </c>
      <c r="AA12" s="98" t="s">
        <v>164</v>
      </c>
      <c r="AB12" s="108"/>
      <c r="AC12" s="108"/>
      <c r="AD12" s="98" t="s">
        <v>151</v>
      </c>
      <c r="AE12" s="98"/>
      <c r="AF12" s="98" t="s">
        <v>195</v>
      </c>
      <c r="AG12" s="108"/>
      <c r="AH12" s="196" t="s">
        <v>153</v>
      </c>
      <c r="AI12" s="118" t="s">
        <v>154</v>
      </c>
    </row>
    <row r="13" spans="1:35" ht="191.25" customHeight="1">
      <c r="A13" s="223" t="s">
        <v>171</v>
      </c>
      <c r="B13" s="243" t="s">
        <v>50</v>
      </c>
      <c r="C13" s="225" t="s">
        <v>18</v>
      </c>
      <c r="D13" s="227" t="s">
        <v>42</v>
      </c>
      <c r="E13" s="271" t="s">
        <v>819</v>
      </c>
      <c r="F13" s="18" t="s">
        <v>180</v>
      </c>
      <c r="G13" s="66"/>
      <c r="I13" s="378" t="s">
        <v>231</v>
      </c>
      <c r="J13" s="253" t="s">
        <v>820</v>
      </c>
      <c r="K13" s="253" t="s">
        <v>821</v>
      </c>
      <c r="L13" s="253" t="s">
        <v>822</v>
      </c>
      <c r="M13" s="370" t="s">
        <v>823</v>
      </c>
      <c r="N13" s="522" t="s">
        <v>824</v>
      </c>
      <c r="O13" s="242" t="s">
        <v>820</v>
      </c>
      <c r="P13" s="667" t="s">
        <v>825</v>
      </c>
      <c r="Q13" s="678" t="s">
        <v>66</v>
      </c>
      <c r="R13" s="730" t="s">
        <v>210</v>
      </c>
      <c r="S13" s="683" t="s">
        <v>211</v>
      </c>
      <c r="T13" s="208"/>
      <c r="U13" s="208"/>
      <c r="V13" s="762"/>
      <c r="W13" s="98" t="s">
        <v>159</v>
      </c>
      <c r="X13" s="125" t="s">
        <v>826</v>
      </c>
      <c r="Y13" s="98" t="s">
        <v>730</v>
      </c>
      <c r="Z13" s="98" t="s">
        <v>50</v>
      </c>
      <c r="AA13" s="98" t="s">
        <v>164</v>
      </c>
      <c r="AB13" s="108"/>
      <c r="AC13" s="108"/>
      <c r="AD13" s="98" t="s">
        <v>151</v>
      </c>
      <c r="AE13" s="98"/>
      <c r="AF13" s="98" t="s">
        <v>195</v>
      </c>
      <c r="AG13" s="108"/>
      <c r="AH13" s="196" t="s">
        <v>153</v>
      </c>
      <c r="AI13" s="118" t="s">
        <v>154</v>
      </c>
    </row>
    <row r="14" spans="1:35" ht="110.25" customHeight="1">
      <c r="A14" s="223" t="s">
        <v>827</v>
      </c>
      <c r="B14" s="243" t="s">
        <v>54</v>
      </c>
      <c r="C14" s="225" t="s">
        <v>18</v>
      </c>
      <c r="D14" s="227" t="s">
        <v>26</v>
      </c>
      <c r="E14" s="271" t="s">
        <v>828</v>
      </c>
      <c r="F14" s="18" t="s">
        <v>829</v>
      </c>
      <c r="G14" s="66"/>
      <c r="I14" s="378" t="s">
        <v>146</v>
      </c>
      <c r="J14" s="253" t="s">
        <v>830</v>
      </c>
      <c r="K14" s="546" t="s">
        <v>794</v>
      </c>
      <c r="L14" s="253">
        <v>99</v>
      </c>
      <c r="M14" s="346"/>
      <c r="N14" s="522" t="s">
        <v>831</v>
      </c>
      <c r="O14" s="242" t="s">
        <v>832</v>
      </c>
      <c r="P14" s="667" t="s">
        <v>833</v>
      </c>
      <c r="Q14" s="678" t="s">
        <v>64</v>
      </c>
      <c r="R14" s="730" t="s">
        <v>210</v>
      </c>
      <c r="S14" s="683" t="s">
        <v>211</v>
      </c>
      <c r="T14" s="208"/>
      <c r="U14" s="208"/>
      <c r="V14" s="762"/>
      <c r="W14" s="744" t="s">
        <v>789</v>
      </c>
      <c r="X14" s="744" t="s">
        <v>834</v>
      </c>
      <c r="Y14" s="98" t="s">
        <v>738</v>
      </c>
      <c r="Z14" s="98" t="s">
        <v>54</v>
      </c>
      <c r="AA14" s="98" t="s">
        <v>164</v>
      </c>
      <c r="AB14" s="108"/>
      <c r="AC14" s="108"/>
      <c r="AD14" s="98" t="s">
        <v>151</v>
      </c>
      <c r="AE14" s="98"/>
      <c r="AF14" s="98" t="s">
        <v>195</v>
      </c>
      <c r="AG14" s="108"/>
      <c r="AH14" s="196" t="s">
        <v>153</v>
      </c>
      <c r="AI14" s="118" t="s">
        <v>154</v>
      </c>
    </row>
    <row r="15" spans="1:35" ht="240" customHeight="1">
      <c r="A15" s="487" t="s">
        <v>835</v>
      </c>
      <c r="B15" s="691" t="s">
        <v>732</v>
      </c>
      <c r="C15" s="692" t="s">
        <v>55</v>
      </c>
      <c r="D15" s="693" t="s">
        <v>178</v>
      </c>
      <c r="E15" s="281" t="s">
        <v>836</v>
      </c>
      <c r="F15" s="687"/>
      <c r="G15" s="688"/>
      <c r="H15" s="123"/>
      <c r="I15" s="378" t="s">
        <v>146</v>
      </c>
      <c r="J15" s="253" t="s">
        <v>837</v>
      </c>
      <c r="K15" s="690"/>
      <c r="L15" s="690"/>
      <c r="M15" s="370"/>
      <c r="N15" s="689" t="s">
        <v>838</v>
      </c>
      <c r="O15" s="713" t="s">
        <v>839</v>
      </c>
      <c r="P15" s="694" t="s">
        <v>840</v>
      </c>
      <c r="Q15" s="671" t="s">
        <v>209</v>
      </c>
      <c r="R15" s="679" t="s">
        <v>210</v>
      </c>
      <c r="S15" s="683" t="s">
        <v>269</v>
      </c>
      <c r="T15" s="210" t="s">
        <v>159</v>
      </c>
      <c r="U15" s="210" t="s">
        <v>160</v>
      </c>
      <c r="V15" s="210" t="s">
        <v>161</v>
      </c>
      <c r="W15" s="764" t="s">
        <v>183</v>
      </c>
      <c r="X15" s="765" t="s">
        <v>184</v>
      </c>
      <c r="Y15" s="211" t="s">
        <v>745</v>
      </c>
      <c r="Z15" s="211" t="s">
        <v>732</v>
      </c>
      <c r="AA15" s="211" t="s">
        <v>186</v>
      </c>
      <c r="AB15" s="212"/>
      <c r="AC15" s="212"/>
      <c r="AD15" s="211" t="s">
        <v>151</v>
      </c>
      <c r="AE15" s="211"/>
      <c r="AF15" s="211" t="s">
        <v>195</v>
      </c>
      <c r="AG15" s="212"/>
      <c r="AH15" s="213" t="s">
        <v>153</v>
      </c>
      <c r="AI15" s="686" t="s">
        <v>70</v>
      </c>
    </row>
  </sheetData>
  <autoFilter ref="A4:AI15" xr:uid="{00000000-0001-0000-0800-000000000000}"/>
  <mergeCells count="7">
    <mergeCell ref="A1:Q1"/>
    <mergeCell ref="A2:G2"/>
    <mergeCell ref="T2:AH2"/>
    <mergeCell ref="I2:P2"/>
    <mergeCell ref="I3:M3"/>
    <mergeCell ref="N3:O3"/>
    <mergeCell ref="P3:P4"/>
  </mergeCells>
  <dataValidations count="1">
    <dataValidation allowBlank="1" showInputMessage="1" showErrorMessage="1" sqref="J5:L15" xr:uid="{2DD3038F-494B-4F1E-8E48-97B953819E8D}"/>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AUX!$A$16:$A$17</xm:f>
          </x14:formula1>
          <xm:sqref>I5:I15</xm:sqref>
        </x14:dataValidation>
        <x14:dataValidation type="list" allowBlank="1" showInputMessage="1" showErrorMessage="1" xr:uid="{9596B607-4D07-483F-B5D3-B6E411CA0B20}">
          <x14:formula1>
            <xm:f>AUX!$A$3:$A$15</xm:f>
          </x14:formula1>
          <xm:sqref>Q5:Q15 AI5:AI15</xm:sqref>
        </x14:dataValidation>
        <x14:dataValidation type="list" allowBlank="1" showInputMessage="1" showErrorMessage="1" xr:uid="{73954199-1AA1-41E2-85B2-86AEDD757403}">
          <x14:formula1>
            <xm:f>AUX!$D$2:$D$3</xm:f>
          </x14:formula1>
          <xm:sqref>R5:R15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D538-9130-4FE6-A5F5-508FA8BDE9CF}">
  <dimension ref="A1:H6"/>
  <sheetViews>
    <sheetView workbookViewId="0">
      <selection activeCell="B2" sqref="B2"/>
    </sheetView>
  </sheetViews>
  <sheetFormatPr defaultColWidth="9.140625" defaultRowHeight="16.5"/>
  <cols>
    <col min="1" max="1" width="23.140625" style="34" customWidth="1"/>
    <col min="2" max="2" width="77.5703125" style="34" bestFit="1" customWidth="1"/>
    <col min="3" max="3" width="12.85546875" style="34" bestFit="1" customWidth="1"/>
    <col min="4" max="4" width="84.42578125" style="34" bestFit="1" customWidth="1"/>
    <col min="5" max="5" width="10.42578125" style="34" bestFit="1" customWidth="1"/>
    <col min="6" max="6" width="22.85546875" style="34" bestFit="1" customWidth="1"/>
    <col min="7" max="7" width="11.140625" style="34" bestFit="1" customWidth="1"/>
    <col min="8" max="8" width="9.5703125" style="34" bestFit="1" customWidth="1"/>
    <col min="9" max="16384" width="9.140625" style="34"/>
  </cols>
  <sheetData>
    <row r="1" spans="1:8" s="460" customFormat="1">
      <c r="A1" s="459" t="s">
        <v>841</v>
      </c>
      <c r="B1" s="459" t="s">
        <v>842</v>
      </c>
      <c r="C1" s="459" t="s">
        <v>843</v>
      </c>
      <c r="D1" s="459" t="s">
        <v>844</v>
      </c>
      <c r="E1" s="459" t="s">
        <v>135</v>
      </c>
      <c r="F1" s="459" t="s">
        <v>845</v>
      </c>
      <c r="G1" s="459" t="s">
        <v>140</v>
      </c>
      <c r="H1" s="459" t="s">
        <v>141</v>
      </c>
    </row>
    <row r="2" spans="1:8">
      <c r="A2" s="453" t="s">
        <v>846</v>
      </c>
      <c r="B2" s="453" t="s">
        <v>847</v>
      </c>
      <c r="C2" s="453">
        <v>1002</v>
      </c>
      <c r="D2" s="453" t="s">
        <v>848</v>
      </c>
      <c r="E2" s="453"/>
      <c r="F2" s="453"/>
      <c r="G2" s="461"/>
      <c r="H2" s="453">
        <v>1</v>
      </c>
    </row>
    <row r="3" spans="1:8">
      <c r="A3" s="453" t="s">
        <v>846</v>
      </c>
      <c r="B3" s="462" t="s">
        <v>849</v>
      </c>
      <c r="C3" s="453">
        <v>1006</v>
      </c>
      <c r="D3" s="462" t="s">
        <v>850</v>
      </c>
      <c r="E3" s="453"/>
      <c r="F3" s="453"/>
      <c r="G3" s="461"/>
      <c r="H3" s="453">
        <v>1</v>
      </c>
    </row>
    <row r="4" spans="1:8">
      <c r="A4" s="453" t="s">
        <v>846</v>
      </c>
      <c r="B4" s="453" t="s">
        <v>851</v>
      </c>
      <c r="C4" s="453">
        <v>1100</v>
      </c>
      <c r="D4" s="453" t="s">
        <v>852</v>
      </c>
      <c r="E4" s="453"/>
      <c r="F4" s="453"/>
      <c r="G4" s="461"/>
      <c r="H4" s="453">
        <v>1</v>
      </c>
    </row>
    <row r="5" spans="1:8">
      <c r="A5" s="453" t="s">
        <v>846</v>
      </c>
      <c r="B5" s="453" t="s">
        <v>853</v>
      </c>
      <c r="C5" s="453">
        <v>1200</v>
      </c>
      <c r="D5" s="453" t="s">
        <v>854</v>
      </c>
      <c r="E5" s="453"/>
      <c r="F5" s="453"/>
      <c r="G5" s="461"/>
      <c r="H5" s="453">
        <v>1</v>
      </c>
    </row>
    <row r="6" spans="1:8">
      <c r="A6" s="453" t="s">
        <v>846</v>
      </c>
      <c r="B6" s="136" t="s">
        <v>855</v>
      </c>
      <c r="C6" s="453" t="s">
        <v>856</v>
      </c>
      <c r="D6" s="136" t="s">
        <v>857</v>
      </c>
      <c r="E6" s="383"/>
      <c r="F6" s="383"/>
      <c r="G6" s="383"/>
      <c r="H6" s="453">
        <v>1</v>
      </c>
    </row>
  </sheetData>
  <autoFilter ref="A1:H6" xr:uid="{CED2D538-9130-4FE6-A5F5-508FA8BDE9CF}"/>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6CD3-A7C0-4D78-8A8A-FFFAFF497878}">
  <dimension ref="A1:M13"/>
  <sheetViews>
    <sheetView workbookViewId="0">
      <selection activeCell="B7" sqref="B7:D8"/>
    </sheetView>
  </sheetViews>
  <sheetFormatPr defaultColWidth="18.42578125" defaultRowHeight="16.5"/>
  <cols>
    <col min="1" max="1" width="18.42578125" style="396"/>
    <col min="2" max="2" width="26.85546875" style="396" bestFit="1" customWidth="1"/>
    <col min="3" max="3" width="16.85546875" style="396" customWidth="1"/>
    <col min="4" max="4" width="77" style="396" customWidth="1"/>
    <col min="5" max="5" width="35" style="396" bestFit="1" customWidth="1"/>
    <col min="6" max="6" width="54.42578125" style="396" bestFit="1" customWidth="1"/>
    <col min="7" max="7" width="18.42578125" style="396"/>
    <col min="8" max="8" width="21.85546875" style="396" bestFit="1" customWidth="1"/>
    <col min="9" max="13" width="18.42578125" style="396"/>
    <col min="14" max="16384" width="18.42578125" style="397"/>
  </cols>
  <sheetData>
    <row r="1" spans="1:13" s="393" customFormat="1">
      <c r="A1" s="146" t="s">
        <v>858</v>
      </c>
      <c r="B1" s="146" t="s">
        <v>859</v>
      </c>
      <c r="C1" s="146" t="s">
        <v>860</v>
      </c>
      <c r="D1" s="146" t="s">
        <v>861</v>
      </c>
      <c r="E1" s="146" t="s">
        <v>862</v>
      </c>
      <c r="F1" s="146" t="s">
        <v>863</v>
      </c>
      <c r="G1" s="146" t="s">
        <v>135</v>
      </c>
      <c r="H1" s="146" t="s">
        <v>845</v>
      </c>
      <c r="I1" s="146" t="s">
        <v>140</v>
      </c>
      <c r="J1" s="146" t="s">
        <v>141</v>
      </c>
      <c r="K1" s="325"/>
      <c r="L1" s="325"/>
      <c r="M1" s="325"/>
    </row>
    <row r="2" spans="1:13" s="472" customFormat="1">
      <c r="A2" s="401" t="s">
        <v>864</v>
      </c>
      <c r="B2" s="401" t="s">
        <v>865</v>
      </c>
      <c r="C2" s="401" t="s">
        <v>153</v>
      </c>
      <c r="D2" s="401" t="s">
        <v>344</v>
      </c>
      <c r="E2" s="401" t="s">
        <v>866</v>
      </c>
      <c r="F2" s="401" t="s">
        <v>867</v>
      </c>
      <c r="G2" s="421"/>
      <c r="H2" s="398"/>
      <c r="I2" s="398"/>
      <c r="J2" s="401" t="s">
        <v>153</v>
      </c>
      <c r="K2" s="399"/>
      <c r="L2" s="399"/>
      <c r="M2" s="399"/>
    </row>
    <row r="3" spans="1:13" s="400" customFormat="1">
      <c r="A3" s="401" t="s">
        <v>864</v>
      </c>
      <c r="B3" s="401" t="s">
        <v>868</v>
      </c>
      <c r="C3" s="401" t="s">
        <v>153</v>
      </c>
      <c r="D3" s="420" t="s">
        <v>869</v>
      </c>
      <c r="E3" s="401" t="s">
        <v>870</v>
      </c>
      <c r="F3" s="421" t="s">
        <v>870</v>
      </c>
      <c r="G3" s="398"/>
      <c r="H3" s="398"/>
      <c r="I3" s="398"/>
      <c r="J3" s="401" t="s">
        <v>153</v>
      </c>
      <c r="K3" s="399"/>
      <c r="L3" s="399"/>
      <c r="M3" s="399"/>
    </row>
    <row r="4" spans="1:13" s="400" customFormat="1">
      <c r="A4" s="401" t="s">
        <v>864</v>
      </c>
      <c r="B4" s="401" t="s">
        <v>868</v>
      </c>
      <c r="C4" s="401" t="s">
        <v>153</v>
      </c>
      <c r="D4" s="420" t="s">
        <v>871</v>
      </c>
      <c r="E4" s="401" t="s">
        <v>870</v>
      </c>
      <c r="F4" s="421" t="s">
        <v>870</v>
      </c>
      <c r="G4" s="398"/>
      <c r="H4" s="398"/>
      <c r="I4" s="398"/>
      <c r="J4" s="401" t="s">
        <v>153</v>
      </c>
      <c r="K4" s="399"/>
      <c r="L4" s="399"/>
      <c r="M4" s="399"/>
    </row>
    <row r="5" spans="1:13" s="400" customFormat="1">
      <c r="A5" s="401" t="s">
        <v>864</v>
      </c>
      <c r="B5" s="401" t="s">
        <v>868</v>
      </c>
      <c r="C5" s="401" t="s">
        <v>153</v>
      </c>
      <c r="D5" s="420" t="s">
        <v>872</v>
      </c>
      <c r="E5" s="401" t="s">
        <v>870</v>
      </c>
      <c r="F5" s="421" t="s">
        <v>870</v>
      </c>
      <c r="G5" s="398"/>
      <c r="H5" s="398"/>
      <c r="I5" s="398"/>
      <c r="J5" s="401" t="s">
        <v>153</v>
      </c>
      <c r="K5" s="399"/>
      <c r="L5" s="399"/>
      <c r="M5" s="399"/>
    </row>
    <row r="6" spans="1:13" s="400" customFormat="1">
      <c r="A6" s="401" t="s">
        <v>864</v>
      </c>
      <c r="B6" s="401" t="s">
        <v>868</v>
      </c>
      <c r="C6" s="422" t="s">
        <v>153</v>
      </c>
      <c r="D6" s="402" t="s">
        <v>873</v>
      </c>
      <c r="E6" s="401" t="s">
        <v>870</v>
      </c>
      <c r="F6" s="421" t="s">
        <v>870</v>
      </c>
      <c r="G6" s="398"/>
      <c r="H6" s="398"/>
      <c r="I6" s="398"/>
      <c r="J6" s="401" t="s">
        <v>153</v>
      </c>
      <c r="K6" s="399"/>
      <c r="L6" s="399"/>
      <c r="M6" s="399"/>
    </row>
    <row r="7" spans="1:13" s="400" customFormat="1">
      <c r="A7" s="398" t="s">
        <v>864</v>
      </c>
      <c r="B7" s="401" t="s">
        <v>874</v>
      </c>
      <c r="C7" s="401" t="s">
        <v>163</v>
      </c>
      <c r="D7" s="401" t="s">
        <v>875</v>
      </c>
      <c r="E7" s="403" t="s">
        <v>876</v>
      </c>
      <c r="F7" s="403" t="s">
        <v>876</v>
      </c>
      <c r="G7" s="401"/>
      <c r="H7" s="401"/>
      <c r="I7" s="401"/>
      <c r="J7" s="401" t="s">
        <v>153</v>
      </c>
      <c r="K7" s="399"/>
      <c r="L7" s="399"/>
      <c r="M7" s="399"/>
    </row>
    <row r="8" spans="1:13">
      <c r="A8" s="401" t="s">
        <v>864</v>
      </c>
      <c r="B8" s="405" t="s">
        <v>874</v>
      </c>
      <c r="C8" s="401" t="s">
        <v>163</v>
      </c>
      <c r="D8" s="394" t="s">
        <v>877</v>
      </c>
      <c r="E8" s="416" t="s">
        <v>878</v>
      </c>
      <c r="F8" s="416" t="s">
        <v>878</v>
      </c>
      <c r="G8" s="394"/>
      <c r="H8" s="394"/>
      <c r="I8" s="394"/>
      <c r="J8" s="401" t="s">
        <v>153</v>
      </c>
    </row>
    <row r="9" spans="1:13">
      <c r="A9" s="395" t="s">
        <v>864</v>
      </c>
      <c r="B9" s="453" t="s">
        <v>846</v>
      </c>
      <c r="C9" s="395" t="s">
        <v>170</v>
      </c>
      <c r="D9" s="454">
        <v>1002</v>
      </c>
      <c r="E9" s="766" t="s">
        <v>879</v>
      </c>
      <c r="F9" s="766" t="s">
        <v>879</v>
      </c>
      <c r="G9" s="455"/>
      <c r="H9" s="403"/>
      <c r="I9" s="403"/>
      <c r="J9" s="395" t="s">
        <v>153</v>
      </c>
    </row>
    <row r="10" spans="1:13">
      <c r="A10" s="395" t="s">
        <v>864</v>
      </c>
      <c r="B10" s="453" t="s">
        <v>846</v>
      </c>
      <c r="C10" s="395" t="s">
        <v>170</v>
      </c>
      <c r="D10" s="456">
        <v>1006</v>
      </c>
      <c r="E10" s="767" t="s">
        <v>880</v>
      </c>
      <c r="F10" s="768" t="s">
        <v>880</v>
      </c>
      <c r="G10" s="457"/>
      <c r="H10" s="394"/>
      <c r="I10" s="394"/>
      <c r="J10" s="395" t="s">
        <v>153</v>
      </c>
    </row>
    <row r="11" spans="1:13">
      <c r="A11" s="395" t="s">
        <v>864</v>
      </c>
      <c r="B11" s="453" t="s">
        <v>846</v>
      </c>
      <c r="C11" s="458" t="s">
        <v>170</v>
      </c>
      <c r="D11" s="453">
        <v>1100</v>
      </c>
      <c r="E11" s="766" t="s">
        <v>881</v>
      </c>
      <c r="F11" s="766" t="s">
        <v>881</v>
      </c>
      <c r="G11" s="457"/>
      <c r="H11" s="394"/>
      <c r="I11" s="394"/>
      <c r="J11" s="395" t="s">
        <v>153</v>
      </c>
    </row>
    <row r="12" spans="1:13">
      <c r="A12" s="395" t="s">
        <v>864</v>
      </c>
      <c r="B12" s="453" t="s">
        <v>846</v>
      </c>
      <c r="C12" s="458" t="s">
        <v>170</v>
      </c>
      <c r="D12" s="453">
        <v>1200</v>
      </c>
      <c r="E12" s="766" t="s">
        <v>881</v>
      </c>
      <c r="F12" s="766" t="s">
        <v>881</v>
      </c>
      <c r="G12" s="457"/>
      <c r="H12" s="394"/>
      <c r="I12" s="394"/>
      <c r="J12" s="395" t="s">
        <v>153</v>
      </c>
    </row>
    <row r="13" spans="1:13">
      <c r="A13" s="395" t="s">
        <v>864</v>
      </c>
      <c r="B13" s="453" t="s">
        <v>846</v>
      </c>
      <c r="C13" s="458" t="s">
        <v>170</v>
      </c>
      <c r="D13" s="453" t="s">
        <v>856</v>
      </c>
      <c r="E13" s="766" t="s">
        <v>881</v>
      </c>
      <c r="F13" s="766" t="s">
        <v>881</v>
      </c>
      <c r="G13" s="457"/>
      <c r="H13" s="394"/>
      <c r="I13" s="394"/>
      <c r="J13" s="395" t="s">
        <v>153</v>
      </c>
    </row>
  </sheetData>
  <autoFilter ref="A1:J13" xr:uid="{3A686CD3-A7C0-4D78-8A8A-FFFAFF49787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BD21B-3088-4DF9-A1B4-3DE5B886C579}">
  <dimension ref="A1:J18"/>
  <sheetViews>
    <sheetView workbookViewId="0">
      <selection activeCell="G3" sqref="B3:G3"/>
    </sheetView>
  </sheetViews>
  <sheetFormatPr defaultColWidth="9.140625" defaultRowHeight="16.5"/>
  <cols>
    <col min="1" max="1" width="25.140625" style="148" bestFit="1" customWidth="1"/>
    <col min="2" max="2" width="20.140625" style="148" customWidth="1"/>
    <col min="3" max="3" width="26.85546875" style="148" bestFit="1" customWidth="1"/>
    <col min="4" max="4" width="14.5703125" style="148" bestFit="1" customWidth="1"/>
    <col min="5" max="5" width="9.85546875" style="148" bestFit="1" customWidth="1"/>
    <col min="6" max="6" width="20.5703125" style="148" bestFit="1" customWidth="1"/>
    <col min="7" max="7" width="15.140625" style="148" bestFit="1" customWidth="1"/>
    <col min="8" max="8" width="10.5703125" style="148" bestFit="1" customWidth="1"/>
    <col min="9" max="10" width="9.140625" style="148"/>
    <col min="11" max="16384" width="9.140625" style="34"/>
  </cols>
  <sheetData>
    <row r="1" spans="1:10" s="326" customFormat="1">
      <c r="A1" s="324" t="s">
        <v>138</v>
      </c>
      <c r="B1" s="324" t="s">
        <v>858</v>
      </c>
      <c r="C1" s="324" t="s">
        <v>859</v>
      </c>
      <c r="D1" s="324" t="s">
        <v>860</v>
      </c>
      <c r="E1" s="324" t="s">
        <v>135</v>
      </c>
      <c r="F1" s="324" t="s">
        <v>845</v>
      </c>
      <c r="G1" s="324" t="s">
        <v>882</v>
      </c>
      <c r="H1" s="324" t="s">
        <v>140</v>
      </c>
      <c r="I1" s="324" t="s">
        <v>141</v>
      </c>
      <c r="J1" s="325"/>
    </row>
    <row r="2" spans="1:10">
      <c r="A2" s="323" t="s">
        <v>883</v>
      </c>
      <c r="B2" s="97" t="s">
        <v>864</v>
      </c>
      <c r="C2" s="97" t="s">
        <v>865</v>
      </c>
      <c r="D2" s="97" t="s">
        <v>153</v>
      </c>
      <c r="E2" s="97"/>
      <c r="F2" s="97"/>
      <c r="G2" s="323" t="s">
        <v>884</v>
      </c>
      <c r="H2" s="97"/>
      <c r="I2" s="97" t="s">
        <v>153</v>
      </c>
    </row>
    <row r="3" spans="1:10">
      <c r="A3" s="323" t="s">
        <v>883</v>
      </c>
      <c r="B3" s="97" t="s">
        <v>864</v>
      </c>
      <c r="C3" s="109" t="s">
        <v>874</v>
      </c>
      <c r="D3" s="97" t="s">
        <v>163</v>
      </c>
      <c r="E3" s="97"/>
      <c r="F3" s="97"/>
      <c r="G3" s="323" t="s">
        <v>884</v>
      </c>
      <c r="H3" s="97"/>
      <c r="I3" s="97" t="s">
        <v>153</v>
      </c>
    </row>
    <row r="4" spans="1:10">
      <c r="A4" s="323" t="s">
        <v>883</v>
      </c>
      <c r="B4" s="398" t="s">
        <v>864</v>
      </c>
      <c r="C4" s="398" t="s">
        <v>868</v>
      </c>
      <c r="D4" s="97" t="s">
        <v>153</v>
      </c>
      <c r="E4" s="97"/>
      <c r="F4" s="97"/>
      <c r="G4" s="323" t="s">
        <v>884</v>
      </c>
      <c r="H4" s="97"/>
      <c r="I4" s="97" t="s">
        <v>153</v>
      </c>
    </row>
    <row r="5" spans="1:10">
      <c r="A5" s="323" t="s">
        <v>883</v>
      </c>
      <c r="B5" s="401" t="s">
        <v>864</v>
      </c>
      <c r="C5" s="417" t="s">
        <v>846</v>
      </c>
      <c r="D5" s="97" t="s">
        <v>170</v>
      </c>
      <c r="E5" s="97"/>
      <c r="F5" s="97"/>
      <c r="G5" s="323" t="s">
        <v>884</v>
      </c>
      <c r="H5" s="97"/>
      <c r="I5" s="97" t="s">
        <v>153</v>
      </c>
    </row>
    <row r="6" spans="1:10">
      <c r="A6" s="97"/>
      <c r="B6" s="97"/>
      <c r="C6" s="97"/>
      <c r="D6" s="97"/>
      <c r="E6" s="97"/>
      <c r="F6" s="97"/>
      <c r="G6" s="97"/>
      <c r="H6" s="97"/>
      <c r="I6" s="97"/>
    </row>
    <row r="7" spans="1:10">
      <c r="A7" s="97"/>
      <c r="B7" s="97"/>
      <c r="C7" s="97"/>
      <c r="D7" s="97"/>
      <c r="E7" s="97"/>
      <c r="F7" s="97"/>
      <c r="G7" s="97"/>
      <c r="H7" s="97"/>
      <c r="I7" s="97"/>
    </row>
    <row r="8" spans="1:10">
      <c r="A8" s="97"/>
      <c r="B8" s="97"/>
      <c r="C8" s="97"/>
      <c r="D8" s="97"/>
      <c r="E8" s="97"/>
      <c r="F8" s="97"/>
      <c r="G8" s="97"/>
      <c r="H8" s="97"/>
      <c r="I8" s="97"/>
    </row>
    <row r="9" spans="1:10">
      <c r="A9" s="97"/>
      <c r="B9" s="97"/>
      <c r="C9" s="97"/>
      <c r="D9" s="97"/>
      <c r="E9" s="97"/>
      <c r="F9" s="97"/>
      <c r="G9" s="97"/>
      <c r="H9" s="97"/>
      <c r="I9" s="97"/>
    </row>
    <row r="10" spans="1:10">
      <c r="A10" s="97"/>
      <c r="B10" s="97"/>
      <c r="C10" s="97"/>
      <c r="D10" s="97"/>
      <c r="E10" s="97"/>
      <c r="F10" s="97"/>
      <c r="G10" s="97"/>
      <c r="H10" s="97"/>
      <c r="I10" s="97"/>
    </row>
    <row r="11" spans="1:10">
      <c r="A11" s="97"/>
      <c r="B11" s="97"/>
      <c r="C11" s="97"/>
      <c r="D11" s="97"/>
      <c r="E11" s="97"/>
      <c r="F11" s="97"/>
      <c r="G11" s="97"/>
      <c r="H11" s="97"/>
      <c r="I11" s="97"/>
    </row>
    <row r="12" spans="1:10">
      <c r="A12" s="97"/>
      <c r="B12" s="97"/>
      <c r="C12" s="97"/>
      <c r="D12" s="97"/>
      <c r="E12" s="97"/>
      <c r="F12" s="97"/>
      <c r="G12" s="97"/>
      <c r="H12" s="97"/>
      <c r="I12" s="97"/>
    </row>
    <row r="13" spans="1:10">
      <c r="A13" s="97"/>
      <c r="B13" s="97"/>
      <c r="C13" s="97"/>
      <c r="D13" s="97"/>
      <c r="E13" s="97"/>
      <c r="F13" s="97"/>
      <c r="G13" s="97"/>
      <c r="H13" s="97"/>
      <c r="I13" s="97"/>
    </row>
    <row r="14" spans="1:10">
      <c r="A14" s="97"/>
      <c r="B14" s="97"/>
      <c r="C14" s="97"/>
      <c r="D14" s="97"/>
      <c r="E14" s="97"/>
      <c r="F14" s="97"/>
      <c r="G14" s="97"/>
      <c r="H14" s="97"/>
      <c r="I14" s="97"/>
    </row>
    <row r="18" spans="2:2">
      <c r="B18" s="22"/>
    </row>
  </sheetData>
  <autoFilter ref="A1:J5" xr:uid="{272BD21B-3088-4DF9-A1B4-3DE5B886C579}"/>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9B2-574E-457C-9285-F23AEE9BAE05}">
  <dimension ref="A1:BR293"/>
  <sheetViews>
    <sheetView workbookViewId="0">
      <selection activeCell="A8" sqref="A8:XFD15"/>
    </sheetView>
  </sheetViews>
  <sheetFormatPr defaultColWidth="9.140625" defaultRowHeight="16.5" customHeight="1"/>
  <cols>
    <col min="1" max="1" width="26.42578125" style="148" bestFit="1" customWidth="1"/>
    <col min="2" max="2" width="21.5703125" style="148" bestFit="1" customWidth="1"/>
    <col min="3" max="3" width="38.5703125" style="148" bestFit="1" customWidth="1"/>
    <col min="4" max="4" width="19.7109375" style="148" bestFit="1" customWidth="1"/>
    <col min="5" max="5" width="31" style="148" bestFit="1" customWidth="1"/>
    <col min="6" max="6" width="21.85546875" style="148" bestFit="1" customWidth="1"/>
    <col min="7" max="7" width="49.7109375" style="148" customWidth="1"/>
    <col min="8" max="10" width="20.42578125" style="148" customWidth="1"/>
    <col min="11" max="11" width="13.5703125" style="148" bestFit="1" customWidth="1"/>
    <col min="12" max="12" width="16.140625" style="148" bestFit="1" customWidth="1"/>
    <col min="13" max="13" width="13.5703125" style="148" bestFit="1" customWidth="1"/>
    <col min="14" max="14" width="16.140625" style="148" bestFit="1" customWidth="1"/>
    <col min="15" max="15" width="13.5703125" style="148" bestFit="1" customWidth="1"/>
    <col min="16" max="16" width="16.140625" style="148" bestFit="1" customWidth="1"/>
    <col min="17" max="17" width="13.5703125" style="148" bestFit="1" customWidth="1"/>
    <col min="18" max="18" width="16.140625" style="148" bestFit="1" customWidth="1"/>
    <col min="19" max="19" width="13.5703125" style="148" bestFit="1" customWidth="1"/>
    <col min="20" max="20" width="16.140625" style="148" bestFit="1" customWidth="1"/>
    <col min="21" max="21" width="13.5703125" style="148" bestFit="1" customWidth="1"/>
    <col min="22" max="22" width="17.140625" style="148" bestFit="1" customWidth="1"/>
    <col min="23" max="23" width="14.5703125" style="148" bestFit="1" customWidth="1"/>
    <col min="24" max="24" width="11.85546875" style="148" customWidth="1"/>
    <col min="25" max="25" width="8.85546875" style="148" bestFit="1" customWidth="1"/>
    <col min="26" max="26" width="7.42578125" style="148" bestFit="1" customWidth="1"/>
    <col min="27" max="27" width="7.5703125" style="148" bestFit="1" customWidth="1"/>
    <col min="28" max="16384" width="9.140625" style="148"/>
  </cols>
  <sheetData>
    <row r="1" spans="1:28" s="325" customFormat="1">
      <c r="A1" s="324" t="s">
        <v>885</v>
      </c>
      <c r="B1" s="324" t="s">
        <v>859</v>
      </c>
      <c r="C1" s="705" t="s">
        <v>862</v>
      </c>
      <c r="D1" s="324" t="s">
        <v>886</v>
      </c>
      <c r="E1" s="324" t="s">
        <v>887</v>
      </c>
      <c r="F1" s="706" t="s">
        <v>888</v>
      </c>
      <c r="G1" s="324" t="s">
        <v>889</v>
      </c>
      <c r="H1" s="324" t="s">
        <v>890</v>
      </c>
      <c r="I1" s="324" t="s">
        <v>891</v>
      </c>
      <c r="J1" s="324" t="s">
        <v>892</v>
      </c>
      <c r="K1" s="324" t="s">
        <v>893</v>
      </c>
      <c r="L1" s="324" t="s">
        <v>894</v>
      </c>
      <c r="M1" s="324" t="s">
        <v>895</v>
      </c>
      <c r="N1" s="324" t="s">
        <v>896</v>
      </c>
      <c r="O1" s="324" t="s">
        <v>897</v>
      </c>
      <c r="P1" s="324" t="s">
        <v>898</v>
      </c>
      <c r="Q1" s="324" t="s">
        <v>899</v>
      </c>
      <c r="R1" s="324" t="s">
        <v>900</v>
      </c>
      <c r="S1" s="324" t="s">
        <v>901</v>
      </c>
      <c r="T1" s="324" t="s">
        <v>902</v>
      </c>
      <c r="U1" s="324" t="s">
        <v>903</v>
      </c>
      <c r="V1" s="324" t="s">
        <v>904</v>
      </c>
      <c r="W1" s="324" t="s">
        <v>905</v>
      </c>
      <c r="X1" s="324" t="s">
        <v>906</v>
      </c>
      <c r="Y1" s="324" t="s">
        <v>135</v>
      </c>
      <c r="Z1" s="324" t="s">
        <v>845</v>
      </c>
      <c r="AA1" s="324" t="s">
        <v>140</v>
      </c>
      <c r="AB1" s="324" t="s">
        <v>141</v>
      </c>
    </row>
    <row r="2" spans="1:28" s="807" customFormat="1" ht="32.25" customHeight="1">
      <c r="A2" s="798" t="s">
        <v>907</v>
      </c>
      <c r="B2" s="789" t="s">
        <v>908</v>
      </c>
      <c r="C2" s="789" t="s">
        <v>876</v>
      </c>
      <c r="D2" s="789" t="s">
        <v>909</v>
      </c>
      <c r="E2" s="789" t="s">
        <v>153</v>
      </c>
      <c r="F2" s="804" t="s">
        <v>910</v>
      </c>
      <c r="G2" s="805" t="s">
        <v>911</v>
      </c>
      <c r="H2" s="806"/>
      <c r="I2" s="806"/>
      <c r="J2" s="806"/>
      <c r="K2" s="806"/>
      <c r="L2" s="806"/>
      <c r="M2" s="806"/>
      <c r="N2" s="806"/>
      <c r="O2" s="806"/>
      <c r="P2" s="806"/>
      <c r="Q2" s="806"/>
      <c r="R2" s="806"/>
      <c r="S2" s="806"/>
      <c r="T2" s="806"/>
      <c r="U2" s="806"/>
      <c r="V2" s="806"/>
      <c r="W2" s="806"/>
      <c r="X2" s="806"/>
      <c r="Y2" s="806"/>
      <c r="Z2" s="806"/>
      <c r="AA2" s="806"/>
      <c r="AB2" s="806"/>
    </row>
    <row r="3" spans="1:28" s="807" customFormat="1" ht="15">
      <c r="A3" s="798" t="s">
        <v>907</v>
      </c>
      <c r="B3" s="789" t="s">
        <v>908</v>
      </c>
      <c r="C3" s="789" t="s">
        <v>878</v>
      </c>
      <c r="D3" s="789" t="s">
        <v>909</v>
      </c>
      <c r="E3" s="789" t="s">
        <v>153</v>
      </c>
      <c r="F3" s="804" t="s">
        <v>910</v>
      </c>
      <c r="G3" s="808" t="s">
        <v>912</v>
      </c>
      <c r="H3" s="806"/>
      <c r="I3" s="806"/>
      <c r="J3" s="806"/>
      <c r="K3" s="806"/>
      <c r="L3" s="806"/>
      <c r="M3" s="806"/>
      <c r="N3" s="806"/>
      <c r="O3" s="806"/>
      <c r="P3" s="806"/>
      <c r="Q3" s="806"/>
      <c r="R3" s="806"/>
      <c r="S3" s="806"/>
      <c r="T3" s="806"/>
      <c r="U3" s="806"/>
      <c r="V3" s="806"/>
      <c r="W3" s="806"/>
      <c r="X3" s="806"/>
      <c r="Y3" s="806"/>
      <c r="Z3" s="806"/>
      <c r="AA3" s="806"/>
      <c r="AB3" s="806"/>
    </row>
    <row r="4" spans="1:28" s="807" customFormat="1" ht="12.75">
      <c r="A4" s="798" t="s">
        <v>907</v>
      </c>
      <c r="B4" s="789" t="s">
        <v>908</v>
      </c>
      <c r="C4" s="809" t="s">
        <v>822</v>
      </c>
      <c r="D4" s="809" t="s">
        <v>909</v>
      </c>
      <c r="E4" s="809" t="s">
        <v>913</v>
      </c>
      <c r="F4" s="810"/>
      <c r="G4" s="806"/>
      <c r="H4" s="806"/>
      <c r="I4" s="806"/>
      <c r="J4" s="806"/>
      <c r="K4" s="806"/>
      <c r="L4" s="806"/>
      <c r="M4" s="806"/>
      <c r="N4" s="806"/>
      <c r="O4" s="806"/>
      <c r="P4" s="806"/>
      <c r="Q4" s="806"/>
      <c r="R4" s="806"/>
      <c r="S4" s="806"/>
      <c r="T4" s="806"/>
      <c r="U4" s="806"/>
      <c r="V4" s="806"/>
      <c r="W4" s="806"/>
      <c r="X4" s="806"/>
      <c r="Y4" s="806"/>
      <c r="Z4" s="806"/>
      <c r="AA4" s="806"/>
      <c r="AB4" s="806"/>
    </row>
    <row r="5" spans="1:28" s="704" customFormat="1" ht="12.75">
      <c r="A5" s="720"/>
      <c r="B5" s="97"/>
      <c r="C5" s="97"/>
      <c r="D5" s="97"/>
      <c r="E5" s="97"/>
      <c r="F5" s="707"/>
      <c r="G5" s="703"/>
      <c r="H5" s="703"/>
      <c r="I5" s="703"/>
      <c r="J5" s="703"/>
      <c r="K5" s="703"/>
      <c r="L5" s="703"/>
      <c r="M5" s="703"/>
      <c r="N5" s="703"/>
      <c r="O5" s="703"/>
      <c r="P5" s="703"/>
      <c r="Q5" s="703"/>
      <c r="R5" s="703"/>
      <c r="S5" s="703"/>
      <c r="T5" s="703"/>
      <c r="U5" s="703"/>
      <c r="V5" s="703"/>
      <c r="W5" s="703"/>
      <c r="X5" s="703"/>
      <c r="Y5" s="703"/>
      <c r="Z5" s="703"/>
      <c r="AA5" s="703"/>
      <c r="AB5" s="703"/>
    </row>
    <row r="6" spans="1:28" s="704" customFormat="1" ht="12.75">
      <c r="A6" s="720"/>
      <c r="B6" s="97"/>
      <c r="C6" s="97"/>
      <c r="D6" s="97"/>
      <c r="E6" s="97"/>
      <c r="F6" s="707"/>
      <c r="G6" s="703"/>
      <c r="H6" s="703"/>
      <c r="I6" s="703"/>
      <c r="J6" s="703"/>
      <c r="K6" s="703"/>
      <c r="L6" s="703"/>
      <c r="M6" s="703"/>
      <c r="N6" s="703"/>
      <c r="O6" s="703"/>
      <c r="P6" s="703"/>
      <c r="Q6" s="703"/>
      <c r="R6" s="703"/>
      <c r="S6" s="703"/>
      <c r="T6" s="703"/>
      <c r="U6" s="703"/>
      <c r="V6" s="703"/>
      <c r="W6" s="703"/>
      <c r="X6" s="703"/>
      <c r="Y6" s="703"/>
      <c r="Z6" s="703"/>
      <c r="AA6" s="703"/>
      <c r="AB6" s="703"/>
    </row>
    <row r="7" spans="1:28" s="704" customFormat="1" ht="12.75">
      <c r="A7" s="720"/>
      <c r="B7" s="97"/>
      <c r="C7" s="97"/>
      <c r="D7" s="97"/>
      <c r="E7" s="97"/>
      <c r="F7" s="707"/>
      <c r="G7" s="703"/>
      <c r="H7" s="703"/>
      <c r="I7" s="703"/>
      <c r="J7" s="703"/>
      <c r="K7" s="703"/>
      <c r="L7" s="703"/>
      <c r="M7" s="703"/>
      <c r="N7" s="703"/>
      <c r="O7" s="703"/>
      <c r="P7" s="703"/>
      <c r="Q7" s="703"/>
      <c r="R7" s="703"/>
      <c r="S7" s="703"/>
      <c r="T7" s="703"/>
      <c r="U7" s="703"/>
      <c r="V7" s="703"/>
      <c r="W7" s="703"/>
      <c r="X7" s="703"/>
      <c r="Y7" s="703"/>
      <c r="Z7" s="703"/>
      <c r="AA7" s="703"/>
      <c r="AB7" s="703"/>
    </row>
    <row r="8" spans="1:28" s="325" customFormat="1" ht="15">
      <c r="A8" s="720"/>
      <c r="B8" s="146"/>
      <c r="C8" s="202"/>
      <c r="D8" s="202"/>
      <c r="E8" s="146"/>
      <c r="F8" s="706"/>
      <c r="G8" s="324"/>
      <c r="H8" s="324"/>
      <c r="I8" s="324"/>
      <c r="J8" s="324"/>
      <c r="K8" s="324"/>
      <c r="L8" s="324"/>
      <c r="M8" s="324"/>
      <c r="N8" s="324"/>
      <c r="O8" s="324"/>
      <c r="P8" s="324"/>
      <c r="Q8" s="324"/>
      <c r="R8" s="324"/>
      <c r="S8" s="324"/>
      <c r="T8" s="324"/>
      <c r="U8" s="324"/>
      <c r="V8" s="324"/>
      <c r="W8" s="324"/>
      <c r="X8" s="324"/>
      <c r="Y8" s="324"/>
      <c r="Z8" s="324"/>
      <c r="AA8" s="324"/>
      <c r="AB8" s="324"/>
    </row>
    <row r="9" spans="1:28" s="792" customFormat="1" ht="12.75">
      <c r="A9" s="799" t="s">
        <v>864</v>
      </c>
      <c r="B9" s="800" t="s">
        <v>914</v>
      </c>
      <c r="C9" s="801" t="s">
        <v>915</v>
      </c>
      <c r="D9" s="802" t="s">
        <v>916</v>
      </c>
      <c r="E9" s="803" t="s">
        <v>875</v>
      </c>
      <c r="F9" s="790"/>
      <c r="G9" s="791"/>
      <c r="H9" s="791"/>
      <c r="I9" s="791"/>
      <c r="J9" s="791"/>
      <c r="K9" s="791"/>
      <c r="L9" s="791"/>
      <c r="M9" s="791"/>
      <c r="N9" s="791"/>
      <c r="O9" s="791"/>
      <c r="P9" s="791"/>
      <c r="Q9" s="791"/>
      <c r="R9" s="791"/>
      <c r="S9" s="791"/>
      <c r="T9" s="791"/>
      <c r="U9" s="791"/>
      <c r="V9" s="791"/>
      <c r="W9" s="791"/>
      <c r="X9" s="791"/>
      <c r="Y9" s="791"/>
      <c r="Z9" s="791"/>
      <c r="AA9" s="791"/>
      <c r="AB9" s="791"/>
    </row>
    <row r="10" spans="1:28" s="792" customFormat="1" ht="12.75">
      <c r="A10" s="798" t="s">
        <v>864</v>
      </c>
      <c r="B10" s="559" t="s">
        <v>914</v>
      </c>
      <c r="C10" s="793" t="s">
        <v>878</v>
      </c>
      <c r="D10" s="150" t="s">
        <v>916</v>
      </c>
      <c r="E10" s="794" t="s">
        <v>877</v>
      </c>
      <c r="F10" s="793"/>
      <c r="G10" s="791"/>
      <c r="H10" s="791"/>
      <c r="I10" s="791"/>
      <c r="J10" s="791"/>
      <c r="K10" s="791"/>
      <c r="L10" s="791"/>
      <c r="M10" s="791"/>
      <c r="N10" s="791"/>
      <c r="O10" s="791"/>
      <c r="P10" s="791"/>
      <c r="Q10" s="791"/>
      <c r="R10" s="791"/>
      <c r="S10" s="791"/>
      <c r="T10" s="791"/>
      <c r="U10" s="791"/>
      <c r="V10" s="791"/>
      <c r="W10" s="791"/>
      <c r="X10" s="791"/>
      <c r="Y10" s="791"/>
      <c r="Z10" s="791"/>
      <c r="AA10" s="791"/>
      <c r="AB10" s="791"/>
    </row>
    <row r="11" spans="1:28" s="325" customFormat="1" ht="12.75">
      <c r="A11" s="722"/>
      <c r="B11" s="463"/>
      <c r="C11" s="705"/>
      <c r="D11" s="136"/>
      <c r="E11" s="146"/>
      <c r="F11" s="706"/>
      <c r="G11" s="324"/>
      <c r="H11" s="324"/>
      <c r="I11" s="324"/>
      <c r="J11" s="324"/>
      <c r="K11" s="324"/>
      <c r="L11" s="324"/>
      <c r="M11" s="324"/>
      <c r="N11" s="324"/>
      <c r="O11" s="324"/>
      <c r="P11" s="324"/>
      <c r="Q11" s="324"/>
      <c r="R11" s="324"/>
      <c r="S11" s="324"/>
      <c r="T11" s="324"/>
      <c r="U11" s="324"/>
      <c r="V11" s="324"/>
      <c r="W11" s="324"/>
      <c r="X11" s="324"/>
      <c r="Y11" s="324"/>
      <c r="Z11" s="324"/>
      <c r="AA11" s="324"/>
      <c r="AB11" s="324"/>
    </row>
    <row r="12" spans="1:28" s="792" customFormat="1" ht="12.75">
      <c r="A12" s="798" t="s">
        <v>917</v>
      </c>
      <c r="B12" s="559" t="s">
        <v>918</v>
      </c>
      <c r="C12" s="795" t="s">
        <v>915</v>
      </c>
      <c r="D12" s="150" t="s">
        <v>908</v>
      </c>
      <c r="E12" s="150" t="s">
        <v>876</v>
      </c>
      <c r="F12" s="796"/>
      <c r="G12" s="791"/>
      <c r="H12" s="791"/>
      <c r="I12" s="791"/>
      <c r="J12" s="791"/>
      <c r="K12" s="791"/>
      <c r="L12" s="791"/>
      <c r="M12" s="791"/>
      <c r="N12" s="791"/>
      <c r="O12" s="791"/>
      <c r="P12" s="791"/>
      <c r="Q12" s="791"/>
      <c r="R12" s="791"/>
      <c r="S12" s="791"/>
      <c r="T12" s="791"/>
      <c r="U12" s="791"/>
      <c r="V12" s="791"/>
      <c r="W12" s="791"/>
      <c r="X12" s="791"/>
      <c r="Y12" s="791"/>
      <c r="Z12" s="791"/>
      <c r="AA12" s="791"/>
      <c r="AB12" s="791"/>
    </row>
    <row r="13" spans="1:28" s="792" customFormat="1" ht="13.5">
      <c r="A13" s="798" t="s">
        <v>917</v>
      </c>
      <c r="B13" s="559" t="s">
        <v>918</v>
      </c>
      <c r="C13" s="797" t="s">
        <v>878</v>
      </c>
      <c r="D13" s="150" t="s">
        <v>908</v>
      </c>
      <c r="E13" s="150" t="s">
        <v>878</v>
      </c>
      <c r="F13" s="796"/>
      <c r="G13" s="791"/>
      <c r="H13" s="791"/>
      <c r="I13" s="791"/>
      <c r="J13" s="791"/>
      <c r="K13" s="791"/>
      <c r="L13" s="791"/>
      <c r="M13" s="791"/>
      <c r="N13" s="791"/>
      <c r="O13" s="791"/>
      <c r="P13" s="791"/>
      <c r="Q13" s="791"/>
      <c r="R13" s="791"/>
      <c r="S13" s="791"/>
      <c r="T13" s="791"/>
      <c r="U13" s="791"/>
      <c r="V13" s="791"/>
      <c r="W13" s="791"/>
      <c r="X13" s="791"/>
      <c r="Y13" s="791"/>
      <c r="Z13" s="791"/>
      <c r="AA13" s="791"/>
      <c r="AB13" s="791"/>
    </row>
    <row r="14" spans="1:28" s="325" customFormat="1" ht="12.75">
      <c r="A14" s="97"/>
      <c r="B14" s="463"/>
      <c r="C14" s="705"/>
      <c r="D14" s="136"/>
      <c r="E14" s="146"/>
      <c r="F14" s="706"/>
      <c r="G14" s="324"/>
      <c r="H14" s="324"/>
      <c r="I14" s="324"/>
      <c r="J14" s="324"/>
      <c r="K14" s="324"/>
      <c r="L14" s="324"/>
      <c r="M14" s="324"/>
      <c r="N14" s="324"/>
      <c r="O14" s="324"/>
      <c r="P14" s="324"/>
      <c r="Q14" s="324"/>
      <c r="R14" s="324"/>
      <c r="S14" s="324"/>
      <c r="T14" s="324"/>
      <c r="U14" s="324"/>
      <c r="V14" s="324"/>
      <c r="W14" s="324"/>
      <c r="X14" s="324"/>
      <c r="Y14" s="324"/>
      <c r="Z14" s="324"/>
      <c r="AA14" s="324"/>
      <c r="AB14" s="324"/>
    </row>
    <row r="15" spans="1:28" s="325" customFormat="1" ht="12.75">
      <c r="A15" s="97"/>
      <c r="B15" s="463"/>
      <c r="C15" s="705"/>
      <c r="D15" s="136"/>
      <c r="E15" s="146"/>
      <c r="F15" s="706"/>
      <c r="G15" s="324"/>
      <c r="H15" s="324"/>
      <c r="I15" s="324"/>
      <c r="J15" s="324"/>
      <c r="K15" s="324"/>
      <c r="L15" s="324"/>
      <c r="M15" s="324"/>
      <c r="N15" s="324"/>
      <c r="O15" s="324"/>
      <c r="P15" s="324"/>
      <c r="Q15" s="324"/>
      <c r="R15" s="324"/>
      <c r="S15" s="324"/>
      <c r="T15" s="324"/>
      <c r="U15" s="324"/>
      <c r="V15" s="324"/>
      <c r="W15" s="324"/>
      <c r="X15" s="324"/>
      <c r="Y15" s="324"/>
      <c r="Z15" s="324"/>
      <c r="AA15" s="324"/>
      <c r="AB15" s="324"/>
    </row>
    <row r="16" spans="1:28" s="325" customFormat="1" ht="12.75">
      <c r="A16" s="97"/>
      <c r="B16" s="324"/>
      <c r="C16" s="705"/>
      <c r="D16" s="146"/>
      <c r="E16" s="146"/>
      <c r="F16" s="706"/>
      <c r="G16" s="324"/>
      <c r="H16" s="324"/>
      <c r="I16" s="324"/>
      <c r="J16" s="324"/>
      <c r="K16" s="324"/>
      <c r="L16" s="324"/>
      <c r="M16" s="324"/>
      <c r="N16" s="324"/>
      <c r="O16" s="324"/>
      <c r="P16" s="324"/>
      <c r="Q16" s="324"/>
      <c r="R16" s="324"/>
      <c r="S16" s="324"/>
      <c r="T16" s="324"/>
      <c r="U16" s="324"/>
      <c r="V16" s="324"/>
      <c r="W16" s="324"/>
      <c r="X16" s="324"/>
      <c r="Y16" s="324"/>
      <c r="Z16" s="324"/>
      <c r="AA16" s="324"/>
      <c r="AB16" s="324"/>
    </row>
    <row r="17" spans="1:70" s="704" customFormat="1" ht="33">
      <c r="A17" s="722" t="s">
        <v>919</v>
      </c>
      <c r="B17" s="109" t="s">
        <v>920</v>
      </c>
      <c r="C17" s="720" t="s">
        <v>921</v>
      </c>
      <c r="D17" s="109" t="s">
        <v>922</v>
      </c>
      <c r="E17" s="109" t="s">
        <v>923</v>
      </c>
      <c r="F17" s="109" t="s">
        <v>924</v>
      </c>
      <c r="G17" s="723" t="s">
        <v>925</v>
      </c>
      <c r="H17" s="721"/>
      <c r="I17" s="721"/>
      <c r="J17" s="721"/>
      <c r="K17" s="721"/>
      <c r="L17" s="721"/>
      <c r="M17" s="721"/>
      <c r="N17" s="721"/>
      <c r="O17" s="721"/>
      <c r="P17" s="721"/>
      <c r="Q17" s="721"/>
      <c r="R17" s="721"/>
      <c r="S17" s="721"/>
      <c r="T17" s="721"/>
      <c r="U17" s="721"/>
      <c r="V17" s="721"/>
      <c r="W17" s="721"/>
      <c r="X17" s="109" t="s">
        <v>153</v>
      </c>
      <c r="Y17" s="721"/>
      <c r="Z17" s="721"/>
      <c r="AA17" s="721"/>
      <c r="AB17" s="721"/>
      <c r="AC17" s="710"/>
      <c r="AD17" s="710"/>
      <c r="AE17" s="710"/>
      <c r="AF17" s="710"/>
      <c r="AG17" s="710"/>
      <c r="AH17" s="710"/>
      <c r="AI17" s="710"/>
      <c r="AJ17" s="710"/>
      <c r="AK17" s="710"/>
      <c r="AL17" s="710"/>
      <c r="AM17" s="710"/>
      <c r="AN17" s="710"/>
      <c r="AO17" s="710"/>
      <c r="AP17" s="710"/>
      <c r="AQ17" s="710"/>
      <c r="AR17" s="710"/>
      <c r="AS17" s="710"/>
      <c r="AT17" s="710"/>
      <c r="AU17" s="710"/>
      <c r="AV17" s="710"/>
      <c r="AW17" s="710"/>
      <c r="AX17" s="710"/>
      <c r="AY17" s="710"/>
      <c r="AZ17" s="710"/>
      <c r="BA17" s="710"/>
      <c r="BB17" s="710"/>
      <c r="BC17" s="710"/>
      <c r="BD17" s="710"/>
      <c r="BE17" s="710"/>
      <c r="BF17" s="710"/>
      <c r="BG17" s="710"/>
      <c r="BH17" s="710"/>
      <c r="BI17" s="710"/>
      <c r="BJ17" s="710"/>
      <c r="BK17" s="710"/>
      <c r="BL17" s="710"/>
      <c r="BM17" s="710"/>
      <c r="BN17" s="710"/>
      <c r="BO17" s="710"/>
      <c r="BP17" s="710"/>
      <c r="BQ17" s="710"/>
      <c r="BR17" s="710"/>
    </row>
    <row r="18" spans="1:70" s="704" customFormat="1">
      <c r="A18" s="722" t="s">
        <v>919</v>
      </c>
      <c r="B18" s="109" t="s">
        <v>920</v>
      </c>
      <c r="C18" s="720" t="s">
        <v>926</v>
      </c>
      <c r="D18" s="109" t="s">
        <v>922</v>
      </c>
      <c r="E18" s="109" t="s">
        <v>923</v>
      </c>
      <c r="F18" s="721"/>
      <c r="G18" s="724"/>
      <c r="H18" s="721"/>
      <c r="I18" s="721"/>
      <c r="J18" s="721"/>
      <c r="K18" s="721"/>
      <c r="L18" s="721"/>
      <c r="M18" s="721"/>
      <c r="N18" s="721"/>
      <c r="O18" s="721"/>
      <c r="P18" s="721"/>
      <c r="Q18" s="721"/>
      <c r="R18" s="721"/>
      <c r="S18" s="721"/>
      <c r="T18" s="721"/>
      <c r="U18" s="721"/>
      <c r="V18" s="721"/>
      <c r="W18" s="721"/>
      <c r="X18" s="109" t="s">
        <v>163</v>
      </c>
      <c r="Y18" s="721"/>
      <c r="Z18" s="721"/>
      <c r="AA18" s="721"/>
      <c r="AB18" s="721"/>
      <c r="AC18" s="710"/>
      <c r="AD18" s="710"/>
      <c r="AE18" s="710"/>
      <c r="AF18" s="710"/>
      <c r="AG18" s="710"/>
      <c r="AH18" s="710"/>
      <c r="AI18" s="710"/>
      <c r="AJ18" s="710"/>
      <c r="AK18" s="710"/>
      <c r="AL18" s="710"/>
      <c r="AM18" s="710"/>
      <c r="AN18" s="710"/>
      <c r="AO18" s="710"/>
      <c r="AP18" s="710"/>
      <c r="AQ18" s="710"/>
      <c r="AR18" s="710"/>
      <c r="AS18" s="710"/>
      <c r="AT18" s="710"/>
      <c r="AU18" s="710"/>
      <c r="AV18" s="710"/>
      <c r="AW18" s="710"/>
      <c r="AX18" s="710"/>
      <c r="AY18" s="710"/>
      <c r="AZ18" s="710"/>
      <c r="BA18" s="710"/>
      <c r="BB18" s="710"/>
      <c r="BC18" s="710"/>
      <c r="BD18" s="710"/>
      <c r="BE18" s="710"/>
      <c r="BF18" s="710"/>
      <c r="BG18" s="710"/>
      <c r="BH18" s="710"/>
      <c r="BI18" s="710"/>
      <c r="BJ18" s="710"/>
      <c r="BK18" s="710"/>
      <c r="BL18" s="710"/>
      <c r="BM18" s="710"/>
      <c r="BN18" s="710"/>
      <c r="BO18" s="710"/>
      <c r="BP18" s="710"/>
      <c r="BQ18" s="710"/>
      <c r="BR18" s="710"/>
    </row>
    <row r="19" spans="1:70" s="704" customFormat="1">
      <c r="A19" s="722" t="s">
        <v>919</v>
      </c>
      <c r="B19" s="109" t="s">
        <v>920</v>
      </c>
      <c r="C19" s="720" t="s">
        <v>927</v>
      </c>
      <c r="D19" s="109" t="s">
        <v>922</v>
      </c>
      <c r="E19" s="109" t="s">
        <v>928</v>
      </c>
      <c r="F19" s="109" t="s">
        <v>929</v>
      </c>
      <c r="G19" s="725" t="s">
        <v>930</v>
      </c>
      <c r="H19" s="109"/>
      <c r="I19" s="109"/>
      <c r="J19" s="721"/>
      <c r="K19" s="721"/>
      <c r="L19" s="721"/>
      <c r="M19" s="721"/>
      <c r="N19" s="721"/>
      <c r="O19" s="721"/>
      <c r="P19" s="721"/>
      <c r="Q19" s="721"/>
      <c r="R19" s="721"/>
      <c r="S19" s="721"/>
      <c r="T19" s="721"/>
      <c r="U19" s="721"/>
      <c r="V19" s="721"/>
      <c r="W19" s="721"/>
      <c r="X19" s="109" t="s">
        <v>170</v>
      </c>
      <c r="Y19" s="721"/>
      <c r="Z19" s="721"/>
      <c r="AA19" s="721"/>
      <c r="AB19" s="721"/>
      <c r="AC19" s="710"/>
      <c r="AD19" s="710"/>
      <c r="AE19" s="710"/>
      <c r="AF19" s="710"/>
      <c r="AG19" s="710"/>
      <c r="AH19" s="710"/>
      <c r="AI19" s="710"/>
      <c r="AJ19" s="710"/>
      <c r="AK19" s="710"/>
      <c r="AL19" s="710"/>
      <c r="AM19" s="710"/>
      <c r="AN19" s="710"/>
      <c r="AO19" s="710"/>
      <c r="AP19" s="710"/>
      <c r="AQ19" s="710"/>
      <c r="AR19" s="710"/>
      <c r="AS19" s="710"/>
      <c r="AT19" s="710"/>
      <c r="AU19" s="710"/>
      <c r="AV19" s="710"/>
      <c r="AW19" s="710"/>
      <c r="AX19" s="710"/>
      <c r="AY19" s="710"/>
      <c r="AZ19" s="710"/>
      <c r="BA19" s="710"/>
      <c r="BB19" s="710"/>
      <c r="BC19" s="710"/>
      <c r="BD19" s="710"/>
      <c r="BE19" s="710"/>
      <c r="BF19" s="710"/>
      <c r="BG19" s="710"/>
      <c r="BH19" s="710"/>
      <c r="BI19" s="710"/>
      <c r="BJ19" s="710"/>
      <c r="BK19" s="710"/>
      <c r="BL19" s="710"/>
      <c r="BM19" s="710"/>
      <c r="BN19" s="710"/>
      <c r="BO19" s="710"/>
      <c r="BP19" s="710"/>
      <c r="BQ19" s="710"/>
      <c r="BR19" s="710"/>
    </row>
    <row r="20" spans="1:70" s="704" customFormat="1">
      <c r="A20" s="722" t="s">
        <v>919</v>
      </c>
      <c r="B20" s="109" t="s">
        <v>920</v>
      </c>
      <c r="C20" s="720" t="s">
        <v>931</v>
      </c>
      <c r="D20" s="109" t="s">
        <v>922</v>
      </c>
      <c r="E20" s="109" t="s">
        <v>928</v>
      </c>
      <c r="F20" s="109" t="s">
        <v>929</v>
      </c>
      <c r="G20" s="725" t="s">
        <v>153</v>
      </c>
      <c r="H20" s="721"/>
      <c r="I20" s="721"/>
      <c r="J20" s="721"/>
      <c r="K20" s="721"/>
      <c r="L20" s="721"/>
      <c r="M20" s="721"/>
      <c r="N20" s="721"/>
      <c r="O20" s="721"/>
      <c r="P20" s="721"/>
      <c r="Q20" s="721"/>
      <c r="R20" s="721"/>
      <c r="S20" s="721"/>
      <c r="T20" s="721"/>
      <c r="U20" s="721"/>
      <c r="V20" s="721"/>
      <c r="W20" s="721"/>
      <c r="X20" s="109" t="s">
        <v>176</v>
      </c>
      <c r="Y20" s="721"/>
      <c r="Z20" s="721"/>
      <c r="AA20" s="721"/>
      <c r="AB20" s="721"/>
      <c r="AC20" s="710"/>
      <c r="AD20" s="710"/>
      <c r="AE20" s="710"/>
      <c r="AF20" s="710"/>
      <c r="AG20" s="710"/>
      <c r="AH20" s="710"/>
      <c r="AI20" s="710"/>
      <c r="AJ20" s="710"/>
      <c r="AK20" s="710"/>
      <c r="AL20" s="710"/>
      <c r="AM20" s="710"/>
      <c r="AN20" s="710"/>
      <c r="AO20" s="710"/>
      <c r="AP20" s="710"/>
      <c r="AQ20" s="710"/>
      <c r="AR20" s="710"/>
      <c r="AS20" s="710"/>
      <c r="AT20" s="710"/>
      <c r="AU20" s="710"/>
      <c r="AV20" s="710"/>
      <c r="AW20" s="710"/>
      <c r="AX20" s="710"/>
      <c r="AY20" s="710"/>
      <c r="AZ20" s="710"/>
      <c r="BA20" s="710"/>
      <c r="BB20" s="710"/>
      <c r="BC20" s="710"/>
      <c r="BD20" s="710"/>
      <c r="BE20" s="710"/>
      <c r="BF20" s="710"/>
      <c r="BG20" s="710"/>
      <c r="BH20" s="710"/>
      <c r="BI20" s="710"/>
      <c r="BJ20" s="710"/>
      <c r="BK20" s="710"/>
      <c r="BL20" s="710"/>
      <c r="BM20" s="710"/>
      <c r="BN20" s="710"/>
      <c r="BO20" s="710"/>
      <c r="BP20" s="710"/>
      <c r="BQ20" s="710"/>
      <c r="BR20" s="710"/>
    </row>
    <row r="21" spans="1:70" s="704" customFormat="1">
      <c r="A21" s="722" t="s">
        <v>919</v>
      </c>
      <c r="B21" s="109" t="s">
        <v>920</v>
      </c>
      <c r="C21" s="720" t="s">
        <v>931</v>
      </c>
      <c r="D21" s="109" t="s">
        <v>922</v>
      </c>
      <c r="E21" s="109" t="s">
        <v>928</v>
      </c>
      <c r="F21" s="109"/>
      <c r="G21" s="725"/>
      <c r="H21" s="721"/>
      <c r="I21" s="721"/>
      <c r="J21" s="721"/>
      <c r="K21" s="721"/>
      <c r="L21" s="721"/>
      <c r="M21" s="721"/>
      <c r="N21" s="721"/>
      <c r="O21" s="721"/>
      <c r="P21" s="721"/>
      <c r="Q21" s="721"/>
      <c r="R21" s="721"/>
      <c r="S21" s="721"/>
      <c r="T21" s="721"/>
      <c r="U21" s="721"/>
      <c r="V21" s="721"/>
      <c r="W21" s="721"/>
      <c r="X21" s="109" t="s">
        <v>185</v>
      </c>
      <c r="Y21" s="721"/>
      <c r="Z21" s="721"/>
      <c r="AA21" s="721"/>
      <c r="AB21" s="721"/>
      <c r="AC21" s="710"/>
      <c r="AD21" s="710"/>
      <c r="AE21" s="710"/>
      <c r="AF21" s="710"/>
      <c r="AG21" s="710"/>
      <c r="AH21" s="710"/>
      <c r="AI21" s="710"/>
      <c r="AJ21" s="710"/>
      <c r="AK21" s="710"/>
      <c r="AL21" s="710"/>
      <c r="AM21" s="710"/>
      <c r="AN21" s="710"/>
      <c r="AO21" s="710"/>
      <c r="AP21" s="710"/>
      <c r="AQ21" s="710"/>
      <c r="AR21" s="710"/>
      <c r="AS21" s="710"/>
      <c r="AT21" s="710"/>
      <c r="AU21" s="710"/>
      <c r="AV21" s="710"/>
      <c r="AW21" s="710"/>
      <c r="AX21" s="710"/>
      <c r="AY21" s="710"/>
      <c r="AZ21" s="710"/>
      <c r="BA21" s="710"/>
      <c r="BB21" s="710"/>
      <c r="BC21" s="710"/>
      <c r="BD21" s="710"/>
      <c r="BE21" s="710"/>
      <c r="BF21" s="710"/>
      <c r="BG21" s="710"/>
      <c r="BH21" s="710"/>
      <c r="BI21" s="710"/>
      <c r="BJ21" s="710"/>
      <c r="BK21" s="710"/>
      <c r="BL21" s="710"/>
      <c r="BM21" s="710"/>
      <c r="BN21" s="710"/>
      <c r="BO21" s="710"/>
      <c r="BP21" s="710"/>
      <c r="BQ21" s="710"/>
      <c r="BR21" s="710"/>
    </row>
    <row r="22" spans="1:70" s="704" customFormat="1">
      <c r="A22" s="722" t="s">
        <v>919</v>
      </c>
      <c r="B22" s="109" t="s">
        <v>920</v>
      </c>
      <c r="C22" s="720" t="s">
        <v>932</v>
      </c>
      <c r="D22" s="109" t="s">
        <v>922</v>
      </c>
      <c r="E22" s="109" t="s">
        <v>933</v>
      </c>
      <c r="F22" s="721"/>
      <c r="G22" s="724"/>
      <c r="H22" s="721"/>
      <c r="I22" s="721"/>
      <c r="J22" s="721"/>
      <c r="K22" s="721"/>
      <c r="L22" s="721"/>
      <c r="M22" s="721"/>
      <c r="N22" s="721"/>
      <c r="O22" s="721"/>
      <c r="P22" s="721"/>
      <c r="Q22" s="721"/>
      <c r="R22" s="721"/>
      <c r="S22" s="721"/>
      <c r="T22" s="721"/>
      <c r="U22" s="721"/>
      <c r="V22" s="721"/>
      <c r="W22" s="721"/>
      <c r="X22" s="109" t="s">
        <v>192</v>
      </c>
      <c r="Y22" s="721"/>
      <c r="Z22" s="721"/>
      <c r="AA22" s="721"/>
      <c r="AB22" s="721"/>
      <c r="AC22" s="710"/>
      <c r="AD22" s="710"/>
      <c r="AE22" s="710"/>
      <c r="AF22" s="710"/>
      <c r="AG22" s="710"/>
      <c r="AH22" s="710"/>
      <c r="AI22" s="710"/>
      <c r="AJ22" s="710"/>
      <c r="AK22" s="710"/>
      <c r="AL22" s="710"/>
      <c r="AM22" s="710"/>
      <c r="AN22" s="710"/>
      <c r="AO22" s="710"/>
      <c r="AP22" s="710"/>
      <c r="AQ22" s="710"/>
      <c r="AR22" s="710"/>
      <c r="AS22" s="710"/>
      <c r="AT22" s="710"/>
      <c r="AU22" s="710"/>
      <c r="AV22" s="710"/>
      <c r="AW22" s="710"/>
      <c r="AX22" s="710"/>
      <c r="AY22" s="710"/>
      <c r="AZ22" s="710"/>
      <c r="BA22" s="710"/>
      <c r="BB22" s="710"/>
      <c r="BC22" s="710"/>
      <c r="BD22" s="710"/>
      <c r="BE22" s="710"/>
      <c r="BF22" s="710"/>
      <c r="BG22" s="710"/>
      <c r="BH22" s="710"/>
      <c r="BI22" s="710"/>
      <c r="BJ22" s="710"/>
      <c r="BK22" s="710"/>
      <c r="BL22" s="710"/>
      <c r="BM22" s="710"/>
      <c r="BN22" s="710"/>
      <c r="BO22" s="710"/>
      <c r="BP22" s="710"/>
      <c r="BQ22" s="710"/>
      <c r="BR22" s="710"/>
    </row>
    <row r="23" spans="1:70" s="704" customFormat="1">
      <c r="A23" s="722" t="s">
        <v>919</v>
      </c>
      <c r="B23" s="109" t="s">
        <v>920</v>
      </c>
      <c r="C23" s="720" t="s">
        <v>934</v>
      </c>
      <c r="D23" s="109" t="s">
        <v>922</v>
      </c>
      <c r="E23" s="109" t="s">
        <v>935</v>
      </c>
      <c r="F23" s="721"/>
      <c r="G23" s="724"/>
      <c r="H23" s="721"/>
      <c r="I23" s="721"/>
      <c r="J23" s="721"/>
      <c r="K23" s="721"/>
      <c r="L23" s="721"/>
      <c r="M23" s="721"/>
      <c r="N23" s="721"/>
      <c r="O23" s="721"/>
      <c r="P23" s="721"/>
      <c r="Q23" s="721"/>
      <c r="R23" s="721"/>
      <c r="S23" s="721"/>
      <c r="T23" s="721"/>
      <c r="U23" s="721"/>
      <c r="V23" s="721"/>
      <c r="W23" s="721"/>
      <c r="X23" s="109" t="s">
        <v>714</v>
      </c>
      <c r="Y23" s="721"/>
      <c r="Z23" s="721"/>
      <c r="AA23" s="721"/>
      <c r="AB23" s="721"/>
      <c r="AC23" s="710"/>
      <c r="AD23" s="710"/>
      <c r="AE23" s="710"/>
      <c r="AF23" s="710"/>
      <c r="AG23" s="710"/>
      <c r="AH23" s="710"/>
      <c r="AI23" s="710"/>
      <c r="AJ23" s="710"/>
      <c r="AK23" s="710"/>
      <c r="AL23" s="710"/>
      <c r="AM23" s="710"/>
      <c r="AN23" s="710"/>
      <c r="AO23" s="710"/>
      <c r="AP23" s="710"/>
      <c r="AQ23" s="710"/>
      <c r="AR23" s="710"/>
      <c r="AS23" s="710"/>
      <c r="AT23" s="710"/>
      <c r="AU23" s="710"/>
      <c r="AV23" s="710"/>
      <c r="AW23" s="710"/>
      <c r="AX23" s="710"/>
      <c r="AY23" s="710"/>
      <c r="AZ23" s="710"/>
      <c r="BA23" s="710"/>
      <c r="BB23" s="710"/>
      <c r="BC23" s="710"/>
      <c r="BD23" s="710"/>
      <c r="BE23" s="710"/>
      <c r="BF23" s="710"/>
      <c r="BG23" s="710"/>
      <c r="BH23" s="710"/>
      <c r="BI23" s="710"/>
      <c r="BJ23" s="710"/>
      <c r="BK23" s="710"/>
      <c r="BL23" s="710"/>
      <c r="BM23" s="710"/>
      <c r="BN23" s="710"/>
      <c r="BO23" s="710"/>
      <c r="BP23" s="710"/>
      <c r="BQ23" s="710"/>
      <c r="BR23" s="710"/>
    </row>
    <row r="24" spans="1:70" s="704" customFormat="1">
      <c r="A24" s="722" t="s">
        <v>919</v>
      </c>
      <c r="B24" s="109" t="s">
        <v>920</v>
      </c>
      <c r="C24" s="720" t="s">
        <v>936</v>
      </c>
      <c r="D24" s="109" t="s">
        <v>922</v>
      </c>
      <c r="E24" s="109" t="s">
        <v>937</v>
      </c>
      <c r="F24" s="721"/>
      <c r="G24" s="724"/>
      <c r="H24" s="721"/>
      <c r="I24" s="721"/>
      <c r="J24" s="721"/>
      <c r="K24" s="721"/>
      <c r="L24" s="721"/>
      <c r="M24" s="721"/>
      <c r="N24" s="721"/>
      <c r="O24" s="721"/>
      <c r="P24" s="721"/>
      <c r="Q24" s="721"/>
      <c r="R24" s="721"/>
      <c r="S24" s="721"/>
      <c r="T24" s="721"/>
      <c r="U24" s="721"/>
      <c r="V24" s="721"/>
      <c r="W24" s="721"/>
      <c r="X24" s="109" t="s">
        <v>721</v>
      </c>
      <c r="Y24" s="721"/>
      <c r="Z24" s="721"/>
      <c r="AA24" s="721"/>
      <c r="AB24" s="721"/>
      <c r="AC24" s="710"/>
      <c r="AD24" s="710"/>
      <c r="AE24" s="710"/>
      <c r="AF24" s="710"/>
      <c r="AG24" s="710"/>
      <c r="AH24" s="710"/>
      <c r="AI24" s="710"/>
      <c r="AJ24" s="710"/>
      <c r="AK24" s="710"/>
      <c r="AL24" s="710"/>
      <c r="AM24" s="710"/>
      <c r="AN24" s="710"/>
      <c r="AO24" s="710"/>
      <c r="AP24" s="710"/>
      <c r="AQ24" s="710"/>
      <c r="AR24" s="710"/>
      <c r="AS24" s="710"/>
      <c r="AT24" s="710"/>
      <c r="AU24" s="710"/>
      <c r="AV24" s="710"/>
      <c r="AW24" s="710"/>
      <c r="AX24" s="710"/>
      <c r="AY24" s="710"/>
      <c r="AZ24" s="710"/>
      <c r="BA24" s="710"/>
      <c r="BB24" s="710"/>
      <c r="BC24" s="710"/>
      <c r="BD24" s="710"/>
      <c r="BE24" s="710"/>
      <c r="BF24" s="710"/>
      <c r="BG24" s="710"/>
      <c r="BH24" s="710"/>
      <c r="BI24" s="710"/>
      <c r="BJ24" s="710"/>
      <c r="BK24" s="710"/>
      <c r="BL24" s="710"/>
      <c r="BM24" s="710"/>
      <c r="BN24" s="710"/>
      <c r="BO24" s="710"/>
      <c r="BP24" s="710"/>
      <c r="BQ24" s="710"/>
      <c r="BR24" s="710"/>
    </row>
    <row r="25" spans="1:70" s="710" customFormat="1" ht="64.5" customHeight="1">
      <c r="A25" s="97" t="s">
        <v>864</v>
      </c>
      <c r="B25" s="702" t="s">
        <v>938</v>
      </c>
      <c r="C25" s="708" t="s">
        <v>939</v>
      </c>
      <c r="D25" s="97" t="s">
        <v>909</v>
      </c>
      <c r="E25" s="97" t="s">
        <v>153</v>
      </c>
      <c r="F25" s="709" t="s">
        <v>910</v>
      </c>
      <c r="G25" s="711" t="s">
        <v>940</v>
      </c>
      <c r="H25" s="702"/>
      <c r="I25" s="702"/>
      <c r="J25" s="702"/>
      <c r="K25" s="702"/>
      <c r="L25" s="702"/>
      <c r="M25" s="702"/>
      <c r="N25" s="702"/>
      <c r="O25" s="702"/>
      <c r="P25" s="702"/>
      <c r="Q25" s="702"/>
      <c r="R25" s="702"/>
      <c r="S25" s="702"/>
      <c r="T25" s="702"/>
      <c r="U25" s="702"/>
      <c r="V25" s="702"/>
      <c r="W25" s="702"/>
      <c r="X25" s="702" t="s">
        <v>153</v>
      </c>
      <c r="Y25" s="702"/>
      <c r="Z25" s="702"/>
      <c r="AA25" s="702"/>
      <c r="AB25" s="702"/>
    </row>
    <row r="26" spans="1:70" s="710" customFormat="1">
      <c r="A26" s="97" t="s">
        <v>864</v>
      </c>
      <c r="B26" s="702" t="s">
        <v>938</v>
      </c>
      <c r="C26" s="708" t="s">
        <v>939</v>
      </c>
      <c r="D26" s="97" t="s">
        <v>909</v>
      </c>
      <c r="E26" s="97" t="s">
        <v>153</v>
      </c>
      <c r="F26" s="709" t="s">
        <v>941</v>
      </c>
      <c r="G26" s="712" t="s">
        <v>942</v>
      </c>
      <c r="H26" s="702"/>
      <c r="I26" s="702"/>
      <c r="J26" s="702"/>
      <c r="K26" s="702"/>
      <c r="L26" s="702"/>
      <c r="M26" s="702"/>
      <c r="N26" s="702"/>
      <c r="O26" s="702"/>
      <c r="P26" s="702"/>
      <c r="Q26" s="702"/>
      <c r="R26" s="702"/>
      <c r="S26" s="702"/>
      <c r="T26" s="702"/>
      <c r="U26" s="702"/>
      <c r="V26" s="702"/>
      <c r="W26" s="702"/>
      <c r="X26" s="702" t="s">
        <v>163</v>
      </c>
      <c r="Y26" s="702"/>
      <c r="Z26" s="702"/>
      <c r="AA26" s="702"/>
      <c r="AB26" s="702"/>
    </row>
    <row r="27" spans="1:70" s="710" customFormat="1">
      <c r="A27" s="97" t="s">
        <v>864</v>
      </c>
      <c r="B27" s="702" t="s">
        <v>938</v>
      </c>
      <c r="C27" s="708" t="s">
        <v>943</v>
      </c>
      <c r="D27" s="97" t="s">
        <v>909</v>
      </c>
      <c r="E27" s="97" t="s">
        <v>153</v>
      </c>
      <c r="F27" s="136"/>
      <c r="G27" s="136"/>
      <c r="H27" s="136"/>
      <c r="I27" s="136"/>
      <c r="J27" s="702"/>
      <c r="K27" s="702"/>
      <c r="L27" s="702"/>
      <c r="M27" s="702"/>
      <c r="N27" s="702"/>
      <c r="O27" s="702"/>
      <c r="P27" s="702"/>
      <c r="Q27" s="702"/>
      <c r="R27" s="702"/>
      <c r="S27" s="702"/>
      <c r="T27" s="702"/>
      <c r="U27" s="702"/>
      <c r="V27" s="702"/>
      <c r="W27" s="702"/>
      <c r="X27" s="702" t="s">
        <v>170</v>
      </c>
      <c r="Y27" s="702"/>
      <c r="Z27" s="702"/>
      <c r="AA27" s="702"/>
      <c r="AB27" s="702"/>
    </row>
    <row r="28" spans="1:70" s="704" customFormat="1">
      <c r="A28" s="97" t="s">
        <v>864</v>
      </c>
      <c r="B28" s="702" t="s">
        <v>938</v>
      </c>
      <c r="C28" s="708" t="s">
        <v>822</v>
      </c>
      <c r="D28" s="97" t="s">
        <v>909</v>
      </c>
      <c r="E28" s="97" t="s">
        <v>913</v>
      </c>
      <c r="F28" s="707"/>
      <c r="G28" s="703"/>
      <c r="H28" s="703"/>
      <c r="I28" s="703"/>
      <c r="J28" s="703"/>
      <c r="K28" s="703"/>
      <c r="L28" s="703"/>
      <c r="M28" s="703"/>
      <c r="N28" s="703"/>
      <c r="O28" s="703"/>
      <c r="P28" s="703"/>
      <c r="Q28" s="703"/>
      <c r="R28" s="703"/>
      <c r="S28" s="703"/>
      <c r="T28" s="703"/>
      <c r="U28" s="703"/>
      <c r="V28" s="703"/>
      <c r="W28" s="703"/>
      <c r="X28" s="702" t="s">
        <v>176</v>
      </c>
      <c r="Y28" s="703"/>
      <c r="Z28" s="703"/>
      <c r="AA28" s="703"/>
      <c r="AB28" s="703"/>
    </row>
    <row r="29" spans="1:70" ht="14.25" customHeight="1">
      <c r="A29" s="97" t="s">
        <v>944</v>
      </c>
      <c r="B29" s="97" t="s">
        <v>945</v>
      </c>
      <c r="C29" s="769" t="s">
        <v>946</v>
      </c>
      <c r="D29" s="323" t="s">
        <v>947</v>
      </c>
      <c r="E29" s="323" t="s">
        <v>948</v>
      </c>
      <c r="F29" s="136"/>
      <c r="G29" s="136"/>
      <c r="H29" s="136"/>
      <c r="I29" s="136"/>
      <c r="J29" s="136"/>
      <c r="K29" s="136"/>
      <c r="L29" s="136"/>
      <c r="M29" s="136"/>
      <c r="N29" s="136"/>
      <c r="O29" s="136"/>
      <c r="P29" s="136"/>
      <c r="Q29" s="136"/>
      <c r="R29" s="136"/>
      <c r="S29" s="136"/>
      <c r="T29" s="136"/>
      <c r="U29" s="136"/>
      <c r="V29" s="136"/>
      <c r="W29" s="136"/>
      <c r="X29" s="97" t="s">
        <v>153</v>
      </c>
      <c r="Y29" s="136"/>
      <c r="Z29" s="136"/>
      <c r="AA29" s="136"/>
      <c r="AB29" s="136"/>
    </row>
    <row r="30" spans="1:70" ht="14.25" customHeight="1">
      <c r="A30" s="323" t="s">
        <v>944</v>
      </c>
      <c r="B30" s="323" t="s">
        <v>945</v>
      </c>
      <c r="C30" s="323" t="s">
        <v>949</v>
      </c>
      <c r="D30" s="97" t="s">
        <v>947</v>
      </c>
      <c r="E30" s="323" t="s">
        <v>950</v>
      </c>
      <c r="F30" s="465"/>
      <c r="G30" s="465"/>
      <c r="H30" s="465"/>
      <c r="I30" s="465"/>
      <c r="J30" s="465"/>
      <c r="K30" s="465"/>
      <c r="L30" s="465"/>
      <c r="M30" s="465"/>
      <c r="N30" s="465"/>
      <c r="O30" s="465"/>
      <c r="P30" s="465"/>
      <c r="Q30" s="465"/>
      <c r="R30" s="465"/>
      <c r="S30" s="465"/>
      <c r="T30" s="465"/>
      <c r="U30" s="465"/>
      <c r="V30" s="465"/>
      <c r="W30" s="465"/>
      <c r="X30" s="323" t="s">
        <v>153</v>
      </c>
      <c r="Y30" s="465"/>
      <c r="Z30" s="465"/>
      <c r="AA30" s="465"/>
      <c r="AB30" s="465"/>
    </row>
    <row r="31" spans="1:70" s="156" customFormat="1">
      <c r="A31" s="97" t="s">
        <v>864</v>
      </c>
      <c r="B31" s="97" t="s">
        <v>951</v>
      </c>
      <c r="C31" s="136" t="s">
        <v>344</v>
      </c>
      <c r="D31" s="479" t="s">
        <v>874</v>
      </c>
      <c r="E31" s="136" t="s">
        <v>952</v>
      </c>
      <c r="F31" s="145"/>
      <c r="G31" s="136"/>
      <c r="H31" s="136"/>
      <c r="I31" s="136"/>
      <c r="J31" s="136"/>
      <c r="K31" s="136"/>
      <c r="L31" s="136"/>
      <c r="M31" s="136"/>
      <c r="N31" s="136"/>
      <c r="O31" s="136"/>
      <c r="P31" s="136"/>
      <c r="Q31" s="136"/>
      <c r="R31" s="136"/>
      <c r="S31" s="136"/>
      <c r="T31" s="136"/>
      <c r="U31" s="136"/>
      <c r="V31" s="136"/>
      <c r="W31" s="136"/>
      <c r="X31" s="97" t="s">
        <v>153</v>
      </c>
      <c r="Y31" s="136"/>
      <c r="Z31" s="136"/>
      <c r="AA31" s="136"/>
      <c r="AB31" s="136"/>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row>
    <row r="32" spans="1:70" s="156" customFormat="1">
      <c r="A32" s="97" t="s">
        <v>864</v>
      </c>
      <c r="B32" s="97" t="s">
        <v>951</v>
      </c>
      <c r="C32" s="136" t="s">
        <v>344</v>
      </c>
      <c r="D32" s="479" t="s">
        <v>874</v>
      </c>
      <c r="E32" s="136">
        <v>51</v>
      </c>
      <c r="F32" s="145"/>
      <c r="G32" s="136"/>
      <c r="H32" s="136"/>
      <c r="I32" s="136"/>
      <c r="J32" s="136"/>
      <c r="K32" s="136"/>
      <c r="L32" s="136"/>
      <c r="M32" s="136"/>
      <c r="N32" s="136"/>
      <c r="O32" s="136"/>
      <c r="P32" s="136"/>
      <c r="Q32" s="136"/>
      <c r="R32" s="136"/>
      <c r="S32" s="136"/>
      <c r="T32" s="136"/>
      <c r="U32" s="136"/>
      <c r="V32" s="136"/>
      <c r="W32" s="136"/>
      <c r="X32" s="97" t="s">
        <v>153</v>
      </c>
      <c r="Y32" s="136"/>
      <c r="Z32" s="136"/>
      <c r="AA32" s="136"/>
      <c r="AB32" s="136"/>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row>
    <row r="33" spans="1:70">
      <c r="A33" s="97" t="s">
        <v>864</v>
      </c>
      <c r="B33" s="97" t="s">
        <v>951</v>
      </c>
      <c r="C33" s="136" t="s">
        <v>344</v>
      </c>
      <c r="D33" s="479" t="s">
        <v>874</v>
      </c>
      <c r="E33" s="136">
        <v>2020</v>
      </c>
      <c r="F33" s="145"/>
      <c r="G33" s="136"/>
      <c r="H33" s="136"/>
      <c r="I33" s="136"/>
      <c r="J33" s="136"/>
      <c r="K33" s="136"/>
      <c r="L33" s="136"/>
      <c r="M33" s="136"/>
      <c r="N33" s="136"/>
      <c r="O33" s="136"/>
      <c r="P33" s="136"/>
      <c r="Q33" s="136"/>
      <c r="R33" s="136"/>
      <c r="S33" s="136"/>
      <c r="T33" s="136"/>
      <c r="U33" s="136"/>
      <c r="V33" s="136"/>
      <c r="W33" s="136"/>
      <c r="X33" s="97" t="s">
        <v>153</v>
      </c>
      <c r="Y33" s="136"/>
      <c r="Z33" s="136"/>
      <c r="AA33" s="136"/>
      <c r="AB33" s="136"/>
    </row>
    <row r="34" spans="1:70">
      <c r="A34" s="97" t="s">
        <v>864</v>
      </c>
      <c r="B34" s="97" t="s">
        <v>951</v>
      </c>
      <c r="C34" s="136" t="s">
        <v>344</v>
      </c>
      <c r="D34" s="479" t="s">
        <v>874</v>
      </c>
      <c r="E34" s="136">
        <v>2019</v>
      </c>
      <c r="F34" s="145"/>
      <c r="G34" s="136"/>
      <c r="H34" s="136"/>
      <c r="I34" s="136"/>
      <c r="J34" s="136"/>
      <c r="K34" s="136"/>
      <c r="L34" s="136"/>
      <c r="M34" s="136"/>
      <c r="N34" s="136"/>
      <c r="O34" s="136"/>
      <c r="P34" s="136"/>
      <c r="Q34" s="136"/>
      <c r="R34" s="136"/>
      <c r="S34" s="136"/>
      <c r="T34" s="136"/>
      <c r="U34" s="136"/>
      <c r="V34" s="136"/>
      <c r="W34" s="136"/>
      <c r="X34" s="97" t="s">
        <v>153</v>
      </c>
      <c r="Y34" s="136"/>
      <c r="Z34" s="136"/>
      <c r="AA34" s="136"/>
      <c r="AB34" s="136"/>
    </row>
    <row r="35" spans="1:70" s="414" customFormat="1">
      <c r="A35" s="97" t="s">
        <v>864</v>
      </c>
      <c r="B35" s="97" t="s">
        <v>951</v>
      </c>
      <c r="C35" s="136" t="s">
        <v>344</v>
      </c>
      <c r="D35" s="479" t="s">
        <v>874</v>
      </c>
      <c r="E35" s="136">
        <v>2018</v>
      </c>
      <c r="F35" s="145"/>
      <c r="G35" s="136"/>
      <c r="H35" s="136"/>
      <c r="I35" s="136"/>
      <c r="J35" s="136"/>
      <c r="K35" s="136"/>
      <c r="L35" s="136"/>
      <c r="M35" s="136"/>
      <c r="N35" s="136"/>
      <c r="O35" s="136"/>
      <c r="P35" s="136"/>
      <c r="Q35" s="136"/>
      <c r="R35" s="136"/>
      <c r="S35" s="136"/>
      <c r="T35" s="136"/>
      <c r="U35" s="136"/>
      <c r="V35" s="136"/>
      <c r="W35" s="136"/>
      <c r="X35" s="97" t="s">
        <v>153</v>
      </c>
      <c r="Y35" s="136"/>
      <c r="Z35" s="136"/>
      <c r="AA35" s="136"/>
      <c r="AB35" s="136"/>
      <c r="AC35" s="148"/>
      <c r="AD35" s="148"/>
      <c r="AE35" s="148"/>
      <c r="AF35" s="148"/>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row>
    <row r="36" spans="1:70" s="414" customFormat="1">
      <c r="A36" s="97" t="s">
        <v>864</v>
      </c>
      <c r="B36" s="97" t="s">
        <v>951</v>
      </c>
      <c r="C36" s="136" t="s">
        <v>344</v>
      </c>
      <c r="D36" s="479" t="s">
        <v>874</v>
      </c>
      <c r="E36" s="136">
        <v>2017</v>
      </c>
      <c r="F36" s="145"/>
      <c r="G36" s="136"/>
      <c r="H36" s="136"/>
      <c r="I36" s="136"/>
      <c r="J36" s="136"/>
      <c r="K36" s="136"/>
      <c r="L36" s="136"/>
      <c r="M36" s="136"/>
      <c r="N36" s="136"/>
      <c r="O36" s="136"/>
      <c r="P36" s="136"/>
      <c r="Q36" s="136"/>
      <c r="R36" s="136"/>
      <c r="S36" s="136"/>
      <c r="T36" s="136"/>
      <c r="U36" s="136"/>
      <c r="V36" s="136"/>
      <c r="W36" s="136"/>
      <c r="X36" s="97" t="s">
        <v>153</v>
      </c>
      <c r="Y36" s="136"/>
      <c r="Z36" s="136"/>
      <c r="AA36" s="136"/>
      <c r="AB36" s="136"/>
      <c r="AC36" s="148"/>
      <c r="AD36" s="148"/>
      <c r="AE36" s="148"/>
      <c r="AF36" s="148"/>
      <c r="AG36" s="148"/>
      <c r="AH36" s="148"/>
      <c r="AI36" s="148"/>
      <c r="AJ36" s="148"/>
      <c r="AK36" s="148"/>
      <c r="AL36" s="148"/>
      <c r="AM36" s="148"/>
      <c r="AN36" s="148"/>
      <c r="AO36" s="148"/>
      <c r="AP36" s="148"/>
      <c r="AQ36" s="148"/>
      <c r="AR36" s="148"/>
      <c r="AS36" s="148"/>
      <c r="AT36" s="148"/>
      <c r="AU36" s="148"/>
      <c r="AV36" s="148"/>
      <c r="AW36" s="148"/>
      <c r="AX36" s="148"/>
      <c r="AY36" s="148"/>
      <c r="AZ36" s="148"/>
      <c r="BA36" s="148"/>
      <c r="BB36" s="148"/>
      <c r="BC36" s="148"/>
      <c r="BD36" s="148"/>
      <c r="BE36" s="148"/>
      <c r="BF36" s="148"/>
      <c r="BG36" s="148"/>
      <c r="BH36" s="148"/>
      <c r="BI36" s="148"/>
      <c r="BJ36" s="148"/>
      <c r="BK36" s="148"/>
      <c r="BL36" s="148"/>
      <c r="BM36" s="148"/>
      <c r="BN36" s="148"/>
      <c r="BO36" s="148"/>
      <c r="BP36" s="148"/>
      <c r="BQ36" s="148"/>
      <c r="BR36" s="148"/>
    </row>
    <row r="37" spans="1:70">
      <c r="A37" s="97" t="s">
        <v>864</v>
      </c>
      <c r="B37" s="97" t="s">
        <v>951</v>
      </c>
      <c r="C37" s="136" t="s">
        <v>344</v>
      </c>
      <c r="D37" s="479" t="s">
        <v>874</v>
      </c>
      <c r="E37" s="136">
        <v>2016</v>
      </c>
      <c r="F37" s="145"/>
      <c r="G37" s="136"/>
      <c r="H37" s="136"/>
      <c r="I37" s="136"/>
      <c r="J37" s="136"/>
      <c r="K37" s="136"/>
      <c r="L37" s="136"/>
      <c r="M37" s="136"/>
      <c r="N37" s="136"/>
      <c r="O37" s="136"/>
      <c r="P37" s="136"/>
      <c r="Q37" s="136"/>
      <c r="R37" s="136"/>
      <c r="S37" s="136"/>
      <c r="T37" s="136"/>
      <c r="U37" s="136"/>
      <c r="V37" s="136"/>
      <c r="W37" s="136"/>
      <c r="X37" s="97" t="s">
        <v>153</v>
      </c>
      <c r="Y37" s="136"/>
      <c r="Z37" s="136"/>
      <c r="AA37" s="136"/>
      <c r="AB37" s="136"/>
    </row>
    <row r="38" spans="1:70">
      <c r="A38" s="97" t="s">
        <v>864</v>
      </c>
      <c r="B38" s="97" t="s">
        <v>951</v>
      </c>
      <c r="C38" s="136" t="s">
        <v>344</v>
      </c>
      <c r="D38" s="479" t="s">
        <v>874</v>
      </c>
      <c r="E38" s="136">
        <v>2015</v>
      </c>
      <c r="F38" s="145"/>
      <c r="G38" s="136"/>
      <c r="H38" s="136"/>
      <c r="I38" s="136"/>
      <c r="J38" s="136"/>
      <c r="K38" s="136"/>
      <c r="L38" s="136"/>
      <c r="M38" s="136"/>
      <c r="N38" s="136"/>
      <c r="O38" s="136"/>
      <c r="P38" s="136"/>
      <c r="Q38" s="136"/>
      <c r="R38" s="136"/>
      <c r="S38" s="136"/>
      <c r="T38" s="136"/>
      <c r="U38" s="136"/>
      <c r="V38" s="136"/>
      <c r="W38" s="136"/>
      <c r="X38" s="97" t="s">
        <v>153</v>
      </c>
      <c r="Y38" s="136"/>
      <c r="Z38" s="136"/>
      <c r="AA38" s="136"/>
      <c r="AB38" s="136"/>
    </row>
    <row r="39" spans="1:70">
      <c r="A39" s="97" t="s">
        <v>864</v>
      </c>
      <c r="B39" s="97" t="s">
        <v>951</v>
      </c>
      <c r="C39" s="136" t="s">
        <v>344</v>
      </c>
      <c r="D39" s="479" t="s">
        <v>874</v>
      </c>
      <c r="E39" s="136">
        <v>2014</v>
      </c>
      <c r="F39" s="145"/>
      <c r="G39" s="136"/>
      <c r="H39" s="136"/>
      <c r="I39" s="136"/>
      <c r="J39" s="136"/>
      <c r="K39" s="136"/>
      <c r="L39" s="136"/>
      <c r="M39" s="136"/>
      <c r="N39" s="136"/>
      <c r="O39" s="136"/>
      <c r="P39" s="136"/>
      <c r="Q39" s="136"/>
      <c r="R39" s="136"/>
      <c r="S39" s="136"/>
      <c r="T39" s="136"/>
      <c r="U39" s="136"/>
      <c r="V39" s="136"/>
      <c r="W39" s="136"/>
      <c r="X39" s="97" t="s">
        <v>153</v>
      </c>
      <c r="Y39" s="136"/>
      <c r="Z39" s="136"/>
      <c r="AA39" s="136"/>
      <c r="AB39" s="136"/>
    </row>
    <row r="40" spans="1:70">
      <c r="A40" s="97" t="s">
        <v>864</v>
      </c>
      <c r="B40" s="97" t="s">
        <v>951</v>
      </c>
      <c r="C40" s="136" t="s">
        <v>344</v>
      </c>
      <c r="D40" s="479" t="s">
        <v>874</v>
      </c>
      <c r="E40" s="136">
        <v>2013</v>
      </c>
      <c r="F40" s="145"/>
      <c r="G40" s="136"/>
      <c r="H40" s="136"/>
      <c r="I40" s="136"/>
      <c r="J40" s="136"/>
      <c r="K40" s="136"/>
      <c r="L40" s="136"/>
      <c r="M40" s="136"/>
      <c r="N40" s="136"/>
      <c r="O40" s="136"/>
      <c r="P40" s="136"/>
      <c r="Q40" s="136"/>
      <c r="R40" s="136"/>
      <c r="S40" s="136"/>
      <c r="T40" s="136"/>
      <c r="U40" s="136"/>
      <c r="V40" s="136"/>
      <c r="W40" s="136"/>
      <c r="X40" s="97" t="s">
        <v>153</v>
      </c>
      <c r="Y40" s="136"/>
      <c r="Z40" s="136"/>
      <c r="AA40" s="136"/>
      <c r="AB40" s="136"/>
    </row>
    <row r="41" spans="1:70">
      <c r="A41" s="97" t="s">
        <v>864</v>
      </c>
      <c r="B41" s="97" t="s">
        <v>951</v>
      </c>
      <c r="C41" s="136" t="s">
        <v>344</v>
      </c>
      <c r="D41" s="479" t="s">
        <v>874</v>
      </c>
      <c r="E41" s="136">
        <v>2012</v>
      </c>
      <c r="F41" s="464"/>
      <c r="G41" s="465"/>
      <c r="H41" s="465"/>
      <c r="I41" s="464"/>
      <c r="J41" s="136"/>
      <c r="K41" s="136"/>
      <c r="L41" s="136"/>
      <c r="M41" s="136"/>
      <c r="N41" s="136"/>
      <c r="O41" s="136"/>
      <c r="P41" s="136"/>
      <c r="Q41" s="136"/>
      <c r="R41" s="136"/>
      <c r="S41" s="136"/>
      <c r="T41" s="136"/>
      <c r="U41" s="136"/>
      <c r="V41" s="136"/>
      <c r="W41" s="136"/>
      <c r="X41" s="97" t="s">
        <v>153</v>
      </c>
      <c r="Y41" s="136"/>
      <c r="Z41" s="136"/>
      <c r="AA41" s="136"/>
      <c r="AB41" s="136"/>
    </row>
    <row r="42" spans="1:70">
      <c r="A42" s="97" t="s">
        <v>864</v>
      </c>
      <c r="B42" s="97" t="s">
        <v>951</v>
      </c>
      <c r="C42" s="136" t="s">
        <v>344</v>
      </c>
      <c r="D42" s="479" t="s">
        <v>874</v>
      </c>
      <c r="E42" s="136">
        <v>2011</v>
      </c>
      <c r="F42" s="466"/>
      <c r="G42" s="467"/>
      <c r="H42" s="467"/>
      <c r="I42" s="463"/>
      <c r="J42" s="463"/>
      <c r="K42" s="463"/>
      <c r="L42" s="463"/>
      <c r="M42" s="463"/>
      <c r="N42" s="463"/>
      <c r="O42" s="463"/>
      <c r="P42" s="463"/>
      <c r="Q42" s="463"/>
      <c r="R42" s="463"/>
      <c r="S42" s="463"/>
      <c r="T42" s="463"/>
      <c r="U42" s="463"/>
      <c r="V42" s="463"/>
      <c r="W42" s="463"/>
      <c r="X42" s="97" t="s">
        <v>153</v>
      </c>
      <c r="Y42" s="463"/>
      <c r="Z42" s="463"/>
      <c r="AA42" s="463"/>
      <c r="AB42" s="463"/>
    </row>
    <row r="43" spans="1:70">
      <c r="A43" s="97" t="s">
        <v>864</v>
      </c>
      <c r="B43" s="97" t="s">
        <v>951</v>
      </c>
      <c r="C43" s="136" t="s">
        <v>344</v>
      </c>
      <c r="D43" s="479" t="s">
        <v>874</v>
      </c>
      <c r="E43" s="404">
        <v>2010</v>
      </c>
      <c r="F43" s="136"/>
      <c r="G43" s="136"/>
      <c r="H43" s="136"/>
      <c r="I43" s="136"/>
      <c r="J43" s="136"/>
      <c r="K43" s="136"/>
      <c r="L43" s="136"/>
      <c r="M43" s="136"/>
      <c r="N43" s="136"/>
      <c r="O43" s="136"/>
      <c r="P43" s="136"/>
      <c r="Q43" s="136"/>
      <c r="R43" s="136"/>
      <c r="S43" s="136"/>
      <c r="T43" s="136"/>
      <c r="U43" s="136"/>
      <c r="V43" s="136"/>
      <c r="W43" s="136"/>
      <c r="X43" s="97" t="s">
        <v>153</v>
      </c>
      <c r="Y43" s="136"/>
      <c r="Z43" s="136"/>
      <c r="AA43" s="136"/>
      <c r="AB43" s="136"/>
    </row>
    <row r="44" spans="1:70">
      <c r="A44" s="97" t="s">
        <v>864</v>
      </c>
      <c r="B44" s="97" t="s">
        <v>951</v>
      </c>
      <c r="C44" s="136" t="s">
        <v>344</v>
      </c>
      <c r="D44" s="479" t="s">
        <v>874</v>
      </c>
      <c r="E44" s="404">
        <v>2009</v>
      </c>
      <c r="F44" s="136"/>
      <c r="G44" s="136"/>
      <c r="H44" s="136"/>
      <c r="I44" s="136"/>
      <c r="J44" s="136"/>
      <c r="K44" s="136"/>
      <c r="L44" s="136"/>
      <c r="M44" s="136"/>
      <c r="N44" s="136"/>
      <c r="O44" s="136"/>
      <c r="P44" s="136"/>
      <c r="Q44" s="136"/>
      <c r="R44" s="136"/>
      <c r="S44" s="136"/>
      <c r="T44" s="136"/>
      <c r="U44" s="136"/>
      <c r="V44" s="136"/>
      <c r="W44" s="136"/>
      <c r="X44" s="97" t="s">
        <v>153</v>
      </c>
      <c r="Y44" s="136"/>
      <c r="Z44" s="136"/>
      <c r="AA44" s="136"/>
      <c r="AB44" s="136"/>
    </row>
    <row r="45" spans="1:70">
      <c r="A45" s="97" t="s">
        <v>864</v>
      </c>
      <c r="B45" s="97" t="s">
        <v>951</v>
      </c>
      <c r="C45" s="136" t="s">
        <v>344</v>
      </c>
      <c r="D45" s="479" t="s">
        <v>874</v>
      </c>
      <c r="E45" s="404">
        <v>2008</v>
      </c>
      <c r="F45" s="136"/>
      <c r="G45" s="136"/>
      <c r="H45" s="136"/>
      <c r="I45" s="136"/>
      <c r="J45" s="136"/>
      <c r="K45" s="136"/>
      <c r="L45" s="136"/>
      <c r="M45" s="136"/>
      <c r="N45" s="136"/>
      <c r="O45" s="136"/>
      <c r="P45" s="136"/>
      <c r="Q45" s="136"/>
      <c r="R45" s="136"/>
      <c r="S45" s="136"/>
      <c r="T45" s="136"/>
      <c r="U45" s="136"/>
      <c r="V45" s="136"/>
      <c r="W45" s="136"/>
      <c r="X45" s="97" t="s">
        <v>153</v>
      </c>
      <c r="Y45" s="136"/>
      <c r="Z45" s="136"/>
      <c r="AA45" s="136"/>
      <c r="AB45" s="136"/>
    </row>
    <row r="46" spans="1:70">
      <c r="A46" s="97" t="s">
        <v>864</v>
      </c>
      <c r="B46" s="97" t="s">
        <v>951</v>
      </c>
      <c r="C46" s="136" t="s">
        <v>344</v>
      </c>
      <c r="D46" s="479" t="s">
        <v>874</v>
      </c>
      <c r="E46" s="404">
        <v>2007</v>
      </c>
      <c r="F46" s="136"/>
      <c r="G46" s="136"/>
      <c r="H46" s="136"/>
      <c r="I46" s="136"/>
      <c r="J46" s="136"/>
      <c r="K46" s="136"/>
      <c r="L46" s="136"/>
      <c r="M46" s="136"/>
      <c r="N46" s="136"/>
      <c r="O46" s="136"/>
      <c r="P46" s="136"/>
      <c r="Q46" s="136"/>
      <c r="R46" s="136"/>
      <c r="S46" s="136"/>
      <c r="T46" s="136"/>
      <c r="U46" s="136"/>
      <c r="V46" s="136"/>
      <c r="W46" s="136"/>
      <c r="X46" s="97" t="s">
        <v>153</v>
      </c>
      <c r="Y46" s="136"/>
      <c r="Z46" s="136"/>
      <c r="AA46" s="136"/>
      <c r="AB46" s="136"/>
    </row>
    <row r="47" spans="1:70">
      <c r="A47" s="97" t="s">
        <v>864</v>
      </c>
      <c r="B47" s="97" t="s">
        <v>951</v>
      </c>
      <c r="C47" s="136" t="s">
        <v>344</v>
      </c>
      <c r="D47" s="479" t="s">
        <v>874</v>
      </c>
      <c r="E47" s="404">
        <v>2006</v>
      </c>
      <c r="F47" s="136"/>
      <c r="G47" s="136"/>
      <c r="H47" s="136"/>
      <c r="I47" s="136"/>
      <c r="J47" s="136"/>
      <c r="K47" s="136"/>
      <c r="L47" s="136"/>
      <c r="M47" s="136"/>
      <c r="N47" s="136"/>
      <c r="O47" s="136"/>
      <c r="P47" s="136"/>
      <c r="Q47" s="136"/>
      <c r="R47" s="136"/>
      <c r="S47" s="136"/>
      <c r="T47" s="136"/>
      <c r="U47" s="136"/>
      <c r="V47" s="136"/>
      <c r="W47" s="136"/>
      <c r="X47" s="97" t="s">
        <v>153</v>
      </c>
      <c r="Y47" s="136"/>
      <c r="Z47" s="136"/>
      <c r="AA47" s="136"/>
      <c r="AB47" s="136"/>
    </row>
    <row r="48" spans="1:70">
      <c r="A48" s="97" t="s">
        <v>864</v>
      </c>
      <c r="B48" s="97" t="s">
        <v>951</v>
      </c>
      <c r="C48" s="136" t="s">
        <v>344</v>
      </c>
      <c r="D48" s="479" t="s">
        <v>874</v>
      </c>
      <c r="E48" s="404">
        <v>2005</v>
      </c>
      <c r="F48" s="136"/>
      <c r="G48" s="136"/>
      <c r="H48" s="136"/>
      <c r="I48" s="136"/>
      <c r="J48" s="136"/>
      <c r="K48" s="136"/>
      <c r="L48" s="136"/>
      <c r="M48" s="136"/>
      <c r="N48" s="136"/>
      <c r="O48" s="136"/>
      <c r="P48" s="136"/>
      <c r="Q48" s="136"/>
      <c r="R48" s="136"/>
      <c r="S48" s="136"/>
      <c r="T48" s="136"/>
      <c r="U48" s="136"/>
      <c r="V48" s="136"/>
      <c r="W48" s="136"/>
      <c r="X48" s="97" t="s">
        <v>153</v>
      </c>
      <c r="Y48" s="136"/>
      <c r="Z48" s="136"/>
      <c r="AA48" s="136"/>
      <c r="AB48" s="136"/>
    </row>
    <row r="49" spans="1:28">
      <c r="A49" s="97" t="s">
        <v>864</v>
      </c>
      <c r="B49" s="97" t="s">
        <v>951</v>
      </c>
      <c r="C49" s="136" t="s">
        <v>344</v>
      </c>
      <c r="D49" s="479" t="s">
        <v>874</v>
      </c>
      <c r="E49" s="404">
        <v>2004</v>
      </c>
      <c r="F49" s="136"/>
      <c r="G49" s="136"/>
      <c r="H49" s="136"/>
      <c r="I49" s="136"/>
      <c r="J49" s="136"/>
      <c r="K49" s="136"/>
      <c r="L49" s="136"/>
      <c r="M49" s="136"/>
      <c r="N49" s="136"/>
      <c r="O49" s="136"/>
      <c r="P49" s="136"/>
      <c r="Q49" s="136"/>
      <c r="R49" s="136"/>
      <c r="S49" s="136"/>
      <c r="T49" s="136"/>
      <c r="U49" s="136"/>
      <c r="V49" s="136"/>
      <c r="W49" s="136"/>
      <c r="X49" s="97" t="s">
        <v>153</v>
      </c>
      <c r="Y49" s="136"/>
      <c r="Z49" s="136"/>
      <c r="AA49" s="136"/>
      <c r="AB49" s="136"/>
    </row>
    <row r="50" spans="1:28">
      <c r="A50" s="97" t="s">
        <v>864</v>
      </c>
      <c r="B50" s="97" t="s">
        <v>951</v>
      </c>
      <c r="C50" s="136" t="s">
        <v>344</v>
      </c>
      <c r="D50" s="479" t="s">
        <v>874</v>
      </c>
      <c r="E50" s="404">
        <v>2003</v>
      </c>
      <c r="F50" s="136"/>
      <c r="G50" s="136"/>
      <c r="H50" s="136"/>
      <c r="I50" s="136"/>
      <c r="J50" s="136"/>
      <c r="K50" s="136"/>
      <c r="L50" s="136"/>
      <c r="M50" s="136"/>
      <c r="N50" s="136"/>
      <c r="O50" s="136"/>
      <c r="P50" s="136"/>
      <c r="Q50" s="136"/>
      <c r="R50" s="136"/>
      <c r="S50" s="136"/>
      <c r="T50" s="136"/>
      <c r="U50" s="136"/>
      <c r="V50" s="136"/>
      <c r="W50" s="136"/>
      <c r="X50" s="97" t="s">
        <v>153</v>
      </c>
      <c r="Y50" s="136"/>
      <c r="Z50" s="136"/>
      <c r="AA50" s="136"/>
      <c r="AB50" s="136"/>
    </row>
    <row r="51" spans="1:28">
      <c r="A51" s="97" t="s">
        <v>864</v>
      </c>
      <c r="B51" s="97" t="s">
        <v>951</v>
      </c>
      <c r="C51" s="136" t="s">
        <v>344</v>
      </c>
      <c r="D51" s="479" t="s">
        <v>874</v>
      </c>
      <c r="E51" s="404">
        <v>2002</v>
      </c>
      <c r="F51" s="136"/>
      <c r="G51" s="136"/>
      <c r="H51" s="136"/>
      <c r="I51" s="136"/>
      <c r="J51" s="136"/>
      <c r="K51" s="136"/>
      <c r="L51" s="136"/>
      <c r="M51" s="136"/>
      <c r="N51" s="136"/>
      <c r="O51" s="136"/>
      <c r="P51" s="136"/>
      <c r="Q51" s="136"/>
      <c r="R51" s="136"/>
      <c r="S51" s="136"/>
      <c r="T51" s="136"/>
      <c r="U51" s="136"/>
      <c r="V51" s="136"/>
      <c r="W51" s="136"/>
      <c r="X51" s="97" t="s">
        <v>153</v>
      </c>
      <c r="Y51" s="136"/>
      <c r="Z51" s="136"/>
      <c r="AA51" s="136"/>
      <c r="AB51" s="136"/>
    </row>
    <row r="52" spans="1:28">
      <c r="A52" s="97" t="s">
        <v>864</v>
      </c>
      <c r="B52" s="97" t="s">
        <v>951</v>
      </c>
      <c r="C52" s="136" t="s">
        <v>344</v>
      </c>
      <c r="D52" s="479" t="s">
        <v>874</v>
      </c>
      <c r="E52" s="404">
        <v>2001</v>
      </c>
      <c r="F52" s="136"/>
      <c r="G52" s="136"/>
      <c r="H52" s="136"/>
      <c r="I52" s="136"/>
      <c r="J52" s="136"/>
      <c r="K52" s="136"/>
      <c r="L52" s="136"/>
      <c r="M52" s="136"/>
      <c r="N52" s="136"/>
      <c r="O52" s="136"/>
      <c r="P52" s="136"/>
      <c r="Q52" s="136"/>
      <c r="R52" s="136"/>
      <c r="S52" s="136"/>
      <c r="T52" s="136"/>
      <c r="U52" s="136"/>
      <c r="V52" s="136"/>
      <c r="W52" s="136"/>
      <c r="X52" s="97" t="s">
        <v>153</v>
      </c>
      <c r="Y52" s="136"/>
      <c r="Z52" s="136"/>
      <c r="AA52" s="136"/>
      <c r="AB52" s="136"/>
    </row>
    <row r="53" spans="1:28">
      <c r="A53" s="97" t="s">
        <v>864</v>
      </c>
      <c r="B53" s="97" t="s">
        <v>951</v>
      </c>
      <c r="C53" s="136" t="s">
        <v>344</v>
      </c>
      <c r="D53" s="479" t="s">
        <v>874</v>
      </c>
      <c r="E53" s="404">
        <v>20</v>
      </c>
      <c r="F53" s="136"/>
      <c r="G53" s="136"/>
      <c r="H53" s="136"/>
      <c r="I53" s="136"/>
      <c r="J53" s="136"/>
      <c r="K53" s="136"/>
      <c r="L53" s="136"/>
      <c r="M53" s="136"/>
      <c r="N53" s="136"/>
      <c r="O53" s="136"/>
      <c r="P53" s="136"/>
      <c r="Q53" s="136"/>
      <c r="R53" s="136"/>
      <c r="S53" s="136"/>
      <c r="T53" s="136"/>
      <c r="U53" s="136"/>
      <c r="V53" s="136"/>
      <c r="W53" s="136"/>
      <c r="X53" s="97" t="s">
        <v>153</v>
      </c>
      <c r="Y53" s="136"/>
      <c r="Z53" s="136"/>
      <c r="AA53" s="136"/>
      <c r="AB53" s="136"/>
    </row>
    <row r="54" spans="1:28">
      <c r="A54" s="97" t="s">
        <v>864</v>
      </c>
      <c r="B54" s="97" t="s">
        <v>951</v>
      </c>
      <c r="C54" s="136" t="s">
        <v>344</v>
      </c>
      <c r="D54" s="479" t="s">
        <v>874</v>
      </c>
      <c r="E54" s="404">
        <v>1003</v>
      </c>
      <c r="F54" s="136"/>
      <c r="G54" s="136"/>
      <c r="H54" s="136"/>
      <c r="I54" s="136"/>
      <c r="J54" s="136"/>
      <c r="K54" s="136"/>
      <c r="L54" s="136"/>
      <c r="M54" s="136"/>
      <c r="N54" s="136"/>
      <c r="O54" s="136"/>
      <c r="P54" s="136"/>
      <c r="Q54" s="136"/>
      <c r="R54" s="136"/>
      <c r="S54" s="136"/>
      <c r="T54" s="136"/>
      <c r="U54" s="136"/>
      <c r="V54" s="136"/>
      <c r="W54" s="136"/>
      <c r="X54" s="97" t="s">
        <v>153</v>
      </c>
      <c r="Y54" s="136"/>
      <c r="Z54" s="136"/>
      <c r="AA54" s="136"/>
      <c r="AB54" s="136"/>
    </row>
    <row r="55" spans="1:28">
      <c r="A55" s="97" t="s">
        <v>864</v>
      </c>
      <c r="B55" s="97" t="s">
        <v>951</v>
      </c>
      <c r="C55" s="136" t="s">
        <v>344</v>
      </c>
      <c r="D55" s="479" t="s">
        <v>874</v>
      </c>
      <c r="E55" s="404">
        <v>1001</v>
      </c>
      <c r="F55" s="463"/>
      <c r="G55" s="463"/>
      <c r="H55" s="463"/>
      <c r="I55" s="463"/>
      <c r="J55" s="463"/>
      <c r="K55" s="463"/>
      <c r="L55" s="463"/>
      <c r="M55" s="463"/>
      <c r="N55" s="463"/>
      <c r="O55" s="463"/>
      <c r="P55" s="463"/>
      <c r="Q55" s="463"/>
      <c r="R55" s="463"/>
      <c r="S55" s="463"/>
      <c r="T55" s="463"/>
      <c r="U55" s="463"/>
      <c r="V55" s="463"/>
      <c r="W55" s="463"/>
      <c r="X55" s="97" t="s">
        <v>153</v>
      </c>
      <c r="Y55" s="463"/>
      <c r="Z55" s="463"/>
      <c r="AA55" s="463"/>
      <c r="AB55" s="463"/>
    </row>
    <row r="56" spans="1:28">
      <c r="A56" s="97" t="s">
        <v>864</v>
      </c>
      <c r="B56" s="97" t="s">
        <v>951</v>
      </c>
      <c r="C56" s="136" t="s">
        <v>344</v>
      </c>
      <c r="D56" s="479" t="s">
        <v>874</v>
      </c>
      <c r="E56" s="404">
        <v>1000</v>
      </c>
      <c r="F56" s="136"/>
      <c r="G56" s="136"/>
      <c r="H56" s="136"/>
      <c r="I56" s="136"/>
      <c r="J56" s="136"/>
      <c r="K56" s="136"/>
      <c r="L56" s="136"/>
      <c r="M56" s="136"/>
      <c r="N56" s="136"/>
      <c r="O56" s="136"/>
      <c r="P56" s="136"/>
      <c r="Q56" s="136"/>
      <c r="R56" s="136"/>
      <c r="S56" s="136"/>
      <c r="T56" s="136"/>
      <c r="U56" s="136"/>
      <c r="V56" s="136"/>
      <c r="W56" s="136"/>
      <c r="X56" s="97" t="s">
        <v>153</v>
      </c>
      <c r="Y56" s="136"/>
      <c r="Z56" s="136"/>
      <c r="AA56" s="136"/>
      <c r="AB56" s="136"/>
    </row>
    <row r="57" spans="1:28">
      <c r="A57" s="188" t="s">
        <v>919</v>
      </c>
      <c r="B57" s="97" t="s">
        <v>953</v>
      </c>
      <c r="C57" s="136" t="s">
        <v>954</v>
      </c>
      <c r="D57" s="97" t="s">
        <v>955</v>
      </c>
      <c r="E57" s="136" t="s">
        <v>153</v>
      </c>
      <c r="F57" s="136" t="s">
        <v>956</v>
      </c>
      <c r="G57" s="136" t="s">
        <v>153</v>
      </c>
      <c r="H57" s="136"/>
      <c r="I57" s="136"/>
      <c r="J57" s="136"/>
      <c r="K57" s="136"/>
      <c r="L57" s="136"/>
      <c r="M57" s="136"/>
      <c r="N57" s="136"/>
      <c r="O57" s="136"/>
      <c r="P57" s="136"/>
      <c r="Q57" s="136"/>
      <c r="R57" s="136"/>
      <c r="S57" s="136"/>
      <c r="T57" s="136"/>
      <c r="U57" s="136"/>
      <c r="V57" s="136"/>
      <c r="W57" s="136"/>
      <c r="X57" s="97" t="s">
        <v>153</v>
      </c>
      <c r="Y57" s="136"/>
      <c r="Z57" s="136"/>
      <c r="AA57" s="136"/>
      <c r="AB57" s="136"/>
    </row>
    <row r="58" spans="1:28">
      <c r="A58" s="697" t="s">
        <v>919</v>
      </c>
      <c r="B58" s="323" t="s">
        <v>953</v>
      </c>
      <c r="C58" s="465" t="s">
        <v>957</v>
      </c>
      <c r="D58" s="97" t="s">
        <v>955</v>
      </c>
      <c r="E58" s="467" t="s">
        <v>153</v>
      </c>
      <c r="F58" s="463" t="s">
        <v>956</v>
      </c>
      <c r="G58" s="467" t="s">
        <v>913</v>
      </c>
      <c r="H58" s="467"/>
      <c r="I58" s="467"/>
      <c r="J58" s="467"/>
      <c r="K58" s="467"/>
      <c r="L58" s="467"/>
      <c r="M58" s="467"/>
      <c r="N58" s="467"/>
      <c r="O58" s="467"/>
      <c r="P58" s="467"/>
      <c r="Q58" s="467"/>
      <c r="R58" s="467"/>
      <c r="S58" s="467"/>
      <c r="T58" s="467"/>
      <c r="U58" s="467"/>
      <c r="V58" s="467"/>
      <c r="W58" s="467"/>
      <c r="X58" s="701" t="s">
        <v>153</v>
      </c>
      <c r="Y58" s="467"/>
      <c r="Z58" s="467"/>
      <c r="AA58" s="467"/>
      <c r="AB58" s="467"/>
    </row>
    <row r="59" spans="1:28">
      <c r="A59" s="188" t="s">
        <v>919</v>
      </c>
      <c r="B59" s="97" t="s">
        <v>953</v>
      </c>
      <c r="C59" s="136" t="s">
        <v>958</v>
      </c>
      <c r="D59" s="440" t="s">
        <v>955</v>
      </c>
      <c r="E59" s="136" t="s">
        <v>913</v>
      </c>
      <c r="F59" s="136"/>
      <c r="G59" s="136"/>
      <c r="H59" s="136"/>
      <c r="I59" s="136"/>
      <c r="J59" s="136"/>
      <c r="K59" s="136"/>
      <c r="L59" s="136"/>
      <c r="M59" s="136"/>
      <c r="N59" s="136"/>
      <c r="O59" s="136"/>
      <c r="P59" s="136"/>
      <c r="Q59" s="136"/>
      <c r="R59" s="136"/>
      <c r="S59" s="136"/>
      <c r="T59" s="136"/>
      <c r="U59" s="136"/>
      <c r="V59" s="136"/>
      <c r="W59" s="136"/>
      <c r="X59" s="97" t="s">
        <v>153</v>
      </c>
      <c r="Y59" s="136"/>
      <c r="Z59" s="136"/>
      <c r="AA59" s="136"/>
      <c r="AB59" s="136"/>
    </row>
    <row r="60" spans="1:28">
      <c r="A60" s="720" t="s">
        <v>917</v>
      </c>
      <c r="B60" s="136" t="s">
        <v>956</v>
      </c>
      <c r="C60" s="136" t="s">
        <v>153</v>
      </c>
      <c r="D60" s="479" t="s">
        <v>93</v>
      </c>
      <c r="E60" s="770" t="s">
        <v>959</v>
      </c>
      <c r="F60" s="464"/>
      <c r="G60" s="465"/>
      <c r="H60" s="465"/>
      <c r="I60" s="465"/>
      <c r="J60" s="465"/>
      <c r="K60" s="465"/>
      <c r="L60" s="465"/>
      <c r="M60" s="465"/>
      <c r="N60" s="465"/>
      <c r="O60" s="465"/>
      <c r="P60" s="465"/>
      <c r="Q60" s="465"/>
      <c r="R60" s="465"/>
      <c r="S60" s="465"/>
      <c r="T60" s="465"/>
      <c r="U60" s="465"/>
      <c r="V60" s="465"/>
      <c r="W60" s="465"/>
      <c r="X60" s="323" t="s">
        <v>153</v>
      </c>
      <c r="Y60" s="465"/>
      <c r="Z60" s="465"/>
      <c r="AA60" s="465"/>
      <c r="AB60" s="465"/>
    </row>
    <row r="61" spans="1:28">
      <c r="A61" s="720" t="s">
        <v>917</v>
      </c>
      <c r="B61" s="136" t="s">
        <v>956</v>
      </c>
      <c r="C61" s="136" t="s">
        <v>153</v>
      </c>
      <c r="D61" s="479" t="s">
        <v>93</v>
      </c>
      <c r="E61" s="771" t="s">
        <v>960</v>
      </c>
      <c r="F61" s="145"/>
      <c r="G61" s="136"/>
      <c r="H61" s="136"/>
      <c r="I61" s="136"/>
      <c r="J61" s="136"/>
      <c r="K61" s="136"/>
      <c r="L61" s="136"/>
      <c r="M61" s="136"/>
      <c r="N61" s="136"/>
      <c r="O61" s="136"/>
      <c r="P61" s="136"/>
      <c r="Q61" s="136"/>
      <c r="R61" s="136"/>
      <c r="S61" s="136"/>
      <c r="T61" s="136"/>
      <c r="U61" s="136"/>
      <c r="V61" s="136"/>
      <c r="W61" s="136"/>
      <c r="X61" s="97" t="s">
        <v>153</v>
      </c>
      <c r="Y61" s="136"/>
      <c r="Z61" s="136"/>
      <c r="AA61" s="136"/>
      <c r="AB61" s="136"/>
    </row>
    <row r="62" spans="1:28">
      <c r="A62" s="720" t="s">
        <v>917</v>
      </c>
      <c r="B62" s="136" t="s">
        <v>956</v>
      </c>
      <c r="C62" s="136" t="s">
        <v>153</v>
      </c>
      <c r="D62" s="479" t="s">
        <v>93</v>
      </c>
      <c r="E62" s="771" t="s">
        <v>961</v>
      </c>
      <c r="F62" s="145"/>
      <c r="G62" s="136"/>
      <c r="H62" s="136"/>
      <c r="I62" s="136"/>
      <c r="J62" s="136"/>
      <c r="K62" s="136"/>
      <c r="L62" s="136"/>
      <c r="M62" s="136"/>
      <c r="N62" s="136"/>
      <c r="O62" s="136"/>
      <c r="P62" s="136"/>
      <c r="Q62" s="136"/>
      <c r="R62" s="136"/>
      <c r="S62" s="136"/>
      <c r="T62" s="136"/>
      <c r="U62" s="136"/>
      <c r="V62" s="136"/>
      <c r="W62" s="136"/>
      <c r="X62" s="136" t="s">
        <v>153</v>
      </c>
      <c r="Y62" s="136"/>
      <c r="Z62" s="136"/>
      <c r="AA62" s="136"/>
      <c r="AB62" s="136"/>
    </row>
    <row r="63" spans="1:28">
      <c r="A63" s="720" t="s">
        <v>917</v>
      </c>
      <c r="B63" s="136" t="s">
        <v>956</v>
      </c>
      <c r="C63" s="136" t="s">
        <v>153</v>
      </c>
      <c r="D63" s="479" t="s">
        <v>93</v>
      </c>
      <c r="E63" s="771" t="s">
        <v>962</v>
      </c>
      <c r="F63" s="145"/>
      <c r="G63" s="136"/>
      <c r="H63" s="136"/>
      <c r="I63" s="136"/>
      <c r="J63" s="136"/>
      <c r="K63" s="136"/>
      <c r="L63" s="136"/>
      <c r="M63" s="136"/>
      <c r="N63" s="136"/>
      <c r="O63" s="136"/>
      <c r="P63" s="136"/>
      <c r="Q63" s="136"/>
      <c r="R63" s="136"/>
      <c r="S63" s="136"/>
      <c r="T63" s="136"/>
      <c r="U63" s="136"/>
      <c r="V63" s="136"/>
      <c r="W63" s="136"/>
      <c r="X63" s="136" t="s">
        <v>153</v>
      </c>
      <c r="Y63" s="136"/>
      <c r="Z63" s="136"/>
      <c r="AA63" s="136"/>
      <c r="AB63" s="136"/>
    </row>
    <row r="64" spans="1:28">
      <c r="A64" s="720" t="s">
        <v>917</v>
      </c>
      <c r="B64" s="136" t="s">
        <v>956</v>
      </c>
      <c r="C64" s="136" t="s">
        <v>153</v>
      </c>
      <c r="D64" s="479" t="s">
        <v>93</v>
      </c>
      <c r="E64" s="771" t="s">
        <v>963</v>
      </c>
      <c r="F64" s="145"/>
      <c r="G64" s="136"/>
      <c r="H64" s="136"/>
      <c r="I64" s="136"/>
      <c r="J64" s="136"/>
      <c r="K64" s="136"/>
      <c r="L64" s="136"/>
      <c r="M64" s="136"/>
      <c r="N64" s="136"/>
      <c r="O64" s="136"/>
      <c r="P64" s="136"/>
      <c r="Q64" s="136"/>
      <c r="R64" s="136"/>
      <c r="S64" s="136"/>
      <c r="T64" s="136"/>
      <c r="U64" s="136"/>
      <c r="V64" s="136"/>
      <c r="W64" s="136"/>
      <c r="X64" s="136" t="s">
        <v>153</v>
      </c>
      <c r="Y64" s="136"/>
      <c r="Z64" s="136"/>
      <c r="AA64" s="136"/>
      <c r="AB64" s="136"/>
    </row>
    <row r="65" spans="1:28">
      <c r="A65" s="720" t="s">
        <v>917</v>
      </c>
      <c r="B65" s="136" t="s">
        <v>956</v>
      </c>
      <c r="C65" s="136" t="s">
        <v>153</v>
      </c>
      <c r="D65" s="479" t="s">
        <v>93</v>
      </c>
      <c r="E65" s="771" t="s">
        <v>964</v>
      </c>
      <c r="F65" s="145"/>
      <c r="G65" s="136"/>
      <c r="H65" s="136"/>
      <c r="I65" s="136"/>
      <c r="J65" s="136"/>
      <c r="K65" s="136"/>
      <c r="L65" s="136"/>
      <c r="M65" s="136"/>
      <c r="N65" s="136"/>
      <c r="O65" s="136"/>
      <c r="P65" s="136"/>
      <c r="Q65" s="136"/>
      <c r="R65" s="136"/>
      <c r="S65" s="136"/>
      <c r="T65" s="136"/>
      <c r="U65" s="136"/>
      <c r="V65" s="136"/>
      <c r="W65" s="136"/>
      <c r="X65" s="136" t="s">
        <v>153</v>
      </c>
      <c r="Y65" s="136"/>
      <c r="Z65" s="136"/>
      <c r="AA65" s="136"/>
      <c r="AB65" s="136"/>
    </row>
    <row r="66" spans="1:28">
      <c r="A66" s="720" t="s">
        <v>917</v>
      </c>
      <c r="B66" s="136" t="s">
        <v>956</v>
      </c>
      <c r="C66" s="136" t="s">
        <v>153</v>
      </c>
      <c r="D66" s="479" t="s">
        <v>93</v>
      </c>
      <c r="E66" s="771" t="s">
        <v>965</v>
      </c>
      <c r="F66" s="145"/>
      <c r="G66" s="136"/>
      <c r="H66" s="136"/>
      <c r="I66" s="136"/>
      <c r="J66" s="136"/>
      <c r="K66" s="136"/>
      <c r="L66" s="136"/>
      <c r="M66" s="136"/>
      <c r="N66" s="136"/>
      <c r="O66" s="136"/>
      <c r="P66" s="136"/>
      <c r="Q66" s="136"/>
      <c r="R66" s="136"/>
      <c r="S66" s="136"/>
      <c r="T66" s="136"/>
      <c r="U66" s="136"/>
      <c r="V66" s="136"/>
      <c r="W66" s="136"/>
      <c r="X66" s="136" t="s">
        <v>153</v>
      </c>
      <c r="Y66" s="136"/>
      <c r="Z66" s="136"/>
      <c r="AA66" s="136"/>
      <c r="AB66" s="136"/>
    </row>
    <row r="67" spans="1:28">
      <c r="A67" s="720" t="s">
        <v>917</v>
      </c>
      <c r="B67" s="136" t="s">
        <v>956</v>
      </c>
      <c r="C67" s="136" t="s">
        <v>153</v>
      </c>
      <c r="D67" s="479" t="s">
        <v>93</v>
      </c>
      <c r="E67" s="771" t="s">
        <v>966</v>
      </c>
      <c r="F67" s="145"/>
      <c r="G67" s="136"/>
      <c r="H67" s="136"/>
      <c r="I67" s="136"/>
      <c r="J67" s="136"/>
      <c r="K67" s="136"/>
      <c r="L67" s="136"/>
      <c r="M67" s="136"/>
      <c r="N67" s="136"/>
      <c r="O67" s="136"/>
      <c r="P67" s="136"/>
      <c r="Q67" s="136"/>
      <c r="R67" s="136"/>
      <c r="S67" s="136"/>
      <c r="T67" s="136"/>
      <c r="U67" s="136"/>
      <c r="V67" s="136"/>
      <c r="W67" s="136"/>
      <c r="X67" s="136" t="s">
        <v>153</v>
      </c>
      <c r="Y67" s="136"/>
      <c r="Z67" s="136"/>
      <c r="AA67" s="136"/>
      <c r="AB67" s="136"/>
    </row>
    <row r="68" spans="1:28">
      <c r="A68" s="720" t="s">
        <v>917</v>
      </c>
      <c r="B68" s="136" t="s">
        <v>956</v>
      </c>
      <c r="C68" s="136" t="s">
        <v>153</v>
      </c>
      <c r="D68" s="479" t="s">
        <v>93</v>
      </c>
      <c r="E68" s="771" t="s">
        <v>967</v>
      </c>
      <c r="F68" s="145"/>
      <c r="G68" s="136"/>
      <c r="H68" s="136"/>
      <c r="I68" s="136"/>
      <c r="J68" s="136"/>
      <c r="K68" s="136"/>
      <c r="L68" s="136"/>
      <c r="M68" s="136"/>
      <c r="N68" s="136"/>
      <c r="O68" s="136"/>
      <c r="P68" s="136"/>
      <c r="Q68" s="136"/>
      <c r="R68" s="136"/>
      <c r="S68" s="136"/>
      <c r="T68" s="136"/>
      <c r="U68" s="136"/>
      <c r="V68" s="136"/>
      <c r="W68" s="136"/>
      <c r="X68" s="136" t="s">
        <v>153</v>
      </c>
      <c r="Y68" s="136"/>
      <c r="Z68" s="136"/>
      <c r="AA68" s="136"/>
      <c r="AB68" s="136"/>
    </row>
    <row r="69" spans="1:28">
      <c r="A69" s="720" t="s">
        <v>917</v>
      </c>
      <c r="B69" s="136" t="s">
        <v>956</v>
      </c>
      <c r="C69" s="136" t="s">
        <v>153</v>
      </c>
      <c r="D69" s="479" t="s">
        <v>93</v>
      </c>
      <c r="E69" s="771" t="s">
        <v>968</v>
      </c>
      <c r="F69" s="145"/>
      <c r="G69" s="136"/>
      <c r="H69" s="136"/>
      <c r="I69" s="136"/>
      <c r="J69" s="136"/>
      <c r="K69" s="136"/>
      <c r="L69" s="136"/>
      <c r="M69" s="136"/>
      <c r="N69" s="136"/>
      <c r="O69" s="136"/>
      <c r="P69" s="136"/>
      <c r="Q69" s="136"/>
      <c r="R69" s="136"/>
      <c r="S69" s="136"/>
      <c r="T69" s="136"/>
      <c r="U69" s="136"/>
      <c r="V69" s="136"/>
      <c r="W69" s="136"/>
      <c r="X69" s="136" t="s">
        <v>153</v>
      </c>
      <c r="Y69" s="136"/>
      <c r="Z69" s="136"/>
      <c r="AA69" s="136"/>
      <c r="AB69" s="136"/>
    </row>
    <row r="70" spans="1:28">
      <c r="A70" s="720" t="s">
        <v>917</v>
      </c>
      <c r="B70" s="136" t="s">
        <v>956</v>
      </c>
      <c r="C70" s="136" t="s">
        <v>153</v>
      </c>
      <c r="D70" s="479" t="s">
        <v>93</v>
      </c>
      <c r="E70" s="771" t="s">
        <v>969</v>
      </c>
      <c r="F70" s="145"/>
      <c r="G70" s="136"/>
      <c r="H70" s="136"/>
      <c r="I70" s="136"/>
      <c r="J70" s="136"/>
      <c r="K70" s="136"/>
      <c r="L70" s="136"/>
      <c r="M70" s="136"/>
      <c r="N70" s="136"/>
      <c r="O70" s="136"/>
      <c r="P70" s="136"/>
      <c r="Q70" s="136"/>
      <c r="R70" s="136"/>
      <c r="S70" s="136"/>
      <c r="T70" s="136"/>
      <c r="U70" s="136"/>
      <c r="V70" s="136"/>
      <c r="W70" s="136"/>
      <c r="X70" s="136" t="s">
        <v>153</v>
      </c>
      <c r="Y70" s="136"/>
      <c r="Z70" s="136"/>
      <c r="AA70" s="136"/>
      <c r="AB70" s="136"/>
    </row>
    <row r="71" spans="1:28">
      <c r="A71" s="720" t="s">
        <v>917</v>
      </c>
      <c r="B71" s="136" t="s">
        <v>956</v>
      </c>
      <c r="C71" s="136" t="s">
        <v>153</v>
      </c>
      <c r="D71" s="479" t="s">
        <v>93</v>
      </c>
      <c r="E71" s="771" t="s">
        <v>970</v>
      </c>
      <c r="F71" s="145"/>
      <c r="G71" s="136"/>
      <c r="H71" s="136"/>
      <c r="I71" s="136"/>
      <c r="J71" s="136"/>
      <c r="K71" s="136"/>
      <c r="L71" s="136"/>
      <c r="M71" s="136"/>
      <c r="N71" s="136"/>
      <c r="O71" s="136"/>
      <c r="P71" s="136"/>
      <c r="Q71" s="136"/>
      <c r="R71" s="136"/>
      <c r="S71" s="136"/>
      <c r="T71" s="136"/>
      <c r="U71" s="136"/>
      <c r="V71" s="136"/>
      <c r="W71" s="136"/>
      <c r="X71" s="136" t="s">
        <v>153</v>
      </c>
      <c r="Y71" s="136"/>
      <c r="Z71" s="136"/>
      <c r="AA71" s="136"/>
      <c r="AB71" s="136"/>
    </row>
    <row r="72" spans="1:28">
      <c r="A72" s="720" t="s">
        <v>917</v>
      </c>
      <c r="B72" s="136" t="s">
        <v>956</v>
      </c>
      <c r="C72" s="136" t="s">
        <v>153</v>
      </c>
      <c r="D72" s="479" t="s">
        <v>93</v>
      </c>
      <c r="E72" s="771" t="s">
        <v>971</v>
      </c>
      <c r="F72" s="145"/>
      <c r="G72" s="136"/>
      <c r="H72" s="136"/>
      <c r="I72" s="136"/>
      <c r="J72" s="136"/>
      <c r="K72" s="136"/>
      <c r="L72" s="136"/>
      <c r="M72" s="136"/>
      <c r="N72" s="136"/>
      <c r="O72" s="136"/>
      <c r="P72" s="136"/>
      <c r="Q72" s="136"/>
      <c r="R72" s="136"/>
      <c r="S72" s="136"/>
      <c r="T72" s="136"/>
      <c r="U72" s="136"/>
      <c r="V72" s="136"/>
      <c r="W72" s="136"/>
      <c r="X72" s="136" t="s">
        <v>153</v>
      </c>
      <c r="Y72" s="136"/>
      <c r="Z72" s="136"/>
      <c r="AA72" s="136"/>
      <c r="AB72" s="136"/>
    </row>
    <row r="73" spans="1:28">
      <c r="A73" s="720" t="s">
        <v>917</v>
      </c>
      <c r="B73" s="136" t="s">
        <v>956</v>
      </c>
      <c r="C73" s="136" t="s">
        <v>153</v>
      </c>
      <c r="D73" s="479" t="s">
        <v>93</v>
      </c>
      <c r="E73" s="771" t="s">
        <v>972</v>
      </c>
      <c r="F73" s="145"/>
      <c r="G73" s="136"/>
      <c r="H73" s="136"/>
      <c r="I73" s="136"/>
      <c r="J73" s="136"/>
      <c r="K73" s="136"/>
      <c r="L73" s="136"/>
      <c r="M73" s="136"/>
      <c r="N73" s="136"/>
      <c r="O73" s="136"/>
      <c r="P73" s="136"/>
      <c r="Q73" s="136"/>
      <c r="R73" s="136"/>
      <c r="S73" s="136"/>
      <c r="T73" s="136"/>
      <c r="U73" s="136"/>
      <c r="V73" s="136"/>
      <c r="W73" s="136"/>
      <c r="X73" s="136" t="s">
        <v>153</v>
      </c>
      <c r="Y73" s="136"/>
      <c r="Z73" s="136"/>
      <c r="AA73" s="136"/>
      <c r="AB73" s="136"/>
    </row>
    <row r="74" spans="1:28">
      <c r="A74" s="720" t="s">
        <v>917</v>
      </c>
      <c r="B74" s="136" t="s">
        <v>956</v>
      </c>
      <c r="C74" s="136" t="s">
        <v>153</v>
      </c>
      <c r="D74" s="479" t="s">
        <v>93</v>
      </c>
      <c r="E74" s="771" t="s">
        <v>973</v>
      </c>
      <c r="F74" s="145"/>
      <c r="G74" s="136"/>
      <c r="H74" s="136"/>
      <c r="I74" s="136"/>
      <c r="J74" s="136"/>
      <c r="K74" s="136"/>
      <c r="L74" s="136"/>
      <c r="M74" s="136"/>
      <c r="N74" s="136"/>
      <c r="O74" s="136"/>
      <c r="P74" s="136"/>
      <c r="Q74" s="136"/>
      <c r="R74" s="136"/>
      <c r="S74" s="136"/>
      <c r="T74" s="136"/>
      <c r="U74" s="136"/>
      <c r="V74" s="136"/>
      <c r="W74" s="136"/>
      <c r="X74" s="136" t="s">
        <v>153</v>
      </c>
      <c r="Y74" s="136"/>
      <c r="Z74" s="136"/>
      <c r="AA74" s="136"/>
      <c r="AB74" s="136"/>
    </row>
    <row r="75" spans="1:28">
      <c r="A75" s="720" t="s">
        <v>917</v>
      </c>
      <c r="B75" s="136" t="s">
        <v>956</v>
      </c>
      <c r="C75" s="136" t="s">
        <v>153</v>
      </c>
      <c r="D75" s="479" t="s">
        <v>93</v>
      </c>
      <c r="E75" s="771" t="s">
        <v>974</v>
      </c>
      <c r="F75" s="145"/>
      <c r="G75" s="136"/>
      <c r="H75" s="136"/>
      <c r="I75" s="136"/>
      <c r="J75" s="136"/>
      <c r="K75" s="136"/>
      <c r="L75" s="136"/>
      <c r="M75" s="136"/>
      <c r="N75" s="136"/>
      <c r="O75" s="136"/>
      <c r="P75" s="136"/>
      <c r="Q75" s="136"/>
      <c r="R75" s="136"/>
      <c r="S75" s="136"/>
      <c r="T75" s="136"/>
      <c r="U75" s="136"/>
      <c r="V75" s="136"/>
      <c r="W75" s="136"/>
      <c r="X75" s="136" t="s">
        <v>153</v>
      </c>
      <c r="Y75" s="136"/>
      <c r="Z75" s="136"/>
      <c r="AA75" s="136"/>
      <c r="AB75" s="136"/>
    </row>
    <row r="76" spans="1:28">
      <c r="A76" s="720" t="s">
        <v>917</v>
      </c>
      <c r="B76" s="136" t="s">
        <v>956</v>
      </c>
      <c r="C76" s="136" t="s">
        <v>153</v>
      </c>
      <c r="D76" s="479" t="s">
        <v>93</v>
      </c>
      <c r="E76" s="771" t="s">
        <v>975</v>
      </c>
      <c r="F76" s="145"/>
      <c r="G76" s="136"/>
      <c r="H76" s="136"/>
      <c r="I76" s="136"/>
      <c r="J76" s="136"/>
      <c r="K76" s="136"/>
      <c r="L76" s="136"/>
      <c r="M76" s="136"/>
      <c r="N76" s="136"/>
      <c r="O76" s="136"/>
      <c r="P76" s="136"/>
      <c r="Q76" s="136"/>
      <c r="R76" s="136"/>
      <c r="S76" s="136"/>
      <c r="T76" s="136"/>
      <c r="U76" s="136"/>
      <c r="V76" s="136"/>
      <c r="W76" s="136"/>
      <c r="X76" s="136" t="s">
        <v>153</v>
      </c>
      <c r="Y76" s="136"/>
      <c r="Z76" s="136"/>
      <c r="AA76" s="136"/>
      <c r="AB76" s="136"/>
    </row>
    <row r="77" spans="1:28">
      <c r="A77" s="720" t="s">
        <v>917</v>
      </c>
      <c r="B77" s="136" t="s">
        <v>956</v>
      </c>
      <c r="C77" s="136" t="s">
        <v>153</v>
      </c>
      <c r="D77" s="479" t="s">
        <v>93</v>
      </c>
      <c r="E77" s="771" t="s">
        <v>976</v>
      </c>
      <c r="F77" s="145"/>
      <c r="G77" s="136"/>
      <c r="H77" s="136"/>
      <c r="I77" s="136"/>
      <c r="J77" s="136"/>
      <c r="K77" s="136"/>
      <c r="L77" s="136"/>
      <c r="M77" s="136"/>
      <c r="N77" s="136"/>
      <c r="O77" s="136"/>
      <c r="P77" s="136"/>
      <c r="Q77" s="136"/>
      <c r="R77" s="136"/>
      <c r="S77" s="136"/>
      <c r="T77" s="136"/>
      <c r="U77" s="136"/>
      <c r="V77" s="136"/>
      <c r="W77" s="136"/>
      <c r="X77" s="136" t="s">
        <v>153</v>
      </c>
      <c r="Y77" s="136"/>
      <c r="Z77" s="136"/>
      <c r="AA77" s="136"/>
      <c r="AB77" s="136"/>
    </row>
    <row r="78" spans="1:28">
      <c r="A78" s="720" t="s">
        <v>917</v>
      </c>
      <c r="B78" s="136" t="s">
        <v>956</v>
      </c>
      <c r="C78" s="136" t="s">
        <v>153</v>
      </c>
      <c r="D78" s="479" t="s">
        <v>93</v>
      </c>
      <c r="E78" s="771" t="s">
        <v>977</v>
      </c>
      <c r="F78" s="145"/>
      <c r="G78" s="136"/>
      <c r="H78" s="136"/>
      <c r="I78" s="136"/>
      <c r="J78" s="136"/>
      <c r="K78" s="136"/>
      <c r="L78" s="136"/>
      <c r="M78" s="136"/>
      <c r="N78" s="136"/>
      <c r="O78" s="136"/>
      <c r="P78" s="136"/>
      <c r="Q78" s="136"/>
      <c r="R78" s="136"/>
      <c r="S78" s="136"/>
      <c r="T78" s="136"/>
      <c r="U78" s="136"/>
      <c r="V78" s="136"/>
      <c r="W78" s="136"/>
      <c r="X78" s="136" t="s">
        <v>153</v>
      </c>
      <c r="Y78" s="136"/>
      <c r="Z78" s="136"/>
      <c r="AA78" s="136"/>
      <c r="AB78" s="136"/>
    </row>
    <row r="79" spans="1:28">
      <c r="A79" s="720" t="s">
        <v>917</v>
      </c>
      <c r="B79" s="136" t="s">
        <v>956</v>
      </c>
      <c r="C79" s="136" t="s">
        <v>153</v>
      </c>
      <c r="D79" s="479" t="s">
        <v>93</v>
      </c>
      <c r="E79" s="771" t="s">
        <v>978</v>
      </c>
      <c r="F79" s="145"/>
      <c r="G79" s="136"/>
      <c r="H79" s="136"/>
      <c r="I79" s="136"/>
      <c r="J79" s="136"/>
      <c r="K79" s="136"/>
      <c r="L79" s="136"/>
      <c r="M79" s="136"/>
      <c r="N79" s="136"/>
      <c r="O79" s="136"/>
      <c r="P79" s="136"/>
      <c r="Q79" s="136"/>
      <c r="R79" s="136"/>
      <c r="S79" s="136"/>
      <c r="T79" s="136"/>
      <c r="U79" s="136"/>
      <c r="V79" s="136"/>
      <c r="W79" s="136"/>
      <c r="X79" s="136" t="s">
        <v>153</v>
      </c>
      <c r="Y79" s="136"/>
      <c r="Z79" s="136"/>
      <c r="AA79" s="136"/>
      <c r="AB79" s="136"/>
    </row>
    <row r="80" spans="1:28">
      <c r="A80" s="720" t="s">
        <v>917</v>
      </c>
      <c r="B80" s="136" t="s">
        <v>956</v>
      </c>
      <c r="C80" s="136" t="s">
        <v>153</v>
      </c>
      <c r="D80" s="479" t="s">
        <v>93</v>
      </c>
      <c r="E80" s="771" t="s">
        <v>979</v>
      </c>
      <c r="F80" s="145"/>
      <c r="G80" s="136"/>
      <c r="H80" s="136"/>
      <c r="I80" s="136"/>
      <c r="J80" s="136"/>
      <c r="K80" s="136"/>
      <c r="L80" s="136"/>
      <c r="M80" s="136"/>
      <c r="N80" s="136"/>
      <c r="O80" s="136"/>
      <c r="P80" s="136"/>
      <c r="Q80" s="136"/>
      <c r="R80" s="136"/>
      <c r="S80" s="136"/>
      <c r="T80" s="136"/>
      <c r="U80" s="136"/>
      <c r="V80" s="136"/>
      <c r="W80" s="136"/>
      <c r="X80" s="136" t="s">
        <v>153</v>
      </c>
      <c r="Y80" s="136"/>
      <c r="Z80" s="136"/>
      <c r="AA80" s="136"/>
      <c r="AB80" s="136"/>
    </row>
    <row r="81" spans="1:28">
      <c r="A81" s="720" t="s">
        <v>917</v>
      </c>
      <c r="B81" s="136" t="s">
        <v>956</v>
      </c>
      <c r="C81" s="136" t="s">
        <v>153</v>
      </c>
      <c r="D81" s="479" t="s">
        <v>93</v>
      </c>
      <c r="E81" s="771" t="s">
        <v>980</v>
      </c>
      <c r="F81" s="145"/>
      <c r="G81" s="136"/>
      <c r="H81" s="136"/>
      <c r="I81" s="136"/>
      <c r="J81" s="136"/>
      <c r="K81" s="136"/>
      <c r="L81" s="136"/>
      <c r="M81" s="136"/>
      <c r="N81" s="136"/>
      <c r="O81" s="136"/>
      <c r="P81" s="136"/>
      <c r="Q81" s="136"/>
      <c r="R81" s="136"/>
      <c r="S81" s="136"/>
      <c r="T81" s="136"/>
      <c r="U81" s="136"/>
      <c r="V81" s="136"/>
      <c r="W81" s="136"/>
      <c r="X81" s="136" t="s">
        <v>153</v>
      </c>
      <c r="Y81" s="136"/>
      <c r="Z81" s="136"/>
      <c r="AA81" s="136"/>
      <c r="AB81" s="136"/>
    </row>
    <row r="82" spans="1:28">
      <c r="A82" s="720" t="s">
        <v>917</v>
      </c>
      <c r="B82" s="136" t="s">
        <v>956</v>
      </c>
      <c r="C82" s="136" t="s">
        <v>153</v>
      </c>
      <c r="D82" s="479" t="s">
        <v>93</v>
      </c>
      <c r="E82" s="771" t="s">
        <v>981</v>
      </c>
      <c r="F82" s="145"/>
      <c r="G82" s="136"/>
      <c r="H82" s="136"/>
      <c r="I82" s="136"/>
      <c r="J82" s="136"/>
      <c r="K82" s="136"/>
      <c r="L82" s="136"/>
      <c r="M82" s="136"/>
      <c r="N82" s="136"/>
      <c r="O82" s="136"/>
      <c r="P82" s="136"/>
      <c r="Q82" s="136"/>
      <c r="R82" s="136"/>
      <c r="S82" s="136"/>
      <c r="T82" s="136"/>
      <c r="U82" s="136"/>
      <c r="V82" s="136"/>
      <c r="W82" s="136"/>
      <c r="X82" s="136" t="s">
        <v>153</v>
      </c>
      <c r="Y82" s="136"/>
      <c r="Z82" s="136"/>
      <c r="AA82" s="136"/>
      <c r="AB82" s="136"/>
    </row>
    <row r="83" spans="1:28">
      <c r="A83" s="720" t="s">
        <v>917</v>
      </c>
      <c r="B83" s="136" t="s">
        <v>956</v>
      </c>
      <c r="C83" s="136" t="s">
        <v>153</v>
      </c>
      <c r="D83" s="479" t="s">
        <v>93</v>
      </c>
      <c r="E83" s="771" t="s">
        <v>982</v>
      </c>
      <c r="F83" s="145"/>
      <c r="G83" s="136"/>
      <c r="H83" s="136"/>
      <c r="I83" s="136"/>
      <c r="J83" s="136"/>
      <c r="K83" s="136"/>
      <c r="L83" s="136"/>
      <c r="M83" s="136"/>
      <c r="N83" s="136"/>
      <c r="O83" s="136"/>
      <c r="P83" s="136"/>
      <c r="Q83" s="136"/>
      <c r="R83" s="136"/>
      <c r="S83" s="136"/>
      <c r="T83" s="136"/>
      <c r="U83" s="136"/>
      <c r="V83" s="136"/>
      <c r="W83" s="136"/>
      <c r="X83" s="136" t="s">
        <v>153</v>
      </c>
      <c r="Y83" s="136"/>
      <c r="Z83" s="136"/>
      <c r="AA83" s="136"/>
      <c r="AB83" s="136"/>
    </row>
    <row r="84" spans="1:28">
      <c r="A84" s="720" t="s">
        <v>917</v>
      </c>
      <c r="B84" s="136" t="s">
        <v>956</v>
      </c>
      <c r="C84" s="136" t="s">
        <v>153</v>
      </c>
      <c r="D84" s="479" t="s">
        <v>93</v>
      </c>
      <c r="E84" s="771" t="s">
        <v>983</v>
      </c>
      <c r="F84" s="145"/>
      <c r="G84" s="136"/>
      <c r="H84" s="136"/>
      <c r="I84" s="136"/>
      <c r="J84" s="136"/>
      <c r="K84" s="136"/>
      <c r="L84" s="136"/>
      <c r="M84" s="136"/>
      <c r="N84" s="136"/>
      <c r="O84" s="136"/>
      <c r="P84" s="136"/>
      <c r="Q84" s="136"/>
      <c r="R84" s="136"/>
      <c r="S84" s="136"/>
      <c r="T84" s="136"/>
      <c r="U84" s="136"/>
      <c r="V84" s="136"/>
      <c r="W84" s="136"/>
      <c r="X84" s="136" t="s">
        <v>153</v>
      </c>
      <c r="Y84" s="136"/>
      <c r="Z84" s="136"/>
      <c r="AA84" s="136"/>
      <c r="AB84" s="136"/>
    </row>
    <row r="85" spans="1:28">
      <c r="A85" s="720" t="s">
        <v>917</v>
      </c>
      <c r="B85" s="136" t="s">
        <v>956</v>
      </c>
      <c r="C85" s="136" t="s">
        <v>153</v>
      </c>
      <c r="D85" s="479" t="s">
        <v>93</v>
      </c>
      <c r="E85" s="771" t="s">
        <v>984</v>
      </c>
      <c r="F85" s="145"/>
      <c r="G85" s="136"/>
      <c r="H85" s="136"/>
      <c r="I85" s="136"/>
      <c r="J85" s="136"/>
      <c r="K85" s="136"/>
      <c r="L85" s="136"/>
      <c r="M85" s="136"/>
      <c r="N85" s="136"/>
      <c r="O85" s="136"/>
      <c r="P85" s="136"/>
      <c r="Q85" s="136"/>
      <c r="R85" s="136"/>
      <c r="S85" s="136"/>
      <c r="T85" s="136"/>
      <c r="U85" s="136"/>
      <c r="V85" s="136"/>
      <c r="W85" s="136"/>
      <c r="X85" s="136" t="s">
        <v>153</v>
      </c>
      <c r="Y85" s="136"/>
      <c r="Z85" s="136"/>
      <c r="AA85" s="136"/>
      <c r="AB85" s="136"/>
    </row>
    <row r="86" spans="1:28">
      <c r="A86" s="720" t="s">
        <v>917</v>
      </c>
      <c r="B86" s="136" t="s">
        <v>956</v>
      </c>
      <c r="C86" s="136" t="s">
        <v>153</v>
      </c>
      <c r="D86" s="479" t="s">
        <v>93</v>
      </c>
      <c r="E86" s="771" t="s">
        <v>985</v>
      </c>
      <c r="F86" s="145"/>
      <c r="G86" s="136"/>
      <c r="H86" s="136"/>
      <c r="I86" s="136"/>
      <c r="J86" s="136"/>
      <c r="K86" s="136"/>
      <c r="L86" s="136"/>
      <c r="M86" s="136"/>
      <c r="N86" s="136"/>
      <c r="O86" s="136"/>
      <c r="P86" s="136"/>
      <c r="Q86" s="136"/>
      <c r="R86" s="136"/>
      <c r="S86" s="136"/>
      <c r="T86" s="136"/>
      <c r="U86" s="136"/>
      <c r="V86" s="136"/>
      <c r="W86" s="136"/>
      <c r="X86" s="136" t="s">
        <v>153</v>
      </c>
      <c r="Y86" s="136"/>
      <c r="Z86" s="136"/>
      <c r="AA86" s="136"/>
      <c r="AB86" s="136"/>
    </row>
    <row r="87" spans="1:28">
      <c r="A87" s="720" t="s">
        <v>917</v>
      </c>
      <c r="B87" s="136" t="s">
        <v>956</v>
      </c>
      <c r="C87" s="136" t="s">
        <v>153</v>
      </c>
      <c r="D87" s="479" t="s">
        <v>93</v>
      </c>
      <c r="E87" s="771" t="s">
        <v>986</v>
      </c>
      <c r="F87" s="145"/>
      <c r="G87" s="136"/>
      <c r="H87" s="136"/>
      <c r="I87" s="136"/>
      <c r="J87" s="136"/>
      <c r="K87" s="136"/>
      <c r="L87" s="136"/>
      <c r="M87" s="136"/>
      <c r="N87" s="136"/>
      <c r="O87" s="136"/>
      <c r="P87" s="136"/>
      <c r="Q87" s="136"/>
      <c r="R87" s="136"/>
      <c r="S87" s="136"/>
      <c r="T87" s="136"/>
      <c r="U87" s="136"/>
      <c r="V87" s="136"/>
      <c r="W87" s="136"/>
      <c r="X87" s="136" t="s">
        <v>153</v>
      </c>
      <c r="Y87" s="136"/>
      <c r="Z87" s="136"/>
      <c r="AA87" s="136"/>
      <c r="AB87" s="136"/>
    </row>
    <row r="88" spans="1:28">
      <c r="A88" s="720" t="s">
        <v>917</v>
      </c>
      <c r="B88" s="136" t="s">
        <v>956</v>
      </c>
      <c r="C88" s="136" t="s">
        <v>153</v>
      </c>
      <c r="D88" s="479" t="s">
        <v>93</v>
      </c>
      <c r="E88" s="771" t="s">
        <v>987</v>
      </c>
      <c r="F88" s="145"/>
      <c r="G88" s="136"/>
      <c r="H88" s="136"/>
      <c r="I88" s="136"/>
      <c r="J88" s="136"/>
      <c r="K88" s="136"/>
      <c r="L88" s="136"/>
      <c r="M88" s="136"/>
      <c r="N88" s="136"/>
      <c r="O88" s="136"/>
      <c r="P88" s="136"/>
      <c r="Q88" s="136"/>
      <c r="R88" s="136"/>
      <c r="S88" s="136"/>
      <c r="T88" s="136"/>
      <c r="U88" s="136"/>
      <c r="V88" s="136"/>
      <c r="W88" s="136"/>
      <c r="X88" s="136" t="s">
        <v>153</v>
      </c>
      <c r="Y88" s="136"/>
      <c r="Z88" s="136"/>
      <c r="AA88" s="136"/>
      <c r="AB88" s="136"/>
    </row>
    <row r="89" spans="1:28">
      <c r="A89" s="720" t="s">
        <v>917</v>
      </c>
      <c r="B89" s="136" t="s">
        <v>956</v>
      </c>
      <c r="C89" s="136" t="s">
        <v>153</v>
      </c>
      <c r="D89" s="479" t="s">
        <v>93</v>
      </c>
      <c r="E89" s="771" t="s">
        <v>988</v>
      </c>
      <c r="F89" s="145"/>
      <c r="G89" s="136"/>
      <c r="H89" s="136"/>
      <c r="I89" s="136"/>
      <c r="J89" s="136"/>
      <c r="K89" s="136"/>
      <c r="L89" s="136"/>
      <c r="M89" s="136"/>
      <c r="N89" s="136"/>
      <c r="O89" s="136"/>
      <c r="P89" s="136"/>
      <c r="Q89" s="136"/>
      <c r="R89" s="136"/>
      <c r="S89" s="136"/>
      <c r="T89" s="136"/>
      <c r="U89" s="136"/>
      <c r="V89" s="136"/>
      <c r="W89" s="136"/>
      <c r="X89" s="136" t="s">
        <v>153</v>
      </c>
      <c r="Y89" s="136"/>
      <c r="Z89" s="136"/>
      <c r="AA89" s="136"/>
      <c r="AB89" s="136"/>
    </row>
    <row r="90" spans="1:28">
      <c r="A90" s="720" t="s">
        <v>917</v>
      </c>
      <c r="B90" s="136" t="s">
        <v>956</v>
      </c>
      <c r="C90" s="136" t="s">
        <v>153</v>
      </c>
      <c r="D90" s="479" t="s">
        <v>93</v>
      </c>
      <c r="E90" s="771" t="s">
        <v>989</v>
      </c>
      <c r="F90" s="145"/>
      <c r="G90" s="136"/>
      <c r="H90" s="136"/>
      <c r="I90" s="136"/>
      <c r="J90" s="136"/>
      <c r="K90" s="136"/>
      <c r="L90" s="136"/>
      <c r="M90" s="136"/>
      <c r="N90" s="136"/>
      <c r="O90" s="136"/>
      <c r="P90" s="136"/>
      <c r="Q90" s="136"/>
      <c r="R90" s="136"/>
      <c r="S90" s="136"/>
      <c r="T90" s="136"/>
      <c r="U90" s="136"/>
      <c r="V90" s="136"/>
      <c r="W90" s="136"/>
      <c r="X90" s="136" t="s">
        <v>153</v>
      </c>
      <c r="Y90" s="136"/>
      <c r="Z90" s="136"/>
      <c r="AA90" s="136"/>
      <c r="AB90" s="136"/>
    </row>
    <row r="91" spans="1:28">
      <c r="A91" s="720" t="s">
        <v>917</v>
      </c>
      <c r="B91" s="136" t="s">
        <v>956</v>
      </c>
      <c r="C91" s="136" t="s">
        <v>153</v>
      </c>
      <c r="D91" s="479" t="s">
        <v>93</v>
      </c>
      <c r="E91" s="771" t="s">
        <v>990</v>
      </c>
      <c r="F91" s="145"/>
      <c r="G91" s="136"/>
      <c r="H91" s="136"/>
      <c r="I91" s="136"/>
      <c r="J91" s="136"/>
      <c r="K91" s="136"/>
      <c r="L91" s="136"/>
      <c r="M91" s="136"/>
      <c r="N91" s="136"/>
      <c r="O91" s="136"/>
      <c r="P91" s="136"/>
      <c r="Q91" s="136"/>
      <c r="R91" s="136"/>
      <c r="S91" s="136"/>
      <c r="T91" s="136"/>
      <c r="U91" s="136"/>
      <c r="V91" s="136"/>
      <c r="W91" s="136"/>
      <c r="X91" s="136" t="s">
        <v>153</v>
      </c>
      <c r="Y91" s="136"/>
      <c r="Z91" s="136"/>
      <c r="AA91" s="136"/>
      <c r="AB91" s="136"/>
    </row>
    <row r="92" spans="1:28">
      <c r="A92" s="720" t="s">
        <v>917</v>
      </c>
      <c r="B92" s="136" t="s">
        <v>956</v>
      </c>
      <c r="C92" s="136" t="s">
        <v>153</v>
      </c>
      <c r="D92" s="479" t="s">
        <v>93</v>
      </c>
      <c r="E92" s="771" t="s">
        <v>991</v>
      </c>
      <c r="F92" s="145"/>
      <c r="G92" s="136"/>
      <c r="H92" s="136"/>
      <c r="I92" s="136"/>
      <c r="J92" s="136"/>
      <c r="K92" s="136"/>
      <c r="L92" s="136"/>
      <c r="M92" s="136"/>
      <c r="N92" s="136"/>
      <c r="O92" s="136"/>
      <c r="P92" s="136"/>
      <c r="Q92" s="136"/>
      <c r="R92" s="136"/>
      <c r="S92" s="136"/>
      <c r="T92" s="136"/>
      <c r="U92" s="136"/>
      <c r="V92" s="136"/>
      <c r="W92" s="136"/>
      <c r="X92" s="136" t="s">
        <v>153</v>
      </c>
      <c r="Y92" s="136"/>
      <c r="Z92" s="136"/>
      <c r="AA92" s="136"/>
      <c r="AB92" s="136"/>
    </row>
    <row r="93" spans="1:28">
      <c r="A93" s="720" t="s">
        <v>917</v>
      </c>
      <c r="B93" s="136" t="s">
        <v>956</v>
      </c>
      <c r="C93" s="136" t="s">
        <v>153</v>
      </c>
      <c r="D93" s="479" t="s">
        <v>93</v>
      </c>
      <c r="E93" s="771" t="s">
        <v>992</v>
      </c>
      <c r="F93" s="145"/>
      <c r="G93" s="136"/>
      <c r="H93" s="136"/>
      <c r="I93" s="136"/>
      <c r="J93" s="136"/>
      <c r="K93" s="136"/>
      <c r="L93" s="136"/>
      <c r="M93" s="136"/>
      <c r="N93" s="136"/>
      <c r="O93" s="136"/>
      <c r="P93" s="136"/>
      <c r="Q93" s="136"/>
      <c r="R93" s="136"/>
      <c r="S93" s="136"/>
      <c r="T93" s="136"/>
      <c r="U93" s="136"/>
      <c r="V93" s="136"/>
      <c r="W93" s="136"/>
      <c r="X93" s="136" t="s">
        <v>153</v>
      </c>
      <c r="Y93" s="136"/>
      <c r="Z93" s="136"/>
      <c r="AA93" s="136"/>
      <c r="AB93" s="136"/>
    </row>
    <row r="94" spans="1:28">
      <c r="A94" s="720" t="s">
        <v>917</v>
      </c>
      <c r="B94" s="136" t="s">
        <v>956</v>
      </c>
      <c r="C94" s="136" t="s">
        <v>153</v>
      </c>
      <c r="D94" s="479" t="s">
        <v>93</v>
      </c>
      <c r="E94" s="771" t="s">
        <v>993</v>
      </c>
      <c r="F94" s="145"/>
      <c r="G94" s="136"/>
      <c r="H94" s="136"/>
      <c r="I94" s="136"/>
      <c r="J94" s="136"/>
      <c r="K94" s="136"/>
      <c r="L94" s="136"/>
      <c r="M94" s="136"/>
      <c r="N94" s="136"/>
      <c r="O94" s="136"/>
      <c r="P94" s="136"/>
      <c r="Q94" s="136"/>
      <c r="R94" s="136"/>
      <c r="S94" s="136"/>
      <c r="T94" s="136"/>
      <c r="U94" s="136"/>
      <c r="V94" s="136"/>
      <c r="W94" s="136"/>
      <c r="X94" s="136" t="s">
        <v>153</v>
      </c>
      <c r="Y94" s="136"/>
      <c r="Z94" s="136"/>
      <c r="AA94" s="136"/>
      <c r="AB94" s="136"/>
    </row>
    <row r="95" spans="1:28">
      <c r="A95" s="720" t="s">
        <v>917</v>
      </c>
      <c r="B95" s="136" t="s">
        <v>956</v>
      </c>
      <c r="C95" s="136" t="s">
        <v>153</v>
      </c>
      <c r="D95" s="479" t="s">
        <v>93</v>
      </c>
      <c r="E95" s="771" t="s">
        <v>994</v>
      </c>
      <c r="F95" s="145"/>
      <c r="G95" s="136"/>
      <c r="H95" s="136"/>
      <c r="I95" s="136"/>
      <c r="J95" s="136"/>
      <c r="K95" s="136"/>
      <c r="L95" s="136"/>
      <c r="M95" s="136"/>
      <c r="N95" s="136"/>
      <c r="O95" s="136"/>
      <c r="P95" s="136"/>
      <c r="Q95" s="136"/>
      <c r="R95" s="136"/>
      <c r="S95" s="136"/>
      <c r="T95" s="136"/>
      <c r="U95" s="136"/>
      <c r="V95" s="136"/>
      <c r="W95" s="136"/>
      <c r="X95" s="136" t="s">
        <v>153</v>
      </c>
      <c r="Y95" s="136"/>
      <c r="Z95" s="136"/>
      <c r="AA95" s="136"/>
      <c r="AB95" s="136"/>
    </row>
    <row r="96" spans="1:28">
      <c r="A96" s="720" t="s">
        <v>917</v>
      </c>
      <c r="B96" s="136" t="s">
        <v>956</v>
      </c>
      <c r="C96" s="136" t="s">
        <v>153</v>
      </c>
      <c r="D96" s="479" t="s">
        <v>93</v>
      </c>
      <c r="E96" s="771" t="s">
        <v>995</v>
      </c>
      <c r="F96" s="145"/>
      <c r="G96" s="136"/>
      <c r="H96" s="136"/>
      <c r="I96" s="136"/>
      <c r="J96" s="136"/>
      <c r="K96" s="136"/>
      <c r="L96" s="136"/>
      <c r="M96" s="136"/>
      <c r="N96" s="136"/>
      <c r="O96" s="136"/>
      <c r="P96" s="136"/>
      <c r="Q96" s="136"/>
      <c r="R96" s="136"/>
      <c r="S96" s="136"/>
      <c r="T96" s="136"/>
      <c r="U96" s="136"/>
      <c r="V96" s="136"/>
      <c r="W96" s="136"/>
      <c r="X96" s="136" t="s">
        <v>153</v>
      </c>
      <c r="Y96" s="136"/>
      <c r="Z96" s="136"/>
      <c r="AA96" s="136"/>
      <c r="AB96" s="136"/>
    </row>
    <row r="97" spans="1:28">
      <c r="A97" s="720" t="s">
        <v>917</v>
      </c>
      <c r="B97" s="136" t="s">
        <v>956</v>
      </c>
      <c r="C97" s="136" t="s">
        <v>153</v>
      </c>
      <c r="D97" s="479" t="s">
        <v>93</v>
      </c>
      <c r="E97" s="771" t="s">
        <v>996</v>
      </c>
      <c r="F97" s="145"/>
      <c r="G97" s="136"/>
      <c r="H97" s="136"/>
      <c r="I97" s="136"/>
      <c r="J97" s="136"/>
      <c r="K97" s="136"/>
      <c r="L97" s="136"/>
      <c r="M97" s="136"/>
      <c r="N97" s="136"/>
      <c r="O97" s="136"/>
      <c r="P97" s="136"/>
      <c r="Q97" s="136"/>
      <c r="R97" s="136"/>
      <c r="S97" s="136"/>
      <c r="T97" s="136"/>
      <c r="U97" s="136"/>
      <c r="V97" s="136"/>
      <c r="W97" s="136"/>
      <c r="X97" s="136" t="s">
        <v>153</v>
      </c>
      <c r="Y97" s="136"/>
      <c r="Z97" s="136"/>
      <c r="AA97" s="136"/>
      <c r="AB97" s="136"/>
    </row>
    <row r="98" spans="1:28">
      <c r="A98" s="720" t="s">
        <v>917</v>
      </c>
      <c r="B98" s="136" t="s">
        <v>956</v>
      </c>
      <c r="C98" s="136" t="s">
        <v>153</v>
      </c>
      <c r="D98" s="479" t="s">
        <v>93</v>
      </c>
      <c r="E98" s="771" t="s">
        <v>997</v>
      </c>
      <c r="F98" s="145"/>
      <c r="G98" s="136"/>
      <c r="H98" s="136"/>
      <c r="I98" s="136"/>
      <c r="J98" s="136"/>
      <c r="K98" s="136"/>
      <c r="L98" s="136"/>
      <c r="M98" s="136"/>
      <c r="N98" s="136"/>
      <c r="O98" s="136"/>
      <c r="P98" s="136"/>
      <c r="Q98" s="136"/>
      <c r="R98" s="136"/>
      <c r="S98" s="136"/>
      <c r="T98" s="136"/>
      <c r="U98" s="136"/>
      <c r="V98" s="136"/>
      <c r="W98" s="136"/>
      <c r="X98" s="136" t="s">
        <v>153</v>
      </c>
      <c r="Y98" s="136"/>
      <c r="Z98" s="136"/>
      <c r="AA98" s="136"/>
      <c r="AB98" s="136"/>
    </row>
    <row r="99" spans="1:28">
      <c r="A99" s="720" t="s">
        <v>917</v>
      </c>
      <c r="B99" s="136" t="s">
        <v>956</v>
      </c>
      <c r="C99" s="136" t="s">
        <v>153</v>
      </c>
      <c r="D99" s="479" t="s">
        <v>93</v>
      </c>
      <c r="E99" s="771" t="s">
        <v>998</v>
      </c>
      <c r="F99" s="145"/>
      <c r="G99" s="136"/>
      <c r="H99" s="136"/>
      <c r="I99" s="136"/>
      <c r="J99" s="136"/>
      <c r="K99" s="136"/>
      <c r="L99" s="136"/>
      <c r="M99" s="136"/>
      <c r="N99" s="136"/>
      <c r="O99" s="136"/>
      <c r="P99" s="136"/>
      <c r="Q99" s="136"/>
      <c r="R99" s="136"/>
      <c r="S99" s="136"/>
      <c r="T99" s="136"/>
      <c r="U99" s="136"/>
      <c r="V99" s="136"/>
      <c r="W99" s="136"/>
      <c r="X99" s="136" t="s">
        <v>153</v>
      </c>
      <c r="Y99" s="136"/>
      <c r="Z99" s="136"/>
      <c r="AA99" s="136"/>
      <c r="AB99" s="136"/>
    </row>
    <row r="100" spans="1:28">
      <c r="A100" s="720" t="s">
        <v>917</v>
      </c>
      <c r="B100" s="136" t="s">
        <v>956</v>
      </c>
      <c r="C100" s="136" t="s">
        <v>153</v>
      </c>
      <c r="D100" s="479" t="s">
        <v>93</v>
      </c>
      <c r="E100" s="771" t="s">
        <v>999</v>
      </c>
      <c r="F100" s="145"/>
      <c r="G100" s="136"/>
      <c r="H100" s="136"/>
      <c r="I100" s="136"/>
      <c r="J100" s="136"/>
      <c r="K100" s="136"/>
      <c r="L100" s="136"/>
      <c r="M100" s="136"/>
      <c r="N100" s="136"/>
      <c r="O100" s="136"/>
      <c r="P100" s="136"/>
      <c r="Q100" s="136"/>
      <c r="R100" s="136"/>
      <c r="S100" s="136"/>
      <c r="T100" s="136"/>
      <c r="U100" s="136"/>
      <c r="V100" s="136"/>
      <c r="W100" s="136"/>
      <c r="X100" s="136" t="s">
        <v>153</v>
      </c>
      <c r="Y100" s="136"/>
      <c r="Z100" s="136"/>
      <c r="AA100" s="136"/>
      <c r="AB100" s="136"/>
    </row>
    <row r="101" spans="1:28">
      <c r="A101" s="720" t="s">
        <v>917</v>
      </c>
      <c r="B101" s="136" t="s">
        <v>956</v>
      </c>
      <c r="C101" s="136" t="s">
        <v>153</v>
      </c>
      <c r="D101" s="479" t="s">
        <v>93</v>
      </c>
      <c r="E101" s="771" t="s">
        <v>1000</v>
      </c>
      <c r="F101" s="145"/>
      <c r="G101" s="136"/>
      <c r="H101" s="136"/>
      <c r="I101" s="136"/>
      <c r="J101" s="136"/>
      <c r="K101" s="136"/>
      <c r="L101" s="136"/>
      <c r="M101" s="136"/>
      <c r="N101" s="136"/>
      <c r="O101" s="136"/>
      <c r="P101" s="136"/>
      <c r="Q101" s="136"/>
      <c r="R101" s="136"/>
      <c r="S101" s="136"/>
      <c r="T101" s="136"/>
      <c r="U101" s="136"/>
      <c r="V101" s="136"/>
      <c r="W101" s="136"/>
      <c r="X101" s="136" t="s">
        <v>153</v>
      </c>
      <c r="Y101" s="136"/>
      <c r="Z101" s="136"/>
      <c r="AA101" s="136"/>
      <c r="AB101" s="136"/>
    </row>
    <row r="102" spans="1:28">
      <c r="A102" s="720" t="s">
        <v>917</v>
      </c>
      <c r="B102" s="136" t="s">
        <v>956</v>
      </c>
      <c r="C102" s="136" t="s">
        <v>153</v>
      </c>
      <c r="D102" s="479" t="s">
        <v>93</v>
      </c>
      <c r="E102" s="771" t="s">
        <v>1001</v>
      </c>
      <c r="F102" s="145"/>
      <c r="G102" s="136"/>
      <c r="H102" s="136"/>
      <c r="I102" s="136"/>
      <c r="J102" s="136"/>
      <c r="K102" s="136"/>
      <c r="L102" s="136"/>
      <c r="M102" s="136"/>
      <c r="N102" s="136"/>
      <c r="O102" s="136"/>
      <c r="P102" s="136"/>
      <c r="Q102" s="136"/>
      <c r="R102" s="136"/>
      <c r="S102" s="136"/>
      <c r="T102" s="136"/>
      <c r="U102" s="136"/>
      <c r="V102" s="136"/>
      <c r="W102" s="136"/>
      <c r="X102" s="136" t="s">
        <v>153</v>
      </c>
      <c r="Y102" s="136"/>
      <c r="Z102" s="136"/>
      <c r="AA102" s="136"/>
      <c r="AB102" s="136"/>
    </row>
    <row r="103" spans="1:28">
      <c r="A103" s="720" t="s">
        <v>917</v>
      </c>
      <c r="B103" s="136" t="s">
        <v>956</v>
      </c>
      <c r="C103" s="136" t="s">
        <v>153</v>
      </c>
      <c r="D103" s="479" t="s">
        <v>93</v>
      </c>
      <c r="E103" s="771" t="s">
        <v>1002</v>
      </c>
      <c r="F103" s="145"/>
      <c r="G103" s="136"/>
      <c r="H103" s="136"/>
      <c r="I103" s="136"/>
      <c r="J103" s="136"/>
      <c r="K103" s="136"/>
      <c r="L103" s="136"/>
      <c r="M103" s="136"/>
      <c r="N103" s="136"/>
      <c r="O103" s="136"/>
      <c r="P103" s="136"/>
      <c r="Q103" s="136"/>
      <c r="R103" s="136"/>
      <c r="S103" s="136"/>
      <c r="T103" s="136"/>
      <c r="U103" s="136"/>
      <c r="V103" s="136"/>
      <c r="W103" s="136"/>
      <c r="X103" s="136" t="s">
        <v>153</v>
      </c>
      <c r="Y103" s="136"/>
      <c r="Z103" s="136"/>
      <c r="AA103" s="136"/>
      <c r="AB103" s="136"/>
    </row>
    <row r="104" spans="1:28">
      <c r="A104" s="720" t="s">
        <v>917</v>
      </c>
      <c r="B104" s="136" t="s">
        <v>956</v>
      </c>
      <c r="C104" s="136" t="s">
        <v>153</v>
      </c>
      <c r="D104" s="479" t="s">
        <v>93</v>
      </c>
      <c r="E104" s="771" t="s">
        <v>1003</v>
      </c>
      <c r="F104" s="145"/>
      <c r="G104" s="136"/>
      <c r="H104" s="136"/>
      <c r="I104" s="136"/>
      <c r="J104" s="136"/>
      <c r="K104" s="136"/>
      <c r="L104" s="136"/>
      <c r="M104" s="136"/>
      <c r="N104" s="136"/>
      <c r="O104" s="136"/>
      <c r="P104" s="136"/>
      <c r="Q104" s="136"/>
      <c r="R104" s="136"/>
      <c r="S104" s="136"/>
      <c r="T104" s="136"/>
      <c r="U104" s="136"/>
      <c r="V104" s="136"/>
      <c r="W104" s="136"/>
      <c r="X104" s="136" t="s">
        <v>153</v>
      </c>
      <c r="Y104" s="136"/>
      <c r="Z104" s="136"/>
      <c r="AA104" s="136"/>
      <c r="AB104" s="136"/>
    </row>
    <row r="105" spans="1:28">
      <c r="A105" s="720" t="s">
        <v>917</v>
      </c>
      <c r="B105" s="136" t="s">
        <v>956</v>
      </c>
      <c r="C105" s="136" t="s">
        <v>153</v>
      </c>
      <c r="D105" s="479" t="s">
        <v>93</v>
      </c>
      <c r="E105" s="771" t="s">
        <v>1004</v>
      </c>
      <c r="F105" s="145"/>
      <c r="G105" s="136"/>
      <c r="H105" s="136"/>
      <c r="I105" s="136"/>
      <c r="J105" s="136"/>
      <c r="K105" s="136"/>
      <c r="L105" s="136"/>
      <c r="M105" s="136"/>
      <c r="N105" s="136"/>
      <c r="O105" s="136"/>
      <c r="P105" s="136"/>
      <c r="Q105" s="136"/>
      <c r="R105" s="136"/>
      <c r="S105" s="136"/>
      <c r="T105" s="136"/>
      <c r="U105" s="136"/>
      <c r="V105" s="136"/>
      <c r="W105" s="136"/>
      <c r="X105" s="136" t="s">
        <v>153</v>
      </c>
      <c r="Y105" s="136"/>
      <c r="Z105" s="136"/>
      <c r="AA105" s="136"/>
      <c r="AB105" s="136"/>
    </row>
    <row r="106" spans="1:28">
      <c r="A106" s="720" t="s">
        <v>917</v>
      </c>
      <c r="B106" s="136" t="s">
        <v>956</v>
      </c>
      <c r="C106" s="136" t="s">
        <v>153</v>
      </c>
      <c r="D106" s="479" t="s">
        <v>93</v>
      </c>
      <c r="E106" s="771" t="s">
        <v>1005</v>
      </c>
      <c r="F106" s="145"/>
      <c r="G106" s="136"/>
      <c r="H106" s="136"/>
      <c r="I106" s="136"/>
      <c r="J106" s="136"/>
      <c r="K106" s="136"/>
      <c r="L106" s="136"/>
      <c r="M106" s="136"/>
      <c r="N106" s="136"/>
      <c r="O106" s="136"/>
      <c r="P106" s="136"/>
      <c r="Q106" s="136"/>
      <c r="R106" s="136"/>
      <c r="S106" s="136"/>
      <c r="T106" s="136"/>
      <c r="U106" s="136"/>
      <c r="V106" s="136"/>
      <c r="W106" s="136"/>
      <c r="X106" s="136" t="s">
        <v>153</v>
      </c>
      <c r="Y106" s="136"/>
      <c r="Z106" s="136"/>
      <c r="AA106" s="136"/>
      <c r="AB106" s="136"/>
    </row>
    <row r="107" spans="1:28">
      <c r="A107" s="720" t="s">
        <v>917</v>
      </c>
      <c r="B107" s="136" t="s">
        <v>956</v>
      </c>
      <c r="C107" s="136" t="s">
        <v>153</v>
      </c>
      <c r="D107" s="479" t="s">
        <v>93</v>
      </c>
      <c r="E107" s="771" t="s">
        <v>1006</v>
      </c>
      <c r="F107" s="145"/>
      <c r="G107" s="136"/>
      <c r="H107" s="136"/>
      <c r="I107" s="136"/>
      <c r="J107" s="136"/>
      <c r="K107" s="136"/>
      <c r="L107" s="136"/>
      <c r="M107" s="136"/>
      <c r="N107" s="136"/>
      <c r="O107" s="136"/>
      <c r="P107" s="136"/>
      <c r="Q107" s="136"/>
      <c r="R107" s="136"/>
      <c r="S107" s="136"/>
      <c r="T107" s="136"/>
      <c r="U107" s="136"/>
      <c r="V107" s="136"/>
      <c r="W107" s="136"/>
      <c r="X107" s="136" t="s">
        <v>153</v>
      </c>
      <c r="Y107" s="136"/>
      <c r="Z107" s="136"/>
      <c r="AA107" s="136"/>
      <c r="AB107" s="136"/>
    </row>
    <row r="108" spans="1:28">
      <c r="A108" s="720" t="s">
        <v>917</v>
      </c>
      <c r="B108" s="136" t="s">
        <v>956</v>
      </c>
      <c r="C108" s="136" t="s">
        <v>153</v>
      </c>
      <c r="D108" s="479" t="s">
        <v>93</v>
      </c>
      <c r="E108" s="771" t="s">
        <v>1007</v>
      </c>
      <c r="F108" s="145"/>
      <c r="G108" s="136"/>
      <c r="H108" s="136"/>
      <c r="I108" s="136"/>
      <c r="J108" s="136"/>
      <c r="K108" s="136"/>
      <c r="L108" s="136"/>
      <c r="M108" s="136"/>
      <c r="N108" s="136"/>
      <c r="O108" s="136"/>
      <c r="P108" s="136"/>
      <c r="Q108" s="136"/>
      <c r="R108" s="136"/>
      <c r="S108" s="136"/>
      <c r="T108" s="136"/>
      <c r="U108" s="136"/>
      <c r="V108" s="136"/>
      <c r="W108" s="136"/>
      <c r="X108" s="136" t="s">
        <v>153</v>
      </c>
      <c r="Y108" s="136"/>
      <c r="Z108" s="136"/>
      <c r="AA108" s="136"/>
      <c r="AB108" s="136"/>
    </row>
    <row r="109" spans="1:28">
      <c r="A109" s="720" t="s">
        <v>917</v>
      </c>
      <c r="B109" s="136" t="s">
        <v>956</v>
      </c>
      <c r="C109" s="136" t="s">
        <v>153</v>
      </c>
      <c r="D109" s="479" t="s">
        <v>93</v>
      </c>
      <c r="E109" s="771" t="s">
        <v>1008</v>
      </c>
      <c r="F109" s="145"/>
      <c r="G109" s="136"/>
      <c r="H109" s="136"/>
      <c r="I109" s="136"/>
      <c r="J109" s="136"/>
      <c r="K109" s="136"/>
      <c r="L109" s="136"/>
      <c r="M109" s="136"/>
      <c r="N109" s="136"/>
      <c r="O109" s="136"/>
      <c r="P109" s="136"/>
      <c r="Q109" s="136"/>
      <c r="R109" s="136"/>
      <c r="S109" s="136"/>
      <c r="T109" s="136"/>
      <c r="U109" s="136"/>
      <c r="V109" s="136"/>
      <c r="W109" s="136"/>
      <c r="X109" s="136" t="s">
        <v>153</v>
      </c>
      <c r="Y109" s="136"/>
      <c r="Z109" s="136"/>
      <c r="AA109" s="136"/>
      <c r="AB109" s="136"/>
    </row>
    <row r="110" spans="1:28">
      <c r="A110" s="720" t="s">
        <v>917</v>
      </c>
      <c r="B110" s="136" t="s">
        <v>956</v>
      </c>
      <c r="C110" s="136" t="s">
        <v>153</v>
      </c>
      <c r="D110" s="479" t="s">
        <v>93</v>
      </c>
      <c r="E110" s="771" t="s">
        <v>1009</v>
      </c>
      <c r="F110" s="145"/>
      <c r="G110" s="136"/>
      <c r="H110" s="136"/>
      <c r="I110" s="136"/>
      <c r="J110" s="136"/>
      <c r="K110" s="136"/>
      <c r="L110" s="136"/>
      <c r="M110" s="136"/>
      <c r="N110" s="136"/>
      <c r="O110" s="136"/>
      <c r="P110" s="136"/>
      <c r="Q110" s="136"/>
      <c r="R110" s="136"/>
      <c r="S110" s="136"/>
      <c r="T110" s="136"/>
      <c r="U110" s="136"/>
      <c r="V110" s="136"/>
      <c r="W110" s="136"/>
      <c r="X110" s="136" t="s">
        <v>153</v>
      </c>
      <c r="Y110" s="136"/>
      <c r="Z110" s="136"/>
      <c r="AA110" s="136"/>
      <c r="AB110" s="136"/>
    </row>
    <row r="111" spans="1:28">
      <c r="A111" s="720" t="s">
        <v>917</v>
      </c>
      <c r="B111" s="136" t="s">
        <v>956</v>
      </c>
      <c r="C111" s="136" t="s">
        <v>153</v>
      </c>
      <c r="D111" s="479" t="s">
        <v>93</v>
      </c>
      <c r="E111" s="771" t="s">
        <v>1010</v>
      </c>
      <c r="F111" s="145"/>
      <c r="G111" s="136"/>
      <c r="H111" s="136"/>
      <c r="I111" s="136"/>
      <c r="J111" s="136"/>
      <c r="K111" s="136"/>
      <c r="L111" s="136"/>
      <c r="M111" s="136"/>
      <c r="N111" s="136"/>
      <c r="O111" s="136"/>
      <c r="P111" s="136"/>
      <c r="Q111" s="136"/>
      <c r="R111" s="136"/>
      <c r="S111" s="136"/>
      <c r="T111" s="136"/>
      <c r="U111" s="136"/>
      <c r="V111" s="136"/>
      <c r="W111" s="136"/>
      <c r="X111" s="136" t="s">
        <v>153</v>
      </c>
      <c r="Y111" s="136"/>
      <c r="Z111" s="136"/>
      <c r="AA111" s="136"/>
      <c r="AB111" s="136"/>
    </row>
    <row r="112" spans="1:28">
      <c r="A112" s="720" t="s">
        <v>917</v>
      </c>
      <c r="B112" s="136" t="s">
        <v>956</v>
      </c>
      <c r="C112" s="136" t="s">
        <v>153</v>
      </c>
      <c r="D112" s="479" t="s">
        <v>93</v>
      </c>
      <c r="E112" s="771" t="s">
        <v>1011</v>
      </c>
      <c r="F112" s="145"/>
      <c r="G112" s="136"/>
      <c r="H112" s="136"/>
      <c r="I112" s="136"/>
      <c r="J112" s="136"/>
      <c r="K112" s="136"/>
      <c r="L112" s="136"/>
      <c r="M112" s="136"/>
      <c r="N112" s="136"/>
      <c r="O112" s="136"/>
      <c r="P112" s="136"/>
      <c r="Q112" s="136"/>
      <c r="R112" s="136"/>
      <c r="S112" s="136"/>
      <c r="T112" s="136"/>
      <c r="U112" s="136"/>
      <c r="V112" s="136"/>
      <c r="W112" s="136"/>
      <c r="X112" s="136" t="s">
        <v>153</v>
      </c>
      <c r="Y112" s="136"/>
      <c r="Z112" s="136"/>
      <c r="AA112" s="136"/>
      <c r="AB112" s="136"/>
    </row>
    <row r="113" spans="1:28">
      <c r="A113" s="720" t="s">
        <v>917</v>
      </c>
      <c r="B113" s="136" t="s">
        <v>956</v>
      </c>
      <c r="C113" s="136" t="s">
        <v>153</v>
      </c>
      <c r="D113" s="479" t="s">
        <v>93</v>
      </c>
      <c r="E113" s="771" t="s">
        <v>1012</v>
      </c>
      <c r="F113" s="145"/>
      <c r="G113" s="136"/>
      <c r="H113" s="136"/>
      <c r="I113" s="136"/>
      <c r="J113" s="136"/>
      <c r="K113" s="136"/>
      <c r="L113" s="136"/>
      <c r="M113" s="136"/>
      <c r="N113" s="136"/>
      <c r="O113" s="136"/>
      <c r="P113" s="136"/>
      <c r="Q113" s="136"/>
      <c r="R113" s="136"/>
      <c r="S113" s="136"/>
      <c r="T113" s="136"/>
      <c r="U113" s="136"/>
      <c r="V113" s="136"/>
      <c r="W113" s="136"/>
      <c r="X113" s="136" t="s">
        <v>153</v>
      </c>
      <c r="Y113" s="136"/>
      <c r="Z113" s="136"/>
      <c r="AA113" s="136"/>
      <c r="AB113" s="136"/>
    </row>
    <row r="114" spans="1:28">
      <c r="A114" s="720" t="s">
        <v>917</v>
      </c>
      <c r="B114" s="136" t="s">
        <v>956</v>
      </c>
      <c r="C114" s="136" t="s">
        <v>153</v>
      </c>
      <c r="D114" s="479" t="s">
        <v>93</v>
      </c>
      <c r="E114" s="771" t="s">
        <v>1013</v>
      </c>
      <c r="F114" s="145"/>
      <c r="G114" s="136"/>
      <c r="H114" s="136"/>
      <c r="I114" s="136"/>
      <c r="J114" s="136"/>
      <c r="K114" s="136"/>
      <c r="L114" s="136"/>
      <c r="M114" s="136"/>
      <c r="N114" s="136"/>
      <c r="O114" s="136"/>
      <c r="P114" s="136"/>
      <c r="Q114" s="136"/>
      <c r="R114" s="136"/>
      <c r="S114" s="136"/>
      <c r="T114" s="136"/>
      <c r="U114" s="136"/>
      <c r="V114" s="136"/>
      <c r="W114" s="136"/>
      <c r="X114" s="136" t="s">
        <v>153</v>
      </c>
      <c r="Y114" s="136"/>
      <c r="Z114" s="136"/>
      <c r="AA114" s="136"/>
      <c r="AB114" s="136"/>
    </row>
    <row r="115" spans="1:28">
      <c r="A115" s="720" t="s">
        <v>917</v>
      </c>
      <c r="B115" s="136" t="s">
        <v>956</v>
      </c>
      <c r="C115" s="136" t="s">
        <v>153</v>
      </c>
      <c r="D115" s="479" t="s">
        <v>93</v>
      </c>
      <c r="E115" s="771" t="s">
        <v>1014</v>
      </c>
      <c r="F115" s="145"/>
      <c r="G115" s="136"/>
      <c r="H115" s="136"/>
      <c r="I115" s="136"/>
      <c r="J115" s="136"/>
      <c r="K115" s="136"/>
      <c r="L115" s="136"/>
      <c r="M115" s="136"/>
      <c r="N115" s="136"/>
      <c r="O115" s="136"/>
      <c r="P115" s="136"/>
      <c r="Q115" s="136"/>
      <c r="R115" s="136"/>
      <c r="S115" s="136"/>
      <c r="T115" s="136"/>
      <c r="U115" s="136"/>
      <c r="V115" s="136"/>
      <c r="W115" s="136"/>
      <c r="X115" s="136" t="s">
        <v>153</v>
      </c>
      <c r="Y115" s="136"/>
      <c r="Z115" s="136"/>
      <c r="AA115" s="136"/>
      <c r="AB115" s="136"/>
    </row>
    <row r="116" spans="1:28">
      <c r="A116" s="720" t="s">
        <v>917</v>
      </c>
      <c r="B116" s="136" t="s">
        <v>956</v>
      </c>
      <c r="C116" s="136" t="s">
        <v>153</v>
      </c>
      <c r="D116" s="479" t="s">
        <v>93</v>
      </c>
      <c r="E116" s="771" t="s">
        <v>1015</v>
      </c>
      <c r="F116" s="145"/>
      <c r="G116" s="136"/>
      <c r="H116" s="136"/>
      <c r="I116" s="136"/>
      <c r="J116" s="136"/>
      <c r="K116" s="136"/>
      <c r="L116" s="136"/>
      <c r="M116" s="136"/>
      <c r="N116" s="136"/>
      <c r="O116" s="136"/>
      <c r="P116" s="136"/>
      <c r="Q116" s="136"/>
      <c r="R116" s="136"/>
      <c r="S116" s="136"/>
      <c r="T116" s="136"/>
      <c r="U116" s="136"/>
      <c r="V116" s="136"/>
      <c r="W116" s="136"/>
      <c r="X116" s="136" t="s">
        <v>153</v>
      </c>
      <c r="Y116" s="136"/>
      <c r="Z116" s="136"/>
      <c r="AA116" s="136"/>
      <c r="AB116" s="136"/>
    </row>
    <row r="117" spans="1:28">
      <c r="A117" s="720" t="s">
        <v>917</v>
      </c>
      <c r="B117" s="136" t="s">
        <v>956</v>
      </c>
      <c r="C117" s="136" t="s">
        <v>153</v>
      </c>
      <c r="D117" s="479" t="s">
        <v>93</v>
      </c>
      <c r="E117" s="771" t="s">
        <v>1016</v>
      </c>
      <c r="F117" s="145"/>
      <c r="G117" s="136"/>
      <c r="H117" s="136"/>
      <c r="I117" s="136"/>
      <c r="J117" s="136"/>
      <c r="K117" s="136"/>
      <c r="L117" s="136"/>
      <c r="M117" s="136"/>
      <c r="N117" s="136"/>
      <c r="O117" s="136"/>
      <c r="P117" s="136"/>
      <c r="Q117" s="136"/>
      <c r="R117" s="136"/>
      <c r="S117" s="136"/>
      <c r="T117" s="136"/>
      <c r="U117" s="136"/>
      <c r="V117" s="136"/>
      <c r="W117" s="136"/>
      <c r="X117" s="136" t="s">
        <v>153</v>
      </c>
      <c r="Y117" s="136"/>
      <c r="Z117" s="136"/>
      <c r="AA117" s="136"/>
      <c r="AB117" s="136"/>
    </row>
    <row r="118" spans="1:28">
      <c r="A118" s="720" t="s">
        <v>917</v>
      </c>
      <c r="B118" s="136" t="s">
        <v>956</v>
      </c>
      <c r="C118" s="136" t="s">
        <v>153</v>
      </c>
      <c r="D118" s="479" t="s">
        <v>93</v>
      </c>
      <c r="E118" s="771" t="s">
        <v>1017</v>
      </c>
      <c r="F118" s="145"/>
      <c r="G118" s="136"/>
      <c r="H118" s="136"/>
      <c r="I118" s="136"/>
      <c r="J118" s="136"/>
      <c r="K118" s="136"/>
      <c r="L118" s="136"/>
      <c r="M118" s="136"/>
      <c r="N118" s="136"/>
      <c r="O118" s="136"/>
      <c r="P118" s="136"/>
      <c r="Q118" s="136"/>
      <c r="R118" s="136"/>
      <c r="S118" s="136"/>
      <c r="T118" s="136"/>
      <c r="U118" s="136"/>
      <c r="V118" s="136"/>
      <c r="W118" s="136"/>
      <c r="X118" s="136" t="s">
        <v>153</v>
      </c>
      <c r="Y118" s="136"/>
      <c r="Z118" s="136"/>
      <c r="AA118" s="136"/>
      <c r="AB118" s="136"/>
    </row>
    <row r="119" spans="1:28">
      <c r="A119" s="720" t="s">
        <v>917</v>
      </c>
      <c r="B119" s="136" t="s">
        <v>956</v>
      </c>
      <c r="C119" s="136" t="s">
        <v>153</v>
      </c>
      <c r="D119" s="479" t="s">
        <v>93</v>
      </c>
      <c r="E119" s="771" t="s">
        <v>1018</v>
      </c>
      <c r="F119" s="145"/>
      <c r="G119" s="136"/>
      <c r="H119" s="136"/>
      <c r="I119" s="136"/>
      <c r="J119" s="136"/>
      <c r="K119" s="136"/>
      <c r="L119" s="136"/>
      <c r="M119" s="136"/>
      <c r="N119" s="136"/>
      <c r="O119" s="136"/>
      <c r="P119" s="136"/>
      <c r="Q119" s="136"/>
      <c r="R119" s="136"/>
      <c r="S119" s="136"/>
      <c r="T119" s="136"/>
      <c r="U119" s="136"/>
      <c r="V119" s="136"/>
      <c r="W119" s="136"/>
      <c r="X119" s="136" t="s">
        <v>153</v>
      </c>
      <c r="Y119" s="136"/>
      <c r="Z119" s="136"/>
      <c r="AA119" s="136"/>
      <c r="AB119" s="136"/>
    </row>
    <row r="120" spans="1:28">
      <c r="A120" s="720" t="s">
        <v>917</v>
      </c>
      <c r="B120" s="136" t="s">
        <v>956</v>
      </c>
      <c r="C120" s="136" t="s">
        <v>153</v>
      </c>
      <c r="D120" s="479" t="s">
        <v>93</v>
      </c>
      <c r="E120" s="771" t="s">
        <v>1019</v>
      </c>
      <c r="F120" s="145"/>
      <c r="G120" s="136"/>
      <c r="H120" s="136"/>
      <c r="I120" s="136"/>
      <c r="J120" s="136"/>
      <c r="K120" s="136"/>
      <c r="L120" s="136"/>
      <c r="M120" s="136"/>
      <c r="N120" s="136"/>
      <c r="O120" s="136"/>
      <c r="P120" s="136"/>
      <c r="Q120" s="136"/>
      <c r="R120" s="136"/>
      <c r="S120" s="136"/>
      <c r="T120" s="136"/>
      <c r="U120" s="136"/>
      <c r="V120" s="136"/>
      <c r="W120" s="136"/>
      <c r="X120" s="136" t="s">
        <v>153</v>
      </c>
      <c r="Y120" s="136"/>
      <c r="Z120" s="136"/>
      <c r="AA120" s="136"/>
      <c r="AB120" s="136"/>
    </row>
    <row r="121" spans="1:28">
      <c r="A121" s="720" t="s">
        <v>917</v>
      </c>
      <c r="B121" s="136" t="s">
        <v>956</v>
      </c>
      <c r="C121" s="136" t="s">
        <v>153</v>
      </c>
      <c r="D121" s="479" t="s">
        <v>93</v>
      </c>
      <c r="E121" s="771" t="s">
        <v>1020</v>
      </c>
      <c r="F121" s="145"/>
      <c r="G121" s="136"/>
      <c r="H121" s="136"/>
      <c r="I121" s="136"/>
      <c r="J121" s="136"/>
      <c r="K121" s="136"/>
      <c r="L121" s="136"/>
      <c r="M121" s="136"/>
      <c r="N121" s="136"/>
      <c r="O121" s="136"/>
      <c r="P121" s="136"/>
      <c r="Q121" s="136"/>
      <c r="R121" s="136"/>
      <c r="S121" s="136"/>
      <c r="T121" s="136"/>
      <c r="U121" s="136"/>
      <c r="V121" s="136"/>
      <c r="W121" s="136"/>
      <c r="X121" s="136" t="s">
        <v>153</v>
      </c>
      <c r="Y121" s="136"/>
      <c r="Z121" s="136"/>
      <c r="AA121" s="136"/>
      <c r="AB121" s="136"/>
    </row>
    <row r="122" spans="1:28">
      <c r="A122" s="720" t="s">
        <v>917</v>
      </c>
      <c r="B122" s="136" t="s">
        <v>956</v>
      </c>
      <c r="C122" s="136" t="s">
        <v>153</v>
      </c>
      <c r="D122" s="479" t="s">
        <v>93</v>
      </c>
      <c r="E122" s="771" t="s">
        <v>1021</v>
      </c>
      <c r="F122" s="145"/>
      <c r="G122" s="136"/>
      <c r="H122" s="136"/>
      <c r="I122" s="136"/>
      <c r="J122" s="136"/>
      <c r="K122" s="136"/>
      <c r="L122" s="136"/>
      <c r="M122" s="136"/>
      <c r="N122" s="136"/>
      <c r="O122" s="136"/>
      <c r="P122" s="136"/>
      <c r="Q122" s="136"/>
      <c r="R122" s="136"/>
      <c r="S122" s="136"/>
      <c r="T122" s="136"/>
      <c r="U122" s="136"/>
      <c r="V122" s="136"/>
      <c r="W122" s="136"/>
      <c r="X122" s="136" t="s">
        <v>153</v>
      </c>
      <c r="Y122" s="136"/>
      <c r="Z122" s="136"/>
      <c r="AA122" s="136"/>
      <c r="AB122" s="136"/>
    </row>
    <row r="123" spans="1:28">
      <c r="A123" s="720" t="s">
        <v>917</v>
      </c>
      <c r="B123" s="136" t="s">
        <v>956</v>
      </c>
      <c r="C123" s="136" t="s">
        <v>153</v>
      </c>
      <c r="D123" s="479" t="s">
        <v>93</v>
      </c>
      <c r="E123" s="771" t="s">
        <v>1022</v>
      </c>
      <c r="F123" s="145"/>
      <c r="G123" s="136"/>
      <c r="H123" s="136"/>
      <c r="I123" s="136"/>
      <c r="J123" s="136"/>
      <c r="K123" s="136"/>
      <c r="L123" s="136"/>
      <c r="M123" s="136"/>
      <c r="N123" s="136"/>
      <c r="O123" s="136"/>
      <c r="P123" s="136"/>
      <c r="Q123" s="136"/>
      <c r="R123" s="136"/>
      <c r="S123" s="136"/>
      <c r="T123" s="136"/>
      <c r="U123" s="136"/>
      <c r="V123" s="136"/>
      <c r="W123" s="136"/>
      <c r="X123" s="136" t="s">
        <v>153</v>
      </c>
      <c r="Y123" s="136"/>
      <c r="Z123" s="136"/>
      <c r="AA123" s="136"/>
      <c r="AB123" s="136"/>
    </row>
    <row r="124" spans="1:28">
      <c r="A124" s="720" t="s">
        <v>917</v>
      </c>
      <c r="B124" s="136" t="s">
        <v>956</v>
      </c>
      <c r="C124" s="136" t="s">
        <v>153</v>
      </c>
      <c r="D124" s="479" t="s">
        <v>93</v>
      </c>
      <c r="E124" s="771" t="s">
        <v>1023</v>
      </c>
      <c r="F124" s="145"/>
      <c r="G124" s="136"/>
      <c r="H124" s="136"/>
      <c r="I124" s="136"/>
      <c r="J124" s="136"/>
      <c r="K124" s="136"/>
      <c r="L124" s="136"/>
      <c r="M124" s="136"/>
      <c r="N124" s="136"/>
      <c r="O124" s="136"/>
      <c r="P124" s="136"/>
      <c r="Q124" s="136"/>
      <c r="R124" s="136"/>
      <c r="S124" s="136"/>
      <c r="T124" s="136"/>
      <c r="U124" s="136"/>
      <c r="V124" s="136"/>
      <c r="W124" s="136"/>
      <c r="X124" s="136" t="s">
        <v>153</v>
      </c>
      <c r="Y124" s="136"/>
      <c r="Z124" s="136"/>
      <c r="AA124" s="136"/>
      <c r="AB124" s="136"/>
    </row>
    <row r="125" spans="1:28">
      <c r="A125" s="720" t="s">
        <v>917</v>
      </c>
      <c r="B125" s="136" t="s">
        <v>956</v>
      </c>
      <c r="C125" s="136" t="s">
        <v>153</v>
      </c>
      <c r="D125" s="479" t="s">
        <v>93</v>
      </c>
      <c r="E125" s="771" t="s">
        <v>1024</v>
      </c>
      <c r="F125" s="145"/>
      <c r="G125" s="136"/>
      <c r="H125" s="136"/>
      <c r="I125" s="136"/>
      <c r="J125" s="136"/>
      <c r="K125" s="136"/>
      <c r="L125" s="136"/>
      <c r="M125" s="136"/>
      <c r="N125" s="136"/>
      <c r="O125" s="136"/>
      <c r="P125" s="136"/>
      <c r="Q125" s="136"/>
      <c r="R125" s="136"/>
      <c r="S125" s="136"/>
      <c r="T125" s="136"/>
      <c r="U125" s="136"/>
      <c r="V125" s="136"/>
      <c r="W125" s="136"/>
      <c r="X125" s="136" t="s">
        <v>153</v>
      </c>
      <c r="Y125" s="136"/>
      <c r="Z125" s="136"/>
      <c r="AA125" s="136"/>
      <c r="AB125" s="136"/>
    </row>
    <row r="126" spans="1:28">
      <c r="A126" s="720" t="s">
        <v>917</v>
      </c>
      <c r="B126" s="136" t="s">
        <v>956</v>
      </c>
      <c r="C126" s="136" t="s">
        <v>153</v>
      </c>
      <c r="D126" s="479" t="s">
        <v>93</v>
      </c>
      <c r="E126" s="771" t="s">
        <v>1025</v>
      </c>
      <c r="F126" s="145"/>
      <c r="G126" s="136"/>
      <c r="H126" s="136"/>
      <c r="I126" s="136"/>
      <c r="J126" s="136"/>
      <c r="K126" s="136"/>
      <c r="L126" s="136"/>
      <c r="M126" s="136"/>
      <c r="N126" s="136"/>
      <c r="O126" s="136"/>
      <c r="P126" s="136"/>
      <c r="Q126" s="136"/>
      <c r="R126" s="136"/>
      <c r="S126" s="136"/>
      <c r="T126" s="136"/>
      <c r="U126" s="136"/>
      <c r="V126" s="136"/>
      <c r="W126" s="136"/>
      <c r="X126" s="136" t="s">
        <v>153</v>
      </c>
      <c r="Y126" s="136"/>
      <c r="Z126" s="136"/>
      <c r="AA126" s="136"/>
      <c r="AB126" s="136"/>
    </row>
    <row r="127" spans="1:28">
      <c r="A127" s="720" t="s">
        <v>917</v>
      </c>
      <c r="B127" s="136" t="s">
        <v>956</v>
      </c>
      <c r="C127" s="136" t="s">
        <v>153</v>
      </c>
      <c r="D127" s="479" t="s">
        <v>93</v>
      </c>
      <c r="E127" s="771" t="s">
        <v>1026</v>
      </c>
      <c r="F127" s="145"/>
      <c r="G127" s="136"/>
      <c r="H127" s="136"/>
      <c r="I127" s="136"/>
      <c r="J127" s="136"/>
      <c r="K127" s="136"/>
      <c r="L127" s="136"/>
      <c r="M127" s="136"/>
      <c r="N127" s="136"/>
      <c r="O127" s="136"/>
      <c r="P127" s="136"/>
      <c r="Q127" s="136"/>
      <c r="R127" s="136"/>
      <c r="S127" s="136"/>
      <c r="T127" s="136"/>
      <c r="U127" s="136"/>
      <c r="V127" s="136"/>
      <c r="W127" s="136"/>
      <c r="X127" s="136" t="s">
        <v>153</v>
      </c>
      <c r="Y127" s="136"/>
      <c r="Z127" s="136"/>
      <c r="AA127" s="136"/>
      <c r="AB127" s="136"/>
    </row>
    <row r="128" spans="1:28">
      <c r="A128" s="720" t="s">
        <v>917</v>
      </c>
      <c r="B128" s="136" t="s">
        <v>956</v>
      </c>
      <c r="C128" s="136" t="s">
        <v>153</v>
      </c>
      <c r="D128" s="479" t="s">
        <v>93</v>
      </c>
      <c r="E128" s="771" t="s">
        <v>1027</v>
      </c>
      <c r="F128" s="145"/>
      <c r="G128" s="136"/>
      <c r="H128" s="136"/>
      <c r="I128" s="136"/>
      <c r="J128" s="136"/>
      <c r="K128" s="136"/>
      <c r="L128" s="136"/>
      <c r="M128" s="136"/>
      <c r="N128" s="136"/>
      <c r="O128" s="136"/>
      <c r="P128" s="136"/>
      <c r="Q128" s="136"/>
      <c r="R128" s="136"/>
      <c r="S128" s="136"/>
      <c r="T128" s="136"/>
      <c r="U128" s="136"/>
      <c r="V128" s="136"/>
      <c r="W128" s="136"/>
      <c r="X128" s="136" t="s">
        <v>153</v>
      </c>
      <c r="Y128" s="136"/>
      <c r="Z128" s="136"/>
      <c r="AA128" s="136"/>
      <c r="AB128" s="136"/>
    </row>
    <row r="129" spans="1:28">
      <c r="A129" s="720" t="s">
        <v>917</v>
      </c>
      <c r="B129" s="136" t="s">
        <v>956</v>
      </c>
      <c r="C129" s="136" t="s">
        <v>153</v>
      </c>
      <c r="D129" s="479" t="s">
        <v>93</v>
      </c>
      <c r="E129" s="771" t="s">
        <v>1028</v>
      </c>
      <c r="F129" s="145"/>
      <c r="G129" s="136"/>
      <c r="H129" s="136"/>
      <c r="I129" s="136"/>
      <c r="J129" s="136"/>
      <c r="K129" s="136"/>
      <c r="L129" s="136"/>
      <c r="M129" s="136"/>
      <c r="N129" s="136"/>
      <c r="O129" s="136"/>
      <c r="P129" s="136"/>
      <c r="Q129" s="136"/>
      <c r="R129" s="136"/>
      <c r="S129" s="136"/>
      <c r="T129" s="136"/>
      <c r="U129" s="136"/>
      <c r="V129" s="136"/>
      <c r="W129" s="136"/>
      <c r="X129" s="136" t="s">
        <v>153</v>
      </c>
      <c r="Y129" s="136"/>
      <c r="Z129" s="136"/>
      <c r="AA129" s="136"/>
      <c r="AB129" s="136"/>
    </row>
    <row r="130" spans="1:28">
      <c r="A130" s="720" t="s">
        <v>917</v>
      </c>
      <c r="B130" s="136" t="s">
        <v>956</v>
      </c>
      <c r="C130" s="136" t="s">
        <v>153</v>
      </c>
      <c r="D130" s="479" t="s">
        <v>93</v>
      </c>
      <c r="E130" s="771" t="s">
        <v>1029</v>
      </c>
      <c r="F130" s="145"/>
      <c r="G130" s="136"/>
      <c r="H130" s="136"/>
      <c r="I130" s="136"/>
      <c r="J130" s="136"/>
      <c r="K130" s="136"/>
      <c r="L130" s="136"/>
      <c r="M130" s="136"/>
      <c r="N130" s="136"/>
      <c r="O130" s="136"/>
      <c r="P130" s="136"/>
      <c r="Q130" s="136"/>
      <c r="R130" s="136"/>
      <c r="S130" s="136"/>
      <c r="T130" s="136"/>
      <c r="U130" s="136"/>
      <c r="V130" s="136"/>
      <c r="W130" s="136"/>
      <c r="X130" s="136" t="s">
        <v>153</v>
      </c>
      <c r="Y130" s="136"/>
      <c r="Z130" s="136"/>
      <c r="AA130" s="136"/>
      <c r="AB130" s="136"/>
    </row>
    <row r="131" spans="1:28">
      <c r="A131" s="720" t="s">
        <v>917</v>
      </c>
      <c r="B131" s="136" t="s">
        <v>956</v>
      </c>
      <c r="C131" s="136" t="s">
        <v>153</v>
      </c>
      <c r="D131" s="479" t="s">
        <v>93</v>
      </c>
      <c r="E131" s="771" t="s">
        <v>1030</v>
      </c>
      <c r="F131" s="145"/>
      <c r="G131" s="136"/>
      <c r="H131" s="136"/>
      <c r="I131" s="136"/>
      <c r="J131" s="136"/>
      <c r="K131" s="136"/>
      <c r="L131" s="136"/>
      <c r="M131" s="136"/>
      <c r="N131" s="136"/>
      <c r="O131" s="136"/>
      <c r="P131" s="136"/>
      <c r="Q131" s="136"/>
      <c r="R131" s="136"/>
      <c r="S131" s="136"/>
      <c r="T131" s="136"/>
      <c r="U131" s="136"/>
      <c r="V131" s="136"/>
      <c r="W131" s="136"/>
      <c r="X131" s="136" t="s">
        <v>153</v>
      </c>
      <c r="Y131" s="136"/>
      <c r="Z131" s="136"/>
      <c r="AA131" s="136"/>
      <c r="AB131" s="136"/>
    </row>
    <row r="132" spans="1:28">
      <c r="A132" s="720" t="s">
        <v>917</v>
      </c>
      <c r="B132" s="136" t="s">
        <v>956</v>
      </c>
      <c r="C132" s="136" t="s">
        <v>153</v>
      </c>
      <c r="D132" s="479" t="s">
        <v>93</v>
      </c>
      <c r="E132" s="771" t="s">
        <v>1031</v>
      </c>
      <c r="F132" s="145"/>
      <c r="G132" s="136"/>
      <c r="H132" s="136"/>
      <c r="I132" s="136"/>
      <c r="J132" s="136"/>
      <c r="K132" s="136"/>
      <c r="L132" s="136"/>
      <c r="M132" s="136"/>
      <c r="N132" s="136"/>
      <c r="O132" s="136"/>
      <c r="P132" s="136"/>
      <c r="Q132" s="136"/>
      <c r="R132" s="136"/>
      <c r="S132" s="136"/>
      <c r="T132" s="136"/>
      <c r="U132" s="136"/>
      <c r="V132" s="136"/>
      <c r="W132" s="136"/>
      <c r="X132" s="136" t="s">
        <v>153</v>
      </c>
      <c r="Y132" s="136"/>
      <c r="Z132" s="136"/>
      <c r="AA132" s="136"/>
      <c r="AB132" s="136"/>
    </row>
    <row r="133" spans="1:28">
      <c r="A133" s="720" t="s">
        <v>917</v>
      </c>
      <c r="B133" s="136" t="s">
        <v>956</v>
      </c>
      <c r="C133" s="136" t="s">
        <v>153</v>
      </c>
      <c r="D133" s="479" t="s">
        <v>93</v>
      </c>
      <c r="E133" s="771" t="s">
        <v>1032</v>
      </c>
      <c r="F133" s="145"/>
      <c r="G133" s="136"/>
      <c r="H133" s="136"/>
      <c r="I133" s="136"/>
      <c r="J133" s="136"/>
      <c r="K133" s="136"/>
      <c r="L133" s="136"/>
      <c r="M133" s="136"/>
      <c r="N133" s="136"/>
      <c r="O133" s="136"/>
      <c r="P133" s="136"/>
      <c r="Q133" s="136"/>
      <c r="R133" s="136"/>
      <c r="S133" s="136"/>
      <c r="T133" s="136"/>
      <c r="U133" s="136"/>
      <c r="V133" s="136"/>
      <c r="W133" s="136"/>
      <c r="X133" s="136" t="s">
        <v>153</v>
      </c>
      <c r="Y133" s="136"/>
      <c r="Z133" s="136"/>
      <c r="AA133" s="136"/>
      <c r="AB133" s="136"/>
    </row>
    <row r="134" spans="1:28">
      <c r="A134" s="720" t="s">
        <v>917</v>
      </c>
      <c r="B134" s="136" t="s">
        <v>956</v>
      </c>
      <c r="C134" s="136" t="s">
        <v>153</v>
      </c>
      <c r="D134" s="479" t="s">
        <v>93</v>
      </c>
      <c r="E134" s="771" t="s">
        <v>1033</v>
      </c>
      <c r="F134" s="145"/>
      <c r="G134" s="136"/>
      <c r="H134" s="136"/>
      <c r="I134" s="136"/>
      <c r="J134" s="136"/>
      <c r="K134" s="136"/>
      <c r="L134" s="136"/>
      <c r="M134" s="136"/>
      <c r="N134" s="136"/>
      <c r="O134" s="136"/>
      <c r="P134" s="136"/>
      <c r="Q134" s="136"/>
      <c r="R134" s="136"/>
      <c r="S134" s="136"/>
      <c r="T134" s="136"/>
      <c r="U134" s="136"/>
      <c r="V134" s="136"/>
      <c r="W134" s="136"/>
      <c r="X134" s="136" t="s">
        <v>153</v>
      </c>
      <c r="Y134" s="136"/>
      <c r="Z134" s="136"/>
      <c r="AA134" s="136"/>
      <c r="AB134" s="136"/>
    </row>
    <row r="135" spans="1:28">
      <c r="A135" s="720" t="s">
        <v>917</v>
      </c>
      <c r="B135" s="136" t="s">
        <v>956</v>
      </c>
      <c r="C135" s="136" t="s">
        <v>153</v>
      </c>
      <c r="D135" s="479" t="s">
        <v>93</v>
      </c>
      <c r="E135" s="771" t="s">
        <v>1034</v>
      </c>
      <c r="F135" s="145"/>
      <c r="G135" s="136"/>
      <c r="H135" s="136"/>
      <c r="I135" s="136"/>
      <c r="J135" s="136"/>
      <c r="K135" s="136"/>
      <c r="L135" s="136"/>
      <c r="M135" s="136"/>
      <c r="N135" s="136"/>
      <c r="O135" s="136"/>
      <c r="P135" s="136"/>
      <c r="Q135" s="136"/>
      <c r="R135" s="136"/>
      <c r="S135" s="136"/>
      <c r="T135" s="136"/>
      <c r="U135" s="136"/>
      <c r="V135" s="136"/>
      <c r="W135" s="136"/>
      <c r="X135" s="136" t="s">
        <v>153</v>
      </c>
      <c r="Y135" s="136"/>
      <c r="Z135" s="136"/>
      <c r="AA135" s="136"/>
      <c r="AB135" s="136"/>
    </row>
    <row r="136" spans="1:28">
      <c r="A136" s="720" t="s">
        <v>917</v>
      </c>
      <c r="B136" s="136" t="s">
        <v>956</v>
      </c>
      <c r="C136" s="136" t="s">
        <v>153</v>
      </c>
      <c r="D136" s="479" t="s">
        <v>93</v>
      </c>
      <c r="E136" s="771" t="s">
        <v>1035</v>
      </c>
      <c r="F136" s="145"/>
      <c r="G136" s="136"/>
      <c r="H136" s="136"/>
      <c r="I136" s="136"/>
      <c r="J136" s="136"/>
      <c r="K136" s="136"/>
      <c r="L136" s="136"/>
      <c r="M136" s="136"/>
      <c r="N136" s="136"/>
      <c r="O136" s="136"/>
      <c r="P136" s="136"/>
      <c r="Q136" s="136"/>
      <c r="R136" s="136"/>
      <c r="S136" s="136"/>
      <c r="T136" s="136"/>
      <c r="U136" s="136"/>
      <c r="V136" s="136"/>
      <c r="W136" s="136"/>
      <c r="X136" s="136" t="s">
        <v>153</v>
      </c>
      <c r="Y136" s="136"/>
      <c r="Z136" s="136"/>
      <c r="AA136" s="136"/>
      <c r="AB136" s="136"/>
    </row>
    <row r="137" spans="1:28">
      <c r="A137" s="720" t="s">
        <v>917</v>
      </c>
      <c r="B137" s="136" t="s">
        <v>956</v>
      </c>
      <c r="C137" s="136" t="s">
        <v>153</v>
      </c>
      <c r="D137" s="479" t="s">
        <v>93</v>
      </c>
      <c r="E137" s="771" t="s">
        <v>1036</v>
      </c>
      <c r="F137" s="145"/>
      <c r="G137" s="136"/>
      <c r="H137" s="136"/>
      <c r="I137" s="136"/>
      <c r="J137" s="136"/>
      <c r="K137" s="136"/>
      <c r="L137" s="136"/>
      <c r="M137" s="136"/>
      <c r="N137" s="136"/>
      <c r="O137" s="136"/>
      <c r="P137" s="136"/>
      <c r="Q137" s="136"/>
      <c r="R137" s="136"/>
      <c r="S137" s="136"/>
      <c r="T137" s="136"/>
      <c r="U137" s="136"/>
      <c r="V137" s="136"/>
      <c r="W137" s="136"/>
      <c r="X137" s="136" t="s">
        <v>153</v>
      </c>
      <c r="Y137" s="136"/>
      <c r="Z137" s="136"/>
      <c r="AA137" s="136"/>
      <c r="AB137" s="136"/>
    </row>
    <row r="138" spans="1:28">
      <c r="A138" s="720" t="s">
        <v>917</v>
      </c>
      <c r="B138" s="136" t="s">
        <v>956</v>
      </c>
      <c r="C138" s="136" t="s">
        <v>153</v>
      </c>
      <c r="D138" s="479" t="s">
        <v>93</v>
      </c>
      <c r="E138" s="771" t="s">
        <v>1037</v>
      </c>
      <c r="F138" s="145"/>
      <c r="G138" s="136"/>
      <c r="H138" s="136"/>
      <c r="I138" s="136"/>
      <c r="J138" s="136"/>
      <c r="K138" s="136"/>
      <c r="L138" s="136"/>
      <c r="M138" s="136"/>
      <c r="N138" s="136"/>
      <c r="O138" s="136"/>
      <c r="P138" s="136"/>
      <c r="Q138" s="136"/>
      <c r="R138" s="136"/>
      <c r="S138" s="136"/>
      <c r="T138" s="136"/>
      <c r="U138" s="136"/>
      <c r="V138" s="136"/>
      <c r="W138" s="136"/>
      <c r="X138" s="136" t="s">
        <v>153</v>
      </c>
      <c r="Y138" s="136"/>
      <c r="Z138" s="136"/>
      <c r="AA138" s="136"/>
      <c r="AB138" s="136"/>
    </row>
    <row r="139" spans="1:28">
      <c r="A139" s="720" t="s">
        <v>917</v>
      </c>
      <c r="B139" s="136" t="s">
        <v>956</v>
      </c>
      <c r="C139" s="136" t="s">
        <v>153</v>
      </c>
      <c r="D139" s="479" t="s">
        <v>93</v>
      </c>
      <c r="E139" s="771" t="s">
        <v>1038</v>
      </c>
      <c r="F139" s="145"/>
      <c r="G139" s="136"/>
      <c r="H139" s="136"/>
      <c r="I139" s="136"/>
      <c r="J139" s="136"/>
      <c r="K139" s="136"/>
      <c r="L139" s="136"/>
      <c r="M139" s="136"/>
      <c r="N139" s="136"/>
      <c r="O139" s="136"/>
      <c r="P139" s="136"/>
      <c r="Q139" s="136"/>
      <c r="R139" s="136"/>
      <c r="S139" s="136"/>
      <c r="T139" s="136"/>
      <c r="U139" s="136"/>
      <c r="V139" s="136"/>
      <c r="W139" s="136"/>
      <c r="X139" s="136" t="s">
        <v>153</v>
      </c>
      <c r="Y139" s="136"/>
      <c r="Z139" s="136"/>
      <c r="AA139" s="136"/>
      <c r="AB139" s="136"/>
    </row>
    <row r="140" spans="1:28">
      <c r="A140" s="720" t="s">
        <v>917</v>
      </c>
      <c r="B140" s="136" t="s">
        <v>956</v>
      </c>
      <c r="C140" s="136" t="s">
        <v>153</v>
      </c>
      <c r="D140" s="479" t="s">
        <v>93</v>
      </c>
      <c r="E140" s="771" t="s">
        <v>1039</v>
      </c>
      <c r="F140" s="145"/>
      <c r="G140" s="136"/>
      <c r="H140" s="136"/>
      <c r="I140" s="136"/>
      <c r="J140" s="136"/>
      <c r="K140" s="136"/>
      <c r="L140" s="136"/>
      <c r="M140" s="136"/>
      <c r="N140" s="136"/>
      <c r="O140" s="136"/>
      <c r="P140" s="136"/>
      <c r="Q140" s="136"/>
      <c r="R140" s="136"/>
      <c r="S140" s="136"/>
      <c r="T140" s="136"/>
      <c r="U140" s="136"/>
      <c r="V140" s="136"/>
      <c r="W140" s="136"/>
      <c r="X140" s="136" t="s">
        <v>153</v>
      </c>
      <c r="Y140" s="136"/>
      <c r="Z140" s="136"/>
      <c r="AA140" s="136"/>
      <c r="AB140" s="136"/>
    </row>
    <row r="141" spans="1:28">
      <c r="A141" s="720" t="s">
        <v>917</v>
      </c>
      <c r="B141" s="136" t="s">
        <v>956</v>
      </c>
      <c r="C141" s="136" t="s">
        <v>153</v>
      </c>
      <c r="D141" s="479" t="s">
        <v>93</v>
      </c>
      <c r="E141" s="771" t="s">
        <v>1040</v>
      </c>
      <c r="F141" s="145"/>
      <c r="G141" s="136"/>
      <c r="H141" s="136"/>
      <c r="I141" s="136"/>
      <c r="J141" s="136"/>
      <c r="K141" s="136"/>
      <c r="L141" s="136"/>
      <c r="M141" s="136"/>
      <c r="N141" s="136"/>
      <c r="O141" s="136"/>
      <c r="P141" s="136"/>
      <c r="Q141" s="136"/>
      <c r="R141" s="136"/>
      <c r="S141" s="136"/>
      <c r="T141" s="136"/>
      <c r="U141" s="136"/>
      <c r="V141" s="136"/>
      <c r="W141" s="136"/>
      <c r="X141" s="136" t="s">
        <v>153</v>
      </c>
      <c r="Y141" s="136"/>
      <c r="Z141" s="136"/>
      <c r="AA141" s="136"/>
      <c r="AB141" s="136"/>
    </row>
    <row r="142" spans="1:28">
      <c r="A142" s="720" t="s">
        <v>917</v>
      </c>
      <c r="B142" s="136" t="s">
        <v>956</v>
      </c>
      <c r="C142" s="136" t="s">
        <v>153</v>
      </c>
      <c r="D142" s="479" t="s">
        <v>93</v>
      </c>
      <c r="E142" s="771" t="s">
        <v>1041</v>
      </c>
      <c r="F142" s="145"/>
      <c r="G142" s="136"/>
      <c r="H142" s="136"/>
      <c r="I142" s="136"/>
      <c r="J142" s="136"/>
      <c r="K142" s="136"/>
      <c r="L142" s="136"/>
      <c r="M142" s="136"/>
      <c r="N142" s="136"/>
      <c r="O142" s="136"/>
      <c r="P142" s="136"/>
      <c r="Q142" s="136"/>
      <c r="R142" s="136"/>
      <c r="S142" s="136"/>
      <c r="T142" s="136"/>
      <c r="U142" s="136"/>
      <c r="V142" s="136"/>
      <c r="W142" s="136"/>
      <c r="X142" s="136" t="s">
        <v>153</v>
      </c>
      <c r="Y142" s="136"/>
      <c r="Z142" s="136"/>
      <c r="AA142" s="136"/>
      <c r="AB142" s="136"/>
    </row>
    <row r="143" spans="1:28">
      <c r="A143" s="720" t="s">
        <v>917</v>
      </c>
      <c r="B143" s="136" t="s">
        <v>956</v>
      </c>
      <c r="C143" s="136" t="s">
        <v>153</v>
      </c>
      <c r="D143" s="479" t="s">
        <v>93</v>
      </c>
      <c r="E143" s="771" t="s">
        <v>1042</v>
      </c>
      <c r="F143" s="145"/>
      <c r="G143" s="136"/>
      <c r="H143" s="136"/>
      <c r="I143" s="136"/>
      <c r="J143" s="136"/>
      <c r="K143" s="136"/>
      <c r="L143" s="136"/>
      <c r="M143" s="136"/>
      <c r="N143" s="136"/>
      <c r="O143" s="136"/>
      <c r="P143" s="136"/>
      <c r="Q143" s="136"/>
      <c r="R143" s="136"/>
      <c r="S143" s="136"/>
      <c r="T143" s="136"/>
      <c r="U143" s="136"/>
      <c r="V143" s="136"/>
      <c r="W143" s="136"/>
      <c r="X143" s="136" t="s">
        <v>153</v>
      </c>
      <c r="Y143" s="136"/>
      <c r="Z143" s="136"/>
      <c r="AA143" s="136"/>
      <c r="AB143" s="136"/>
    </row>
    <row r="144" spans="1:28">
      <c r="A144" s="720" t="s">
        <v>917</v>
      </c>
      <c r="B144" s="136" t="s">
        <v>956</v>
      </c>
      <c r="C144" s="136" t="s">
        <v>153</v>
      </c>
      <c r="D144" s="479" t="s">
        <v>93</v>
      </c>
      <c r="E144" s="771" t="s">
        <v>1043</v>
      </c>
      <c r="F144" s="145"/>
      <c r="G144" s="136"/>
      <c r="H144" s="136"/>
      <c r="I144" s="136"/>
      <c r="J144" s="136"/>
      <c r="K144" s="136"/>
      <c r="L144" s="136"/>
      <c r="M144" s="136"/>
      <c r="N144" s="136"/>
      <c r="O144" s="136"/>
      <c r="P144" s="136"/>
      <c r="Q144" s="136"/>
      <c r="R144" s="136"/>
      <c r="S144" s="136"/>
      <c r="T144" s="136"/>
      <c r="U144" s="136"/>
      <c r="V144" s="136"/>
      <c r="W144" s="136"/>
      <c r="X144" s="136" t="s">
        <v>153</v>
      </c>
      <c r="Y144" s="136"/>
      <c r="Z144" s="136"/>
      <c r="AA144" s="136"/>
      <c r="AB144" s="136"/>
    </row>
    <row r="145" spans="1:28">
      <c r="A145" s="720" t="s">
        <v>917</v>
      </c>
      <c r="B145" s="136" t="s">
        <v>956</v>
      </c>
      <c r="C145" s="136" t="s">
        <v>153</v>
      </c>
      <c r="D145" s="479" t="s">
        <v>93</v>
      </c>
      <c r="E145" s="771" t="s">
        <v>1044</v>
      </c>
      <c r="F145" s="145"/>
      <c r="G145" s="136"/>
      <c r="H145" s="136"/>
      <c r="I145" s="136"/>
      <c r="J145" s="136"/>
      <c r="K145" s="136"/>
      <c r="L145" s="136"/>
      <c r="M145" s="136"/>
      <c r="N145" s="136"/>
      <c r="O145" s="136"/>
      <c r="P145" s="136"/>
      <c r="Q145" s="136"/>
      <c r="R145" s="136"/>
      <c r="S145" s="136"/>
      <c r="T145" s="136"/>
      <c r="U145" s="136"/>
      <c r="V145" s="136"/>
      <c r="W145" s="136"/>
      <c r="X145" s="136" t="s">
        <v>153</v>
      </c>
      <c r="Y145" s="136"/>
      <c r="Z145" s="136"/>
      <c r="AA145" s="136"/>
      <c r="AB145" s="136"/>
    </row>
    <row r="146" spans="1:28">
      <c r="A146" s="720" t="s">
        <v>917</v>
      </c>
      <c r="B146" s="136" t="s">
        <v>956</v>
      </c>
      <c r="C146" s="136" t="s">
        <v>153</v>
      </c>
      <c r="D146" s="479" t="s">
        <v>93</v>
      </c>
      <c r="E146" s="771" t="s">
        <v>1045</v>
      </c>
      <c r="F146" s="145"/>
      <c r="G146" s="136"/>
      <c r="H146" s="136"/>
      <c r="I146" s="136"/>
      <c r="J146" s="136"/>
      <c r="K146" s="136"/>
      <c r="L146" s="136"/>
      <c r="M146" s="136"/>
      <c r="N146" s="136"/>
      <c r="O146" s="136"/>
      <c r="P146" s="136"/>
      <c r="Q146" s="136"/>
      <c r="R146" s="136"/>
      <c r="S146" s="136"/>
      <c r="T146" s="136"/>
      <c r="U146" s="136"/>
      <c r="V146" s="136"/>
      <c r="W146" s="136"/>
      <c r="X146" s="136" t="s">
        <v>153</v>
      </c>
      <c r="Y146" s="136"/>
      <c r="Z146" s="136"/>
      <c r="AA146" s="136"/>
      <c r="AB146" s="136"/>
    </row>
    <row r="147" spans="1:28">
      <c r="A147" s="720" t="s">
        <v>917</v>
      </c>
      <c r="B147" s="136" t="s">
        <v>956</v>
      </c>
      <c r="C147" s="136" t="s">
        <v>153</v>
      </c>
      <c r="D147" s="479" t="s">
        <v>93</v>
      </c>
      <c r="E147" s="771" t="s">
        <v>1046</v>
      </c>
      <c r="F147" s="145"/>
      <c r="G147" s="136"/>
      <c r="H147" s="136"/>
      <c r="I147" s="136"/>
      <c r="J147" s="136"/>
      <c r="K147" s="136"/>
      <c r="L147" s="136"/>
      <c r="M147" s="136"/>
      <c r="N147" s="136"/>
      <c r="O147" s="136"/>
      <c r="P147" s="136"/>
      <c r="Q147" s="136"/>
      <c r="R147" s="136"/>
      <c r="S147" s="136"/>
      <c r="T147" s="136"/>
      <c r="U147" s="136"/>
      <c r="V147" s="136"/>
      <c r="W147" s="136"/>
      <c r="X147" s="136" t="s">
        <v>153</v>
      </c>
      <c r="Y147" s="136"/>
      <c r="Z147" s="136"/>
      <c r="AA147" s="136"/>
      <c r="AB147" s="136"/>
    </row>
    <row r="148" spans="1:28">
      <c r="A148" s="720" t="s">
        <v>917</v>
      </c>
      <c r="B148" s="136" t="s">
        <v>956</v>
      </c>
      <c r="C148" s="136" t="s">
        <v>153</v>
      </c>
      <c r="D148" s="479" t="s">
        <v>93</v>
      </c>
      <c r="E148" s="771" t="s">
        <v>1047</v>
      </c>
      <c r="F148" s="145"/>
      <c r="G148" s="136"/>
      <c r="H148" s="136"/>
      <c r="I148" s="136"/>
      <c r="J148" s="136"/>
      <c r="K148" s="136"/>
      <c r="L148" s="136"/>
      <c r="M148" s="136"/>
      <c r="N148" s="136"/>
      <c r="O148" s="136"/>
      <c r="P148" s="136"/>
      <c r="Q148" s="136"/>
      <c r="R148" s="136"/>
      <c r="S148" s="136"/>
      <c r="T148" s="136"/>
      <c r="U148" s="136"/>
      <c r="V148" s="136"/>
      <c r="W148" s="136"/>
      <c r="X148" s="136" t="s">
        <v>153</v>
      </c>
      <c r="Y148" s="136"/>
      <c r="Z148" s="136"/>
      <c r="AA148" s="136"/>
      <c r="AB148" s="136"/>
    </row>
    <row r="149" spans="1:28">
      <c r="A149" s="720" t="s">
        <v>917</v>
      </c>
      <c r="B149" s="136" t="s">
        <v>956</v>
      </c>
      <c r="C149" s="136" t="s">
        <v>153</v>
      </c>
      <c r="D149" s="479" t="s">
        <v>93</v>
      </c>
      <c r="E149" s="771" t="s">
        <v>1048</v>
      </c>
      <c r="F149" s="145"/>
      <c r="G149" s="136"/>
      <c r="H149" s="136"/>
      <c r="I149" s="136"/>
      <c r="J149" s="136"/>
      <c r="K149" s="136"/>
      <c r="L149" s="136"/>
      <c r="M149" s="136"/>
      <c r="N149" s="136"/>
      <c r="O149" s="136"/>
      <c r="P149" s="136"/>
      <c r="Q149" s="136"/>
      <c r="R149" s="136"/>
      <c r="S149" s="136"/>
      <c r="T149" s="136"/>
      <c r="U149" s="136"/>
      <c r="V149" s="136"/>
      <c r="W149" s="136"/>
      <c r="X149" s="136" t="s">
        <v>153</v>
      </c>
      <c r="Y149" s="136"/>
      <c r="Z149" s="136"/>
      <c r="AA149" s="136"/>
      <c r="AB149" s="136"/>
    </row>
    <row r="150" spans="1:28">
      <c r="A150" s="720" t="s">
        <v>917</v>
      </c>
      <c r="B150" s="136" t="s">
        <v>956</v>
      </c>
      <c r="C150" s="136" t="s">
        <v>153</v>
      </c>
      <c r="D150" s="479" t="s">
        <v>93</v>
      </c>
      <c r="E150" s="771" t="s">
        <v>1049</v>
      </c>
      <c r="F150" s="145"/>
      <c r="G150" s="136"/>
      <c r="H150" s="136"/>
      <c r="I150" s="136"/>
      <c r="J150" s="136"/>
      <c r="K150" s="136"/>
      <c r="L150" s="136"/>
      <c r="M150" s="136"/>
      <c r="N150" s="136"/>
      <c r="O150" s="136"/>
      <c r="P150" s="136"/>
      <c r="Q150" s="136"/>
      <c r="R150" s="136"/>
      <c r="S150" s="136"/>
      <c r="T150" s="136"/>
      <c r="U150" s="136"/>
      <c r="V150" s="136"/>
      <c r="W150" s="136"/>
      <c r="X150" s="136" t="s">
        <v>153</v>
      </c>
      <c r="Y150" s="136"/>
      <c r="Z150" s="136"/>
      <c r="AA150" s="136"/>
      <c r="AB150" s="136"/>
    </row>
    <row r="151" spans="1:28">
      <c r="A151" s="720" t="s">
        <v>917</v>
      </c>
      <c r="B151" s="136" t="s">
        <v>956</v>
      </c>
      <c r="C151" s="136" t="s">
        <v>153</v>
      </c>
      <c r="D151" s="479" t="s">
        <v>93</v>
      </c>
      <c r="E151" s="771" t="s">
        <v>1050</v>
      </c>
      <c r="F151" s="145"/>
      <c r="G151" s="136"/>
      <c r="H151" s="136"/>
      <c r="I151" s="136"/>
      <c r="J151" s="136"/>
      <c r="K151" s="136"/>
      <c r="L151" s="136"/>
      <c r="M151" s="136"/>
      <c r="N151" s="136"/>
      <c r="O151" s="136"/>
      <c r="P151" s="136"/>
      <c r="Q151" s="136"/>
      <c r="R151" s="136"/>
      <c r="S151" s="136"/>
      <c r="T151" s="136"/>
      <c r="U151" s="136"/>
      <c r="V151" s="136"/>
      <c r="W151" s="136"/>
      <c r="X151" s="136" t="s">
        <v>153</v>
      </c>
      <c r="Y151" s="136"/>
      <c r="Z151" s="136"/>
      <c r="AA151" s="136"/>
      <c r="AB151" s="136"/>
    </row>
    <row r="152" spans="1:28">
      <c r="A152" s="720" t="s">
        <v>917</v>
      </c>
      <c r="B152" s="136" t="s">
        <v>956</v>
      </c>
      <c r="C152" s="136" t="s">
        <v>153</v>
      </c>
      <c r="D152" s="479" t="s">
        <v>93</v>
      </c>
      <c r="E152" s="771" t="s">
        <v>1051</v>
      </c>
      <c r="F152" s="145"/>
      <c r="G152" s="136"/>
      <c r="H152" s="136"/>
      <c r="I152" s="136"/>
      <c r="J152" s="136"/>
      <c r="K152" s="136"/>
      <c r="L152" s="136"/>
      <c r="M152" s="136"/>
      <c r="N152" s="136"/>
      <c r="O152" s="136"/>
      <c r="P152" s="136"/>
      <c r="Q152" s="136"/>
      <c r="R152" s="136"/>
      <c r="S152" s="136"/>
      <c r="T152" s="136"/>
      <c r="U152" s="136"/>
      <c r="V152" s="136"/>
      <c r="W152" s="136"/>
      <c r="X152" s="136" t="s">
        <v>153</v>
      </c>
      <c r="Y152" s="136"/>
      <c r="Z152" s="136"/>
      <c r="AA152" s="136"/>
      <c r="AB152" s="136"/>
    </row>
    <row r="153" spans="1:28">
      <c r="A153" s="720" t="s">
        <v>917</v>
      </c>
      <c r="B153" s="136" t="s">
        <v>956</v>
      </c>
      <c r="C153" s="136" t="s">
        <v>153</v>
      </c>
      <c r="D153" s="479" t="s">
        <v>93</v>
      </c>
      <c r="E153" s="771" t="s">
        <v>1052</v>
      </c>
      <c r="F153" s="145"/>
      <c r="G153" s="136"/>
      <c r="H153" s="136"/>
      <c r="I153" s="136"/>
      <c r="J153" s="136"/>
      <c r="K153" s="136"/>
      <c r="L153" s="136"/>
      <c r="M153" s="136"/>
      <c r="N153" s="136"/>
      <c r="O153" s="136"/>
      <c r="P153" s="136"/>
      <c r="Q153" s="136"/>
      <c r="R153" s="136"/>
      <c r="S153" s="136"/>
      <c r="T153" s="136"/>
      <c r="U153" s="136"/>
      <c r="V153" s="136"/>
      <c r="W153" s="136"/>
      <c r="X153" s="136" t="s">
        <v>153</v>
      </c>
      <c r="Y153" s="136"/>
      <c r="Z153" s="136"/>
      <c r="AA153" s="136"/>
      <c r="AB153" s="136"/>
    </row>
    <row r="154" spans="1:28">
      <c r="A154" s="720" t="s">
        <v>917</v>
      </c>
      <c r="B154" s="136" t="s">
        <v>956</v>
      </c>
      <c r="C154" s="136" t="s">
        <v>153</v>
      </c>
      <c r="D154" s="479" t="s">
        <v>93</v>
      </c>
      <c r="E154" s="771" t="s">
        <v>1053</v>
      </c>
      <c r="F154" s="145"/>
      <c r="G154" s="136"/>
      <c r="H154" s="136"/>
      <c r="I154" s="136"/>
      <c r="J154" s="136"/>
      <c r="K154" s="136"/>
      <c r="L154" s="136"/>
      <c r="M154" s="136"/>
      <c r="N154" s="136"/>
      <c r="O154" s="136"/>
      <c r="P154" s="136"/>
      <c r="Q154" s="136"/>
      <c r="R154" s="136"/>
      <c r="S154" s="136"/>
      <c r="T154" s="136"/>
      <c r="U154" s="136"/>
      <c r="V154" s="136"/>
      <c r="W154" s="136"/>
      <c r="X154" s="136" t="s">
        <v>153</v>
      </c>
      <c r="Y154" s="136"/>
      <c r="Z154" s="136"/>
      <c r="AA154" s="136"/>
      <c r="AB154" s="136"/>
    </row>
    <row r="155" spans="1:28">
      <c r="A155" s="720" t="s">
        <v>917</v>
      </c>
      <c r="B155" s="136" t="s">
        <v>956</v>
      </c>
      <c r="C155" s="136" t="s">
        <v>153</v>
      </c>
      <c r="D155" s="479" t="s">
        <v>93</v>
      </c>
      <c r="E155" s="771" t="s">
        <v>1054</v>
      </c>
      <c r="F155" s="145"/>
      <c r="G155" s="136"/>
      <c r="H155" s="136"/>
      <c r="I155" s="136"/>
      <c r="J155" s="136"/>
      <c r="K155" s="136"/>
      <c r="L155" s="136"/>
      <c r="M155" s="136"/>
      <c r="N155" s="136"/>
      <c r="O155" s="136"/>
      <c r="P155" s="136"/>
      <c r="Q155" s="136"/>
      <c r="R155" s="136"/>
      <c r="S155" s="136"/>
      <c r="T155" s="136"/>
      <c r="U155" s="136"/>
      <c r="V155" s="136"/>
      <c r="W155" s="136"/>
      <c r="X155" s="136" t="s">
        <v>153</v>
      </c>
      <c r="Y155" s="136"/>
      <c r="Z155" s="136"/>
      <c r="AA155" s="136"/>
      <c r="AB155" s="136"/>
    </row>
    <row r="156" spans="1:28">
      <c r="A156" s="720" t="s">
        <v>917</v>
      </c>
      <c r="B156" s="136" t="s">
        <v>956</v>
      </c>
      <c r="C156" s="136" t="s">
        <v>153</v>
      </c>
      <c r="D156" s="479" t="s">
        <v>93</v>
      </c>
      <c r="E156" s="771" t="s">
        <v>1055</v>
      </c>
      <c r="F156" s="145"/>
      <c r="G156" s="136"/>
      <c r="H156" s="136"/>
      <c r="I156" s="136"/>
      <c r="J156" s="136"/>
      <c r="K156" s="136"/>
      <c r="L156" s="136"/>
      <c r="M156" s="136"/>
      <c r="N156" s="136"/>
      <c r="O156" s="136"/>
      <c r="P156" s="136"/>
      <c r="Q156" s="136"/>
      <c r="R156" s="136"/>
      <c r="S156" s="136"/>
      <c r="T156" s="136"/>
      <c r="U156" s="136"/>
      <c r="V156" s="136"/>
      <c r="W156" s="136"/>
      <c r="X156" s="136" t="s">
        <v>153</v>
      </c>
      <c r="Y156" s="136"/>
      <c r="Z156" s="136"/>
      <c r="AA156" s="136"/>
      <c r="AB156" s="136"/>
    </row>
    <row r="157" spans="1:28">
      <c r="A157" s="720" t="s">
        <v>917</v>
      </c>
      <c r="B157" s="136" t="s">
        <v>956</v>
      </c>
      <c r="C157" s="136" t="s">
        <v>153</v>
      </c>
      <c r="D157" s="479" t="s">
        <v>93</v>
      </c>
      <c r="E157" s="771" t="s">
        <v>1056</v>
      </c>
      <c r="F157" s="145"/>
      <c r="G157" s="136"/>
      <c r="H157" s="136"/>
      <c r="I157" s="136"/>
      <c r="J157" s="136"/>
      <c r="K157" s="136"/>
      <c r="L157" s="136"/>
      <c r="M157" s="136"/>
      <c r="N157" s="136"/>
      <c r="O157" s="136"/>
      <c r="P157" s="136"/>
      <c r="Q157" s="136"/>
      <c r="R157" s="136"/>
      <c r="S157" s="136"/>
      <c r="T157" s="136"/>
      <c r="U157" s="136"/>
      <c r="V157" s="136"/>
      <c r="W157" s="136"/>
      <c r="X157" s="136" t="s">
        <v>153</v>
      </c>
      <c r="Y157" s="136"/>
      <c r="Z157" s="136"/>
      <c r="AA157" s="136"/>
      <c r="AB157" s="136"/>
    </row>
    <row r="158" spans="1:28">
      <c r="A158" s="720" t="s">
        <v>917</v>
      </c>
      <c r="B158" s="136" t="s">
        <v>956</v>
      </c>
      <c r="C158" s="136" t="s">
        <v>153</v>
      </c>
      <c r="D158" s="479" t="s">
        <v>93</v>
      </c>
      <c r="E158" s="771" t="s">
        <v>1057</v>
      </c>
      <c r="F158" s="145"/>
      <c r="G158" s="136"/>
      <c r="H158" s="136"/>
      <c r="I158" s="136"/>
      <c r="J158" s="136"/>
      <c r="K158" s="136"/>
      <c r="L158" s="136"/>
      <c r="M158" s="136"/>
      <c r="N158" s="136"/>
      <c r="O158" s="136"/>
      <c r="P158" s="136"/>
      <c r="Q158" s="136"/>
      <c r="R158" s="136"/>
      <c r="S158" s="136"/>
      <c r="T158" s="136"/>
      <c r="U158" s="136"/>
      <c r="V158" s="136"/>
      <c r="W158" s="136"/>
      <c r="X158" s="136" t="s">
        <v>153</v>
      </c>
      <c r="Y158" s="136"/>
      <c r="Z158" s="136"/>
      <c r="AA158" s="136"/>
      <c r="AB158" s="136"/>
    </row>
    <row r="159" spans="1:28">
      <c r="A159" s="720" t="s">
        <v>917</v>
      </c>
      <c r="B159" s="136" t="s">
        <v>956</v>
      </c>
      <c r="C159" s="136" t="s">
        <v>153</v>
      </c>
      <c r="D159" s="479" t="s">
        <v>93</v>
      </c>
      <c r="E159" s="771" t="s">
        <v>1058</v>
      </c>
      <c r="F159" s="145"/>
      <c r="G159" s="136"/>
      <c r="H159" s="136"/>
      <c r="I159" s="136"/>
      <c r="J159" s="136"/>
      <c r="K159" s="136"/>
      <c r="L159" s="136"/>
      <c r="M159" s="136"/>
      <c r="N159" s="136"/>
      <c r="O159" s="136"/>
      <c r="P159" s="136"/>
      <c r="Q159" s="136"/>
      <c r="R159" s="136"/>
      <c r="S159" s="136"/>
      <c r="T159" s="136"/>
      <c r="U159" s="136"/>
      <c r="V159" s="136"/>
      <c r="W159" s="136"/>
      <c r="X159" s="136" t="s">
        <v>153</v>
      </c>
      <c r="Y159" s="136"/>
      <c r="Z159" s="136"/>
      <c r="AA159" s="136"/>
      <c r="AB159" s="136"/>
    </row>
    <row r="160" spans="1:28">
      <c r="A160" s="720" t="s">
        <v>917</v>
      </c>
      <c r="B160" s="136" t="s">
        <v>956</v>
      </c>
      <c r="C160" s="136" t="s">
        <v>153</v>
      </c>
      <c r="D160" s="479" t="s">
        <v>93</v>
      </c>
      <c r="E160" s="771" t="s">
        <v>1059</v>
      </c>
      <c r="F160" s="145"/>
      <c r="G160" s="136"/>
      <c r="H160" s="136"/>
      <c r="I160" s="136"/>
      <c r="J160" s="136"/>
      <c r="K160" s="136"/>
      <c r="L160" s="136"/>
      <c r="M160" s="136"/>
      <c r="N160" s="136"/>
      <c r="O160" s="136"/>
      <c r="P160" s="136"/>
      <c r="Q160" s="136"/>
      <c r="R160" s="136"/>
      <c r="S160" s="136"/>
      <c r="T160" s="136"/>
      <c r="U160" s="136"/>
      <c r="V160" s="136"/>
      <c r="W160" s="136"/>
      <c r="X160" s="136" t="s">
        <v>153</v>
      </c>
      <c r="Y160" s="136"/>
      <c r="Z160" s="136"/>
      <c r="AA160" s="136"/>
      <c r="AB160" s="136"/>
    </row>
    <row r="161" spans="1:28">
      <c r="A161" s="720" t="s">
        <v>917</v>
      </c>
      <c r="B161" s="136" t="s">
        <v>956</v>
      </c>
      <c r="C161" s="136" t="s">
        <v>153</v>
      </c>
      <c r="D161" s="479" t="s">
        <v>93</v>
      </c>
      <c r="E161" s="771" t="s">
        <v>1060</v>
      </c>
      <c r="F161" s="145"/>
      <c r="G161" s="136"/>
      <c r="H161" s="136"/>
      <c r="I161" s="136"/>
      <c r="J161" s="136"/>
      <c r="K161" s="136"/>
      <c r="L161" s="136"/>
      <c r="M161" s="136"/>
      <c r="N161" s="136"/>
      <c r="O161" s="136"/>
      <c r="P161" s="136"/>
      <c r="Q161" s="136"/>
      <c r="R161" s="136"/>
      <c r="S161" s="136"/>
      <c r="T161" s="136"/>
      <c r="U161" s="136"/>
      <c r="V161" s="136"/>
      <c r="W161" s="136"/>
      <c r="X161" s="136" t="s">
        <v>153</v>
      </c>
      <c r="Y161" s="136"/>
      <c r="Z161" s="136"/>
      <c r="AA161" s="136"/>
      <c r="AB161" s="136"/>
    </row>
    <row r="162" spans="1:28">
      <c r="A162" s="720" t="s">
        <v>917</v>
      </c>
      <c r="B162" s="136" t="s">
        <v>956</v>
      </c>
      <c r="C162" s="136" t="s">
        <v>153</v>
      </c>
      <c r="D162" s="479" t="s">
        <v>93</v>
      </c>
      <c r="E162" s="771" t="s">
        <v>1061</v>
      </c>
      <c r="F162" s="145"/>
      <c r="G162" s="136"/>
      <c r="H162" s="136"/>
      <c r="I162" s="136"/>
      <c r="J162" s="136"/>
      <c r="K162" s="136"/>
      <c r="L162" s="136"/>
      <c r="M162" s="136"/>
      <c r="N162" s="136"/>
      <c r="O162" s="136"/>
      <c r="P162" s="136"/>
      <c r="Q162" s="136"/>
      <c r="R162" s="136"/>
      <c r="S162" s="136"/>
      <c r="T162" s="136"/>
      <c r="U162" s="136"/>
      <c r="V162" s="136"/>
      <c r="W162" s="136"/>
      <c r="X162" s="136" t="s">
        <v>153</v>
      </c>
      <c r="Y162" s="136"/>
      <c r="Z162" s="136"/>
      <c r="AA162" s="136"/>
      <c r="AB162" s="136"/>
    </row>
    <row r="163" spans="1:28">
      <c r="A163" s="720" t="s">
        <v>917</v>
      </c>
      <c r="B163" s="136" t="s">
        <v>956</v>
      </c>
      <c r="C163" s="136" t="s">
        <v>153</v>
      </c>
      <c r="D163" s="479" t="s">
        <v>93</v>
      </c>
      <c r="E163" s="771" t="s">
        <v>1062</v>
      </c>
      <c r="F163" s="145"/>
      <c r="G163" s="136"/>
      <c r="H163" s="136"/>
      <c r="I163" s="136"/>
      <c r="J163" s="136"/>
      <c r="K163" s="136"/>
      <c r="L163" s="136"/>
      <c r="M163" s="136"/>
      <c r="N163" s="136"/>
      <c r="O163" s="136"/>
      <c r="P163" s="136"/>
      <c r="Q163" s="136"/>
      <c r="R163" s="136"/>
      <c r="S163" s="136"/>
      <c r="T163" s="136"/>
      <c r="U163" s="136"/>
      <c r="V163" s="136"/>
      <c r="W163" s="136"/>
      <c r="X163" s="136" t="s">
        <v>153</v>
      </c>
      <c r="Y163" s="136"/>
      <c r="Z163" s="136"/>
      <c r="AA163" s="136"/>
      <c r="AB163" s="136"/>
    </row>
    <row r="164" spans="1:28">
      <c r="A164" s="720" t="s">
        <v>917</v>
      </c>
      <c r="B164" s="136" t="s">
        <v>956</v>
      </c>
      <c r="C164" s="136" t="s">
        <v>153</v>
      </c>
      <c r="D164" s="479" t="s">
        <v>93</v>
      </c>
      <c r="E164" s="771" t="s">
        <v>1063</v>
      </c>
      <c r="F164" s="145"/>
      <c r="G164" s="136"/>
      <c r="H164" s="136"/>
      <c r="I164" s="136"/>
      <c r="J164" s="136"/>
      <c r="K164" s="136"/>
      <c r="L164" s="136"/>
      <c r="M164" s="136"/>
      <c r="N164" s="136"/>
      <c r="O164" s="136"/>
      <c r="P164" s="136"/>
      <c r="Q164" s="136"/>
      <c r="R164" s="136"/>
      <c r="S164" s="136"/>
      <c r="T164" s="136"/>
      <c r="U164" s="136"/>
      <c r="V164" s="136"/>
      <c r="W164" s="136"/>
      <c r="X164" s="136" t="s">
        <v>153</v>
      </c>
      <c r="Y164" s="136"/>
      <c r="Z164" s="136"/>
      <c r="AA164" s="136"/>
      <c r="AB164" s="136"/>
    </row>
    <row r="165" spans="1:28">
      <c r="A165" s="720" t="s">
        <v>917</v>
      </c>
      <c r="B165" s="136" t="s">
        <v>956</v>
      </c>
      <c r="C165" s="136" t="s">
        <v>153</v>
      </c>
      <c r="D165" s="479" t="s">
        <v>93</v>
      </c>
      <c r="E165" s="771" t="s">
        <v>1064</v>
      </c>
      <c r="F165" s="145"/>
      <c r="G165" s="136"/>
      <c r="H165" s="136"/>
      <c r="I165" s="136"/>
      <c r="J165" s="136"/>
      <c r="K165" s="136"/>
      <c r="L165" s="136"/>
      <c r="M165" s="136"/>
      <c r="N165" s="136"/>
      <c r="O165" s="136"/>
      <c r="P165" s="136"/>
      <c r="Q165" s="136"/>
      <c r="R165" s="136"/>
      <c r="S165" s="136"/>
      <c r="T165" s="136"/>
      <c r="U165" s="136"/>
      <c r="V165" s="136"/>
      <c r="W165" s="136"/>
      <c r="X165" s="136" t="s">
        <v>153</v>
      </c>
      <c r="Y165" s="136"/>
      <c r="Z165" s="136"/>
      <c r="AA165" s="136"/>
      <c r="AB165" s="136"/>
    </row>
    <row r="166" spans="1:28">
      <c r="A166" s="720" t="s">
        <v>917</v>
      </c>
      <c r="B166" s="136" t="s">
        <v>956</v>
      </c>
      <c r="C166" s="136" t="s">
        <v>153</v>
      </c>
      <c r="D166" s="479" t="s">
        <v>93</v>
      </c>
      <c r="E166" s="771" t="s">
        <v>1065</v>
      </c>
      <c r="F166" s="145"/>
      <c r="G166" s="136"/>
      <c r="H166" s="136"/>
      <c r="I166" s="136"/>
      <c r="J166" s="136"/>
      <c r="K166" s="136"/>
      <c r="L166" s="136"/>
      <c r="M166" s="136"/>
      <c r="N166" s="136"/>
      <c r="O166" s="136"/>
      <c r="P166" s="136"/>
      <c r="Q166" s="136"/>
      <c r="R166" s="136"/>
      <c r="S166" s="136"/>
      <c r="T166" s="136"/>
      <c r="U166" s="136"/>
      <c r="V166" s="136"/>
      <c r="W166" s="136"/>
      <c r="X166" s="136" t="s">
        <v>153</v>
      </c>
      <c r="Y166" s="136"/>
      <c r="Z166" s="136"/>
      <c r="AA166" s="136"/>
      <c r="AB166" s="136"/>
    </row>
    <row r="167" spans="1:28">
      <c r="A167" s="720" t="s">
        <v>917</v>
      </c>
      <c r="B167" s="136" t="s">
        <v>956</v>
      </c>
      <c r="C167" s="136" t="s">
        <v>153</v>
      </c>
      <c r="D167" s="479" t="s">
        <v>93</v>
      </c>
      <c r="E167" s="771" t="s">
        <v>1066</v>
      </c>
      <c r="F167" s="145"/>
      <c r="G167" s="136"/>
      <c r="H167" s="136"/>
      <c r="I167" s="136"/>
      <c r="J167" s="136"/>
      <c r="K167" s="136"/>
      <c r="L167" s="136"/>
      <c r="M167" s="136"/>
      <c r="N167" s="136"/>
      <c r="O167" s="136"/>
      <c r="P167" s="136"/>
      <c r="Q167" s="136"/>
      <c r="R167" s="136"/>
      <c r="S167" s="136"/>
      <c r="T167" s="136"/>
      <c r="U167" s="136"/>
      <c r="V167" s="136"/>
      <c r="W167" s="136"/>
      <c r="X167" s="136" t="s">
        <v>153</v>
      </c>
      <c r="Y167" s="136"/>
      <c r="Z167" s="136"/>
      <c r="AA167" s="136"/>
      <c r="AB167" s="136"/>
    </row>
    <row r="168" spans="1:28">
      <c r="A168" s="720" t="s">
        <v>917</v>
      </c>
      <c r="B168" s="136" t="s">
        <v>956</v>
      </c>
      <c r="C168" s="136" t="s">
        <v>153</v>
      </c>
      <c r="D168" s="479" t="s">
        <v>93</v>
      </c>
      <c r="E168" s="771" t="s">
        <v>1067</v>
      </c>
      <c r="F168" s="145"/>
      <c r="G168" s="136"/>
      <c r="H168" s="136"/>
      <c r="I168" s="136"/>
      <c r="J168" s="136"/>
      <c r="K168" s="136"/>
      <c r="L168" s="136"/>
      <c r="M168" s="136"/>
      <c r="N168" s="136"/>
      <c r="O168" s="136"/>
      <c r="P168" s="136"/>
      <c r="Q168" s="136"/>
      <c r="R168" s="136"/>
      <c r="S168" s="136"/>
      <c r="T168" s="136"/>
      <c r="U168" s="136"/>
      <c r="V168" s="136"/>
      <c r="W168" s="136"/>
      <c r="X168" s="136" t="s">
        <v>153</v>
      </c>
      <c r="Y168" s="136"/>
      <c r="Z168" s="136"/>
      <c r="AA168" s="136"/>
      <c r="AB168" s="136"/>
    </row>
    <row r="169" spans="1:28">
      <c r="A169" s="720" t="s">
        <v>917</v>
      </c>
      <c r="B169" s="136" t="s">
        <v>956</v>
      </c>
      <c r="C169" s="136" t="s">
        <v>153</v>
      </c>
      <c r="D169" s="479" t="s">
        <v>93</v>
      </c>
      <c r="E169" s="771" t="s">
        <v>1068</v>
      </c>
      <c r="F169" s="145"/>
      <c r="G169" s="136"/>
      <c r="H169" s="136"/>
      <c r="I169" s="136"/>
      <c r="J169" s="136"/>
      <c r="K169" s="136"/>
      <c r="L169" s="136"/>
      <c r="M169" s="136"/>
      <c r="N169" s="136"/>
      <c r="O169" s="136"/>
      <c r="P169" s="136"/>
      <c r="Q169" s="136"/>
      <c r="R169" s="136"/>
      <c r="S169" s="136"/>
      <c r="T169" s="136"/>
      <c r="U169" s="136"/>
      <c r="V169" s="136"/>
      <c r="W169" s="136"/>
      <c r="X169" s="136" t="s">
        <v>153</v>
      </c>
      <c r="Y169" s="136"/>
      <c r="Z169" s="136"/>
      <c r="AA169" s="136"/>
      <c r="AB169" s="136"/>
    </row>
    <row r="170" spans="1:28">
      <c r="A170" s="720" t="s">
        <v>917</v>
      </c>
      <c r="B170" s="136" t="s">
        <v>956</v>
      </c>
      <c r="C170" s="136" t="s">
        <v>153</v>
      </c>
      <c r="D170" s="479" t="s">
        <v>93</v>
      </c>
      <c r="E170" s="771" t="s">
        <v>1069</v>
      </c>
      <c r="F170" s="145"/>
      <c r="G170" s="136"/>
      <c r="H170" s="136"/>
      <c r="I170" s="136"/>
      <c r="J170" s="136"/>
      <c r="K170" s="136"/>
      <c r="L170" s="136"/>
      <c r="M170" s="136"/>
      <c r="N170" s="136"/>
      <c r="O170" s="136"/>
      <c r="P170" s="136"/>
      <c r="Q170" s="136"/>
      <c r="R170" s="136"/>
      <c r="S170" s="136"/>
      <c r="T170" s="136"/>
      <c r="U170" s="136"/>
      <c r="V170" s="136"/>
      <c r="W170" s="136"/>
      <c r="X170" s="136" t="s">
        <v>153</v>
      </c>
      <c r="Y170" s="136"/>
      <c r="Z170" s="136"/>
      <c r="AA170" s="136"/>
      <c r="AB170" s="136"/>
    </row>
    <row r="171" spans="1:28">
      <c r="A171" s="720" t="s">
        <v>917</v>
      </c>
      <c r="B171" s="136" t="s">
        <v>956</v>
      </c>
      <c r="C171" s="136" t="s">
        <v>153</v>
      </c>
      <c r="D171" s="479" t="s">
        <v>93</v>
      </c>
      <c r="E171" s="771" t="s">
        <v>1070</v>
      </c>
      <c r="F171" s="145"/>
      <c r="G171" s="136"/>
      <c r="H171" s="136"/>
      <c r="I171" s="136"/>
      <c r="J171" s="136"/>
      <c r="K171" s="136"/>
      <c r="L171" s="136"/>
      <c r="M171" s="136"/>
      <c r="N171" s="136"/>
      <c r="O171" s="136"/>
      <c r="P171" s="136"/>
      <c r="Q171" s="136"/>
      <c r="R171" s="136"/>
      <c r="S171" s="136"/>
      <c r="T171" s="136"/>
      <c r="U171" s="136"/>
      <c r="V171" s="136"/>
      <c r="W171" s="136"/>
      <c r="X171" s="136" t="s">
        <v>153</v>
      </c>
      <c r="Y171" s="136"/>
      <c r="Z171" s="136"/>
      <c r="AA171" s="136"/>
      <c r="AB171" s="136"/>
    </row>
    <row r="172" spans="1:28">
      <c r="A172" s="720" t="s">
        <v>917</v>
      </c>
      <c r="B172" s="136" t="s">
        <v>956</v>
      </c>
      <c r="C172" s="136" t="s">
        <v>153</v>
      </c>
      <c r="D172" s="479" t="s">
        <v>93</v>
      </c>
      <c r="E172" s="771" t="s">
        <v>1071</v>
      </c>
      <c r="F172" s="145"/>
      <c r="G172" s="136"/>
      <c r="H172" s="136"/>
      <c r="I172" s="136"/>
      <c r="J172" s="136"/>
      <c r="K172" s="136"/>
      <c r="L172" s="136"/>
      <c r="M172" s="136"/>
      <c r="N172" s="136"/>
      <c r="O172" s="136"/>
      <c r="P172" s="136"/>
      <c r="Q172" s="136"/>
      <c r="R172" s="136"/>
      <c r="S172" s="136"/>
      <c r="T172" s="136"/>
      <c r="U172" s="136"/>
      <c r="V172" s="136"/>
      <c r="W172" s="136"/>
      <c r="X172" s="136" t="s">
        <v>153</v>
      </c>
      <c r="Y172" s="136"/>
      <c r="Z172" s="136"/>
      <c r="AA172" s="136"/>
      <c r="AB172" s="136"/>
    </row>
    <row r="173" spans="1:28">
      <c r="A173" s="720" t="s">
        <v>917</v>
      </c>
      <c r="B173" s="136" t="s">
        <v>956</v>
      </c>
      <c r="C173" s="136" t="s">
        <v>153</v>
      </c>
      <c r="D173" s="479" t="s">
        <v>93</v>
      </c>
      <c r="E173" s="771" t="s">
        <v>1072</v>
      </c>
      <c r="F173" s="145"/>
      <c r="G173" s="136"/>
      <c r="H173" s="136"/>
      <c r="I173" s="136"/>
      <c r="J173" s="136"/>
      <c r="K173" s="136"/>
      <c r="L173" s="136"/>
      <c r="M173" s="136"/>
      <c r="N173" s="136"/>
      <c r="O173" s="136"/>
      <c r="P173" s="136"/>
      <c r="Q173" s="136"/>
      <c r="R173" s="136"/>
      <c r="S173" s="136"/>
      <c r="T173" s="136"/>
      <c r="U173" s="136"/>
      <c r="V173" s="136"/>
      <c r="W173" s="136"/>
      <c r="X173" s="136" t="s">
        <v>153</v>
      </c>
      <c r="Y173" s="136"/>
      <c r="Z173" s="136"/>
      <c r="AA173" s="136"/>
      <c r="AB173" s="136"/>
    </row>
    <row r="174" spans="1:28">
      <c r="A174" s="720" t="s">
        <v>917</v>
      </c>
      <c r="B174" s="136" t="s">
        <v>956</v>
      </c>
      <c r="C174" s="136" t="s">
        <v>153</v>
      </c>
      <c r="D174" s="479" t="s">
        <v>93</v>
      </c>
      <c r="E174" s="771" t="s">
        <v>1073</v>
      </c>
      <c r="F174" s="145"/>
      <c r="G174" s="136"/>
      <c r="H174" s="136"/>
      <c r="I174" s="136"/>
      <c r="J174" s="136"/>
      <c r="K174" s="136"/>
      <c r="L174" s="136"/>
      <c r="M174" s="136"/>
      <c r="N174" s="136"/>
      <c r="O174" s="136"/>
      <c r="P174" s="136"/>
      <c r="Q174" s="136"/>
      <c r="R174" s="136"/>
      <c r="S174" s="136"/>
      <c r="T174" s="136"/>
      <c r="U174" s="136"/>
      <c r="V174" s="136"/>
      <c r="W174" s="136"/>
      <c r="X174" s="136" t="s">
        <v>153</v>
      </c>
      <c r="Y174" s="136"/>
      <c r="Z174" s="136"/>
      <c r="AA174" s="136"/>
      <c r="AB174" s="136"/>
    </row>
    <row r="175" spans="1:28">
      <c r="A175" s="720" t="s">
        <v>917</v>
      </c>
      <c r="B175" s="136" t="s">
        <v>956</v>
      </c>
      <c r="C175" s="136" t="s">
        <v>153</v>
      </c>
      <c r="D175" s="479" t="s">
        <v>93</v>
      </c>
      <c r="E175" s="771" t="s">
        <v>1074</v>
      </c>
      <c r="F175" s="145"/>
      <c r="G175" s="136"/>
      <c r="H175" s="136"/>
      <c r="I175" s="136"/>
      <c r="J175" s="136"/>
      <c r="K175" s="136"/>
      <c r="L175" s="136"/>
      <c r="M175" s="136"/>
      <c r="N175" s="136"/>
      <c r="O175" s="136"/>
      <c r="P175" s="136"/>
      <c r="Q175" s="136"/>
      <c r="R175" s="136"/>
      <c r="S175" s="136"/>
      <c r="T175" s="136"/>
      <c r="U175" s="136"/>
      <c r="V175" s="136"/>
      <c r="W175" s="136"/>
      <c r="X175" s="136" t="s">
        <v>153</v>
      </c>
      <c r="Y175" s="136"/>
      <c r="Z175" s="136"/>
      <c r="AA175" s="136"/>
      <c r="AB175" s="136"/>
    </row>
    <row r="176" spans="1:28">
      <c r="A176" s="720" t="s">
        <v>917</v>
      </c>
      <c r="B176" s="136" t="s">
        <v>956</v>
      </c>
      <c r="C176" s="136" t="s">
        <v>153</v>
      </c>
      <c r="D176" s="479" t="s">
        <v>93</v>
      </c>
      <c r="E176" s="771" t="s">
        <v>1075</v>
      </c>
      <c r="F176" s="145"/>
      <c r="G176" s="136"/>
      <c r="H176" s="136"/>
      <c r="I176" s="136"/>
      <c r="J176" s="136"/>
      <c r="K176" s="136"/>
      <c r="L176" s="136"/>
      <c r="M176" s="136"/>
      <c r="N176" s="136"/>
      <c r="O176" s="136"/>
      <c r="P176" s="136"/>
      <c r="Q176" s="136"/>
      <c r="R176" s="136"/>
      <c r="S176" s="136"/>
      <c r="T176" s="136"/>
      <c r="U176" s="136"/>
      <c r="V176" s="136"/>
      <c r="W176" s="136"/>
      <c r="X176" s="136" t="s">
        <v>153</v>
      </c>
      <c r="Y176" s="136"/>
      <c r="Z176" s="136"/>
      <c r="AA176" s="136"/>
      <c r="AB176" s="136"/>
    </row>
    <row r="177" spans="1:28">
      <c r="A177" s="720" t="s">
        <v>917</v>
      </c>
      <c r="B177" s="136" t="s">
        <v>956</v>
      </c>
      <c r="C177" s="136" t="s">
        <v>153</v>
      </c>
      <c r="D177" s="479" t="s">
        <v>93</v>
      </c>
      <c r="E177" s="771" t="s">
        <v>1076</v>
      </c>
      <c r="F177" s="145"/>
      <c r="G177" s="136"/>
      <c r="H177" s="136"/>
      <c r="I177" s="136"/>
      <c r="J177" s="136"/>
      <c r="K177" s="136"/>
      <c r="L177" s="136"/>
      <c r="M177" s="136"/>
      <c r="N177" s="136"/>
      <c r="O177" s="136"/>
      <c r="P177" s="136"/>
      <c r="Q177" s="136"/>
      <c r="R177" s="136"/>
      <c r="S177" s="136"/>
      <c r="T177" s="136"/>
      <c r="U177" s="136"/>
      <c r="V177" s="136"/>
      <c r="W177" s="136"/>
      <c r="X177" s="136" t="s">
        <v>153</v>
      </c>
      <c r="Y177" s="136"/>
      <c r="Z177" s="136"/>
      <c r="AA177" s="136"/>
      <c r="AB177" s="136"/>
    </row>
    <row r="178" spans="1:28">
      <c r="A178" s="720" t="s">
        <v>917</v>
      </c>
      <c r="B178" s="136" t="s">
        <v>956</v>
      </c>
      <c r="C178" s="136" t="s">
        <v>153</v>
      </c>
      <c r="D178" s="479" t="s">
        <v>93</v>
      </c>
      <c r="E178" s="771" t="s">
        <v>1077</v>
      </c>
      <c r="F178" s="145"/>
      <c r="G178" s="136"/>
      <c r="H178" s="136"/>
      <c r="I178" s="136"/>
      <c r="J178" s="136"/>
      <c r="K178" s="136"/>
      <c r="L178" s="136"/>
      <c r="M178" s="136"/>
      <c r="N178" s="136"/>
      <c r="O178" s="136"/>
      <c r="P178" s="136"/>
      <c r="Q178" s="136"/>
      <c r="R178" s="136"/>
      <c r="S178" s="136"/>
      <c r="T178" s="136"/>
      <c r="U178" s="136"/>
      <c r="V178" s="136"/>
      <c r="W178" s="136"/>
      <c r="X178" s="136" t="s">
        <v>153</v>
      </c>
      <c r="Y178" s="136"/>
      <c r="Z178" s="136"/>
      <c r="AA178" s="136"/>
      <c r="AB178" s="136"/>
    </row>
    <row r="179" spans="1:28">
      <c r="A179" s="720" t="s">
        <v>917</v>
      </c>
      <c r="B179" s="136" t="s">
        <v>956</v>
      </c>
      <c r="C179" s="136" t="s">
        <v>153</v>
      </c>
      <c r="D179" s="479" t="s">
        <v>93</v>
      </c>
      <c r="E179" s="771" t="s">
        <v>1078</v>
      </c>
      <c r="F179" s="145"/>
      <c r="G179" s="136"/>
      <c r="H179" s="136"/>
      <c r="I179" s="136"/>
      <c r="J179" s="136"/>
      <c r="K179" s="136"/>
      <c r="L179" s="136"/>
      <c r="M179" s="136"/>
      <c r="N179" s="136"/>
      <c r="O179" s="136"/>
      <c r="P179" s="136"/>
      <c r="Q179" s="136"/>
      <c r="R179" s="136"/>
      <c r="S179" s="136"/>
      <c r="T179" s="136"/>
      <c r="U179" s="136"/>
      <c r="V179" s="136"/>
      <c r="W179" s="136"/>
      <c r="X179" s="136" t="s">
        <v>153</v>
      </c>
      <c r="Y179" s="136"/>
      <c r="Z179" s="136"/>
      <c r="AA179" s="136"/>
      <c r="AB179" s="136"/>
    </row>
    <row r="180" spans="1:28">
      <c r="A180" s="720" t="s">
        <v>917</v>
      </c>
      <c r="B180" s="136" t="s">
        <v>956</v>
      </c>
      <c r="C180" s="136" t="s">
        <v>153</v>
      </c>
      <c r="D180" s="479" t="s">
        <v>93</v>
      </c>
      <c r="E180" s="771" t="s">
        <v>1079</v>
      </c>
      <c r="F180" s="145"/>
      <c r="G180" s="136"/>
      <c r="H180" s="136"/>
      <c r="I180" s="136"/>
      <c r="J180" s="136"/>
      <c r="K180" s="136"/>
      <c r="L180" s="136"/>
      <c r="M180" s="136"/>
      <c r="N180" s="136"/>
      <c r="O180" s="136"/>
      <c r="P180" s="136"/>
      <c r="Q180" s="136"/>
      <c r="R180" s="136"/>
      <c r="S180" s="136"/>
      <c r="T180" s="136"/>
      <c r="U180" s="136"/>
      <c r="V180" s="136"/>
      <c r="W180" s="136"/>
      <c r="X180" s="136" t="s">
        <v>153</v>
      </c>
      <c r="Y180" s="136"/>
      <c r="Z180" s="136"/>
      <c r="AA180" s="136"/>
      <c r="AB180" s="136"/>
    </row>
    <row r="181" spans="1:28">
      <c r="A181" s="720" t="s">
        <v>917</v>
      </c>
      <c r="B181" s="136" t="s">
        <v>956</v>
      </c>
      <c r="C181" s="136" t="s">
        <v>153</v>
      </c>
      <c r="D181" s="479" t="s">
        <v>93</v>
      </c>
      <c r="E181" s="771" t="s">
        <v>1080</v>
      </c>
      <c r="F181" s="145"/>
      <c r="G181" s="136"/>
      <c r="H181" s="136"/>
      <c r="I181" s="136"/>
      <c r="J181" s="136"/>
      <c r="K181" s="136"/>
      <c r="L181" s="136"/>
      <c r="M181" s="136"/>
      <c r="N181" s="136"/>
      <c r="O181" s="136"/>
      <c r="P181" s="136"/>
      <c r="Q181" s="136"/>
      <c r="R181" s="136"/>
      <c r="S181" s="136"/>
      <c r="T181" s="136"/>
      <c r="U181" s="136"/>
      <c r="V181" s="136"/>
      <c r="W181" s="136"/>
      <c r="X181" s="136" t="s">
        <v>153</v>
      </c>
      <c r="Y181" s="136"/>
      <c r="Z181" s="136"/>
      <c r="AA181" s="136"/>
      <c r="AB181" s="136"/>
    </row>
    <row r="182" spans="1:28">
      <c r="A182" s="720" t="s">
        <v>917</v>
      </c>
      <c r="B182" s="136" t="s">
        <v>956</v>
      </c>
      <c r="C182" s="136" t="s">
        <v>153</v>
      </c>
      <c r="D182" s="479" t="s">
        <v>93</v>
      </c>
      <c r="E182" s="771" t="s">
        <v>1081</v>
      </c>
      <c r="F182" s="145"/>
      <c r="G182" s="136"/>
      <c r="H182" s="136"/>
      <c r="I182" s="136"/>
      <c r="J182" s="136"/>
      <c r="K182" s="136"/>
      <c r="L182" s="136"/>
      <c r="M182" s="136"/>
      <c r="N182" s="136"/>
      <c r="O182" s="136"/>
      <c r="P182" s="136"/>
      <c r="Q182" s="136"/>
      <c r="R182" s="136"/>
      <c r="S182" s="136"/>
      <c r="T182" s="136"/>
      <c r="U182" s="136"/>
      <c r="V182" s="136"/>
      <c r="W182" s="136"/>
      <c r="X182" s="136" t="s">
        <v>153</v>
      </c>
      <c r="Y182" s="136"/>
      <c r="Z182" s="136"/>
      <c r="AA182" s="136"/>
      <c r="AB182" s="136"/>
    </row>
    <row r="183" spans="1:28">
      <c r="A183" s="720" t="s">
        <v>917</v>
      </c>
      <c r="B183" s="136" t="s">
        <v>956</v>
      </c>
      <c r="C183" s="136" t="s">
        <v>153</v>
      </c>
      <c r="D183" s="479" t="s">
        <v>93</v>
      </c>
      <c r="E183" s="771" t="s">
        <v>1082</v>
      </c>
      <c r="F183" s="145"/>
      <c r="G183" s="136"/>
      <c r="H183" s="136"/>
      <c r="I183" s="136"/>
      <c r="J183" s="136"/>
      <c r="K183" s="136"/>
      <c r="L183" s="136"/>
      <c r="M183" s="136"/>
      <c r="N183" s="136"/>
      <c r="O183" s="136"/>
      <c r="P183" s="136"/>
      <c r="Q183" s="136"/>
      <c r="R183" s="136"/>
      <c r="S183" s="136"/>
      <c r="T183" s="136"/>
      <c r="U183" s="136"/>
      <c r="V183" s="136"/>
      <c r="W183" s="136"/>
      <c r="X183" s="136" t="s">
        <v>153</v>
      </c>
      <c r="Y183" s="136"/>
      <c r="Z183" s="136"/>
      <c r="AA183" s="136"/>
      <c r="AB183" s="136"/>
    </row>
    <row r="184" spans="1:28">
      <c r="A184" s="720" t="s">
        <v>917</v>
      </c>
      <c r="B184" s="136" t="s">
        <v>956</v>
      </c>
      <c r="C184" s="136" t="s">
        <v>153</v>
      </c>
      <c r="D184" s="479" t="s">
        <v>93</v>
      </c>
      <c r="E184" s="771" t="s">
        <v>1083</v>
      </c>
      <c r="F184" s="145"/>
      <c r="G184" s="136"/>
      <c r="H184" s="136"/>
      <c r="I184" s="136"/>
      <c r="J184" s="136"/>
      <c r="K184" s="136"/>
      <c r="L184" s="136"/>
      <c r="M184" s="136"/>
      <c r="N184" s="136"/>
      <c r="O184" s="136"/>
      <c r="P184" s="136"/>
      <c r="Q184" s="136"/>
      <c r="R184" s="136"/>
      <c r="S184" s="136"/>
      <c r="T184" s="136"/>
      <c r="U184" s="136"/>
      <c r="V184" s="136"/>
      <c r="W184" s="136"/>
      <c r="X184" s="136" t="s">
        <v>153</v>
      </c>
      <c r="Y184" s="136"/>
      <c r="Z184" s="136"/>
      <c r="AA184" s="136"/>
      <c r="AB184" s="136"/>
    </row>
    <row r="185" spans="1:28">
      <c r="A185" s="720" t="s">
        <v>917</v>
      </c>
      <c r="B185" s="136" t="s">
        <v>956</v>
      </c>
      <c r="C185" s="136" t="s">
        <v>153</v>
      </c>
      <c r="D185" s="479" t="s">
        <v>93</v>
      </c>
      <c r="E185" s="771" t="s">
        <v>1084</v>
      </c>
      <c r="F185" s="145"/>
      <c r="G185" s="136"/>
      <c r="H185" s="136"/>
      <c r="I185" s="136"/>
      <c r="J185" s="136"/>
      <c r="K185" s="136"/>
      <c r="L185" s="136"/>
      <c r="M185" s="136"/>
      <c r="N185" s="136"/>
      <c r="O185" s="136"/>
      <c r="P185" s="136"/>
      <c r="Q185" s="136"/>
      <c r="R185" s="136"/>
      <c r="S185" s="136"/>
      <c r="T185" s="136"/>
      <c r="U185" s="136"/>
      <c r="V185" s="136"/>
      <c r="W185" s="136"/>
      <c r="X185" s="136" t="s">
        <v>153</v>
      </c>
      <c r="Y185" s="136"/>
      <c r="Z185" s="136"/>
      <c r="AA185" s="136"/>
      <c r="AB185" s="136"/>
    </row>
    <row r="186" spans="1:28">
      <c r="A186" s="720" t="s">
        <v>917</v>
      </c>
      <c r="B186" s="136" t="s">
        <v>956</v>
      </c>
      <c r="C186" s="136" t="s">
        <v>153</v>
      </c>
      <c r="D186" s="479" t="s">
        <v>93</v>
      </c>
      <c r="E186" s="771" t="s">
        <v>1085</v>
      </c>
      <c r="F186" s="145"/>
      <c r="G186" s="136"/>
      <c r="H186" s="136"/>
      <c r="I186" s="136"/>
      <c r="J186" s="136"/>
      <c r="K186" s="136"/>
      <c r="L186" s="136"/>
      <c r="M186" s="136"/>
      <c r="N186" s="136"/>
      <c r="O186" s="136"/>
      <c r="P186" s="136"/>
      <c r="Q186" s="136"/>
      <c r="R186" s="136"/>
      <c r="S186" s="136"/>
      <c r="T186" s="136"/>
      <c r="U186" s="136"/>
      <c r="V186" s="136"/>
      <c r="W186" s="136"/>
      <c r="X186" s="136" t="s">
        <v>153</v>
      </c>
      <c r="Y186" s="136"/>
      <c r="Z186" s="136"/>
      <c r="AA186" s="136"/>
      <c r="AB186" s="136"/>
    </row>
    <row r="187" spans="1:28">
      <c r="A187" s="720" t="s">
        <v>917</v>
      </c>
      <c r="B187" s="136" t="s">
        <v>956</v>
      </c>
      <c r="C187" s="136" t="s">
        <v>153</v>
      </c>
      <c r="D187" s="479" t="s">
        <v>93</v>
      </c>
      <c r="E187" s="771" t="s">
        <v>1086</v>
      </c>
      <c r="F187" s="145"/>
      <c r="G187" s="136"/>
      <c r="H187" s="136"/>
      <c r="I187" s="136"/>
      <c r="J187" s="136"/>
      <c r="K187" s="136"/>
      <c r="L187" s="136"/>
      <c r="M187" s="136"/>
      <c r="N187" s="136"/>
      <c r="O187" s="136"/>
      <c r="P187" s="136"/>
      <c r="Q187" s="136"/>
      <c r="R187" s="136"/>
      <c r="S187" s="136"/>
      <c r="T187" s="136"/>
      <c r="U187" s="136"/>
      <c r="V187" s="136"/>
      <c r="W187" s="136"/>
      <c r="X187" s="136" t="s">
        <v>153</v>
      </c>
      <c r="Y187" s="136"/>
      <c r="Z187" s="136"/>
      <c r="AA187" s="136"/>
      <c r="AB187" s="136"/>
    </row>
    <row r="188" spans="1:28">
      <c r="A188" s="720" t="s">
        <v>917</v>
      </c>
      <c r="B188" s="136" t="s">
        <v>956</v>
      </c>
      <c r="C188" s="136" t="s">
        <v>153</v>
      </c>
      <c r="D188" s="479" t="s">
        <v>93</v>
      </c>
      <c r="E188" s="771" t="s">
        <v>1087</v>
      </c>
      <c r="F188" s="145"/>
      <c r="G188" s="136"/>
      <c r="H188" s="136"/>
      <c r="I188" s="136"/>
      <c r="J188" s="136"/>
      <c r="K188" s="136"/>
      <c r="L188" s="136"/>
      <c r="M188" s="136"/>
      <c r="N188" s="136"/>
      <c r="O188" s="136"/>
      <c r="P188" s="136"/>
      <c r="Q188" s="136"/>
      <c r="R188" s="136"/>
      <c r="S188" s="136"/>
      <c r="T188" s="136"/>
      <c r="U188" s="136"/>
      <c r="V188" s="136"/>
      <c r="W188" s="136"/>
      <c r="X188" s="136" t="s">
        <v>153</v>
      </c>
      <c r="Y188" s="136"/>
      <c r="Z188" s="136"/>
      <c r="AA188" s="136"/>
      <c r="AB188" s="136"/>
    </row>
    <row r="189" spans="1:28">
      <c r="A189" s="720" t="s">
        <v>917</v>
      </c>
      <c r="B189" s="136" t="s">
        <v>956</v>
      </c>
      <c r="C189" s="136" t="s">
        <v>153</v>
      </c>
      <c r="D189" s="479" t="s">
        <v>93</v>
      </c>
      <c r="E189" s="771" t="s">
        <v>1088</v>
      </c>
      <c r="F189" s="145"/>
      <c r="G189" s="136"/>
      <c r="H189" s="136"/>
      <c r="I189" s="136"/>
      <c r="J189" s="136"/>
      <c r="K189" s="136"/>
      <c r="L189" s="136"/>
      <c r="M189" s="136"/>
      <c r="N189" s="136"/>
      <c r="O189" s="136"/>
      <c r="P189" s="136"/>
      <c r="Q189" s="136"/>
      <c r="R189" s="136"/>
      <c r="S189" s="136"/>
      <c r="T189" s="136"/>
      <c r="U189" s="136"/>
      <c r="V189" s="136"/>
      <c r="W189" s="136"/>
      <c r="X189" s="136" t="s">
        <v>153</v>
      </c>
      <c r="Y189" s="136"/>
      <c r="Z189" s="136"/>
      <c r="AA189" s="136"/>
      <c r="AB189" s="136"/>
    </row>
    <row r="190" spans="1:28">
      <c r="A190" s="720" t="s">
        <v>917</v>
      </c>
      <c r="B190" s="136" t="s">
        <v>956</v>
      </c>
      <c r="C190" s="136" t="s">
        <v>153</v>
      </c>
      <c r="D190" s="479" t="s">
        <v>93</v>
      </c>
      <c r="E190" s="771" t="s">
        <v>1089</v>
      </c>
      <c r="F190" s="145"/>
      <c r="G190" s="136"/>
      <c r="H190" s="136"/>
      <c r="I190" s="136"/>
      <c r="J190" s="136"/>
      <c r="K190" s="136"/>
      <c r="L190" s="136"/>
      <c r="M190" s="136"/>
      <c r="N190" s="136"/>
      <c r="O190" s="136"/>
      <c r="P190" s="136"/>
      <c r="Q190" s="136"/>
      <c r="R190" s="136"/>
      <c r="S190" s="136"/>
      <c r="T190" s="136"/>
      <c r="U190" s="136"/>
      <c r="V190" s="136"/>
      <c r="W190" s="136"/>
      <c r="X190" s="136" t="s">
        <v>153</v>
      </c>
      <c r="Y190" s="136"/>
      <c r="Z190" s="136"/>
      <c r="AA190" s="136"/>
      <c r="AB190" s="136"/>
    </row>
    <row r="191" spans="1:28">
      <c r="A191" s="720" t="s">
        <v>917</v>
      </c>
      <c r="B191" s="136" t="s">
        <v>956</v>
      </c>
      <c r="C191" s="136" t="s">
        <v>153</v>
      </c>
      <c r="D191" s="479" t="s">
        <v>93</v>
      </c>
      <c r="E191" s="771" t="s">
        <v>1090</v>
      </c>
      <c r="F191" s="145"/>
      <c r="G191" s="136"/>
      <c r="H191" s="136"/>
      <c r="I191" s="136"/>
      <c r="J191" s="136"/>
      <c r="K191" s="136"/>
      <c r="L191" s="136"/>
      <c r="M191" s="136"/>
      <c r="N191" s="136"/>
      <c r="O191" s="136"/>
      <c r="P191" s="136"/>
      <c r="Q191" s="136"/>
      <c r="R191" s="136"/>
      <c r="S191" s="136"/>
      <c r="T191" s="136"/>
      <c r="U191" s="136"/>
      <c r="V191" s="136"/>
      <c r="W191" s="136"/>
      <c r="X191" s="136" t="s">
        <v>153</v>
      </c>
      <c r="Y191" s="136"/>
      <c r="Z191" s="136"/>
      <c r="AA191" s="136"/>
      <c r="AB191" s="136"/>
    </row>
    <row r="192" spans="1:28">
      <c r="A192" s="720" t="s">
        <v>917</v>
      </c>
      <c r="B192" s="136" t="s">
        <v>956</v>
      </c>
      <c r="C192" s="136" t="s">
        <v>153</v>
      </c>
      <c r="D192" s="479" t="s">
        <v>93</v>
      </c>
      <c r="E192" s="771" t="s">
        <v>1091</v>
      </c>
      <c r="F192" s="145"/>
      <c r="G192" s="136"/>
      <c r="H192" s="136"/>
      <c r="I192" s="136"/>
      <c r="J192" s="136"/>
      <c r="K192" s="136"/>
      <c r="L192" s="136"/>
      <c r="M192" s="136"/>
      <c r="N192" s="136"/>
      <c r="O192" s="136"/>
      <c r="P192" s="136"/>
      <c r="Q192" s="136"/>
      <c r="R192" s="136"/>
      <c r="S192" s="136"/>
      <c r="T192" s="136"/>
      <c r="U192" s="136"/>
      <c r="V192" s="136"/>
      <c r="W192" s="136"/>
      <c r="X192" s="136" t="s">
        <v>153</v>
      </c>
      <c r="Y192" s="136"/>
      <c r="Z192" s="136"/>
      <c r="AA192" s="136"/>
      <c r="AB192" s="136"/>
    </row>
    <row r="193" spans="1:28">
      <c r="A193" s="720" t="s">
        <v>917</v>
      </c>
      <c r="B193" s="136" t="s">
        <v>956</v>
      </c>
      <c r="C193" s="136" t="s">
        <v>153</v>
      </c>
      <c r="D193" s="479" t="s">
        <v>93</v>
      </c>
      <c r="E193" s="771" t="s">
        <v>1092</v>
      </c>
      <c r="F193" s="145"/>
      <c r="G193" s="136"/>
      <c r="H193" s="136"/>
      <c r="I193" s="136"/>
      <c r="J193" s="136"/>
      <c r="K193" s="136"/>
      <c r="L193" s="136"/>
      <c r="M193" s="136"/>
      <c r="N193" s="136"/>
      <c r="O193" s="136"/>
      <c r="P193" s="136"/>
      <c r="Q193" s="136"/>
      <c r="R193" s="136"/>
      <c r="S193" s="136"/>
      <c r="T193" s="136"/>
      <c r="U193" s="136"/>
      <c r="V193" s="136"/>
      <c r="W193" s="136"/>
      <c r="X193" s="136" t="s">
        <v>153</v>
      </c>
      <c r="Y193" s="136"/>
      <c r="Z193" s="136"/>
      <c r="AA193" s="136"/>
      <c r="AB193" s="136"/>
    </row>
    <row r="194" spans="1:28">
      <c r="A194" s="720" t="s">
        <v>917</v>
      </c>
      <c r="B194" s="136" t="s">
        <v>956</v>
      </c>
      <c r="C194" s="136" t="s">
        <v>153</v>
      </c>
      <c r="D194" s="479" t="s">
        <v>93</v>
      </c>
      <c r="E194" s="771" t="s">
        <v>1093</v>
      </c>
      <c r="F194" s="145"/>
      <c r="G194" s="136"/>
      <c r="H194" s="136"/>
      <c r="I194" s="136"/>
      <c r="J194" s="136"/>
      <c r="K194" s="136"/>
      <c r="L194" s="136"/>
      <c r="M194" s="136"/>
      <c r="N194" s="136"/>
      <c r="O194" s="136"/>
      <c r="P194" s="136"/>
      <c r="Q194" s="136"/>
      <c r="R194" s="136"/>
      <c r="S194" s="136"/>
      <c r="T194" s="136"/>
      <c r="U194" s="136"/>
      <c r="V194" s="136"/>
      <c r="W194" s="136"/>
      <c r="X194" s="136" t="s">
        <v>153</v>
      </c>
      <c r="Y194" s="136"/>
      <c r="Z194" s="136"/>
      <c r="AA194" s="136"/>
      <c r="AB194" s="136"/>
    </row>
    <row r="195" spans="1:28">
      <c r="A195" s="720" t="s">
        <v>917</v>
      </c>
      <c r="B195" s="136" t="s">
        <v>956</v>
      </c>
      <c r="C195" s="136" t="s">
        <v>153</v>
      </c>
      <c r="D195" s="479" t="s">
        <v>93</v>
      </c>
      <c r="E195" s="771" t="s">
        <v>1094</v>
      </c>
      <c r="F195" s="145"/>
      <c r="G195" s="136"/>
      <c r="H195" s="136"/>
      <c r="I195" s="136"/>
      <c r="J195" s="136"/>
      <c r="K195" s="136"/>
      <c r="L195" s="136"/>
      <c r="M195" s="136"/>
      <c r="N195" s="136"/>
      <c r="O195" s="136"/>
      <c r="P195" s="136"/>
      <c r="Q195" s="136"/>
      <c r="R195" s="136"/>
      <c r="S195" s="136"/>
      <c r="T195" s="136"/>
      <c r="U195" s="136"/>
      <c r="V195" s="136"/>
      <c r="W195" s="136"/>
      <c r="X195" s="136" t="s">
        <v>153</v>
      </c>
      <c r="Y195" s="136"/>
      <c r="Z195" s="136"/>
      <c r="AA195" s="136"/>
      <c r="AB195" s="136"/>
    </row>
    <row r="196" spans="1:28">
      <c r="A196" s="720" t="s">
        <v>917</v>
      </c>
      <c r="B196" s="136" t="s">
        <v>956</v>
      </c>
      <c r="C196" s="136" t="s">
        <v>153</v>
      </c>
      <c r="D196" s="479" t="s">
        <v>93</v>
      </c>
      <c r="E196" s="771" t="s">
        <v>1095</v>
      </c>
      <c r="F196" s="145"/>
      <c r="G196" s="136"/>
      <c r="H196" s="136"/>
      <c r="I196" s="136"/>
      <c r="J196" s="136"/>
      <c r="K196" s="136"/>
      <c r="L196" s="136"/>
      <c r="M196" s="136"/>
      <c r="N196" s="136"/>
      <c r="O196" s="136"/>
      <c r="P196" s="136"/>
      <c r="Q196" s="136"/>
      <c r="R196" s="136"/>
      <c r="S196" s="136"/>
      <c r="T196" s="136"/>
      <c r="U196" s="136"/>
      <c r="V196" s="136"/>
      <c r="W196" s="136"/>
      <c r="X196" s="136" t="s">
        <v>153</v>
      </c>
      <c r="Y196" s="136"/>
      <c r="Z196" s="136"/>
      <c r="AA196" s="136"/>
      <c r="AB196" s="136"/>
    </row>
    <row r="197" spans="1:28">
      <c r="A197" s="720" t="s">
        <v>917</v>
      </c>
      <c r="B197" s="136" t="s">
        <v>956</v>
      </c>
      <c r="C197" s="136" t="s">
        <v>153</v>
      </c>
      <c r="D197" s="479" t="s">
        <v>93</v>
      </c>
      <c r="E197" s="771" t="s">
        <v>1096</v>
      </c>
      <c r="F197" s="145"/>
      <c r="G197" s="136"/>
      <c r="H197" s="136"/>
      <c r="I197" s="136"/>
      <c r="J197" s="136"/>
      <c r="K197" s="136"/>
      <c r="L197" s="136"/>
      <c r="M197" s="136"/>
      <c r="N197" s="136"/>
      <c r="O197" s="136"/>
      <c r="P197" s="136"/>
      <c r="Q197" s="136"/>
      <c r="R197" s="136"/>
      <c r="S197" s="136"/>
      <c r="T197" s="136"/>
      <c r="U197" s="136"/>
      <c r="V197" s="136"/>
      <c r="W197" s="136"/>
      <c r="X197" s="136" t="s">
        <v>153</v>
      </c>
      <c r="Y197" s="136"/>
      <c r="Z197" s="136"/>
      <c r="AA197" s="136"/>
      <c r="AB197" s="136"/>
    </row>
    <row r="198" spans="1:28">
      <c r="A198" s="720" t="s">
        <v>917</v>
      </c>
      <c r="B198" s="136" t="s">
        <v>956</v>
      </c>
      <c r="C198" s="136" t="s">
        <v>153</v>
      </c>
      <c r="D198" s="479" t="s">
        <v>93</v>
      </c>
      <c r="E198" s="771" t="s">
        <v>1097</v>
      </c>
      <c r="F198" s="699"/>
      <c r="G198" s="463"/>
      <c r="H198" s="463"/>
      <c r="I198" s="463"/>
      <c r="J198" s="463"/>
      <c r="K198" s="463"/>
      <c r="L198" s="463"/>
      <c r="M198" s="463"/>
      <c r="N198" s="463"/>
      <c r="O198" s="463"/>
      <c r="P198" s="463"/>
      <c r="Q198" s="463"/>
      <c r="R198" s="463"/>
      <c r="S198" s="463"/>
      <c r="T198" s="463"/>
      <c r="U198" s="463"/>
      <c r="V198" s="463"/>
      <c r="W198" s="463"/>
      <c r="X198" s="136" t="s">
        <v>153</v>
      </c>
      <c r="Y198" s="463"/>
      <c r="Z198" s="463"/>
      <c r="AA198" s="463"/>
      <c r="AB198" s="463"/>
    </row>
    <row r="199" spans="1:28">
      <c r="A199" s="720" t="s">
        <v>917</v>
      </c>
      <c r="B199" s="136" t="s">
        <v>956</v>
      </c>
      <c r="C199" s="136" t="s">
        <v>153</v>
      </c>
      <c r="D199" s="479" t="s">
        <v>93</v>
      </c>
      <c r="E199" s="771" t="s">
        <v>1098</v>
      </c>
      <c r="F199" s="145"/>
      <c r="G199" s="136"/>
      <c r="H199" s="136"/>
      <c r="I199" s="136"/>
      <c r="J199" s="136"/>
      <c r="K199" s="136"/>
      <c r="L199" s="136"/>
      <c r="M199" s="136"/>
      <c r="N199" s="136"/>
      <c r="O199" s="136"/>
      <c r="P199" s="136"/>
      <c r="Q199" s="136"/>
      <c r="R199" s="136"/>
      <c r="S199" s="136"/>
      <c r="T199" s="136"/>
      <c r="U199" s="136"/>
      <c r="V199" s="136"/>
      <c r="W199" s="136"/>
      <c r="X199" s="136" t="s">
        <v>153</v>
      </c>
      <c r="Y199" s="136"/>
      <c r="Z199" s="136"/>
      <c r="AA199" s="136"/>
      <c r="AB199" s="136"/>
    </row>
    <row r="200" spans="1:28">
      <c r="A200" s="720" t="s">
        <v>917</v>
      </c>
      <c r="B200" s="136" t="s">
        <v>956</v>
      </c>
      <c r="C200" s="136" t="s">
        <v>153</v>
      </c>
      <c r="D200" s="479" t="s">
        <v>93</v>
      </c>
      <c r="E200" s="771" t="s">
        <v>1099</v>
      </c>
      <c r="F200" s="145"/>
      <c r="G200" s="136"/>
      <c r="H200" s="136"/>
      <c r="I200" s="136"/>
      <c r="J200" s="136"/>
      <c r="K200" s="136"/>
      <c r="L200" s="136"/>
      <c r="M200" s="136"/>
      <c r="N200" s="136"/>
      <c r="O200" s="136"/>
      <c r="P200" s="136"/>
      <c r="Q200" s="136"/>
      <c r="R200" s="136"/>
      <c r="S200" s="136"/>
      <c r="T200" s="136"/>
      <c r="U200" s="136"/>
      <c r="V200" s="136"/>
      <c r="W200" s="136"/>
      <c r="X200" s="136" t="s">
        <v>153</v>
      </c>
      <c r="Y200" s="136"/>
      <c r="Z200" s="136"/>
      <c r="AA200" s="136"/>
      <c r="AB200" s="136"/>
    </row>
    <row r="201" spans="1:28">
      <c r="A201" s="720" t="s">
        <v>917</v>
      </c>
      <c r="B201" s="136" t="s">
        <v>956</v>
      </c>
      <c r="C201" s="136" t="s">
        <v>153</v>
      </c>
      <c r="D201" s="479" t="s">
        <v>93</v>
      </c>
      <c r="E201" s="771" t="s">
        <v>1100</v>
      </c>
      <c r="F201" s="145"/>
      <c r="G201" s="136"/>
      <c r="H201" s="136"/>
      <c r="I201" s="136"/>
      <c r="J201" s="136"/>
      <c r="K201" s="136"/>
      <c r="L201" s="136"/>
      <c r="M201" s="136"/>
      <c r="N201" s="136"/>
      <c r="O201" s="136"/>
      <c r="P201" s="136"/>
      <c r="Q201" s="136"/>
      <c r="R201" s="136"/>
      <c r="S201" s="136"/>
      <c r="T201" s="136"/>
      <c r="U201" s="136"/>
      <c r="V201" s="136"/>
      <c r="W201" s="136"/>
      <c r="X201" s="136" t="s">
        <v>153</v>
      </c>
      <c r="Y201" s="136"/>
      <c r="Z201" s="136"/>
      <c r="AA201" s="136"/>
      <c r="AB201" s="136"/>
    </row>
    <row r="202" spans="1:28">
      <c r="A202" s="720" t="s">
        <v>917</v>
      </c>
      <c r="B202" s="136" t="s">
        <v>956</v>
      </c>
      <c r="C202" s="136" t="s">
        <v>153</v>
      </c>
      <c r="D202" s="479" t="s">
        <v>93</v>
      </c>
      <c r="E202" s="771" t="s">
        <v>1101</v>
      </c>
      <c r="F202" s="145"/>
      <c r="G202" s="136"/>
      <c r="H202" s="136"/>
      <c r="I202" s="136"/>
      <c r="J202" s="136"/>
      <c r="K202" s="136"/>
      <c r="L202" s="136"/>
      <c r="M202" s="136"/>
      <c r="N202" s="136"/>
      <c r="O202" s="136"/>
      <c r="P202" s="136"/>
      <c r="Q202" s="136"/>
      <c r="R202" s="136"/>
      <c r="S202" s="136"/>
      <c r="T202" s="136"/>
      <c r="U202" s="136"/>
      <c r="V202" s="136"/>
      <c r="W202" s="136"/>
      <c r="X202" s="136" t="s">
        <v>153</v>
      </c>
      <c r="Y202" s="136"/>
      <c r="Z202" s="136"/>
      <c r="AA202" s="136"/>
      <c r="AB202" s="136"/>
    </row>
    <row r="203" spans="1:28">
      <c r="A203" s="720" t="s">
        <v>917</v>
      </c>
      <c r="B203" s="136" t="s">
        <v>956</v>
      </c>
      <c r="C203" s="136" t="s">
        <v>153</v>
      </c>
      <c r="D203" s="479" t="s">
        <v>93</v>
      </c>
      <c r="E203" s="771" t="s">
        <v>1102</v>
      </c>
      <c r="F203" s="145"/>
      <c r="G203" s="136"/>
      <c r="H203" s="136"/>
      <c r="I203" s="136"/>
      <c r="J203" s="136"/>
      <c r="K203" s="136"/>
      <c r="L203" s="136"/>
      <c r="M203" s="136"/>
      <c r="N203" s="136"/>
      <c r="O203" s="136"/>
      <c r="P203" s="136"/>
      <c r="Q203" s="136"/>
      <c r="R203" s="136"/>
      <c r="S203" s="136"/>
      <c r="T203" s="136"/>
      <c r="U203" s="136"/>
      <c r="V203" s="136"/>
      <c r="W203" s="136"/>
      <c r="X203" s="136" t="s">
        <v>153</v>
      </c>
      <c r="Y203" s="136"/>
      <c r="Z203" s="136"/>
      <c r="AA203" s="136"/>
      <c r="AB203" s="136"/>
    </row>
    <row r="204" spans="1:28">
      <c r="A204" s="720" t="s">
        <v>917</v>
      </c>
      <c r="B204" s="136" t="s">
        <v>956</v>
      </c>
      <c r="C204" s="136" t="s">
        <v>153</v>
      </c>
      <c r="D204" s="479" t="s">
        <v>93</v>
      </c>
      <c r="E204" s="771" t="s">
        <v>1103</v>
      </c>
      <c r="F204" s="145"/>
      <c r="G204" s="136"/>
      <c r="H204" s="136"/>
      <c r="I204" s="136"/>
      <c r="J204" s="136"/>
      <c r="K204" s="136"/>
      <c r="L204" s="136"/>
      <c r="M204" s="136"/>
      <c r="N204" s="136"/>
      <c r="O204" s="136"/>
      <c r="P204" s="136"/>
      <c r="Q204" s="136"/>
      <c r="R204" s="136"/>
      <c r="S204" s="136"/>
      <c r="T204" s="136"/>
      <c r="U204" s="136"/>
      <c r="V204" s="136"/>
      <c r="W204" s="136"/>
      <c r="X204" s="136" t="s">
        <v>153</v>
      </c>
      <c r="Y204" s="136"/>
      <c r="Z204" s="136"/>
      <c r="AA204" s="136"/>
      <c r="AB204" s="136"/>
    </row>
    <row r="205" spans="1:28">
      <c r="A205" s="720" t="s">
        <v>917</v>
      </c>
      <c r="B205" s="136" t="s">
        <v>956</v>
      </c>
      <c r="C205" s="136" t="s">
        <v>153</v>
      </c>
      <c r="D205" s="479" t="s">
        <v>93</v>
      </c>
      <c r="E205" s="771" t="s">
        <v>1104</v>
      </c>
      <c r="F205" s="145"/>
      <c r="G205" s="136"/>
      <c r="H205" s="136"/>
      <c r="I205" s="136"/>
      <c r="J205" s="136"/>
      <c r="K205" s="136"/>
      <c r="L205" s="136"/>
      <c r="M205" s="136"/>
      <c r="N205" s="136"/>
      <c r="O205" s="136"/>
      <c r="P205" s="136"/>
      <c r="Q205" s="136"/>
      <c r="R205" s="136"/>
      <c r="S205" s="136"/>
      <c r="T205" s="136"/>
      <c r="U205" s="136"/>
      <c r="V205" s="136"/>
      <c r="W205" s="136"/>
      <c r="X205" s="136" t="s">
        <v>153</v>
      </c>
      <c r="Y205" s="136"/>
      <c r="Z205" s="136"/>
      <c r="AA205" s="136"/>
      <c r="AB205" s="136"/>
    </row>
    <row r="206" spans="1:28">
      <c r="A206" s="720" t="s">
        <v>917</v>
      </c>
      <c r="B206" s="136" t="s">
        <v>956</v>
      </c>
      <c r="C206" s="136" t="s">
        <v>153</v>
      </c>
      <c r="D206" s="479" t="s">
        <v>93</v>
      </c>
      <c r="E206" s="771" t="s">
        <v>1105</v>
      </c>
      <c r="F206" s="145"/>
      <c r="G206" s="136"/>
      <c r="H206" s="136"/>
      <c r="I206" s="136"/>
      <c r="J206" s="136"/>
      <c r="K206" s="136"/>
      <c r="L206" s="136"/>
      <c r="M206" s="136"/>
      <c r="N206" s="136"/>
      <c r="O206" s="136"/>
      <c r="P206" s="136"/>
      <c r="Q206" s="136"/>
      <c r="R206" s="136"/>
      <c r="S206" s="136"/>
      <c r="T206" s="136"/>
      <c r="U206" s="136"/>
      <c r="V206" s="136"/>
      <c r="W206" s="136"/>
      <c r="X206" s="136" t="s">
        <v>153</v>
      </c>
      <c r="Y206" s="136"/>
      <c r="Z206" s="136"/>
      <c r="AA206" s="136"/>
      <c r="AB206" s="136"/>
    </row>
    <row r="207" spans="1:28">
      <c r="A207" s="720" t="s">
        <v>917</v>
      </c>
      <c r="B207" s="136" t="s">
        <v>956</v>
      </c>
      <c r="C207" s="136" t="s">
        <v>153</v>
      </c>
      <c r="D207" s="479" t="s">
        <v>93</v>
      </c>
      <c r="E207" s="771" t="s">
        <v>1106</v>
      </c>
      <c r="F207" s="145"/>
      <c r="G207" s="136"/>
      <c r="H207" s="136"/>
      <c r="I207" s="136"/>
      <c r="J207" s="136"/>
      <c r="K207" s="136"/>
      <c r="L207" s="136"/>
      <c r="M207" s="136"/>
      <c r="N207" s="136"/>
      <c r="O207" s="136"/>
      <c r="P207" s="136"/>
      <c r="Q207" s="136"/>
      <c r="R207" s="136"/>
      <c r="S207" s="136"/>
      <c r="T207" s="136"/>
      <c r="U207" s="136"/>
      <c r="V207" s="136"/>
      <c r="W207" s="136"/>
      <c r="X207" s="136" t="s">
        <v>153</v>
      </c>
      <c r="Y207" s="136"/>
      <c r="Z207" s="136"/>
      <c r="AA207" s="136"/>
      <c r="AB207" s="136"/>
    </row>
    <row r="208" spans="1:28">
      <c r="A208" s="720" t="s">
        <v>917</v>
      </c>
      <c r="B208" s="136" t="s">
        <v>956</v>
      </c>
      <c r="C208" s="136" t="s">
        <v>153</v>
      </c>
      <c r="D208" s="479" t="s">
        <v>93</v>
      </c>
      <c r="E208" s="771" t="s">
        <v>1107</v>
      </c>
      <c r="F208" s="145"/>
      <c r="G208" s="136"/>
      <c r="H208" s="136"/>
      <c r="I208" s="136"/>
      <c r="J208" s="136"/>
      <c r="K208" s="136"/>
      <c r="L208" s="136"/>
      <c r="M208" s="136"/>
      <c r="N208" s="136"/>
      <c r="O208" s="136"/>
      <c r="P208" s="136"/>
      <c r="Q208" s="136"/>
      <c r="R208" s="136"/>
      <c r="S208" s="136"/>
      <c r="T208" s="136"/>
      <c r="U208" s="136"/>
      <c r="V208" s="136"/>
      <c r="W208" s="136"/>
      <c r="X208" s="136" t="s">
        <v>153</v>
      </c>
      <c r="Y208" s="136"/>
      <c r="Z208" s="136"/>
      <c r="AA208" s="136"/>
      <c r="AB208" s="136"/>
    </row>
    <row r="209" spans="1:28">
      <c r="A209" s="720" t="s">
        <v>917</v>
      </c>
      <c r="B209" s="136" t="s">
        <v>956</v>
      </c>
      <c r="C209" s="136" t="s">
        <v>153</v>
      </c>
      <c r="D209" s="479" t="s">
        <v>93</v>
      </c>
      <c r="E209" s="771" t="s">
        <v>1108</v>
      </c>
      <c r="F209" s="145"/>
      <c r="G209" s="136"/>
      <c r="H209" s="136"/>
      <c r="I209" s="136"/>
      <c r="J209" s="136"/>
      <c r="K209" s="136"/>
      <c r="L209" s="136"/>
      <c r="M209" s="136"/>
      <c r="N209" s="136"/>
      <c r="O209" s="136"/>
      <c r="P209" s="136"/>
      <c r="Q209" s="136"/>
      <c r="R209" s="136"/>
      <c r="S209" s="136"/>
      <c r="T209" s="136"/>
      <c r="U209" s="136"/>
      <c r="V209" s="136"/>
      <c r="W209" s="136"/>
      <c r="X209" s="136" t="s">
        <v>153</v>
      </c>
      <c r="Y209" s="136"/>
      <c r="Z209" s="136"/>
      <c r="AA209" s="136"/>
      <c r="AB209" s="136"/>
    </row>
    <row r="210" spans="1:28">
      <c r="A210" s="720" t="s">
        <v>917</v>
      </c>
      <c r="B210" s="136" t="s">
        <v>956</v>
      </c>
      <c r="C210" s="136" t="s">
        <v>153</v>
      </c>
      <c r="D210" s="479" t="s">
        <v>93</v>
      </c>
      <c r="E210" s="771" t="s">
        <v>1109</v>
      </c>
      <c r="F210" s="145"/>
      <c r="G210" s="136"/>
      <c r="H210" s="136"/>
      <c r="I210" s="136"/>
      <c r="J210" s="136"/>
      <c r="K210" s="136"/>
      <c r="L210" s="136"/>
      <c r="M210" s="136"/>
      <c r="N210" s="136"/>
      <c r="O210" s="136"/>
      <c r="P210" s="136"/>
      <c r="Q210" s="136"/>
      <c r="R210" s="136"/>
      <c r="S210" s="136"/>
      <c r="T210" s="136"/>
      <c r="U210" s="136"/>
      <c r="V210" s="136"/>
      <c r="W210" s="136"/>
      <c r="X210" s="136" t="s">
        <v>153</v>
      </c>
      <c r="Y210" s="136"/>
      <c r="Z210" s="136"/>
      <c r="AA210" s="136"/>
      <c r="AB210" s="136"/>
    </row>
    <row r="211" spans="1:28">
      <c r="A211" s="720" t="s">
        <v>917</v>
      </c>
      <c r="B211" s="136" t="s">
        <v>956</v>
      </c>
      <c r="C211" s="136" t="s">
        <v>153</v>
      </c>
      <c r="D211" s="479" t="s">
        <v>93</v>
      </c>
      <c r="E211" s="771" t="s">
        <v>1110</v>
      </c>
      <c r="F211" s="145"/>
      <c r="G211" s="136"/>
      <c r="H211" s="136"/>
      <c r="I211" s="136"/>
      <c r="J211" s="136"/>
      <c r="K211" s="136"/>
      <c r="L211" s="136"/>
      <c r="M211" s="136"/>
      <c r="N211" s="136"/>
      <c r="O211" s="136"/>
      <c r="P211" s="136"/>
      <c r="Q211" s="136"/>
      <c r="R211" s="136"/>
      <c r="S211" s="136"/>
      <c r="T211" s="136"/>
      <c r="U211" s="136"/>
      <c r="V211" s="136"/>
      <c r="W211" s="136"/>
      <c r="X211" s="136" t="s">
        <v>153</v>
      </c>
      <c r="Y211" s="136"/>
      <c r="Z211" s="136"/>
      <c r="AA211" s="136"/>
      <c r="AB211" s="136"/>
    </row>
    <row r="212" spans="1:28">
      <c r="A212" s="720" t="s">
        <v>917</v>
      </c>
      <c r="B212" s="136" t="s">
        <v>956</v>
      </c>
      <c r="C212" s="136" t="s">
        <v>153</v>
      </c>
      <c r="D212" s="479" t="s">
        <v>93</v>
      </c>
      <c r="E212" s="771" t="s">
        <v>1111</v>
      </c>
      <c r="F212" s="145"/>
      <c r="G212" s="136"/>
      <c r="H212" s="136"/>
      <c r="I212" s="136"/>
      <c r="J212" s="136"/>
      <c r="K212" s="136"/>
      <c r="L212" s="136"/>
      <c r="M212" s="136"/>
      <c r="N212" s="136"/>
      <c r="O212" s="136"/>
      <c r="P212" s="136"/>
      <c r="Q212" s="136"/>
      <c r="R212" s="136"/>
      <c r="S212" s="136"/>
      <c r="T212" s="136"/>
      <c r="U212" s="136"/>
      <c r="V212" s="136"/>
      <c r="W212" s="136"/>
      <c r="X212" s="136" t="s">
        <v>153</v>
      </c>
      <c r="Y212" s="136"/>
      <c r="Z212" s="136"/>
      <c r="AA212" s="136"/>
      <c r="AB212" s="136"/>
    </row>
    <row r="213" spans="1:28">
      <c r="A213" s="720" t="s">
        <v>917</v>
      </c>
      <c r="B213" s="136" t="s">
        <v>956</v>
      </c>
      <c r="C213" s="136" t="s">
        <v>153</v>
      </c>
      <c r="D213" s="479" t="s">
        <v>93</v>
      </c>
      <c r="E213" s="771" t="s">
        <v>1112</v>
      </c>
      <c r="F213" s="145"/>
      <c r="G213" s="136"/>
      <c r="H213" s="136"/>
      <c r="I213" s="136"/>
      <c r="J213" s="136"/>
      <c r="K213" s="136"/>
      <c r="L213" s="136"/>
      <c r="M213" s="136"/>
      <c r="N213" s="136"/>
      <c r="O213" s="136"/>
      <c r="P213" s="136"/>
      <c r="Q213" s="136"/>
      <c r="R213" s="136"/>
      <c r="S213" s="136"/>
      <c r="T213" s="136"/>
      <c r="U213" s="136"/>
      <c r="V213" s="136"/>
      <c r="W213" s="136"/>
      <c r="X213" s="136" t="s">
        <v>153</v>
      </c>
      <c r="Y213" s="136"/>
      <c r="Z213" s="136"/>
      <c r="AA213" s="136"/>
      <c r="AB213" s="136"/>
    </row>
    <row r="214" spans="1:28">
      <c r="A214" s="720" t="s">
        <v>917</v>
      </c>
      <c r="B214" s="136" t="s">
        <v>956</v>
      </c>
      <c r="C214" s="136" t="s">
        <v>153</v>
      </c>
      <c r="D214" s="479" t="s">
        <v>93</v>
      </c>
      <c r="E214" s="771" t="s">
        <v>1113</v>
      </c>
      <c r="F214" s="145"/>
      <c r="G214" s="136"/>
      <c r="H214" s="136"/>
      <c r="I214" s="136"/>
      <c r="J214" s="136"/>
      <c r="K214" s="136"/>
      <c r="L214" s="136"/>
      <c r="M214" s="136"/>
      <c r="N214" s="136"/>
      <c r="O214" s="136"/>
      <c r="P214" s="136"/>
      <c r="Q214" s="136"/>
      <c r="R214" s="136"/>
      <c r="S214" s="136"/>
      <c r="T214" s="136"/>
      <c r="U214" s="136"/>
      <c r="V214" s="136"/>
      <c r="W214" s="136"/>
      <c r="X214" s="136" t="s">
        <v>153</v>
      </c>
      <c r="Y214" s="136"/>
      <c r="Z214" s="136"/>
      <c r="AA214" s="136"/>
      <c r="AB214" s="136"/>
    </row>
    <row r="215" spans="1:28">
      <c r="A215" s="720" t="s">
        <v>917</v>
      </c>
      <c r="B215" s="136" t="s">
        <v>956</v>
      </c>
      <c r="C215" s="136" t="s">
        <v>153</v>
      </c>
      <c r="D215" s="479" t="s">
        <v>93</v>
      </c>
      <c r="E215" s="771" t="s">
        <v>1114</v>
      </c>
      <c r="F215" s="145"/>
      <c r="G215" s="136"/>
      <c r="H215" s="136"/>
      <c r="I215" s="136"/>
      <c r="J215" s="136"/>
      <c r="K215" s="136"/>
      <c r="L215" s="136"/>
      <c r="M215" s="136"/>
      <c r="N215" s="136"/>
      <c r="O215" s="136"/>
      <c r="P215" s="136"/>
      <c r="Q215" s="136"/>
      <c r="R215" s="136"/>
      <c r="S215" s="136"/>
      <c r="T215" s="136"/>
      <c r="U215" s="136"/>
      <c r="V215" s="136"/>
      <c r="W215" s="136"/>
      <c r="X215" s="136" t="s">
        <v>153</v>
      </c>
      <c r="Y215" s="136"/>
      <c r="Z215" s="136"/>
      <c r="AA215" s="136"/>
      <c r="AB215" s="136"/>
    </row>
    <row r="216" spans="1:28">
      <c r="A216" s="720" t="s">
        <v>917</v>
      </c>
      <c r="B216" s="136" t="s">
        <v>956</v>
      </c>
      <c r="C216" s="136" t="s">
        <v>153</v>
      </c>
      <c r="D216" s="479" t="s">
        <v>93</v>
      </c>
      <c r="E216" s="771" t="s">
        <v>1115</v>
      </c>
      <c r="F216" s="145"/>
      <c r="G216" s="136"/>
      <c r="H216" s="136"/>
      <c r="I216" s="136"/>
      <c r="J216" s="136"/>
      <c r="K216" s="136"/>
      <c r="L216" s="136"/>
      <c r="M216" s="136"/>
      <c r="N216" s="136"/>
      <c r="O216" s="136"/>
      <c r="P216" s="136"/>
      <c r="Q216" s="136"/>
      <c r="R216" s="136"/>
      <c r="S216" s="136"/>
      <c r="T216" s="136"/>
      <c r="U216" s="136"/>
      <c r="V216" s="136"/>
      <c r="W216" s="136"/>
      <c r="X216" s="136" t="s">
        <v>153</v>
      </c>
      <c r="Y216" s="136"/>
      <c r="Z216" s="136"/>
      <c r="AA216" s="136"/>
      <c r="AB216" s="136"/>
    </row>
    <row r="217" spans="1:28">
      <c r="A217" s="720" t="s">
        <v>917</v>
      </c>
      <c r="B217" s="136" t="s">
        <v>956</v>
      </c>
      <c r="C217" s="136" t="s">
        <v>153</v>
      </c>
      <c r="D217" s="479" t="s">
        <v>93</v>
      </c>
      <c r="E217" s="771" t="s">
        <v>1116</v>
      </c>
      <c r="F217" s="145"/>
      <c r="G217" s="136"/>
      <c r="H217" s="136"/>
      <c r="I217" s="136"/>
      <c r="J217" s="136"/>
      <c r="K217" s="136"/>
      <c r="L217" s="136"/>
      <c r="M217" s="136"/>
      <c r="N217" s="136"/>
      <c r="O217" s="136"/>
      <c r="P217" s="136"/>
      <c r="Q217" s="136"/>
      <c r="R217" s="136"/>
      <c r="S217" s="136"/>
      <c r="T217" s="136"/>
      <c r="U217" s="136"/>
      <c r="V217" s="136"/>
      <c r="W217" s="136"/>
      <c r="X217" s="136" t="s">
        <v>153</v>
      </c>
      <c r="Y217" s="136"/>
      <c r="Z217" s="136"/>
      <c r="AA217" s="136"/>
      <c r="AB217" s="136"/>
    </row>
    <row r="218" spans="1:28">
      <c r="A218" s="720" t="s">
        <v>917</v>
      </c>
      <c r="B218" s="136" t="s">
        <v>956</v>
      </c>
      <c r="C218" s="136" t="s">
        <v>153</v>
      </c>
      <c r="D218" s="479" t="s">
        <v>93</v>
      </c>
      <c r="E218" s="771" t="s">
        <v>1117</v>
      </c>
      <c r="F218" s="145"/>
      <c r="G218" s="136"/>
      <c r="H218" s="136"/>
      <c r="I218" s="136"/>
      <c r="J218" s="136"/>
      <c r="K218" s="136"/>
      <c r="L218" s="136"/>
      <c r="M218" s="136"/>
      <c r="N218" s="136"/>
      <c r="O218" s="136"/>
      <c r="P218" s="136"/>
      <c r="Q218" s="136"/>
      <c r="R218" s="136"/>
      <c r="S218" s="136"/>
      <c r="T218" s="136"/>
      <c r="U218" s="136"/>
      <c r="V218" s="136"/>
      <c r="W218" s="136"/>
      <c r="X218" s="136" t="s">
        <v>153</v>
      </c>
      <c r="Y218" s="136"/>
      <c r="Z218" s="136"/>
      <c r="AA218" s="136"/>
      <c r="AB218" s="136"/>
    </row>
    <row r="219" spans="1:28">
      <c r="A219" s="720" t="s">
        <v>917</v>
      </c>
      <c r="B219" s="136" t="s">
        <v>956</v>
      </c>
      <c r="C219" s="136" t="s">
        <v>153</v>
      </c>
      <c r="D219" s="479" t="s">
        <v>93</v>
      </c>
      <c r="E219" s="771" t="s">
        <v>1118</v>
      </c>
      <c r="F219" s="145"/>
      <c r="G219" s="136"/>
      <c r="H219" s="136"/>
      <c r="I219" s="136"/>
      <c r="J219" s="136"/>
      <c r="K219" s="136"/>
      <c r="L219" s="136"/>
      <c r="M219" s="136"/>
      <c r="N219" s="136"/>
      <c r="O219" s="136"/>
      <c r="P219" s="136"/>
      <c r="Q219" s="136"/>
      <c r="R219" s="136"/>
      <c r="S219" s="136"/>
      <c r="T219" s="136"/>
      <c r="U219" s="136"/>
      <c r="V219" s="136"/>
      <c r="W219" s="136"/>
      <c r="X219" s="136" t="s">
        <v>153</v>
      </c>
      <c r="Y219" s="136"/>
      <c r="Z219" s="136"/>
      <c r="AA219" s="136"/>
      <c r="AB219" s="136"/>
    </row>
    <row r="220" spans="1:28">
      <c r="A220" s="720" t="s">
        <v>917</v>
      </c>
      <c r="B220" s="136" t="s">
        <v>956</v>
      </c>
      <c r="C220" s="136" t="s">
        <v>153</v>
      </c>
      <c r="D220" s="479" t="s">
        <v>93</v>
      </c>
      <c r="E220" s="771" t="s">
        <v>1119</v>
      </c>
      <c r="F220" s="145"/>
      <c r="G220" s="136"/>
      <c r="H220" s="136"/>
      <c r="I220" s="136"/>
      <c r="J220" s="136"/>
      <c r="K220" s="136"/>
      <c r="L220" s="136"/>
      <c r="M220" s="136"/>
      <c r="N220" s="136"/>
      <c r="O220" s="136"/>
      <c r="P220" s="136"/>
      <c r="Q220" s="136"/>
      <c r="R220" s="136"/>
      <c r="S220" s="136"/>
      <c r="T220" s="136"/>
      <c r="U220" s="136"/>
      <c r="V220" s="136"/>
      <c r="W220" s="136"/>
      <c r="X220" s="136" t="s">
        <v>153</v>
      </c>
      <c r="Y220" s="136"/>
      <c r="Z220" s="136"/>
      <c r="AA220" s="136"/>
      <c r="AB220" s="136"/>
    </row>
    <row r="221" spans="1:28">
      <c r="A221" s="720" t="s">
        <v>917</v>
      </c>
      <c r="B221" s="136" t="s">
        <v>956</v>
      </c>
      <c r="C221" s="136" t="s">
        <v>153</v>
      </c>
      <c r="D221" s="479" t="s">
        <v>93</v>
      </c>
      <c r="E221" s="771" t="s">
        <v>1120</v>
      </c>
      <c r="F221" s="145"/>
      <c r="G221" s="136"/>
      <c r="H221" s="136"/>
      <c r="I221" s="136"/>
      <c r="J221" s="136"/>
      <c r="K221" s="136"/>
      <c r="L221" s="136"/>
      <c r="M221" s="136"/>
      <c r="N221" s="136"/>
      <c r="O221" s="136"/>
      <c r="P221" s="136"/>
      <c r="Q221" s="136"/>
      <c r="R221" s="136"/>
      <c r="S221" s="136"/>
      <c r="T221" s="136"/>
      <c r="U221" s="136"/>
      <c r="V221" s="136"/>
      <c r="W221" s="136"/>
      <c r="X221" s="136" t="s">
        <v>153</v>
      </c>
      <c r="Y221" s="136"/>
      <c r="Z221" s="136"/>
      <c r="AA221" s="136"/>
      <c r="AB221" s="136"/>
    </row>
    <row r="222" spans="1:28">
      <c r="A222" s="720" t="s">
        <v>917</v>
      </c>
      <c r="B222" s="136" t="s">
        <v>956</v>
      </c>
      <c r="C222" s="136" t="s">
        <v>153</v>
      </c>
      <c r="D222" s="479" t="s">
        <v>93</v>
      </c>
      <c r="E222" s="771" t="s">
        <v>1121</v>
      </c>
      <c r="F222" s="145"/>
      <c r="G222" s="136"/>
      <c r="H222" s="136"/>
      <c r="I222" s="136"/>
      <c r="J222" s="136"/>
      <c r="K222" s="136"/>
      <c r="L222" s="136"/>
      <c r="M222" s="136"/>
      <c r="N222" s="136"/>
      <c r="O222" s="136"/>
      <c r="P222" s="136"/>
      <c r="Q222" s="136"/>
      <c r="R222" s="136"/>
      <c r="S222" s="136"/>
      <c r="T222" s="136"/>
      <c r="U222" s="136"/>
      <c r="V222" s="136"/>
      <c r="W222" s="136"/>
      <c r="X222" s="136" t="s">
        <v>153</v>
      </c>
      <c r="Y222" s="136"/>
      <c r="Z222" s="136"/>
      <c r="AA222" s="136"/>
      <c r="AB222" s="136"/>
    </row>
    <row r="223" spans="1:28">
      <c r="A223" s="720" t="s">
        <v>917</v>
      </c>
      <c r="B223" s="136" t="s">
        <v>956</v>
      </c>
      <c r="C223" s="136" t="s">
        <v>153</v>
      </c>
      <c r="D223" s="479" t="s">
        <v>93</v>
      </c>
      <c r="E223" s="771" t="s">
        <v>1122</v>
      </c>
      <c r="F223" s="145"/>
      <c r="G223" s="136"/>
      <c r="H223" s="136"/>
      <c r="I223" s="136"/>
      <c r="J223" s="136"/>
      <c r="K223" s="136"/>
      <c r="L223" s="136"/>
      <c r="M223" s="136"/>
      <c r="N223" s="136"/>
      <c r="O223" s="136"/>
      <c r="P223" s="136"/>
      <c r="Q223" s="136"/>
      <c r="R223" s="136"/>
      <c r="S223" s="136"/>
      <c r="T223" s="136"/>
      <c r="U223" s="136"/>
      <c r="V223" s="136"/>
      <c r="W223" s="136"/>
      <c r="X223" s="136" t="s">
        <v>153</v>
      </c>
      <c r="Y223" s="136"/>
      <c r="Z223" s="136"/>
      <c r="AA223" s="136"/>
      <c r="AB223" s="136"/>
    </row>
    <row r="224" spans="1:28">
      <c r="A224" s="720" t="s">
        <v>917</v>
      </c>
      <c r="B224" s="136" t="s">
        <v>956</v>
      </c>
      <c r="C224" s="136" t="s">
        <v>153</v>
      </c>
      <c r="D224" s="479" t="s">
        <v>93</v>
      </c>
      <c r="E224" s="771" t="s">
        <v>1123</v>
      </c>
      <c r="F224" s="145"/>
      <c r="G224" s="136"/>
      <c r="H224" s="136"/>
      <c r="I224" s="136"/>
      <c r="J224" s="136"/>
      <c r="K224" s="136"/>
      <c r="L224" s="136"/>
      <c r="M224" s="136"/>
      <c r="N224" s="136"/>
      <c r="O224" s="136"/>
      <c r="P224" s="136"/>
      <c r="Q224" s="136"/>
      <c r="R224" s="136"/>
      <c r="S224" s="136"/>
      <c r="T224" s="136"/>
      <c r="U224" s="136"/>
      <c r="V224" s="136"/>
      <c r="W224" s="136"/>
      <c r="X224" s="136" t="s">
        <v>153</v>
      </c>
      <c r="Y224" s="136"/>
      <c r="Z224" s="136"/>
      <c r="AA224" s="136"/>
      <c r="AB224" s="136"/>
    </row>
    <row r="225" spans="1:28">
      <c r="A225" s="720" t="s">
        <v>917</v>
      </c>
      <c r="B225" s="136" t="s">
        <v>956</v>
      </c>
      <c r="C225" s="136" t="s">
        <v>153</v>
      </c>
      <c r="D225" s="479" t="s">
        <v>93</v>
      </c>
      <c r="E225" s="771" t="s">
        <v>1124</v>
      </c>
      <c r="F225" s="145"/>
      <c r="G225" s="136"/>
      <c r="H225" s="136"/>
      <c r="I225" s="136"/>
      <c r="J225" s="136"/>
      <c r="K225" s="136"/>
      <c r="L225" s="136"/>
      <c r="M225" s="136"/>
      <c r="N225" s="136"/>
      <c r="O225" s="136"/>
      <c r="P225" s="136"/>
      <c r="Q225" s="136"/>
      <c r="R225" s="136"/>
      <c r="S225" s="136"/>
      <c r="T225" s="136"/>
      <c r="U225" s="136"/>
      <c r="V225" s="136"/>
      <c r="W225" s="136"/>
      <c r="X225" s="136" t="s">
        <v>153</v>
      </c>
      <c r="Y225" s="136"/>
      <c r="Z225" s="136"/>
      <c r="AA225" s="136"/>
      <c r="AB225" s="136"/>
    </row>
    <row r="226" spans="1:28">
      <c r="A226" s="720" t="s">
        <v>917</v>
      </c>
      <c r="B226" s="136" t="s">
        <v>956</v>
      </c>
      <c r="C226" s="136" t="s">
        <v>153</v>
      </c>
      <c r="D226" s="479" t="s">
        <v>93</v>
      </c>
      <c r="E226" s="771" t="s">
        <v>1125</v>
      </c>
      <c r="F226" s="145"/>
      <c r="G226" s="136"/>
      <c r="H226" s="136"/>
      <c r="I226" s="136"/>
      <c r="J226" s="136"/>
      <c r="K226" s="136"/>
      <c r="L226" s="136"/>
      <c r="M226" s="136"/>
      <c r="N226" s="136"/>
      <c r="O226" s="136"/>
      <c r="P226" s="136"/>
      <c r="Q226" s="136"/>
      <c r="R226" s="136"/>
      <c r="S226" s="136"/>
      <c r="T226" s="136"/>
      <c r="U226" s="136"/>
      <c r="V226" s="136"/>
      <c r="W226" s="136"/>
      <c r="X226" s="136" t="s">
        <v>153</v>
      </c>
      <c r="Y226" s="136"/>
      <c r="Z226" s="136"/>
      <c r="AA226" s="136"/>
      <c r="AB226" s="136"/>
    </row>
    <row r="227" spans="1:28">
      <c r="A227" s="720" t="s">
        <v>917</v>
      </c>
      <c r="B227" s="136" t="s">
        <v>956</v>
      </c>
      <c r="C227" s="136" t="s">
        <v>153</v>
      </c>
      <c r="D227" s="479" t="s">
        <v>93</v>
      </c>
      <c r="E227" s="771" t="s">
        <v>1126</v>
      </c>
      <c r="F227" s="145"/>
      <c r="G227" s="136"/>
      <c r="H227" s="136"/>
      <c r="I227" s="136"/>
      <c r="J227" s="136"/>
      <c r="K227" s="136"/>
      <c r="L227" s="136"/>
      <c r="M227" s="136"/>
      <c r="N227" s="136"/>
      <c r="O227" s="136"/>
      <c r="P227" s="136"/>
      <c r="Q227" s="136"/>
      <c r="R227" s="136"/>
      <c r="S227" s="136"/>
      <c r="T227" s="136"/>
      <c r="U227" s="136"/>
      <c r="V227" s="136"/>
      <c r="W227" s="136"/>
      <c r="X227" s="136" t="s">
        <v>153</v>
      </c>
      <c r="Y227" s="136"/>
      <c r="Z227" s="136"/>
      <c r="AA227" s="136"/>
      <c r="AB227" s="136"/>
    </row>
    <row r="228" spans="1:28">
      <c r="A228" s="720" t="s">
        <v>917</v>
      </c>
      <c r="B228" s="136" t="s">
        <v>956</v>
      </c>
      <c r="C228" s="136" t="s">
        <v>153</v>
      </c>
      <c r="D228" s="479" t="s">
        <v>93</v>
      </c>
      <c r="E228" s="771" t="s">
        <v>1127</v>
      </c>
      <c r="F228" s="145"/>
      <c r="G228" s="136"/>
      <c r="H228" s="136"/>
      <c r="I228" s="136"/>
      <c r="J228" s="136"/>
      <c r="K228" s="136"/>
      <c r="L228" s="136"/>
      <c r="M228" s="136"/>
      <c r="N228" s="136"/>
      <c r="O228" s="136"/>
      <c r="P228" s="136"/>
      <c r="Q228" s="136"/>
      <c r="R228" s="136"/>
      <c r="S228" s="136"/>
      <c r="T228" s="136"/>
      <c r="U228" s="136"/>
      <c r="V228" s="136"/>
      <c r="W228" s="136"/>
      <c r="X228" s="136" t="s">
        <v>153</v>
      </c>
      <c r="Y228" s="136"/>
      <c r="Z228" s="136"/>
      <c r="AA228" s="136"/>
      <c r="AB228" s="136"/>
    </row>
    <row r="229" spans="1:28">
      <c r="A229" s="720" t="s">
        <v>917</v>
      </c>
      <c r="B229" s="136" t="s">
        <v>956</v>
      </c>
      <c r="C229" s="136" t="s">
        <v>153</v>
      </c>
      <c r="D229" s="479" t="s">
        <v>93</v>
      </c>
      <c r="E229" s="771" t="s">
        <v>1128</v>
      </c>
      <c r="F229" s="145"/>
      <c r="G229" s="136"/>
      <c r="H229" s="136"/>
      <c r="I229" s="136"/>
      <c r="J229" s="136"/>
      <c r="K229" s="136"/>
      <c r="L229" s="136"/>
      <c r="M229" s="136"/>
      <c r="N229" s="136"/>
      <c r="O229" s="136"/>
      <c r="P229" s="136"/>
      <c r="Q229" s="136"/>
      <c r="R229" s="136"/>
      <c r="S229" s="136"/>
      <c r="T229" s="136"/>
      <c r="U229" s="136"/>
      <c r="V229" s="136"/>
      <c r="W229" s="136"/>
      <c r="X229" s="136" t="s">
        <v>153</v>
      </c>
      <c r="Y229" s="136"/>
      <c r="Z229" s="136"/>
      <c r="AA229" s="136"/>
      <c r="AB229" s="136"/>
    </row>
    <row r="230" spans="1:28">
      <c r="A230" s="720" t="s">
        <v>917</v>
      </c>
      <c r="B230" s="136" t="s">
        <v>956</v>
      </c>
      <c r="C230" s="136" t="s">
        <v>153</v>
      </c>
      <c r="D230" s="479" t="s">
        <v>93</v>
      </c>
      <c r="E230" s="771" t="s">
        <v>1129</v>
      </c>
      <c r="F230" s="145"/>
      <c r="G230" s="136"/>
      <c r="H230" s="136"/>
      <c r="I230" s="136"/>
      <c r="J230" s="136"/>
      <c r="K230" s="136"/>
      <c r="L230" s="136"/>
      <c r="M230" s="136"/>
      <c r="N230" s="136"/>
      <c r="O230" s="136"/>
      <c r="P230" s="136"/>
      <c r="Q230" s="136"/>
      <c r="R230" s="136"/>
      <c r="S230" s="136"/>
      <c r="T230" s="136"/>
      <c r="U230" s="136"/>
      <c r="V230" s="136"/>
      <c r="W230" s="136"/>
      <c r="X230" s="136" t="s">
        <v>153</v>
      </c>
      <c r="Y230" s="136"/>
      <c r="Z230" s="136"/>
      <c r="AA230" s="136"/>
      <c r="AB230" s="136"/>
    </row>
    <row r="231" spans="1:28">
      <c r="A231" s="720" t="s">
        <v>917</v>
      </c>
      <c r="B231" s="136" t="s">
        <v>956</v>
      </c>
      <c r="C231" s="136" t="s">
        <v>153</v>
      </c>
      <c r="D231" s="479" t="s">
        <v>93</v>
      </c>
      <c r="E231" s="771" t="s">
        <v>1130</v>
      </c>
      <c r="F231" s="145"/>
      <c r="G231" s="136"/>
      <c r="H231" s="136"/>
      <c r="I231" s="136"/>
      <c r="J231" s="136"/>
      <c r="K231" s="136"/>
      <c r="L231" s="136"/>
      <c r="M231" s="136"/>
      <c r="N231" s="136"/>
      <c r="O231" s="136"/>
      <c r="P231" s="136"/>
      <c r="Q231" s="136"/>
      <c r="R231" s="136"/>
      <c r="S231" s="136"/>
      <c r="T231" s="136"/>
      <c r="U231" s="136"/>
      <c r="V231" s="136"/>
      <c r="W231" s="136"/>
      <c r="X231" s="136" t="s">
        <v>153</v>
      </c>
      <c r="Y231" s="136"/>
      <c r="Z231" s="136"/>
      <c r="AA231" s="136"/>
      <c r="AB231" s="136"/>
    </row>
    <row r="232" spans="1:28">
      <c r="A232" s="720" t="s">
        <v>917</v>
      </c>
      <c r="B232" s="136" t="s">
        <v>956</v>
      </c>
      <c r="C232" s="136" t="s">
        <v>153</v>
      </c>
      <c r="D232" s="479" t="s">
        <v>93</v>
      </c>
      <c r="E232" s="771" t="s">
        <v>1131</v>
      </c>
      <c r="F232" s="145"/>
      <c r="G232" s="136"/>
      <c r="H232" s="136"/>
      <c r="I232" s="136"/>
      <c r="J232" s="136"/>
      <c r="K232" s="136"/>
      <c r="L232" s="136"/>
      <c r="M232" s="136"/>
      <c r="N232" s="136"/>
      <c r="O232" s="136"/>
      <c r="P232" s="136"/>
      <c r="Q232" s="136"/>
      <c r="R232" s="136"/>
      <c r="S232" s="136"/>
      <c r="T232" s="136"/>
      <c r="U232" s="136"/>
      <c r="V232" s="136"/>
      <c r="W232" s="136"/>
      <c r="X232" s="136" t="s">
        <v>153</v>
      </c>
      <c r="Y232" s="136"/>
      <c r="Z232" s="136"/>
      <c r="AA232" s="136"/>
      <c r="AB232" s="136"/>
    </row>
    <row r="233" spans="1:28">
      <c r="A233" s="720" t="s">
        <v>917</v>
      </c>
      <c r="B233" s="136" t="s">
        <v>956</v>
      </c>
      <c r="C233" s="136" t="s">
        <v>153</v>
      </c>
      <c r="D233" s="479" t="s">
        <v>93</v>
      </c>
      <c r="E233" s="771" t="s">
        <v>1132</v>
      </c>
      <c r="F233" s="145"/>
      <c r="G233" s="136"/>
      <c r="H233" s="136"/>
      <c r="I233" s="136"/>
      <c r="J233" s="136"/>
      <c r="K233" s="136"/>
      <c r="L233" s="136"/>
      <c r="M233" s="136"/>
      <c r="N233" s="136"/>
      <c r="O233" s="136"/>
      <c r="P233" s="136"/>
      <c r="Q233" s="136"/>
      <c r="R233" s="136"/>
      <c r="S233" s="136"/>
      <c r="T233" s="136"/>
      <c r="U233" s="136"/>
      <c r="V233" s="136"/>
      <c r="W233" s="136"/>
      <c r="X233" s="136" t="s">
        <v>153</v>
      </c>
      <c r="Y233" s="136"/>
      <c r="Z233" s="136"/>
      <c r="AA233" s="136"/>
      <c r="AB233" s="136"/>
    </row>
    <row r="234" spans="1:28">
      <c r="A234" s="720" t="s">
        <v>917</v>
      </c>
      <c r="B234" s="136" t="s">
        <v>956</v>
      </c>
      <c r="C234" s="136" t="s">
        <v>153</v>
      </c>
      <c r="D234" s="479" t="s">
        <v>93</v>
      </c>
      <c r="E234" s="771" t="s">
        <v>1133</v>
      </c>
      <c r="F234" s="145"/>
      <c r="G234" s="136"/>
      <c r="H234" s="136"/>
      <c r="I234" s="136"/>
      <c r="J234" s="136"/>
      <c r="K234" s="136"/>
      <c r="L234" s="136"/>
      <c r="M234" s="136"/>
      <c r="N234" s="136"/>
      <c r="O234" s="136"/>
      <c r="P234" s="136"/>
      <c r="Q234" s="136"/>
      <c r="R234" s="136"/>
      <c r="S234" s="136"/>
      <c r="T234" s="136"/>
      <c r="U234" s="136"/>
      <c r="V234" s="136"/>
      <c r="W234" s="136"/>
      <c r="X234" s="136" t="s">
        <v>153</v>
      </c>
      <c r="Y234" s="136"/>
      <c r="Z234" s="136"/>
      <c r="AA234" s="136"/>
      <c r="AB234" s="136"/>
    </row>
    <row r="235" spans="1:28">
      <c r="A235" s="720" t="s">
        <v>917</v>
      </c>
      <c r="B235" s="136" t="s">
        <v>956</v>
      </c>
      <c r="C235" s="136" t="s">
        <v>153</v>
      </c>
      <c r="D235" s="479" t="s">
        <v>93</v>
      </c>
      <c r="E235" s="771" t="s">
        <v>1134</v>
      </c>
      <c r="F235" s="145"/>
      <c r="G235" s="136"/>
      <c r="H235" s="136"/>
      <c r="I235" s="136"/>
      <c r="J235" s="136"/>
      <c r="K235" s="136"/>
      <c r="L235" s="136"/>
      <c r="M235" s="136"/>
      <c r="N235" s="136"/>
      <c r="O235" s="136"/>
      <c r="P235" s="136"/>
      <c r="Q235" s="136"/>
      <c r="R235" s="136"/>
      <c r="S235" s="136"/>
      <c r="T235" s="136"/>
      <c r="U235" s="136"/>
      <c r="V235" s="136"/>
      <c r="W235" s="136"/>
      <c r="X235" s="136" t="s">
        <v>153</v>
      </c>
      <c r="Y235" s="136"/>
      <c r="Z235" s="136"/>
      <c r="AA235" s="136"/>
      <c r="AB235" s="136"/>
    </row>
    <row r="236" spans="1:28">
      <c r="A236" s="720" t="s">
        <v>917</v>
      </c>
      <c r="B236" s="136" t="s">
        <v>956</v>
      </c>
      <c r="C236" s="136" t="s">
        <v>153</v>
      </c>
      <c r="D236" s="479" t="s">
        <v>93</v>
      </c>
      <c r="E236" s="771" t="s">
        <v>1135</v>
      </c>
      <c r="F236" s="145"/>
      <c r="G236" s="136"/>
      <c r="H236" s="136"/>
      <c r="I236" s="136"/>
      <c r="J236" s="136"/>
      <c r="K236" s="136"/>
      <c r="L236" s="136"/>
      <c r="M236" s="136"/>
      <c r="N236" s="136"/>
      <c r="O236" s="136"/>
      <c r="P236" s="136"/>
      <c r="Q236" s="136"/>
      <c r="R236" s="136"/>
      <c r="S236" s="136"/>
      <c r="T236" s="136"/>
      <c r="U236" s="136"/>
      <c r="V236" s="136"/>
      <c r="W236" s="136"/>
      <c r="X236" s="136" t="s">
        <v>153</v>
      </c>
      <c r="Y236" s="136"/>
      <c r="Z236" s="136"/>
      <c r="AA236" s="136"/>
      <c r="AB236" s="136"/>
    </row>
    <row r="237" spans="1:28">
      <c r="A237" s="720" t="s">
        <v>917</v>
      </c>
      <c r="B237" s="136" t="s">
        <v>956</v>
      </c>
      <c r="C237" s="136" t="s">
        <v>153</v>
      </c>
      <c r="D237" s="479" t="s">
        <v>93</v>
      </c>
      <c r="E237" s="771" t="s">
        <v>1136</v>
      </c>
      <c r="F237" s="145"/>
      <c r="G237" s="136"/>
      <c r="H237" s="136"/>
      <c r="I237" s="136"/>
      <c r="J237" s="136"/>
      <c r="K237" s="136"/>
      <c r="L237" s="136"/>
      <c r="M237" s="136"/>
      <c r="N237" s="136"/>
      <c r="O237" s="136"/>
      <c r="P237" s="136"/>
      <c r="Q237" s="136"/>
      <c r="R237" s="136"/>
      <c r="S237" s="136"/>
      <c r="T237" s="136"/>
      <c r="U237" s="136"/>
      <c r="V237" s="136"/>
      <c r="W237" s="136"/>
      <c r="X237" s="136" t="s">
        <v>153</v>
      </c>
      <c r="Y237" s="136"/>
      <c r="Z237" s="136"/>
      <c r="AA237" s="136"/>
      <c r="AB237" s="136"/>
    </row>
    <row r="238" spans="1:28">
      <c r="A238" s="720" t="s">
        <v>917</v>
      </c>
      <c r="B238" s="136" t="s">
        <v>956</v>
      </c>
      <c r="C238" s="136" t="s">
        <v>153</v>
      </c>
      <c r="D238" s="479" t="s">
        <v>93</v>
      </c>
      <c r="E238" s="771" t="s">
        <v>1137</v>
      </c>
      <c r="F238" s="145"/>
      <c r="G238" s="136"/>
      <c r="H238" s="136"/>
      <c r="I238" s="136"/>
      <c r="J238" s="136"/>
      <c r="K238" s="136"/>
      <c r="L238" s="136"/>
      <c r="M238" s="136"/>
      <c r="N238" s="136"/>
      <c r="O238" s="136"/>
      <c r="P238" s="136"/>
      <c r="Q238" s="136"/>
      <c r="R238" s="136"/>
      <c r="S238" s="136"/>
      <c r="T238" s="136"/>
      <c r="U238" s="136"/>
      <c r="V238" s="136"/>
      <c r="W238" s="136"/>
      <c r="X238" s="136" t="s">
        <v>153</v>
      </c>
      <c r="Y238" s="136"/>
      <c r="Z238" s="136"/>
      <c r="AA238" s="136"/>
      <c r="AB238" s="136"/>
    </row>
    <row r="239" spans="1:28">
      <c r="A239" s="720" t="s">
        <v>917</v>
      </c>
      <c r="B239" s="136" t="s">
        <v>956</v>
      </c>
      <c r="C239" s="136" t="s">
        <v>153</v>
      </c>
      <c r="D239" s="479" t="s">
        <v>93</v>
      </c>
      <c r="E239" s="771" t="s">
        <v>1138</v>
      </c>
      <c r="F239" s="145"/>
      <c r="G239" s="136"/>
      <c r="H239" s="136"/>
      <c r="I239" s="136"/>
      <c r="J239" s="136"/>
      <c r="K239" s="136"/>
      <c r="L239" s="136"/>
      <c r="M239" s="136"/>
      <c r="N239" s="136"/>
      <c r="O239" s="136"/>
      <c r="P239" s="136"/>
      <c r="Q239" s="136"/>
      <c r="R239" s="136"/>
      <c r="S239" s="136"/>
      <c r="T239" s="136"/>
      <c r="U239" s="136"/>
      <c r="V239" s="136"/>
      <c r="W239" s="136"/>
      <c r="X239" s="136" t="s">
        <v>153</v>
      </c>
      <c r="Y239" s="136"/>
      <c r="Z239" s="136"/>
      <c r="AA239" s="136"/>
      <c r="AB239" s="136"/>
    </row>
    <row r="240" spans="1:28">
      <c r="A240" s="720" t="s">
        <v>917</v>
      </c>
      <c r="B240" s="136" t="s">
        <v>956</v>
      </c>
      <c r="C240" s="136" t="s">
        <v>153</v>
      </c>
      <c r="D240" s="479" t="s">
        <v>93</v>
      </c>
      <c r="E240" s="771" t="s">
        <v>1139</v>
      </c>
      <c r="F240" s="145"/>
      <c r="G240" s="136"/>
      <c r="H240" s="136"/>
      <c r="I240" s="136"/>
      <c r="J240" s="136"/>
      <c r="K240" s="136"/>
      <c r="L240" s="136"/>
      <c r="M240" s="136"/>
      <c r="N240" s="136"/>
      <c r="O240" s="136"/>
      <c r="P240" s="136"/>
      <c r="Q240" s="136"/>
      <c r="R240" s="136"/>
      <c r="S240" s="136"/>
      <c r="T240" s="136"/>
      <c r="U240" s="136"/>
      <c r="V240" s="136"/>
      <c r="W240" s="136"/>
      <c r="X240" s="136" t="s">
        <v>153</v>
      </c>
      <c r="Y240" s="136"/>
      <c r="Z240" s="136"/>
      <c r="AA240" s="136"/>
      <c r="AB240" s="136"/>
    </row>
    <row r="241" spans="1:28">
      <c r="A241" s="720" t="s">
        <v>917</v>
      </c>
      <c r="B241" s="136" t="s">
        <v>956</v>
      </c>
      <c r="C241" s="136" t="s">
        <v>153</v>
      </c>
      <c r="D241" s="479" t="s">
        <v>93</v>
      </c>
      <c r="E241" s="771" t="s">
        <v>1140</v>
      </c>
      <c r="F241" s="145"/>
      <c r="G241" s="136"/>
      <c r="H241" s="136"/>
      <c r="I241" s="136"/>
      <c r="J241" s="136"/>
      <c r="K241" s="136"/>
      <c r="L241" s="136"/>
      <c r="M241" s="136"/>
      <c r="N241" s="136"/>
      <c r="O241" s="136"/>
      <c r="P241" s="136"/>
      <c r="Q241" s="136"/>
      <c r="R241" s="136"/>
      <c r="S241" s="136"/>
      <c r="T241" s="136"/>
      <c r="U241" s="136"/>
      <c r="V241" s="136"/>
      <c r="W241" s="136"/>
      <c r="X241" s="136" t="s">
        <v>153</v>
      </c>
      <c r="Y241" s="136"/>
      <c r="Z241" s="136"/>
      <c r="AA241" s="136"/>
      <c r="AB241" s="136"/>
    </row>
    <row r="242" spans="1:28">
      <c r="A242" s="720" t="s">
        <v>917</v>
      </c>
      <c r="B242" s="136" t="s">
        <v>956</v>
      </c>
      <c r="C242" s="136" t="s">
        <v>153</v>
      </c>
      <c r="D242" s="479" t="s">
        <v>93</v>
      </c>
      <c r="E242" s="771" t="s">
        <v>1141</v>
      </c>
      <c r="F242" s="145"/>
      <c r="G242" s="136"/>
      <c r="H242" s="136"/>
      <c r="I242" s="136"/>
      <c r="J242" s="136"/>
      <c r="K242" s="136"/>
      <c r="L242" s="136"/>
      <c r="M242" s="136"/>
      <c r="N242" s="136"/>
      <c r="O242" s="136"/>
      <c r="P242" s="136"/>
      <c r="Q242" s="136"/>
      <c r="R242" s="136"/>
      <c r="S242" s="136"/>
      <c r="T242" s="136"/>
      <c r="U242" s="136"/>
      <c r="V242" s="136"/>
      <c r="W242" s="136"/>
      <c r="X242" s="136" t="s">
        <v>153</v>
      </c>
      <c r="Y242" s="136"/>
      <c r="Z242" s="136"/>
      <c r="AA242" s="136"/>
      <c r="AB242" s="136"/>
    </row>
    <row r="243" spans="1:28">
      <c r="A243" s="720" t="s">
        <v>917</v>
      </c>
      <c r="B243" s="136" t="s">
        <v>956</v>
      </c>
      <c r="C243" s="136" t="s">
        <v>153</v>
      </c>
      <c r="D243" s="479" t="s">
        <v>93</v>
      </c>
      <c r="E243" s="771" t="s">
        <v>1142</v>
      </c>
      <c r="F243" s="145"/>
      <c r="G243" s="136"/>
      <c r="H243" s="136"/>
      <c r="I243" s="136"/>
      <c r="J243" s="136"/>
      <c r="K243" s="136"/>
      <c r="L243" s="136"/>
      <c r="M243" s="136"/>
      <c r="N243" s="136"/>
      <c r="O243" s="136"/>
      <c r="P243" s="136"/>
      <c r="Q243" s="136"/>
      <c r="R243" s="136"/>
      <c r="S243" s="136"/>
      <c r="T243" s="136"/>
      <c r="U243" s="136"/>
      <c r="V243" s="136"/>
      <c r="W243" s="136"/>
      <c r="X243" s="136" t="s">
        <v>153</v>
      </c>
      <c r="Y243" s="136"/>
      <c r="Z243" s="136"/>
      <c r="AA243" s="136"/>
      <c r="AB243" s="136"/>
    </row>
    <row r="244" spans="1:28">
      <c r="A244" s="720" t="s">
        <v>917</v>
      </c>
      <c r="B244" s="136" t="s">
        <v>956</v>
      </c>
      <c r="C244" s="136" t="s">
        <v>153</v>
      </c>
      <c r="D244" s="479" t="s">
        <v>93</v>
      </c>
      <c r="E244" s="771" t="s">
        <v>1143</v>
      </c>
      <c r="F244" s="145"/>
      <c r="G244" s="136"/>
      <c r="H244" s="136"/>
      <c r="I244" s="136"/>
      <c r="J244" s="136"/>
      <c r="K244" s="136"/>
      <c r="L244" s="136"/>
      <c r="M244" s="136"/>
      <c r="N244" s="136"/>
      <c r="O244" s="136"/>
      <c r="P244" s="136"/>
      <c r="Q244" s="136"/>
      <c r="R244" s="136"/>
      <c r="S244" s="136"/>
      <c r="T244" s="136"/>
      <c r="U244" s="136"/>
      <c r="V244" s="136"/>
      <c r="W244" s="136"/>
      <c r="X244" s="136" t="s">
        <v>153</v>
      </c>
      <c r="Y244" s="136"/>
      <c r="Z244" s="136"/>
      <c r="AA244" s="136"/>
      <c r="AB244" s="136"/>
    </row>
    <row r="245" spans="1:28">
      <c r="A245" s="720" t="s">
        <v>917</v>
      </c>
      <c r="B245" s="136" t="s">
        <v>956</v>
      </c>
      <c r="C245" s="136" t="s">
        <v>153</v>
      </c>
      <c r="D245" s="479" t="s">
        <v>93</v>
      </c>
      <c r="E245" s="771" t="s">
        <v>1144</v>
      </c>
      <c r="F245" s="145"/>
      <c r="G245" s="136"/>
      <c r="H245" s="136"/>
      <c r="I245" s="136"/>
      <c r="J245" s="136"/>
      <c r="K245" s="136"/>
      <c r="L245" s="136"/>
      <c r="M245" s="136"/>
      <c r="N245" s="136"/>
      <c r="O245" s="136"/>
      <c r="P245" s="136"/>
      <c r="Q245" s="136"/>
      <c r="R245" s="136"/>
      <c r="S245" s="136"/>
      <c r="T245" s="136"/>
      <c r="U245" s="136"/>
      <c r="V245" s="136"/>
      <c r="W245" s="136"/>
      <c r="X245" s="136" t="s">
        <v>153</v>
      </c>
      <c r="Y245" s="136"/>
      <c r="Z245" s="136"/>
      <c r="AA245" s="136"/>
      <c r="AB245" s="136"/>
    </row>
    <row r="246" spans="1:28">
      <c r="A246" s="720" t="s">
        <v>917</v>
      </c>
      <c r="B246" s="136" t="s">
        <v>956</v>
      </c>
      <c r="C246" s="136" t="s">
        <v>153</v>
      </c>
      <c r="D246" s="479" t="s">
        <v>93</v>
      </c>
      <c r="E246" s="771" t="s">
        <v>1145</v>
      </c>
      <c r="F246" s="145"/>
      <c r="G246" s="136"/>
      <c r="H246" s="136"/>
      <c r="I246" s="136"/>
      <c r="J246" s="136"/>
      <c r="K246" s="136"/>
      <c r="L246" s="136"/>
      <c r="M246" s="136"/>
      <c r="N246" s="136"/>
      <c r="O246" s="136"/>
      <c r="P246" s="136"/>
      <c r="Q246" s="136"/>
      <c r="R246" s="136"/>
      <c r="S246" s="136"/>
      <c r="T246" s="136"/>
      <c r="U246" s="136"/>
      <c r="V246" s="136"/>
      <c r="W246" s="136"/>
      <c r="X246" s="136" t="s">
        <v>153</v>
      </c>
      <c r="Y246" s="136"/>
      <c r="Z246" s="136"/>
      <c r="AA246" s="136"/>
      <c r="AB246" s="136"/>
    </row>
    <row r="247" spans="1:28">
      <c r="A247" s="720" t="s">
        <v>917</v>
      </c>
      <c r="B247" s="136" t="s">
        <v>956</v>
      </c>
      <c r="C247" s="136" t="s">
        <v>153</v>
      </c>
      <c r="D247" s="479" t="s">
        <v>93</v>
      </c>
      <c r="E247" s="771" t="s">
        <v>1146</v>
      </c>
      <c r="F247" s="145"/>
      <c r="G247" s="136"/>
      <c r="H247" s="136"/>
      <c r="I247" s="136"/>
      <c r="J247" s="136"/>
      <c r="K247" s="136"/>
      <c r="L247" s="136"/>
      <c r="M247" s="136"/>
      <c r="N247" s="136"/>
      <c r="O247" s="136"/>
      <c r="P247" s="136"/>
      <c r="Q247" s="136"/>
      <c r="R247" s="136"/>
      <c r="S247" s="136"/>
      <c r="T247" s="136"/>
      <c r="U247" s="136"/>
      <c r="V247" s="136"/>
      <c r="W247" s="136"/>
      <c r="X247" s="136" t="s">
        <v>153</v>
      </c>
      <c r="Y247" s="136"/>
      <c r="Z247" s="136"/>
      <c r="AA247" s="136"/>
      <c r="AB247" s="136"/>
    </row>
    <row r="248" spans="1:28">
      <c r="A248" s="720" t="s">
        <v>917</v>
      </c>
      <c r="B248" s="136" t="s">
        <v>956</v>
      </c>
      <c r="C248" s="136" t="s">
        <v>153</v>
      </c>
      <c r="D248" s="479" t="s">
        <v>93</v>
      </c>
      <c r="E248" s="771" t="s">
        <v>1147</v>
      </c>
      <c r="F248" s="145"/>
      <c r="G248" s="136"/>
      <c r="H248" s="136"/>
      <c r="I248" s="136"/>
      <c r="J248" s="136"/>
      <c r="K248" s="136"/>
      <c r="L248" s="136"/>
      <c r="M248" s="136"/>
      <c r="N248" s="136"/>
      <c r="O248" s="136"/>
      <c r="P248" s="136"/>
      <c r="Q248" s="136"/>
      <c r="R248" s="136"/>
      <c r="S248" s="136"/>
      <c r="T248" s="136"/>
      <c r="U248" s="136"/>
      <c r="V248" s="136"/>
      <c r="W248" s="136"/>
      <c r="X248" s="136" t="s">
        <v>153</v>
      </c>
      <c r="Y248" s="136"/>
      <c r="Z248" s="136"/>
      <c r="AA248" s="136"/>
      <c r="AB248" s="136"/>
    </row>
    <row r="249" spans="1:28">
      <c r="A249" s="720" t="s">
        <v>917</v>
      </c>
      <c r="B249" s="136" t="s">
        <v>956</v>
      </c>
      <c r="C249" s="136" t="s">
        <v>153</v>
      </c>
      <c r="D249" s="479" t="s">
        <v>93</v>
      </c>
      <c r="E249" s="771" t="s">
        <v>1148</v>
      </c>
      <c r="F249" s="145"/>
      <c r="G249" s="136"/>
      <c r="H249" s="136"/>
      <c r="I249" s="136"/>
      <c r="J249" s="136"/>
      <c r="K249" s="136"/>
      <c r="L249" s="136"/>
      <c r="M249" s="136"/>
      <c r="N249" s="136"/>
      <c r="O249" s="136"/>
      <c r="P249" s="136"/>
      <c r="Q249" s="136"/>
      <c r="R249" s="136"/>
      <c r="S249" s="136"/>
      <c r="T249" s="136"/>
      <c r="U249" s="136"/>
      <c r="V249" s="136"/>
      <c r="W249" s="136"/>
      <c r="X249" s="136" t="s">
        <v>153</v>
      </c>
      <c r="Y249" s="136"/>
      <c r="Z249" s="136"/>
      <c r="AA249" s="136"/>
      <c r="AB249" s="136"/>
    </row>
    <row r="250" spans="1:28">
      <c r="A250" s="720" t="s">
        <v>917</v>
      </c>
      <c r="B250" s="136" t="s">
        <v>956</v>
      </c>
      <c r="C250" s="136" t="s">
        <v>153</v>
      </c>
      <c r="D250" s="479" t="s">
        <v>93</v>
      </c>
      <c r="E250" s="771" t="s">
        <v>1149</v>
      </c>
      <c r="F250" s="145"/>
      <c r="G250" s="136"/>
      <c r="H250" s="136"/>
      <c r="I250" s="136"/>
      <c r="J250" s="136"/>
      <c r="K250" s="136"/>
      <c r="L250" s="136"/>
      <c r="M250" s="136"/>
      <c r="N250" s="136"/>
      <c r="O250" s="136"/>
      <c r="P250" s="136"/>
      <c r="Q250" s="136"/>
      <c r="R250" s="136"/>
      <c r="S250" s="136"/>
      <c r="T250" s="136"/>
      <c r="U250" s="136"/>
      <c r="V250" s="136"/>
      <c r="W250" s="136"/>
      <c r="X250" s="136" t="s">
        <v>153</v>
      </c>
      <c r="Y250" s="136"/>
      <c r="Z250" s="136"/>
      <c r="AA250" s="136"/>
      <c r="AB250" s="136"/>
    </row>
    <row r="251" spans="1:28">
      <c r="A251" s="720" t="s">
        <v>917</v>
      </c>
      <c r="B251" s="136" t="s">
        <v>956</v>
      </c>
      <c r="C251" s="136" t="s">
        <v>153</v>
      </c>
      <c r="D251" s="479" t="s">
        <v>93</v>
      </c>
      <c r="E251" s="771" t="s">
        <v>1150</v>
      </c>
      <c r="F251" s="145"/>
      <c r="G251" s="136"/>
      <c r="H251" s="136"/>
      <c r="I251" s="136"/>
      <c r="J251" s="136"/>
      <c r="K251" s="136"/>
      <c r="L251" s="136"/>
      <c r="M251" s="136"/>
      <c r="N251" s="136"/>
      <c r="O251" s="136"/>
      <c r="P251" s="136"/>
      <c r="Q251" s="136"/>
      <c r="R251" s="136"/>
      <c r="S251" s="136"/>
      <c r="T251" s="136"/>
      <c r="U251" s="136"/>
      <c r="V251" s="136"/>
      <c r="W251" s="136"/>
      <c r="X251" s="136" t="s">
        <v>153</v>
      </c>
      <c r="Y251" s="136"/>
      <c r="Z251" s="136"/>
      <c r="AA251" s="136"/>
      <c r="AB251" s="136"/>
    </row>
    <row r="252" spans="1:28">
      <c r="A252" s="720" t="s">
        <v>917</v>
      </c>
      <c r="B252" s="136" t="s">
        <v>956</v>
      </c>
      <c r="C252" s="136" t="s">
        <v>153</v>
      </c>
      <c r="D252" s="479" t="s">
        <v>93</v>
      </c>
      <c r="E252" s="771" t="s">
        <v>1151</v>
      </c>
      <c r="F252" s="145"/>
      <c r="G252" s="136"/>
      <c r="H252" s="136"/>
      <c r="I252" s="136"/>
      <c r="J252" s="136"/>
      <c r="K252" s="136"/>
      <c r="L252" s="136"/>
      <c r="M252" s="136"/>
      <c r="N252" s="136"/>
      <c r="O252" s="136"/>
      <c r="P252" s="136"/>
      <c r="Q252" s="136"/>
      <c r="R252" s="136"/>
      <c r="S252" s="136"/>
      <c r="T252" s="136"/>
      <c r="U252" s="136"/>
      <c r="V252" s="136"/>
      <c r="W252" s="136"/>
      <c r="X252" s="136" t="s">
        <v>153</v>
      </c>
      <c r="Y252" s="136"/>
      <c r="Z252" s="136"/>
      <c r="AA252" s="136"/>
      <c r="AB252" s="136"/>
    </row>
    <row r="253" spans="1:28">
      <c r="A253" s="720" t="s">
        <v>917</v>
      </c>
      <c r="B253" s="136" t="s">
        <v>956</v>
      </c>
      <c r="C253" s="136" t="s">
        <v>153</v>
      </c>
      <c r="D253" s="479" t="s">
        <v>93</v>
      </c>
      <c r="E253" s="771" t="s">
        <v>1152</v>
      </c>
      <c r="F253" s="145"/>
      <c r="G253" s="136"/>
      <c r="H253" s="136"/>
      <c r="I253" s="136"/>
      <c r="J253" s="136"/>
      <c r="K253" s="136"/>
      <c r="L253" s="136"/>
      <c r="M253" s="136"/>
      <c r="N253" s="136"/>
      <c r="O253" s="136"/>
      <c r="P253" s="136"/>
      <c r="Q253" s="136"/>
      <c r="R253" s="136"/>
      <c r="S253" s="136"/>
      <c r="T253" s="136"/>
      <c r="U253" s="136"/>
      <c r="V253" s="136"/>
      <c r="W253" s="136"/>
      <c r="X253" s="136" t="s">
        <v>153</v>
      </c>
      <c r="Y253" s="136"/>
      <c r="Z253" s="136"/>
      <c r="AA253" s="136"/>
      <c r="AB253" s="136"/>
    </row>
    <row r="254" spans="1:28">
      <c r="A254" s="720" t="s">
        <v>917</v>
      </c>
      <c r="B254" s="136" t="s">
        <v>956</v>
      </c>
      <c r="C254" s="136" t="s">
        <v>153</v>
      </c>
      <c r="D254" s="479" t="s">
        <v>93</v>
      </c>
      <c r="E254" s="771" t="s">
        <v>1153</v>
      </c>
      <c r="F254" s="145"/>
      <c r="G254" s="136"/>
      <c r="H254" s="136"/>
      <c r="I254" s="136"/>
      <c r="J254" s="136"/>
      <c r="K254" s="136"/>
      <c r="L254" s="136"/>
      <c r="M254" s="136"/>
      <c r="N254" s="136"/>
      <c r="O254" s="136"/>
      <c r="P254" s="136"/>
      <c r="Q254" s="136"/>
      <c r="R254" s="136"/>
      <c r="S254" s="136"/>
      <c r="T254" s="136"/>
      <c r="U254" s="136"/>
      <c r="V254" s="136"/>
      <c r="W254" s="136"/>
      <c r="X254" s="136" t="s">
        <v>153</v>
      </c>
      <c r="Y254" s="136"/>
      <c r="Z254" s="136"/>
      <c r="AA254" s="136"/>
      <c r="AB254" s="136"/>
    </row>
    <row r="255" spans="1:28">
      <c r="A255" s="720" t="s">
        <v>917</v>
      </c>
      <c r="B255" s="136" t="s">
        <v>956</v>
      </c>
      <c r="C255" s="136" t="s">
        <v>153</v>
      </c>
      <c r="D255" s="479" t="s">
        <v>93</v>
      </c>
      <c r="E255" s="771" t="s">
        <v>1154</v>
      </c>
      <c r="F255" s="145"/>
      <c r="G255" s="136"/>
      <c r="H255" s="136"/>
      <c r="I255" s="136"/>
      <c r="J255" s="136"/>
      <c r="K255" s="136"/>
      <c r="L255" s="136"/>
      <c r="M255" s="136"/>
      <c r="N255" s="136"/>
      <c r="O255" s="136"/>
      <c r="P255" s="136"/>
      <c r="Q255" s="136"/>
      <c r="R255" s="136"/>
      <c r="S255" s="136"/>
      <c r="T255" s="136"/>
      <c r="U255" s="136"/>
      <c r="V255" s="136"/>
      <c r="W255" s="136"/>
      <c r="X255" s="136" t="s">
        <v>153</v>
      </c>
      <c r="Y255" s="136"/>
      <c r="Z255" s="136"/>
      <c r="AA255" s="136"/>
      <c r="AB255" s="136"/>
    </row>
    <row r="256" spans="1:28">
      <c r="A256" s="720" t="s">
        <v>917</v>
      </c>
      <c r="B256" s="136" t="s">
        <v>956</v>
      </c>
      <c r="C256" s="136" t="s">
        <v>153</v>
      </c>
      <c r="D256" s="479" t="s">
        <v>93</v>
      </c>
      <c r="E256" s="771" t="s">
        <v>1155</v>
      </c>
      <c r="F256" s="145"/>
      <c r="G256" s="136"/>
      <c r="H256" s="136"/>
      <c r="I256" s="136"/>
      <c r="J256" s="136"/>
      <c r="K256" s="136"/>
      <c r="L256" s="136"/>
      <c r="M256" s="136"/>
      <c r="N256" s="136"/>
      <c r="O256" s="136"/>
      <c r="P256" s="136"/>
      <c r="Q256" s="136"/>
      <c r="R256" s="136"/>
      <c r="S256" s="136"/>
      <c r="T256" s="136"/>
      <c r="U256" s="136"/>
      <c r="V256" s="136"/>
      <c r="W256" s="136"/>
      <c r="X256" s="136" t="s">
        <v>153</v>
      </c>
      <c r="Y256" s="136"/>
      <c r="Z256" s="136"/>
      <c r="AA256" s="136"/>
      <c r="AB256" s="136"/>
    </row>
    <row r="257" spans="1:28">
      <c r="A257" s="720" t="s">
        <v>917</v>
      </c>
      <c r="B257" s="136" t="s">
        <v>956</v>
      </c>
      <c r="C257" s="136" t="s">
        <v>153</v>
      </c>
      <c r="D257" s="479" t="s">
        <v>93</v>
      </c>
      <c r="E257" s="771" t="s">
        <v>1156</v>
      </c>
      <c r="F257" s="145"/>
      <c r="G257" s="136"/>
      <c r="H257" s="136"/>
      <c r="I257" s="136"/>
      <c r="J257" s="136"/>
      <c r="K257" s="136"/>
      <c r="L257" s="136"/>
      <c r="M257" s="136"/>
      <c r="N257" s="136"/>
      <c r="O257" s="136"/>
      <c r="P257" s="136"/>
      <c r="Q257" s="136"/>
      <c r="R257" s="136"/>
      <c r="S257" s="136"/>
      <c r="T257" s="136"/>
      <c r="U257" s="136"/>
      <c r="V257" s="136"/>
      <c r="W257" s="136"/>
      <c r="X257" s="136" t="s">
        <v>153</v>
      </c>
      <c r="Y257" s="136"/>
      <c r="Z257" s="136"/>
      <c r="AA257" s="136"/>
      <c r="AB257" s="136"/>
    </row>
    <row r="258" spans="1:28">
      <c r="A258" s="720" t="s">
        <v>917</v>
      </c>
      <c r="B258" s="136" t="s">
        <v>956</v>
      </c>
      <c r="C258" s="136" t="s">
        <v>153</v>
      </c>
      <c r="D258" s="479" t="s">
        <v>93</v>
      </c>
      <c r="E258" s="771" t="s">
        <v>1157</v>
      </c>
      <c r="F258" s="145"/>
      <c r="G258" s="136"/>
      <c r="H258" s="136"/>
      <c r="I258" s="136"/>
      <c r="J258" s="136"/>
      <c r="K258" s="136"/>
      <c r="L258" s="136"/>
      <c r="M258" s="136"/>
      <c r="N258" s="136"/>
      <c r="O258" s="136"/>
      <c r="P258" s="136"/>
      <c r="Q258" s="136"/>
      <c r="R258" s="136"/>
      <c r="S258" s="136"/>
      <c r="T258" s="136"/>
      <c r="U258" s="136"/>
      <c r="V258" s="136"/>
      <c r="W258" s="136"/>
      <c r="X258" s="136" t="s">
        <v>153</v>
      </c>
      <c r="Y258" s="136"/>
      <c r="Z258" s="136"/>
      <c r="AA258" s="136"/>
      <c r="AB258" s="136"/>
    </row>
    <row r="259" spans="1:28">
      <c r="A259" s="720" t="s">
        <v>917</v>
      </c>
      <c r="B259" s="136" t="s">
        <v>956</v>
      </c>
      <c r="C259" s="136" t="s">
        <v>153</v>
      </c>
      <c r="D259" s="479" t="s">
        <v>93</v>
      </c>
      <c r="E259" s="771" t="s">
        <v>1158</v>
      </c>
      <c r="F259" s="145"/>
      <c r="G259" s="136"/>
      <c r="H259" s="136"/>
      <c r="I259" s="136"/>
      <c r="J259" s="136"/>
      <c r="K259" s="136"/>
      <c r="L259" s="136"/>
      <c r="M259" s="136"/>
      <c r="N259" s="136"/>
      <c r="O259" s="136"/>
      <c r="P259" s="136"/>
      <c r="Q259" s="136"/>
      <c r="R259" s="136"/>
      <c r="S259" s="136"/>
      <c r="T259" s="136"/>
      <c r="U259" s="136"/>
      <c r="V259" s="136"/>
      <c r="W259" s="136"/>
      <c r="X259" s="136" t="s">
        <v>153</v>
      </c>
      <c r="Y259" s="136"/>
      <c r="Z259" s="136"/>
      <c r="AA259" s="136"/>
      <c r="AB259" s="136"/>
    </row>
    <row r="260" spans="1:28">
      <c r="A260" s="720" t="s">
        <v>917</v>
      </c>
      <c r="B260" s="136" t="s">
        <v>956</v>
      </c>
      <c r="C260" s="136" t="s">
        <v>153</v>
      </c>
      <c r="D260" s="479" t="s">
        <v>93</v>
      </c>
      <c r="E260" s="771" t="s">
        <v>1159</v>
      </c>
      <c r="F260" s="145"/>
      <c r="G260" s="136"/>
      <c r="H260" s="136"/>
      <c r="I260" s="136"/>
      <c r="J260" s="136"/>
      <c r="K260" s="136"/>
      <c r="L260" s="136"/>
      <c r="M260" s="136"/>
      <c r="N260" s="136"/>
      <c r="O260" s="136"/>
      <c r="P260" s="136"/>
      <c r="Q260" s="136"/>
      <c r="R260" s="136"/>
      <c r="S260" s="136"/>
      <c r="T260" s="136"/>
      <c r="U260" s="136"/>
      <c r="V260" s="136"/>
      <c r="W260" s="136"/>
      <c r="X260" s="136" t="s">
        <v>153</v>
      </c>
      <c r="Y260" s="136"/>
      <c r="Z260" s="136"/>
      <c r="AA260" s="136"/>
      <c r="AB260" s="136"/>
    </row>
    <row r="261" spans="1:28">
      <c r="A261" s="720" t="s">
        <v>917</v>
      </c>
      <c r="B261" s="136" t="s">
        <v>956</v>
      </c>
      <c r="C261" s="136" t="s">
        <v>153</v>
      </c>
      <c r="D261" s="479" t="s">
        <v>93</v>
      </c>
      <c r="E261" s="771" t="s">
        <v>1160</v>
      </c>
      <c r="F261" s="145"/>
      <c r="G261" s="136"/>
      <c r="H261" s="136"/>
      <c r="I261" s="136"/>
      <c r="J261" s="136"/>
      <c r="K261" s="136"/>
      <c r="L261" s="136"/>
      <c r="M261" s="136"/>
      <c r="N261" s="136"/>
      <c r="O261" s="136"/>
      <c r="P261" s="136"/>
      <c r="Q261" s="136"/>
      <c r="R261" s="136"/>
      <c r="S261" s="136"/>
      <c r="T261" s="136"/>
      <c r="U261" s="136"/>
      <c r="V261" s="136"/>
      <c r="W261" s="136"/>
      <c r="X261" s="136" t="s">
        <v>153</v>
      </c>
      <c r="Y261" s="136"/>
      <c r="Z261" s="136"/>
      <c r="AA261" s="136"/>
      <c r="AB261" s="136"/>
    </row>
    <row r="262" spans="1:28">
      <c r="A262" s="720" t="s">
        <v>917</v>
      </c>
      <c r="B262" s="136" t="s">
        <v>956</v>
      </c>
      <c r="C262" s="136" t="s">
        <v>153</v>
      </c>
      <c r="D262" s="479" t="s">
        <v>93</v>
      </c>
      <c r="E262" s="771" t="s">
        <v>1161</v>
      </c>
      <c r="F262" s="145"/>
      <c r="G262" s="136"/>
      <c r="H262" s="136"/>
      <c r="I262" s="136"/>
      <c r="J262" s="136"/>
      <c r="K262" s="136"/>
      <c r="L262" s="136"/>
      <c r="M262" s="136"/>
      <c r="N262" s="136"/>
      <c r="O262" s="136"/>
      <c r="P262" s="136"/>
      <c r="Q262" s="136"/>
      <c r="R262" s="136"/>
      <c r="S262" s="136"/>
      <c r="T262" s="136"/>
      <c r="U262" s="136"/>
      <c r="V262" s="136"/>
      <c r="W262" s="136"/>
      <c r="X262" s="136" t="s">
        <v>153</v>
      </c>
      <c r="Y262" s="136"/>
      <c r="Z262" s="136"/>
      <c r="AA262" s="136"/>
      <c r="AB262" s="136"/>
    </row>
    <row r="263" spans="1:28">
      <c r="A263" s="720" t="s">
        <v>917</v>
      </c>
      <c r="B263" s="136" t="s">
        <v>956</v>
      </c>
      <c r="C263" s="136" t="s">
        <v>153</v>
      </c>
      <c r="D263" s="479" t="s">
        <v>93</v>
      </c>
      <c r="E263" s="771" t="s">
        <v>1162</v>
      </c>
      <c r="F263" s="145"/>
      <c r="G263" s="136"/>
      <c r="H263" s="136"/>
      <c r="I263" s="136"/>
      <c r="J263" s="136"/>
      <c r="K263" s="136"/>
      <c r="L263" s="136"/>
      <c r="M263" s="136"/>
      <c r="N263" s="136"/>
      <c r="O263" s="136"/>
      <c r="P263" s="136"/>
      <c r="Q263" s="136"/>
      <c r="R263" s="136"/>
      <c r="S263" s="136"/>
      <c r="T263" s="136"/>
      <c r="U263" s="136"/>
      <c r="V263" s="136"/>
      <c r="W263" s="136"/>
      <c r="X263" s="136" t="s">
        <v>153</v>
      </c>
      <c r="Y263" s="136"/>
      <c r="Z263" s="136"/>
      <c r="AA263" s="136"/>
      <c r="AB263" s="136"/>
    </row>
    <row r="264" spans="1:28">
      <c r="A264" s="720" t="s">
        <v>917</v>
      </c>
      <c r="B264" s="136" t="s">
        <v>956</v>
      </c>
      <c r="C264" s="136" t="s">
        <v>153</v>
      </c>
      <c r="D264" s="479" t="s">
        <v>93</v>
      </c>
      <c r="E264" s="771" t="s">
        <v>1163</v>
      </c>
      <c r="F264" s="145"/>
      <c r="G264" s="136"/>
      <c r="H264" s="136"/>
      <c r="I264" s="136"/>
      <c r="J264" s="136"/>
      <c r="K264" s="136"/>
      <c r="L264" s="136"/>
      <c r="M264" s="136"/>
      <c r="N264" s="136"/>
      <c r="O264" s="136"/>
      <c r="P264" s="136"/>
      <c r="Q264" s="136"/>
      <c r="R264" s="136"/>
      <c r="S264" s="136"/>
      <c r="T264" s="136"/>
      <c r="U264" s="136"/>
      <c r="V264" s="136"/>
      <c r="W264" s="136"/>
      <c r="X264" s="136" t="s">
        <v>153</v>
      </c>
      <c r="Y264" s="136"/>
      <c r="Z264" s="136"/>
      <c r="AA264" s="136"/>
      <c r="AB264" s="136"/>
    </row>
    <row r="265" spans="1:28">
      <c r="A265" s="720" t="s">
        <v>917</v>
      </c>
      <c r="B265" s="136" t="s">
        <v>956</v>
      </c>
      <c r="C265" s="136" t="s">
        <v>153</v>
      </c>
      <c r="D265" s="479" t="s">
        <v>93</v>
      </c>
      <c r="E265" s="771" t="s">
        <v>1164</v>
      </c>
      <c r="F265" s="145"/>
      <c r="G265" s="136"/>
      <c r="H265" s="136"/>
      <c r="I265" s="136"/>
      <c r="J265" s="136"/>
      <c r="K265" s="136"/>
      <c r="L265" s="136"/>
      <c r="M265" s="136"/>
      <c r="N265" s="136"/>
      <c r="O265" s="136"/>
      <c r="P265" s="136"/>
      <c r="Q265" s="136"/>
      <c r="R265" s="136"/>
      <c r="S265" s="136"/>
      <c r="T265" s="136"/>
      <c r="U265" s="136"/>
      <c r="V265" s="136"/>
      <c r="W265" s="136"/>
      <c r="X265" s="136" t="s">
        <v>153</v>
      </c>
      <c r="Y265" s="136"/>
      <c r="Z265" s="136"/>
      <c r="AA265" s="136"/>
      <c r="AB265" s="136"/>
    </row>
    <row r="266" spans="1:28">
      <c r="A266" s="720" t="s">
        <v>917</v>
      </c>
      <c r="B266" s="136" t="s">
        <v>956</v>
      </c>
      <c r="C266" s="136" t="s">
        <v>153</v>
      </c>
      <c r="D266" s="479" t="s">
        <v>93</v>
      </c>
      <c r="E266" s="771" t="s">
        <v>1165</v>
      </c>
      <c r="F266" s="145"/>
      <c r="G266" s="136"/>
      <c r="H266" s="136"/>
      <c r="I266" s="136"/>
      <c r="J266" s="136"/>
      <c r="K266" s="136"/>
      <c r="L266" s="136"/>
      <c r="M266" s="136"/>
      <c r="N266" s="136"/>
      <c r="O266" s="136"/>
      <c r="P266" s="136"/>
      <c r="Q266" s="136"/>
      <c r="R266" s="136"/>
      <c r="S266" s="136"/>
      <c r="T266" s="136"/>
      <c r="U266" s="136"/>
      <c r="V266" s="136"/>
      <c r="W266" s="136"/>
      <c r="X266" s="136" t="s">
        <v>153</v>
      </c>
      <c r="Y266" s="136"/>
      <c r="Z266" s="136"/>
      <c r="AA266" s="136"/>
      <c r="AB266" s="136"/>
    </row>
    <row r="267" spans="1:28">
      <c r="A267" s="720" t="s">
        <v>917</v>
      </c>
      <c r="B267" s="136" t="s">
        <v>956</v>
      </c>
      <c r="C267" s="136" t="s">
        <v>153</v>
      </c>
      <c r="D267" s="479" t="s">
        <v>93</v>
      </c>
      <c r="E267" s="771" t="s">
        <v>1166</v>
      </c>
      <c r="F267" s="145"/>
      <c r="G267" s="136"/>
      <c r="H267" s="136"/>
      <c r="I267" s="136"/>
      <c r="J267" s="136"/>
      <c r="K267" s="136"/>
      <c r="L267" s="136"/>
      <c r="M267" s="136"/>
      <c r="N267" s="136"/>
      <c r="O267" s="136"/>
      <c r="P267" s="136"/>
      <c r="Q267" s="136"/>
      <c r="R267" s="136"/>
      <c r="S267" s="136"/>
      <c r="T267" s="136"/>
      <c r="U267" s="136"/>
      <c r="V267" s="136"/>
      <c r="W267" s="136"/>
      <c r="X267" s="136" t="s">
        <v>153</v>
      </c>
      <c r="Y267" s="136"/>
      <c r="Z267" s="136"/>
      <c r="AA267" s="136"/>
      <c r="AB267" s="136"/>
    </row>
    <row r="268" spans="1:28">
      <c r="A268" s="720" t="s">
        <v>917</v>
      </c>
      <c r="B268" s="136" t="s">
        <v>956</v>
      </c>
      <c r="C268" s="136" t="s">
        <v>153</v>
      </c>
      <c r="D268" s="479" t="s">
        <v>93</v>
      </c>
      <c r="E268" s="771" t="s">
        <v>1167</v>
      </c>
      <c r="F268" s="145"/>
      <c r="G268" s="136"/>
      <c r="H268" s="136"/>
      <c r="I268" s="136"/>
      <c r="J268" s="136"/>
      <c r="K268" s="136"/>
      <c r="L268" s="136"/>
      <c r="M268" s="136"/>
      <c r="N268" s="136"/>
      <c r="O268" s="136"/>
      <c r="P268" s="136"/>
      <c r="Q268" s="136"/>
      <c r="R268" s="136"/>
      <c r="S268" s="136"/>
      <c r="T268" s="136"/>
      <c r="U268" s="136"/>
      <c r="V268" s="136"/>
      <c r="W268" s="136"/>
      <c r="X268" s="136" t="s">
        <v>153</v>
      </c>
      <c r="Y268" s="136"/>
      <c r="Z268" s="136"/>
      <c r="AA268" s="136"/>
      <c r="AB268" s="136"/>
    </row>
    <row r="269" spans="1:28">
      <c r="A269" s="720" t="s">
        <v>917</v>
      </c>
      <c r="B269" s="136" t="s">
        <v>956</v>
      </c>
      <c r="C269" s="136" t="s">
        <v>153</v>
      </c>
      <c r="D269" s="479" t="s">
        <v>93</v>
      </c>
      <c r="E269" s="771" t="s">
        <v>1168</v>
      </c>
      <c r="F269" s="145"/>
      <c r="G269" s="136"/>
      <c r="H269" s="136"/>
      <c r="I269" s="136"/>
      <c r="J269" s="136"/>
      <c r="K269" s="136"/>
      <c r="L269" s="136"/>
      <c r="M269" s="136"/>
      <c r="N269" s="136"/>
      <c r="O269" s="136"/>
      <c r="P269" s="136"/>
      <c r="Q269" s="136"/>
      <c r="R269" s="136"/>
      <c r="S269" s="136"/>
      <c r="T269" s="136"/>
      <c r="U269" s="136"/>
      <c r="V269" s="136"/>
      <c r="W269" s="136"/>
      <c r="X269" s="136" t="s">
        <v>153</v>
      </c>
      <c r="Y269" s="136"/>
      <c r="Z269" s="136"/>
      <c r="AA269" s="136"/>
      <c r="AB269" s="136"/>
    </row>
    <row r="270" spans="1:28">
      <c r="A270" s="720" t="s">
        <v>917</v>
      </c>
      <c r="B270" s="136" t="s">
        <v>956</v>
      </c>
      <c r="C270" s="136" t="s">
        <v>153</v>
      </c>
      <c r="D270" s="479" t="s">
        <v>93</v>
      </c>
      <c r="E270" s="771" t="s">
        <v>1169</v>
      </c>
      <c r="F270" s="145"/>
      <c r="G270" s="136"/>
      <c r="H270" s="136"/>
      <c r="I270" s="136"/>
      <c r="J270" s="136"/>
      <c r="K270" s="136"/>
      <c r="L270" s="136"/>
      <c r="M270" s="136"/>
      <c r="N270" s="136"/>
      <c r="O270" s="136"/>
      <c r="P270" s="136"/>
      <c r="Q270" s="136"/>
      <c r="R270" s="136"/>
      <c r="S270" s="136"/>
      <c r="T270" s="136"/>
      <c r="U270" s="136"/>
      <c r="V270" s="136"/>
      <c r="W270" s="136"/>
      <c r="X270" s="136" t="s">
        <v>153</v>
      </c>
      <c r="Y270" s="136"/>
      <c r="Z270" s="136"/>
      <c r="AA270" s="136"/>
      <c r="AB270" s="136"/>
    </row>
    <row r="271" spans="1:28">
      <c r="A271" s="720" t="s">
        <v>917</v>
      </c>
      <c r="B271" s="136" t="s">
        <v>956</v>
      </c>
      <c r="C271" s="136" t="s">
        <v>153</v>
      </c>
      <c r="D271" s="479" t="s">
        <v>93</v>
      </c>
      <c r="E271" s="771" t="s">
        <v>1170</v>
      </c>
      <c r="F271" s="145"/>
      <c r="G271" s="136"/>
      <c r="H271" s="136"/>
      <c r="I271" s="136"/>
      <c r="J271" s="136"/>
      <c r="K271" s="136"/>
      <c r="L271" s="136"/>
      <c r="M271" s="136"/>
      <c r="N271" s="136"/>
      <c r="O271" s="136"/>
      <c r="P271" s="136"/>
      <c r="Q271" s="136"/>
      <c r="R271" s="136"/>
      <c r="S271" s="136"/>
      <c r="T271" s="136"/>
      <c r="U271" s="136"/>
      <c r="V271" s="136"/>
      <c r="W271" s="136"/>
      <c r="X271" s="136" t="s">
        <v>153</v>
      </c>
      <c r="Y271" s="136"/>
      <c r="Z271" s="136"/>
      <c r="AA271" s="136"/>
      <c r="AB271" s="136"/>
    </row>
    <row r="272" spans="1:28">
      <c r="A272" s="720" t="s">
        <v>917</v>
      </c>
      <c r="B272" s="136" t="s">
        <v>956</v>
      </c>
      <c r="C272" s="136" t="s">
        <v>153</v>
      </c>
      <c r="D272" s="479" t="s">
        <v>93</v>
      </c>
      <c r="E272" s="771" t="s">
        <v>1171</v>
      </c>
      <c r="F272" s="145"/>
      <c r="G272" s="136"/>
      <c r="H272" s="136"/>
      <c r="I272" s="136"/>
      <c r="J272" s="136"/>
      <c r="K272" s="136"/>
      <c r="L272" s="136"/>
      <c r="M272" s="136"/>
      <c r="N272" s="136"/>
      <c r="O272" s="136"/>
      <c r="P272" s="136"/>
      <c r="Q272" s="136"/>
      <c r="R272" s="136"/>
      <c r="S272" s="136"/>
      <c r="T272" s="136"/>
      <c r="U272" s="136"/>
      <c r="V272" s="136"/>
      <c r="W272" s="136"/>
      <c r="X272" s="136" t="s">
        <v>153</v>
      </c>
      <c r="Y272" s="136"/>
      <c r="Z272" s="136"/>
      <c r="AA272" s="136"/>
      <c r="AB272" s="136"/>
    </row>
    <row r="273" spans="1:28">
      <c r="A273" s="720" t="s">
        <v>917</v>
      </c>
      <c r="B273" s="136" t="s">
        <v>956</v>
      </c>
      <c r="C273" s="136" t="s">
        <v>153</v>
      </c>
      <c r="D273" s="479" t="s">
        <v>93</v>
      </c>
      <c r="E273" s="771" t="s">
        <v>1172</v>
      </c>
      <c r="F273" s="145"/>
      <c r="G273" s="136"/>
      <c r="H273" s="136"/>
      <c r="I273" s="136"/>
      <c r="J273" s="136"/>
      <c r="K273" s="136"/>
      <c r="L273" s="136"/>
      <c r="M273" s="136"/>
      <c r="N273" s="136"/>
      <c r="O273" s="136"/>
      <c r="P273" s="136"/>
      <c r="Q273" s="136"/>
      <c r="R273" s="136"/>
      <c r="S273" s="136"/>
      <c r="T273" s="136"/>
      <c r="U273" s="136"/>
      <c r="V273" s="136"/>
      <c r="W273" s="136"/>
      <c r="X273" s="136" t="s">
        <v>153</v>
      </c>
      <c r="Y273" s="136"/>
      <c r="Z273" s="136"/>
      <c r="AA273" s="136"/>
      <c r="AB273" s="136"/>
    </row>
    <row r="274" spans="1:28">
      <c r="A274" s="720" t="s">
        <v>917</v>
      </c>
      <c r="B274" s="136" t="s">
        <v>956</v>
      </c>
      <c r="C274" s="136" t="s">
        <v>153</v>
      </c>
      <c r="D274" s="479" t="s">
        <v>93</v>
      </c>
      <c r="E274" s="771" t="s">
        <v>1173</v>
      </c>
      <c r="F274" s="145"/>
      <c r="G274" s="136"/>
      <c r="H274" s="136"/>
      <c r="I274" s="136"/>
      <c r="J274" s="136"/>
      <c r="K274" s="136"/>
      <c r="L274" s="136"/>
      <c r="M274" s="136"/>
      <c r="N274" s="136"/>
      <c r="O274" s="136"/>
      <c r="P274" s="136"/>
      <c r="Q274" s="136"/>
      <c r="R274" s="136"/>
      <c r="S274" s="136"/>
      <c r="T274" s="136"/>
      <c r="U274" s="136"/>
      <c r="V274" s="136"/>
      <c r="W274" s="136"/>
      <c r="X274" s="136" t="s">
        <v>153</v>
      </c>
      <c r="Y274" s="136"/>
      <c r="Z274" s="136"/>
      <c r="AA274" s="136"/>
      <c r="AB274" s="136"/>
    </row>
    <row r="275" spans="1:28">
      <c r="A275" s="720" t="s">
        <v>917</v>
      </c>
      <c r="B275" s="136" t="s">
        <v>956</v>
      </c>
      <c r="C275" s="136" t="s">
        <v>153</v>
      </c>
      <c r="D275" s="479" t="s">
        <v>93</v>
      </c>
      <c r="E275" s="771" t="s">
        <v>1174</v>
      </c>
      <c r="F275" s="145"/>
      <c r="G275" s="136"/>
      <c r="H275" s="136"/>
      <c r="I275" s="136"/>
      <c r="J275" s="136"/>
      <c r="K275" s="136"/>
      <c r="L275" s="136"/>
      <c r="M275" s="136"/>
      <c r="N275" s="136"/>
      <c r="O275" s="136"/>
      <c r="P275" s="136"/>
      <c r="Q275" s="136"/>
      <c r="R275" s="136"/>
      <c r="S275" s="136"/>
      <c r="T275" s="136"/>
      <c r="U275" s="136"/>
      <c r="V275" s="136"/>
      <c r="W275" s="136"/>
      <c r="X275" s="136" t="s">
        <v>153</v>
      </c>
      <c r="Y275" s="136"/>
      <c r="Z275" s="136"/>
      <c r="AA275" s="136"/>
      <c r="AB275" s="136"/>
    </row>
    <row r="276" spans="1:28">
      <c r="A276" s="720" t="s">
        <v>917</v>
      </c>
      <c r="B276" s="136" t="s">
        <v>956</v>
      </c>
      <c r="C276" s="136" t="s">
        <v>153</v>
      </c>
      <c r="D276" s="479" t="s">
        <v>93</v>
      </c>
      <c r="E276" s="771" t="s">
        <v>1175</v>
      </c>
      <c r="F276" s="145"/>
      <c r="G276" s="136"/>
      <c r="H276" s="136"/>
      <c r="I276" s="136"/>
      <c r="J276" s="136"/>
      <c r="K276" s="136"/>
      <c r="L276" s="136"/>
      <c r="M276" s="136"/>
      <c r="N276" s="136"/>
      <c r="O276" s="136"/>
      <c r="P276" s="136"/>
      <c r="Q276" s="136"/>
      <c r="R276" s="136"/>
      <c r="S276" s="136"/>
      <c r="T276" s="136"/>
      <c r="U276" s="136"/>
      <c r="V276" s="136"/>
      <c r="W276" s="136"/>
      <c r="X276" s="136" t="s">
        <v>153</v>
      </c>
      <c r="Y276" s="136"/>
      <c r="Z276" s="136"/>
      <c r="AA276" s="136"/>
      <c r="AB276" s="136"/>
    </row>
    <row r="277" spans="1:28">
      <c r="A277" s="720" t="s">
        <v>917</v>
      </c>
      <c r="B277" s="136" t="s">
        <v>956</v>
      </c>
      <c r="C277" s="136" t="s">
        <v>153</v>
      </c>
      <c r="D277" s="479" t="s">
        <v>93</v>
      </c>
      <c r="E277" s="771" t="s">
        <v>1176</v>
      </c>
      <c r="F277" s="145"/>
      <c r="G277" s="136"/>
      <c r="H277" s="136"/>
      <c r="I277" s="136"/>
      <c r="J277" s="136"/>
      <c r="K277" s="136"/>
      <c r="L277" s="136"/>
      <c r="M277" s="136"/>
      <c r="N277" s="136"/>
      <c r="O277" s="136"/>
      <c r="P277" s="136"/>
      <c r="Q277" s="136"/>
      <c r="R277" s="136"/>
      <c r="S277" s="136"/>
      <c r="T277" s="136"/>
      <c r="U277" s="136"/>
      <c r="V277" s="136"/>
      <c r="W277" s="136"/>
      <c r="X277" s="136" t="s">
        <v>153</v>
      </c>
      <c r="Y277" s="136"/>
      <c r="Z277" s="136"/>
      <c r="AA277" s="136"/>
      <c r="AB277" s="136"/>
    </row>
    <row r="278" spans="1:28">
      <c r="A278" s="720" t="s">
        <v>917</v>
      </c>
      <c r="B278" s="136" t="s">
        <v>956</v>
      </c>
      <c r="C278" s="136" t="s">
        <v>153</v>
      </c>
      <c r="D278" s="479" t="s">
        <v>93</v>
      </c>
      <c r="E278" s="771" t="s">
        <v>1177</v>
      </c>
      <c r="F278" s="145"/>
      <c r="G278" s="136"/>
      <c r="H278" s="136"/>
      <c r="I278" s="136"/>
      <c r="J278" s="136"/>
      <c r="K278" s="136"/>
      <c r="L278" s="136"/>
      <c r="M278" s="136"/>
      <c r="N278" s="136"/>
      <c r="O278" s="136"/>
      <c r="P278" s="136"/>
      <c r="Q278" s="136"/>
      <c r="R278" s="136"/>
      <c r="S278" s="136"/>
      <c r="T278" s="136"/>
      <c r="U278" s="136"/>
      <c r="V278" s="136"/>
      <c r="W278" s="136"/>
      <c r="X278" s="136" t="s">
        <v>153</v>
      </c>
      <c r="Y278" s="136"/>
      <c r="Z278" s="136"/>
      <c r="AA278" s="136"/>
      <c r="AB278" s="136"/>
    </row>
    <row r="279" spans="1:28">
      <c r="A279" s="720" t="s">
        <v>917</v>
      </c>
      <c r="B279" s="136" t="s">
        <v>956</v>
      </c>
      <c r="C279" s="136" t="s">
        <v>153</v>
      </c>
      <c r="D279" s="479" t="s">
        <v>93</v>
      </c>
      <c r="E279" s="771" t="s">
        <v>1178</v>
      </c>
      <c r="F279" s="145"/>
      <c r="G279" s="136"/>
      <c r="H279" s="136"/>
      <c r="I279" s="136"/>
      <c r="J279" s="136"/>
      <c r="K279" s="136"/>
      <c r="L279" s="136"/>
      <c r="M279" s="136"/>
      <c r="N279" s="136"/>
      <c r="O279" s="136"/>
      <c r="P279" s="136"/>
      <c r="Q279" s="136"/>
      <c r="R279" s="136"/>
      <c r="S279" s="136"/>
      <c r="T279" s="136"/>
      <c r="U279" s="136"/>
      <c r="V279" s="136"/>
      <c r="W279" s="136"/>
      <c r="X279" s="136" t="s">
        <v>153</v>
      </c>
      <c r="Y279" s="136"/>
      <c r="Z279" s="136"/>
      <c r="AA279" s="136"/>
      <c r="AB279" s="136"/>
    </row>
    <row r="280" spans="1:28">
      <c r="A280" s="720" t="s">
        <v>917</v>
      </c>
      <c r="B280" s="136" t="s">
        <v>956</v>
      </c>
      <c r="C280" s="136" t="s">
        <v>153</v>
      </c>
      <c r="D280" s="479" t="s">
        <v>93</v>
      </c>
      <c r="E280" s="771" t="s">
        <v>1179</v>
      </c>
      <c r="F280" s="145"/>
      <c r="G280" s="136"/>
      <c r="H280" s="136"/>
      <c r="I280" s="136"/>
      <c r="J280" s="136"/>
      <c r="K280" s="136"/>
      <c r="L280" s="136"/>
      <c r="M280" s="136"/>
      <c r="N280" s="136"/>
      <c r="O280" s="136"/>
      <c r="P280" s="136"/>
      <c r="Q280" s="136"/>
      <c r="R280" s="136"/>
      <c r="S280" s="136"/>
      <c r="T280" s="136"/>
      <c r="U280" s="136"/>
      <c r="V280" s="136"/>
      <c r="W280" s="136"/>
      <c r="X280" s="136" t="s">
        <v>153</v>
      </c>
      <c r="Y280" s="136"/>
      <c r="Z280" s="136"/>
      <c r="AA280" s="136"/>
      <c r="AB280" s="136"/>
    </row>
    <row r="281" spans="1:28">
      <c r="A281" s="720" t="s">
        <v>917</v>
      </c>
      <c r="B281" s="136" t="s">
        <v>956</v>
      </c>
      <c r="C281" s="136" t="s">
        <v>153</v>
      </c>
      <c r="D281" s="479" t="s">
        <v>93</v>
      </c>
      <c r="E281" s="771" t="s">
        <v>1180</v>
      </c>
      <c r="F281" s="145"/>
      <c r="G281" s="136"/>
      <c r="H281" s="136"/>
      <c r="I281" s="136"/>
      <c r="J281" s="136"/>
      <c r="K281" s="136"/>
      <c r="L281" s="136"/>
      <c r="M281" s="136"/>
      <c r="N281" s="136"/>
      <c r="O281" s="136"/>
      <c r="P281" s="136"/>
      <c r="Q281" s="136"/>
      <c r="R281" s="136"/>
      <c r="S281" s="136"/>
      <c r="T281" s="136"/>
      <c r="U281" s="136"/>
      <c r="V281" s="136"/>
      <c r="W281" s="136"/>
      <c r="X281" s="136" t="s">
        <v>153</v>
      </c>
      <c r="Y281" s="136"/>
      <c r="Z281" s="136"/>
      <c r="AA281" s="136"/>
      <c r="AB281" s="136"/>
    </row>
    <row r="282" spans="1:28">
      <c r="A282" s="720" t="s">
        <v>917</v>
      </c>
      <c r="B282" s="136" t="s">
        <v>956</v>
      </c>
      <c r="C282" s="136" t="s">
        <v>153</v>
      </c>
      <c r="D282" s="479" t="s">
        <v>93</v>
      </c>
      <c r="E282" s="771" t="s">
        <v>1181</v>
      </c>
      <c r="F282" s="145"/>
      <c r="G282" s="136"/>
      <c r="H282" s="136"/>
      <c r="I282" s="136"/>
      <c r="J282" s="136"/>
      <c r="K282" s="136"/>
      <c r="L282" s="136"/>
      <c r="M282" s="136"/>
      <c r="N282" s="136"/>
      <c r="O282" s="136"/>
      <c r="P282" s="136"/>
      <c r="Q282" s="136"/>
      <c r="R282" s="136"/>
      <c r="S282" s="136"/>
      <c r="T282" s="136"/>
      <c r="U282" s="136"/>
      <c r="V282" s="136"/>
      <c r="W282" s="136"/>
      <c r="X282" s="136" t="s">
        <v>153</v>
      </c>
      <c r="Y282" s="136"/>
      <c r="Z282" s="136"/>
      <c r="AA282" s="136"/>
      <c r="AB282" s="136"/>
    </row>
    <row r="283" spans="1:28">
      <c r="A283" s="720" t="s">
        <v>917</v>
      </c>
      <c r="B283" s="136" t="s">
        <v>956</v>
      </c>
      <c r="C283" s="136" t="s">
        <v>153</v>
      </c>
      <c r="D283" s="479" t="s">
        <v>93</v>
      </c>
      <c r="E283" s="771" t="s">
        <v>1182</v>
      </c>
      <c r="F283" s="145"/>
      <c r="G283" s="136"/>
      <c r="H283" s="136"/>
      <c r="I283" s="136"/>
      <c r="J283" s="136"/>
      <c r="K283" s="136"/>
      <c r="L283" s="136"/>
      <c r="M283" s="136"/>
      <c r="N283" s="136"/>
      <c r="O283" s="136"/>
      <c r="P283" s="136"/>
      <c r="Q283" s="136"/>
      <c r="R283" s="136"/>
      <c r="S283" s="136"/>
      <c r="T283" s="136"/>
      <c r="U283" s="136"/>
      <c r="V283" s="136"/>
      <c r="W283" s="136"/>
      <c r="X283" s="136" t="s">
        <v>153</v>
      </c>
      <c r="Y283" s="136"/>
      <c r="Z283" s="136"/>
      <c r="AA283" s="136"/>
      <c r="AB283" s="136"/>
    </row>
    <row r="284" spans="1:28">
      <c r="A284" s="720" t="s">
        <v>917</v>
      </c>
      <c r="B284" s="136" t="s">
        <v>956</v>
      </c>
      <c r="C284" s="136" t="s">
        <v>153</v>
      </c>
      <c r="D284" s="479" t="s">
        <v>93</v>
      </c>
      <c r="E284" s="771" t="s">
        <v>1183</v>
      </c>
      <c r="F284" s="145"/>
      <c r="G284" s="136"/>
      <c r="H284" s="136"/>
      <c r="I284" s="136"/>
      <c r="J284" s="136"/>
      <c r="K284" s="136"/>
      <c r="L284" s="136"/>
      <c r="M284" s="136"/>
      <c r="N284" s="136"/>
      <c r="O284" s="136"/>
      <c r="P284" s="136"/>
      <c r="Q284" s="136"/>
      <c r="R284" s="136"/>
      <c r="S284" s="136"/>
      <c r="T284" s="136"/>
      <c r="U284" s="136"/>
      <c r="V284" s="136"/>
      <c r="W284" s="136"/>
      <c r="X284" s="136" t="s">
        <v>153</v>
      </c>
      <c r="Y284" s="136"/>
      <c r="Z284" s="136"/>
      <c r="AA284" s="136"/>
      <c r="AB284" s="136"/>
    </row>
    <row r="285" spans="1:28">
      <c r="A285" s="720" t="s">
        <v>917</v>
      </c>
      <c r="B285" s="136" t="s">
        <v>956</v>
      </c>
      <c r="C285" s="136" t="s">
        <v>153</v>
      </c>
      <c r="D285" s="479" t="s">
        <v>93</v>
      </c>
      <c r="E285" s="771" t="s">
        <v>1184</v>
      </c>
      <c r="F285" s="145"/>
      <c r="G285" s="136"/>
      <c r="H285" s="136"/>
      <c r="I285" s="136"/>
      <c r="J285" s="136"/>
      <c r="K285" s="136"/>
      <c r="L285" s="136"/>
      <c r="M285" s="136"/>
      <c r="N285" s="136"/>
      <c r="O285" s="136"/>
      <c r="P285" s="136"/>
      <c r="Q285" s="136"/>
      <c r="R285" s="136"/>
      <c r="S285" s="136"/>
      <c r="T285" s="136"/>
      <c r="U285" s="136"/>
      <c r="V285" s="136"/>
      <c r="W285" s="136"/>
      <c r="X285" s="136" t="s">
        <v>153</v>
      </c>
      <c r="Y285" s="136"/>
      <c r="Z285" s="136"/>
      <c r="AA285" s="136"/>
      <c r="AB285" s="136"/>
    </row>
    <row r="286" spans="1:28">
      <c r="A286" s="720" t="s">
        <v>917</v>
      </c>
      <c r="B286" s="136" t="s">
        <v>956</v>
      </c>
      <c r="C286" s="136" t="s">
        <v>153</v>
      </c>
      <c r="D286" s="479" t="s">
        <v>93</v>
      </c>
      <c r="E286" s="771" t="s">
        <v>1185</v>
      </c>
      <c r="F286" s="145"/>
      <c r="G286" s="136"/>
      <c r="H286" s="136"/>
      <c r="I286" s="136"/>
      <c r="J286" s="136"/>
      <c r="K286" s="136"/>
      <c r="L286" s="136"/>
      <c r="M286" s="136"/>
      <c r="N286" s="136"/>
      <c r="O286" s="136"/>
      <c r="P286" s="136"/>
      <c r="Q286" s="136"/>
      <c r="R286" s="136"/>
      <c r="S286" s="136"/>
      <c r="T286" s="136"/>
      <c r="U286" s="136"/>
      <c r="V286" s="136"/>
      <c r="W286" s="136"/>
      <c r="X286" s="136" t="s">
        <v>153</v>
      </c>
      <c r="Y286" s="136"/>
      <c r="Z286" s="136"/>
      <c r="AA286" s="136"/>
      <c r="AB286" s="136"/>
    </row>
    <row r="287" spans="1:28">
      <c r="A287" s="720" t="s">
        <v>917</v>
      </c>
      <c r="B287" s="136" t="s">
        <v>956</v>
      </c>
      <c r="C287" s="136" t="s">
        <v>153</v>
      </c>
      <c r="D287" s="479" t="s">
        <v>93</v>
      </c>
      <c r="E287" s="771" t="s">
        <v>1186</v>
      </c>
      <c r="F287" s="145"/>
      <c r="G287" s="136"/>
      <c r="H287" s="136"/>
      <c r="I287" s="136"/>
      <c r="J287" s="136"/>
      <c r="K287" s="136"/>
      <c r="L287" s="136"/>
      <c r="M287" s="136"/>
      <c r="N287" s="136"/>
      <c r="O287" s="136"/>
      <c r="P287" s="136"/>
      <c r="Q287" s="136"/>
      <c r="R287" s="136"/>
      <c r="S287" s="136"/>
      <c r="T287" s="136"/>
      <c r="U287" s="136"/>
      <c r="V287" s="136"/>
      <c r="W287" s="136"/>
      <c r="X287" s="136" t="s">
        <v>153</v>
      </c>
      <c r="Y287" s="136"/>
      <c r="Z287" s="136"/>
      <c r="AA287" s="136"/>
      <c r="AB287" s="136"/>
    </row>
    <row r="288" spans="1:28">
      <c r="A288" s="720" t="s">
        <v>917</v>
      </c>
      <c r="B288" s="136" t="s">
        <v>956</v>
      </c>
      <c r="C288" s="136" t="s">
        <v>153</v>
      </c>
      <c r="D288" s="479" t="s">
        <v>93</v>
      </c>
      <c r="E288" s="771" t="s">
        <v>1187</v>
      </c>
      <c r="F288" s="145"/>
      <c r="G288" s="136"/>
      <c r="H288" s="136"/>
      <c r="I288" s="136"/>
      <c r="J288" s="136"/>
      <c r="K288" s="136"/>
      <c r="L288" s="136"/>
      <c r="M288" s="136"/>
      <c r="N288" s="136"/>
      <c r="O288" s="136"/>
      <c r="P288" s="136"/>
      <c r="Q288" s="136"/>
      <c r="R288" s="136"/>
      <c r="S288" s="136"/>
      <c r="T288" s="136"/>
      <c r="U288" s="136"/>
      <c r="V288" s="136"/>
      <c r="W288" s="136"/>
      <c r="X288" s="136" t="s">
        <v>153</v>
      </c>
      <c r="Y288" s="136"/>
      <c r="Z288" s="136"/>
      <c r="AA288" s="136"/>
      <c r="AB288" s="136"/>
    </row>
    <row r="289" spans="1:28">
      <c r="A289" s="720" t="s">
        <v>917</v>
      </c>
      <c r="B289" s="136" t="s">
        <v>956</v>
      </c>
      <c r="C289" s="136" t="s">
        <v>153</v>
      </c>
      <c r="D289" s="479" t="s">
        <v>93</v>
      </c>
      <c r="E289" s="771" t="s">
        <v>1188</v>
      </c>
      <c r="F289" s="145"/>
      <c r="G289" s="136"/>
      <c r="H289" s="136"/>
      <c r="I289" s="136"/>
      <c r="J289" s="136"/>
      <c r="K289" s="136"/>
      <c r="L289" s="136"/>
      <c r="M289" s="136"/>
      <c r="N289" s="136"/>
      <c r="O289" s="136"/>
      <c r="P289" s="136"/>
      <c r="Q289" s="136"/>
      <c r="R289" s="136"/>
      <c r="S289" s="136"/>
      <c r="T289" s="136"/>
      <c r="U289" s="136"/>
      <c r="V289" s="136"/>
      <c r="W289" s="136"/>
      <c r="X289" s="136" t="s">
        <v>153</v>
      </c>
      <c r="Y289" s="136"/>
      <c r="Z289" s="136"/>
      <c r="AA289" s="136"/>
      <c r="AB289" s="136"/>
    </row>
    <row r="290" spans="1:28">
      <c r="A290" s="720" t="s">
        <v>917</v>
      </c>
      <c r="B290" s="136" t="s">
        <v>956</v>
      </c>
      <c r="C290" s="136" t="s">
        <v>153</v>
      </c>
      <c r="D290" s="479" t="s">
        <v>93</v>
      </c>
      <c r="E290" s="771" t="s">
        <v>1189</v>
      </c>
      <c r="F290" s="145"/>
      <c r="G290" s="136"/>
      <c r="H290" s="136"/>
      <c r="I290" s="136"/>
      <c r="J290" s="136"/>
      <c r="K290" s="136"/>
      <c r="L290" s="136"/>
      <c r="M290" s="136"/>
      <c r="N290" s="136"/>
      <c r="O290" s="136"/>
      <c r="P290" s="136"/>
      <c r="Q290" s="136"/>
      <c r="R290" s="136"/>
      <c r="S290" s="136"/>
      <c r="T290" s="136"/>
      <c r="U290" s="136"/>
      <c r="V290" s="136"/>
      <c r="W290" s="136"/>
      <c r="X290" s="136" t="s">
        <v>153</v>
      </c>
      <c r="Y290" s="136"/>
      <c r="Z290" s="136"/>
      <c r="AA290" s="136"/>
      <c r="AB290" s="136"/>
    </row>
    <row r="291" spans="1:28">
      <c r="A291" s="720" t="s">
        <v>917</v>
      </c>
      <c r="B291" s="136" t="s">
        <v>956</v>
      </c>
      <c r="C291" s="136" t="s">
        <v>153</v>
      </c>
      <c r="D291" s="479" t="s">
        <v>93</v>
      </c>
      <c r="E291" s="771" t="s">
        <v>1190</v>
      </c>
      <c r="F291" s="145"/>
      <c r="G291" s="136"/>
      <c r="H291" s="136"/>
      <c r="I291" s="136"/>
      <c r="J291" s="136"/>
      <c r="K291" s="136"/>
      <c r="L291" s="136"/>
      <c r="M291" s="136"/>
      <c r="N291" s="136"/>
      <c r="O291" s="136"/>
      <c r="P291" s="136"/>
      <c r="Q291" s="136"/>
      <c r="R291" s="136"/>
      <c r="S291" s="136"/>
      <c r="T291" s="136"/>
      <c r="U291" s="136"/>
      <c r="V291" s="136"/>
      <c r="W291" s="136"/>
      <c r="X291" s="136" t="s">
        <v>153</v>
      </c>
      <c r="Y291" s="136"/>
      <c r="Z291" s="136"/>
      <c r="AA291" s="136"/>
      <c r="AB291" s="136"/>
    </row>
    <row r="292" spans="1:28">
      <c r="A292" s="720" t="s">
        <v>917</v>
      </c>
      <c r="B292" s="463" t="s">
        <v>956</v>
      </c>
      <c r="C292" s="463" t="s">
        <v>153</v>
      </c>
      <c r="D292" s="698" t="s">
        <v>93</v>
      </c>
      <c r="E292" s="771" t="s">
        <v>1191</v>
      </c>
      <c r="F292" s="145"/>
      <c r="G292" s="136"/>
      <c r="H292" s="136"/>
      <c r="I292" s="136"/>
      <c r="J292" s="136"/>
      <c r="K292" s="136"/>
      <c r="L292" s="136"/>
      <c r="M292" s="136"/>
      <c r="N292" s="136"/>
      <c r="O292" s="136"/>
      <c r="P292" s="136"/>
      <c r="Q292" s="136"/>
      <c r="R292" s="136"/>
      <c r="S292" s="136"/>
      <c r="T292" s="136"/>
      <c r="U292" s="136"/>
      <c r="V292" s="136"/>
      <c r="W292" s="136"/>
      <c r="X292" s="136" t="s">
        <v>153</v>
      </c>
      <c r="Y292" s="136"/>
      <c r="Z292" s="136"/>
      <c r="AA292" s="136"/>
      <c r="AB292" s="136"/>
    </row>
    <row r="293" spans="1:28">
      <c r="A293" s="720" t="s">
        <v>917</v>
      </c>
      <c r="B293" s="136" t="s">
        <v>956</v>
      </c>
      <c r="C293" s="136" t="s">
        <v>913</v>
      </c>
      <c r="D293" s="479"/>
      <c r="E293" s="700"/>
      <c r="F293" s="145"/>
      <c r="G293" s="136"/>
      <c r="H293" s="136"/>
      <c r="I293" s="136"/>
      <c r="J293" s="136"/>
      <c r="K293" s="136"/>
      <c r="L293" s="136"/>
      <c r="M293" s="136"/>
      <c r="N293" s="136"/>
      <c r="O293" s="136"/>
      <c r="P293" s="136"/>
      <c r="Q293" s="136"/>
      <c r="R293" s="136"/>
      <c r="S293" s="136"/>
      <c r="T293" s="136"/>
      <c r="U293" s="136"/>
      <c r="V293" s="136"/>
      <c r="W293" s="136"/>
      <c r="X293" s="136" t="s">
        <v>163</v>
      </c>
      <c r="Y293" s="136"/>
      <c r="Z293" s="136"/>
      <c r="AA293" s="136"/>
      <c r="AB293" s="136"/>
    </row>
  </sheetData>
  <autoFilter ref="A1:BR293" xr:uid="{27EA99B2-574E-457C-9285-F23AEE9BAE05}"/>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70E5-0586-4214-BF48-E6CC998FF64E}">
  <sheetPr filterMode="1"/>
  <dimension ref="A1:NE229"/>
  <sheetViews>
    <sheetView topLeftCell="A25" zoomScale="80" zoomScaleNormal="80" workbookViewId="0">
      <selection activeCell="A43" sqref="A43:D43"/>
    </sheetView>
  </sheetViews>
  <sheetFormatPr defaultColWidth="9.140625" defaultRowHeight="16.5"/>
  <cols>
    <col min="1" max="1" width="35.85546875" style="34" customWidth="1"/>
    <col min="2" max="2" width="56.5703125" style="34" customWidth="1"/>
    <col min="3" max="3" width="18.42578125" style="34" customWidth="1"/>
    <col min="4" max="4" width="24.42578125" style="34" customWidth="1"/>
    <col min="5" max="5" width="15.5703125" style="34" customWidth="1"/>
    <col min="6" max="6" width="18.140625" style="34" customWidth="1"/>
    <col min="7" max="7" width="15.5703125" style="148" customWidth="1"/>
    <col min="8" max="8" width="17.42578125" style="34" customWidth="1"/>
    <col min="9" max="9" width="19.5703125" style="34" customWidth="1"/>
    <col min="10" max="10" width="26.5703125" style="34" customWidth="1"/>
    <col min="11" max="11" width="31.85546875" style="34" customWidth="1"/>
    <col min="12" max="12" width="27.140625" style="34" customWidth="1"/>
    <col min="13" max="13" width="19" style="34" customWidth="1"/>
    <col min="14" max="14" width="18.42578125" style="34" bestFit="1" customWidth="1"/>
    <col min="15" max="15" width="18.42578125" style="34" customWidth="1"/>
    <col min="16" max="16" width="32.5703125" style="34" customWidth="1"/>
    <col min="17" max="17" width="22.140625" style="34" bestFit="1" customWidth="1"/>
    <col min="18" max="18" width="16.42578125" style="34" bestFit="1" customWidth="1"/>
    <col min="19" max="19" width="20.5703125" style="34" bestFit="1" customWidth="1"/>
    <col min="20" max="20" width="18.42578125" style="34" bestFit="1" customWidth="1"/>
    <col min="21" max="21" width="13.5703125" style="34" bestFit="1" customWidth="1"/>
    <col min="22" max="22" width="13.85546875" style="34" bestFit="1" customWidth="1"/>
    <col min="23" max="23" width="13.5703125" style="34" bestFit="1" customWidth="1"/>
    <col min="24" max="24" width="19.85546875" style="34" bestFit="1" customWidth="1"/>
    <col min="25" max="25" width="14.140625" style="34" bestFit="1" customWidth="1"/>
    <col min="26" max="26" width="18.42578125" style="34" bestFit="1" customWidth="1"/>
    <col min="27" max="27" width="17" style="34" bestFit="1" customWidth="1"/>
    <col min="28" max="29" width="18" style="34" bestFit="1" customWidth="1"/>
    <col min="30" max="30" width="14" style="34" bestFit="1" customWidth="1"/>
    <col min="31" max="31" width="13.42578125" style="34" bestFit="1" customWidth="1"/>
    <col min="32" max="32" width="15.85546875" style="34" bestFit="1" customWidth="1"/>
    <col min="33" max="33" width="22.5703125" style="34" customWidth="1"/>
    <col min="34" max="34" width="15.42578125" style="34" bestFit="1" customWidth="1"/>
    <col min="35" max="35" width="32.5703125" style="34" bestFit="1" customWidth="1"/>
    <col min="36" max="36" width="18" style="34" bestFit="1" customWidth="1"/>
    <col min="37" max="37" width="13.5703125" style="34" bestFit="1" customWidth="1"/>
    <col min="38" max="38" width="12.140625" style="34" bestFit="1" customWidth="1"/>
    <col min="39" max="39" width="18" style="34" bestFit="1" customWidth="1"/>
    <col min="40" max="40" width="12.140625" style="34" bestFit="1" customWidth="1"/>
    <col min="41" max="41" width="12" style="34" bestFit="1" customWidth="1"/>
    <col min="42" max="42" width="13.5703125" style="34" bestFit="1" customWidth="1"/>
    <col min="43" max="43" width="21.85546875" style="34" bestFit="1" customWidth="1"/>
    <col min="44" max="44" width="18.42578125" style="34" customWidth="1"/>
    <col min="45" max="45" width="14.140625" style="34" bestFit="1" customWidth="1"/>
    <col min="46" max="47" width="18.5703125" style="34" bestFit="1" customWidth="1"/>
    <col min="48" max="48" width="15" style="34" bestFit="1" customWidth="1"/>
    <col min="49" max="49" width="14.5703125" style="34" bestFit="1" customWidth="1"/>
    <col min="50" max="50" width="19.42578125" style="34" bestFit="1" customWidth="1"/>
    <col min="51" max="51" width="25.5703125" style="34" bestFit="1" customWidth="1"/>
    <col min="52" max="52" width="28.42578125" style="34" bestFit="1" customWidth="1"/>
    <col min="53" max="53" width="35" style="34" bestFit="1" customWidth="1"/>
    <col min="54" max="54" width="20.5703125" style="34" bestFit="1" customWidth="1"/>
    <col min="55" max="55" width="17.140625" style="34" bestFit="1" customWidth="1"/>
    <col min="56" max="56" width="22.5703125" style="34" bestFit="1" customWidth="1"/>
    <col min="57" max="57" width="25.42578125" style="34" bestFit="1" customWidth="1"/>
    <col min="58" max="58" width="21.140625" style="34" bestFit="1" customWidth="1"/>
    <col min="59" max="59" width="21.5703125" style="34" bestFit="1" customWidth="1"/>
    <col min="60" max="60" width="19" style="34" bestFit="1" customWidth="1"/>
    <col min="61" max="61" width="22" style="34" bestFit="1" customWidth="1"/>
    <col min="62" max="62" width="25" style="34" bestFit="1" customWidth="1"/>
    <col min="63" max="63" width="15.5703125" style="34" bestFit="1" customWidth="1"/>
    <col min="64" max="64" width="17.140625" style="34" bestFit="1" customWidth="1"/>
    <col min="65" max="65" width="14.85546875" style="34" bestFit="1" customWidth="1"/>
    <col min="66" max="66" width="19" style="34" bestFit="1" customWidth="1"/>
    <col min="67" max="67" width="14.85546875" style="34" bestFit="1" customWidth="1"/>
    <col min="68" max="68" width="19" style="34" bestFit="1" customWidth="1"/>
    <col min="69" max="69" width="26.85546875" style="34" bestFit="1" customWidth="1"/>
    <col min="70" max="70" width="31.5703125" style="34" bestFit="1" customWidth="1"/>
    <col min="71" max="71" width="29.42578125" style="34" bestFit="1" customWidth="1"/>
    <col min="72" max="72" width="34.42578125" style="34" bestFit="1" customWidth="1"/>
    <col min="73" max="73" width="19.42578125" style="34" bestFit="1" customWidth="1"/>
    <col min="74" max="74" width="14.5703125" style="34" bestFit="1" customWidth="1"/>
    <col min="75" max="75" width="19" style="34" bestFit="1" customWidth="1"/>
    <col min="76" max="76" width="17.140625" style="34" bestFit="1" customWidth="1"/>
    <col min="77" max="77" width="14.42578125" style="34" bestFit="1" customWidth="1"/>
    <col min="78" max="78" width="13.42578125" style="34" bestFit="1" customWidth="1"/>
    <col min="79" max="79" width="25.85546875" style="34" bestFit="1" customWidth="1"/>
    <col min="80" max="80" width="30.5703125" style="34" bestFit="1" customWidth="1"/>
    <col min="81" max="81" width="23.42578125" style="34" bestFit="1" customWidth="1"/>
    <col min="82" max="82" width="15.5703125" style="34" bestFit="1" customWidth="1"/>
    <col min="83" max="83" width="19.42578125" style="34" bestFit="1" customWidth="1"/>
    <col min="84" max="84" width="28.42578125" style="34" bestFit="1" customWidth="1"/>
    <col min="85" max="85" width="17.85546875" style="34" bestFit="1" customWidth="1"/>
    <col min="86" max="87" width="20.5703125" style="34" bestFit="1" customWidth="1"/>
    <col min="88" max="88" width="22.42578125" style="34" bestFit="1" customWidth="1"/>
    <col min="89" max="89" width="20.5703125" style="34" bestFit="1" customWidth="1"/>
    <col min="90" max="90" width="22.42578125" style="34" bestFit="1" customWidth="1"/>
    <col min="91" max="91" width="16.140625" style="34" bestFit="1" customWidth="1"/>
    <col min="92" max="92" width="18" style="34" bestFit="1" customWidth="1"/>
    <col min="93" max="93" width="16.5703125" style="34" bestFit="1" customWidth="1"/>
    <col min="94" max="94" width="21" style="34" bestFit="1" customWidth="1"/>
    <col min="95" max="95" width="11.140625" style="34" bestFit="1" customWidth="1"/>
    <col min="96" max="96" width="24.42578125" style="34" bestFit="1" customWidth="1"/>
    <col min="97" max="97" width="21" style="34" bestFit="1" customWidth="1"/>
    <col min="98" max="98" width="18.140625" style="34" bestFit="1" customWidth="1"/>
    <col min="99" max="99" width="19" style="34" bestFit="1" customWidth="1"/>
    <col min="100" max="100" width="28.140625" style="34" bestFit="1" customWidth="1"/>
    <col min="101" max="106" width="19" style="34" bestFit="1" customWidth="1"/>
    <col min="107" max="107" width="20.42578125" style="34" bestFit="1" customWidth="1"/>
    <col min="108" max="108" width="19" style="34" bestFit="1" customWidth="1"/>
    <col min="109" max="109" width="19.42578125" style="34" bestFit="1" customWidth="1"/>
    <col min="110" max="110" width="20" style="34" bestFit="1" customWidth="1"/>
    <col min="111" max="111" width="26.42578125" style="34" bestFit="1" customWidth="1"/>
    <col min="112" max="112" width="22.85546875" style="34" bestFit="1" customWidth="1"/>
    <col min="113" max="113" width="12" style="34" bestFit="1" customWidth="1"/>
    <col min="114" max="114" width="9.5703125" style="34" bestFit="1" customWidth="1"/>
    <col min="115" max="115" width="19.5703125" style="34" bestFit="1" customWidth="1"/>
    <col min="116" max="118" width="19" style="34" bestFit="1" customWidth="1"/>
    <col min="119" max="119" width="18.5703125" style="34" bestFit="1" customWidth="1"/>
    <col min="120" max="123" width="12.140625" style="34" bestFit="1" customWidth="1"/>
    <col min="124" max="129" width="11.42578125" style="34" bestFit="1" customWidth="1"/>
    <col min="130" max="131" width="18.42578125" style="34" bestFit="1" customWidth="1"/>
    <col min="132" max="133" width="16.42578125" style="34" bestFit="1" customWidth="1"/>
    <col min="134" max="134" width="12.140625" style="34" bestFit="1" customWidth="1"/>
    <col min="135" max="135" width="14.42578125" style="34" bestFit="1" customWidth="1"/>
    <col min="136" max="136" width="17.5703125" style="34" bestFit="1" customWidth="1"/>
    <col min="137" max="137" width="14.5703125" style="34" bestFit="1" customWidth="1"/>
    <col min="138" max="138" width="19" style="34" bestFit="1" customWidth="1"/>
    <col min="139" max="139" width="13.140625" style="34" bestFit="1" customWidth="1"/>
    <col min="140" max="141" width="23.42578125" style="34" bestFit="1" customWidth="1"/>
    <col min="142" max="142" width="27.5703125" style="34" bestFit="1" customWidth="1"/>
    <col min="143" max="143" width="19.140625" style="34" bestFit="1" customWidth="1"/>
    <col min="144" max="144" width="20.5703125" style="34" bestFit="1" customWidth="1"/>
    <col min="145" max="145" width="22.42578125" style="34" bestFit="1" customWidth="1"/>
    <col min="146" max="146" width="20.5703125" style="34" bestFit="1" customWidth="1"/>
    <col min="147" max="147" width="15.5703125" style="34" bestFit="1" customWidth="1"/>
    <col min="148" max="148" width="18.140625" style="34" bestFit="1" customWidth="1"/>
    <col min="149" max="149" width="22.5703125" style="34" bestFit="1" customWidth="1"/>
    <col min="150" max="150" width="24.5703125" style="34" bestFit="1" customWidth="1"/>
    <col min="151" max="151" width="20.42578125" style="34" bestFit="1" customWidth="1"/>
    <col min="152" max="152" width="22.140625" style="34" bestFit="1" customWidth="1"/>
    <col min="153" max="153" width="24.85546875" style="34" bestFit="1" customWidth="1"/>
    <col min="154" max="154" width="23.5703125" style="34" bestFit="1" customWidth="1"/>
    <col min="155" max="155" width="25.42578125" style="34" bestFit="1" customWidth="1"/>
    <col min="156" max="156" width="13.85546875" style="34" bestFit="1" customWidth="1"/>
    <col min="157" max="157" width="12.140625" style="34" bestFit="1" customWidth="1"/>
    <col min="158" max="158" width="19" style="34" bestFit="1" customWidth="1"/>
    <col min="159" max="159" width="10.5703125" style="34" bestFit="1" customWidth="1"/>
    <col min="160" max="160" width="12.5703125" style="34" bestFit="1" customWidth="1"/>
    <col min="161" max="161" width="9.85546875" style="34" bestFit="1" customWidth="1"/>
    <col min="162" max="162" width="13.140625" style="34" bestFit="1" customWidth="1"/>
    <col min="163" max="163" width="10.85546875" style="34" bestFit="1" customWidth="1"/>
    <col min="164" max="164" width="15.5703125" style="34" bestFit="1" customWidth="1"/>
    <col min="165" max="165" width="13.85546875" style="34" bestFit="1" customWidth="1"/>
    <col min="166" max="166" width="15.5703125" style="34" bestFit="1" customWidth="1"/>
    <col min="167" max="167" width="11" style="34" bestFit="1" customWidth="1"/>
    <col min="168" max="168" width="14.42578125" style="34" bestFit="1" customWidth="1"/>
    <col min="169" max="169" width="8.42578125" style="34" bestFit="1" customWidth="1"/>
    <col min="170" max="170" width="11.85546875" style="34" bestFit="1" customWidth="1"/>
    <col min="171" max="171" width="14.42578125" style="34" bestFit="1" customWidth="1"/>
    <col min="172" max="172" width="10.42578125" style="34" bestFit="1" customWidth="1"/>
    <col min="173" max="173" width="13.42578125" style="34" bestFit="1" customWidth="1"/>
    <col min="174" max="174" width="9.42578125" style="34" bestFit="1" customWidth="1"/>
    <col min="175" max="175" width="14" style="34" bestFit="1" customWidth="1"/>
    <col min="176" max="176" width="18" style="34" bestFit="1" customWidth="1"/>
    <col min="177" max="177" width="12.5703125" style="34" bestFit="1" customWidth="1"/>
    <col min="178" max="178" width="16.5703125" style="34" bestFit="1" customWidth="1"/>
    <col min="179" max="179" width="12.140625" style="34" bestFit="1" customWidth="1"/>
    <col min="180" max="181" width="19" style="34" bestFit="1" customWidth="1"/>
    <col min="182" max="182" width="15.5703125" style="34" bestFit="1" customWidth="1"/>
    <col min="183" max="183" width="16" style="34" bestFit="1" customWidth="1"/>
    <col min="184" max="185" width="12.140625" style="34" bestFit="1" customWidth="1"/>
    <col min="186" max="186" width="10" style="34" bestFit="1" customWidth="1"/>
    <col min="187" max="187" width="15.85546875" style="34" bestFit="1" customWidth="1"/>
    <col min="188" max="188" width="12" style="34" bestFit="1" customWidth="1"/>
    <col min="189" max="189" width="13" style="34" bestFit="1" customWidth="1"/>
    <col min="190" max="190" width="11.85546875" style="34" bestFit="1" customWidth="1"/>
    <col min="191" max="191" width="16.5703125" style="34" bestFit="1" customWidth="1"/>
    <col min="192" max="192" width="13.5703125" style="34" bestFit="1" customWidth="1"/>
    <col min="193" max="193" width="18" style="34" bestFit="1" customWidth="1"/>
    <col min="194" max="194" width="21.85546875" style="34" bestFit="1" customWidth="1"/>
    <col min="195" max="195" width="21.140625" style="34" bestFit="1" customWidth="1"/>
    <col min="196" max="196" width="13" style="34" bestFit="1" customWidth="1"/>
    <col min="197" max="197" width="12.42578125" style="34" bestFit="1" customWidth="1"/>
    <col min="198" max="198" width="14" style="34" bestFit="1" customWidth="1"/>
    <col min="199" max="199" width="13.5703125" style="34" bestFit="1" customWidth="1"/>
    <col min="200" max="200" width="13.140625" style="34" bestFit="1" customWidth="1"/>
    <col min="201" max="201" width="14.85546875" style="34" bestFit="1" customWidth="1"/>
    <col min="202" max="202" width="11.140625" style="34" bestFit="1" customWidth="1"/>
    <col min="203" max="203" width="16.5703125" style="34" bestFit="1" customWidth="1"/>
    <col min="204" max="204" width="19" style="34" bestFit="1" customWidth="1"/>
    <col min="205" max="205" width="14.85546875" style="34" bestFit="1" customWidth="1"/>
    <col min="206" max="206" width="15.5703125" style="34" bestFit="1" customWidth="1"/>
    <col min="207" max="207" width="12.140625" style="34" bestFit="1" customWidth="1"/>
    <col min="208" max="208" width="15.5703125" style="34" bestFit="1" customWidth="1"/>
    <col min="209" max="209" width="20" style="34" bestFit="1" customWidth="1"/>
    <col min="210" max="210" width="31.140625" style="34" bestFit="1" customWidth="1"/>
    <col min="211" max="211" width="13.5703125" style="34" bestFit="1" customWidth="1"/>
    <col min="212" max="212" width="17.85546875" style="34" bestFit="1" customWidth="1"/>
    <col min="213" max="213" width="16.140625" style="34" bestFit="1" customWidth="1"/>
    <col min="214" max="214" width="18.42578125" style="34" bestFit="1" customWidth="1"/>
    <col min="215" max="215" width="18.5703125" style="34" bestFit="1" customWidth="1"/>
    <col min="216" max="216" width="22.42578125" style="34" bestFit="1" customWidth="1"/>
    <col min="217" max="217" width="26.5703125" style="34" bestFit="1" customWidth="1"/>
    <col min="218" max="218" width="27.42578125" style="34" bestFit="1" customWidth="1"/>
    <col min="219" max="219" width="14.85546875" style="34" bestFit="1" customWidth="1"/>
    <col min="220" max="220" width="17.42578125" style="34" bestFit="1" customWidth="1"/>
    <col min="221" max="221" width="23" style="34" bestFit="1" customWidth="1"/>
    <col min="222" max="222" width="20.5703125" style="34" bestFit="1" customWidth="1"/>
    <col min="223" max="223" width="21.42578125" style="34" bestFit="1" customWidth="1"/>
    <col min="224" max="224" width="23" style="34" bestFit="1" customWidth="1"/>
    <col min="225" max="225" width="24" style="34" bestFit="1" customWidth="1"/>
    <col min="226" max="226" width="28.5703125" style="34" bestFit="1" customWidth="1"/>
    <col min="227" max="227" width="16.140625" style="34" bestFit="1" customWidth="1"/>
    <col min="228" max="228" width="30.5703125" style="34" bestFit="1" customWidth="1"/>
    <col min="229" max="229" width="31.42578125" style="34" bestFit="1" customWidth="1"/>
    <col min="230" max="230" width="15.140625" style="34" bestFit="1" customWidth="1"/>
    <col min="231" max="231" width="19.5703125" style="34" bestFit="1" customWidth="1"/>
    <col min="232" max="232" width="8.5703125" style="34" bestFit="1" customWidth="1"/>
    <col min="233" max="233" width="16.42578125" style="34" bestFit="1" customWidth="1"/>
    <col min="234" max="234" width="14.5703125" style="34" bestFit="1" customWidth="1"/>
    <col min="235" max="236" width="12.140625" style="34" bestFit="1" customWidth="1"/>
    <col min="237" max="237" width="12.5703125" style="34" bestFit="1" customWidth="1"/>
    <col min="238" max="238" width="14.5703125" style="34" bestFit="1" customWidth="1"/>
    <col min="239" max="239" width="15.140625" style="34" bestFit="1" customWidth="1"/>
    <col min="240" max="240" width="17.5703125" style="34" bestFit="1" customWidth="1"/>
    <col min="241" max="241" width="11.5703125" style="34" bestFit="1" customWidth="1"/>
    <col min="242" max="242" width="18.85546875" style="34" bestFit="1" customWidth="1"/>
    <col min="243" max="245" width="24.85546875" style="34" bestFit="1" customWidth="1"/>
    <col min="246" max="246" width="19" style="34" bestFit="1" customWidth="1"/>
    <col min="247" max="247" width="16.42578125" style="34" bestFit="1" customWidth="1"/>
    <col min="248" max="248" width="20.85546875" style="34" bestFit="1" customWidth="1"/>
    <col min="249" max="249" width="21.140625" style="34" bestFit="1" customWidth="1"/>
    <col min="250" max="250" width="18.5703125" style="34" bestFit="1" customWidth="1"/>
    <col min="251" max="252" width="19" style="34" bestFit="1" customWidth="1"/>
    <col min="253" max="253" width="14" style="34" bestFit="1" customWidth="1"/>
    <col min="254" max="254" width="16.5703125" style="34" bestFit="1" customWidth="1"/>
    <col min="255" max="255" width="19.85546875" style="34" bestFit="1" customWidth="1"/>
    <col min="256" max="256" width="18.5703125" style="34" bestFit="1" customWidth="1"/>
    <col min="257" max="257" width="22.42578125" style="34" bestFit="1" customWidth="1"/>
    <col min="258" max="258" width="21.5703125" style="34" bestFit="1" customWidth="1"/>
    <col min="259" max="259" width="7" style="34" bestFit="1" customWidth="1"/>
    <col min="260" max="260" width="24.5703125" style="34" bestFit="1" customWidth="1"/>
    <col min="261" max="261" width="16.5703125" style="34" bestFit="1" customWidth="1"/>
    <col min="262" max="262" width="14.42578125" style="34" bestFit="1" customWidth="1"/>
    <col min="263" max="263" width="15.42578125" style="34" bestFit="1" customWidth="1"/>
    <col min="264" max="264" width="27.140625" style="34" bestFit="1" customWidth="1"/>
    <col min="265" max="265" width="26.85546875" style="34" bestFit="1" customWidth="1"/>
    <col min="266" max="266" width="26" style="34" bestFit="1" customWidth="1"/>
    <col min="267" max="267" width="18.85546875" style="34" bestFit="1" customWidth="1"/>
    <col min="268" max="268" width="19" style="34" bestFit="1" customWidth="1"/>
    <col min="269" max="269" width="25.42578125" style="34" bestFit="1" customWidth="1"/>
    <col min="270" max="270" width="19" style="34" bestFit="1" customWidth="1"/>
    <col min="271" max="271" width="26.5703125" style="34" bestFit="1" customWidth="1"/>
    <col min="272" max="273" width="16.5703125" style="34" bestFit="1" customWidth="1"/>
    <col min="274" max="275" width="20.42578125" style="34" bestFit="1" customWidth="1"/>
    <col min="276" max="277" width="22.5703125" style="34" bestFit="1" customWidth="1"/>
    <col min="278" max="278" width="19" style="34" bestFit="1" customWidth="1"/>
    <col min="279" max="279" width="19.140625" style="34" bestFit="1" customWidth="1"/>
    <col min="280" max="280" width="11" style="34" bestFit="1" customWidth="1"/>
    <col min="281" max="281" width="15.42578125" style="34" bestFit="1" customWidth="1"/>
    <col min="282" max="282" width="15.140625" style="34" bestFit="1" customWidth="1"/>
    <col min="283" max="283" width="18.140625" style="34" bestFit="1" customWidth="1"/>
    <col min="284" max="284" width="18.5703125" style="34" bestFit="1" customWidth="1"/>
    <col min="285" max="285" width="13" style="34" bestFit="1" customWidth="1"/>
    <col min="286" max="286" width="11.5703125" style="34" bestFit="1" customWidth="1"/>
    <col min="287" max="287" width="10.5703125" style="34" bestFit="1" customWidth="1"/>
    <col min="288" max="291" width="19" style="34" bestFit="1" customWidth="1"/>
    <col min="292" max="293" width="14.85546875" style="34" bestFit="1" customWidth="1"/>
    <col min="294" max="294" width="19" style="34" bestFit="1" customWidth="1"/>
    <col min="295" max="295" width="20.140625" style="34" bestFit="1" customWidth="1"/>
    <col min="296" max="296" width="8.140625" style="34" bestFit="1" customWidth="1"/>
    <col min="297" max="297" width="8.42578125" style="34" bestFit="1" customWidth="1"/>
    <col min="298" max="298" width="10.42578125" style="34" bestFit="1" customWidth="1"/>
    <col min="299" max="299" width="10.5703125" style="34" bestFit="1" customWidth="1"/>
    <col min="300" max="300" width="11.140625" style="34" bestFit="1" customWidth="1"/>
    <col min="301" max="301" width="22" style="34" bestFit="1" customWidth="1"/>
    <col min="302" max="302" width="10.5703125" style="34" bestFit="1" customWidth="1"/>
    <col min="303" max="303" width="11.42578125" style="34" bestFit="1" customWidth="1"/>
    <col min="304" max="304" width="16.42578125" style="34" bestFit="1" customWidth="1"/>
    <col min="305" max="305" width="17.140625" style="34" bestFit="1" customWidth="1"/>
    <col min="306" max="306" width="11.5703125" style="34" bestFit="1" customWidth="1"/>
    <col min="307" max="307" width="10.5703125" style="34" bestFit="1" customWidth="1"/>
    <col min="308" max="16384" width="9.140625" style="34"/>
  </cols>
  <sheetData>
    <row r="1" spans="1:15">
      <c r="A1"/>
      <c r="B1" s="483" t="s">
        <v>1192</v>
      </c>
      <c r="C1"/>
    </row>
    <row r="2" spans="1:15" ht="21.75" customHeight="1">
      <c r="A2" s="425" t="s">
        <v>1193</v>
      </c>
      <c r="B2" s="484" t="s">
        <v>1194</v>
      </c>
      <c r="C2" t="s">
        <v>1195</v>
      </c>
    </row>
    <row r="3" spans="1:15">
      <c r="A3" s="425" t="s">
        <v>1196</v>
      </c>
      <c r="B3" s="484" t="s">
        <v>1197</v>
      </c>
      <c r="C3"/>
    </row>
    <row r="4" spans="1:15" ht="12" customHeight="1">
      <c r="A4" s="425" t="s">
        <v>1198</v>
      </c>
      <c r="B4" s="491" t="s">
        <v>1199</v>
      </c>
      <c r="C4" t="s">
        <v>1200</v>
      </c>
    </row>
    <row r="5" spans="1:15" ht="12" customHeight="1">
      <c r="A5" s="425" t="s">
        <v>1201</v>
      </c>
      <c r="B5" s="484" t="s">
        <v>1202</v>
      </c>
      <c r="C5"/>
    </row>
    <row r="6" spans="1:15">
      <c r="A6"/>
      <c r="B6"/>
      <c r="C6"/>
    </row>
    <row r="7" spans="1:15">
      <c r="A7"/>
      <c r="B7"/>
      <c r="C7"/>
    </row>
    <row r="8" spans="1:15" ht="138.75" customHeight="1">
      <c r="B8" s="487" t="s">
        <v>1203</v>
      </c>
      <c r="C8" s="487" t="s">
        <v>1204</v>
      </c>
      <c r="D8" s="494" t="s">
        <v>247</v>
      </c>
      <c r="E8" s="487" t="s">
        <v>254</v>
      </c>
      <c r="F8" s="487" t="s">
        <v>1205</v>
      </c>
      <c r="G8" s="515" t="s">
        <v>1206</v>
      </c>
      <c r="H8" s="516" t="s">
        <v>1207</v>
      </c>
      <c r="I8" s="516" t="s">
        <v>1208</v>
      </c>
      <c r="J8" s="488" t="s">
        <v>1209</v>
      </c>
      <c r="K8" s="488" t="s">
        <v>1210</v>
      </c>
      <c r="L8" s="566" t="s">
        <v>1211</v>
      </c>
      <c r="M8" s="501" t="s">
        <v>1212</v>
      </c>
      <c r="N8" s="567" t="s">
        <v>458</v>
      </c>
      <c r="O8" s="567" t="s">
        <v>463</v>
      </c>
    </row>
    <row r="9" spans="1:15">
      <c r="A9" s="486" t="s">
        <v>1213</v>
      </c>
      <c r="B9" s="489">
        <v>7599000</v>
      </c>
      <c r="C9" s="383" t="s">
        <v>1214</v>
      </c>
      <c r="D9" s="568"/>
      <c r="E9" s="136"/>
      <c r="F9" s="495">
        <v>0</v>
      </c>
      <c r="G9" s="136" t="s">
        <v>913</v>
      </c>
      <c r="H9" s="498"/>
      <c r="I9" s="478"/>
      <c r="J9" s="489">
        <v>1000</v>
      </c>
      <c r="K9" s="489">
        <v>1000</v>
      </c>
      <c r="L9" s="383"/>
      <c r="M9" s="517">
        <v>-8017465.4800000004</v>
      </c>
      <c r="N9" s="383"/>
      <c r="O9" s="383"/>
    </row>
    <row r="10" spans="1:15">
      <c r="A10" s="486" t="s">
        <v>1215</v>
      </c>
      <c r="B10" s="489">
        <v>600000000</v>
      </c>
      <c r="C10" s="383" t="s">
        <v>1214</v>
      </c>
      <c r="D10" s="568"/>
      <c r="E10" s="136"/>
      <c r="F10" s="495">
        <v>0</v>
      </c>
      <c r="G10" s="136" t="s">
        <v>913</v>
      </c>
      <c r="H10" s="498"/>
      <c r="I10" s="478"/>
      <c r="J10" s="489">
        <v>100000</v>
      </c>
      <c r="K10" s="489">
        <v>100000</v>
      </c>
      <c r="L10" s="383"/>
      <c r="M10" s="517">
        <v>-601416723.28999996</v>
      </c>
      <c r="N10" s="383"/>
      <c r="O10" s="383"/>
    </row>
    <row r="11" spans="1:15">
      <c r="A11" s="486" t="s">
        <v>1216</v>
      </c>
      <c r="B11" s="489">
        <v>200000000</v>
      </c>
      <c r="C11" s="383" t="s">
        <v>1214</v>
      </c>
      <c r="D11" s="568"/>
      <c r="E11" s="136"/>
      <c r="F11" s="495">
        <v>0</v>
      </c>
      <c r="G11" s="136" t="s">
        <v>913</v>
      </c>
      <c r="H11" s="498"/>
      <c r="I11" s="478"/>
      <c r="J11" s="489">
        <v>100000</v>
      </c>
      <c r="K11" s="489">
        <v>100000</v>
      </c>
      <c r="L11" s="383"/>
      <c r="M11" s="517">
        <v>-200568263.00999999</v>
      </c>
      <c r="N11" s="383"/>
      <c r="O11" s="383"/>
    </row>
    <row r="12" spans="1:15">
      <c r="A12" s="486" t="s">
        <v>1217</v>
      </c>
      <c r="B12" s="489">
        <v>300000000</v>
      </c>
      <c r="C12" s="383" t="s">
        <v>1214</v>
      </c>
      <c r="D12" s="568"/>
      <c r="E12" s="136"/>
      <c r="F12" s="495">
        <v>0</v>
      </c>
      <c r="G12" s="136" t="s">
        <v>913</v>
      </c>
      <c r="H12" s="498"/>
      <c r="I12" s="478"/>
      <c r="J12" s="489">
        <v>100000</v>
      </c>
      <c r="K12" s="489">
        <v>100000</v>
      </c>
      <c r="L12" s="383"/>
      <c r="M12" s="517">
        <v>-300000000</v>
      </c>
      <c r="N12" s="383"/>
      <c r="O12" s="383"/>
    </row>
    <row r="13" spans="1:15">
      <c r="A13" s="486" t="s">
        <v>1218</v>
      </c>
      <c r="B13" s="489">
        <v>500000000</v>
      </c>
      <c r="C13" s="383" t="s">
        <v>1214</v>
      </c>
      <c r="D13" s="568"/>
      <c r="E13" s="136"/>
      <c r="F13" s="495">
        <v>0</v>
      </c>
      <c r="G13" s="136" t="s">
        <v>913</v>
      </c>
      <c r="H13" s="498"/>
      <c r="I13" s="478"/>
      <c r="J13" s="489">
        <v>100000</v>
      </c>
      <c r="K13" s="489">
        <v>100000</v>
      </c>
      <c r="L13" s="383"/>
      <c r="M13" s="517">
        <v>-518700931.5</v>
      </c>
      <c r="N13" s="383"/>
      <c r="O13" s="383"/>
    </row>
    <row r="14" spans="1:15">
      <c r="A14" s="486" t="s">
        <v>1219</v>
      </c>
      <c r="B14" s="489">
        <v>500000000</v>
      </c>
      <c r="C14" s="383" t="s">
        <v>1214</v>
      </c>
      <c r="D14" s="568"/>
      <c r="E14" s="136"/>
      <c r="F14" s="495">
        <v>0</v>
      </c>
      <c r="G14" s="136" t="s">
        <v>913</v>
      </c>
      <c r="H14" s="498"/>
      <c r="I14" s="478"/>
      <c r="J14" s="489">
        <v>100000</v>
      </c>
      <c r="K14" s="489">
        <v>100000</v>
      </c>
      <c r="L14" s="383"/>
      <c r="M14" s="517">
        <v>-500000000</v>
      </c>
      <c r="N14" s="383"/>
      <c r="O14" s="383"/>
    </row>
    <row r="15" spans="1:15" s="385" customFormat="1">
      <c r="A15" s="492" t="s">
        <v>1220</v>
      </c>
      <c r="B15" s="490">
        <v>1391779674</v>
      </c>
      <c r="C15" s="384" t="s">
        <v>1214</v>
      </c>
      <c r="D15" s="490"/>
      <c r="E15" s="490"/>
      <c r="F15" s="490">
        <v>0</v>
      </c>
      <c r="G15" s="559" t="s">
        <v>913</v>
      </c>
      <c r="H15" s="475"/>
      <c r="I15" s="499"/>
      <c r="J15" s="490">
        <v>1</v>
      </c>
      <c r="K15" s="490">
        <v>1</v>
      </c>
      <c r="L15" s="493"/>
      <c r="M15" s="518">
        <v>-1372632707.5899999</v>
      </c>
      <c r="N15" s="384"/>
      <c r="O15" s="384"/>
    </row>
    <row r="16" spans="1:15">
      <c r="A16" s="486" t="s">
        <v>1221</v>
      </c>
      <c r="B16" s="489">
        <v>400000000</v>
      </c>
      <c r="C16" s="383" t="s">
        <v>1214</v>
      </c>
      <c r="D16" s="568"/>
      <c r="E16" s="136"/>
      <c r="F16" s="495">
        <v>0</v>
      </c>
      <c r="G16" s="136" t="s">
        <v>913</v>
      </c>
      <c r="H16" s="498"/>
      <c r="I16" s="478"/>
      <c r="J16" s="489">
        <v>100000</v>
      </c>
      <c r="K16" s="489">
        <v>100000</v>
      </c>
      <c r="L16" s="383"/>
      <c r="M16" s="517">
        <v>-400000000</v>
      </c>
      <c r="N16" s="383"/>
      <c r="O16" s="383"/>
    </row>
    <row r="17" spans="1:57">
      <c r="A17" s="485"/>
      <c r="B17"/>
      <c r="C17"/>
      <c r="J17" s="500"/>
    </row>
    <row r="18" spans="1:57" s="326" customFormat="1">
      <c r="A18" s="326" t="s">
        <v>1222</v>
      </c>
      <c r="G18" s="325"/>
    </row>
    <row r="19" spans="1:57" s="326" customFormat="1">
      <c r="A19" s="326" t="s">
        <v>1223</v>
      </c>
      <c r="G19" s="325"/>
    </row>
    <row r="20" spans="1:57" s="326" customFormat="1">
      <c r="A20" s="326" t="s">
        <v>1224</v>
      </c>
      <c r="G20" s="325"/>
    </row>
    <row r="21" spans="1:57" s="326" customFormat="1">
      <c r="A21" s="450" t="s">
        <v>1225</v>
      </c>
      <c r="G21" s="325"/>
    </row>
    <row r="22" spans="1:57" s="326" customFormat="1">
      <c r="A22" s="450" t="s">
        <v>1226</v>
      </c>
      <c r="G22" s="325"/>
    </row>
    <row r="23" spans="1:57" s="326" customFormat="1">
      <c r="A23" s="450" t="s">
        <v>1227</v>
      </c>
      <c r="G23" s="325"/>
    </row>
    <row r="24" spans="1:57" s="326" customFormat="1">
      <c r="A24" s="450" t="s">
        <v>1228</v>
      </c>
      <c r="G24" s="325"/>
    </row>
    <row r="25" spans="1:57" s="326" customFormat="1">
      <c r="A25" s="450" t="s">
        <v>1229</v>
      </c>
      <c r="G25" s="325"/>
    </row>
    <row r="26" spans="1:57" s="326" customFormat="1">
      <c r="A26" s="450" t="s">
        <v>1230</v>
      </c>
      <c r="G26" s="325"/>
    </row>
    <row r="27" spans="1:57" s="326" customFormat="1">
      <c r="A27" s="450" t="s">
        <v>1231</v>
      </c>
      <c r="G27" s="325"/>
    </row>
    <row r="28" spans="1:57" s="326" customFormat="1">
      <c r="A28" s="450" t="s">
        <v>1232</v>
      </c>
      <c r="G28" s="325"/>
    </row>
    <row r="30" spans="1:57">
      <c r="A30" s="34" t="s">
        <v>1233</v>
      </c>
    </row>
    <row r="31" spans="1:57">
      <c r="A31" s="468" t="s">
        <v>1234</v>
      </c>
      <c r="B31" s="468" t="s">
        <v>1235</v>
      </c>
      <c r="C31" s="468" t="s">
        <v>1236</v>
      </c>
      <c r="D31" s="468" t="s">
        <v>1237</v>
      </c>
      <c r="E31" s="468" t="s">
        <v>93</v>
      </c>
      <c r="F31" s="468" t="s">
        <v>1238</v>
      </c>
      <c r="G31" s="560" t="s">
        <v>1239</v>
      </c>
      <c r="H31" s="468" t="s">
        <v>1240</v>
      </c>
      <c r="I31" s="468" t="s">
        <v>1241</v>
      </c>
      <c r="J31" s="468" t="s">
        <v>1242</v>
      </c>
      <c r="K31" s="468" t="s">
        <v>1243</v>
      </c>
      <c r="L31" s="468" t="s">
        <v>1244</v>
      </c>
      <c r="M31" s="468" t="s">
        <v>1245</v>
      </c>
      <c r="N31" s="468" t="s">
        <v>1246</v>
      </c>
      <c r="O31" s="468" t="s">
        <v>1247</v>
      </c>
      <c r="P31" s="468" t="s">
        <v>1248</v>
      </c>
      <c r="Q31" s="468" t="s">
        <v>1249</v>
      </c>
      <c r="R31" s="468" t="s">
        <v>1250</v>
      </c>
      <c r="S31" s="468" t="s">
        <v>1251</v>
      </c>
      <c r="T31" s="468" t="s">
        <v>1252</v>
      </c>
      <c r="U31" s="468" t="s">
        <v>1253</v>
      </c>
      <c r="V31" s="468" t="s">
        <v>1254</v>
      </c>
      <c r="W31" s="468" t="s">
        <v>1255</v>
      </c>
      <c r="X31" s="468" t="s">
        <v>1256</v>
      </c>
      <c r="Y31" s="468" t="s">
        <v>1257</v>
      </c>
      <c r="Z31" s="468" t="s">
        <v>1258</v>
      </c>
      <c r="AA31" s="468" t="s">
        <v>1259</v>
      </c>
      <c r="AB31" s="468" t="s">
        <v>1260</v>
      </c>
      <c r="AC31" s="468" t="s">
        <v>1261</v>
      </c>
      <c r="AD31" s="468" t="s">
        <v>1262</v>
      </c>
      <c r="AE31" s="468" t="s">
        <v>1263</v>
      </c>
      <c r="AF31" s="468" t="s">
        <v>1264</v>
      </c>
      <c r="AG31" s="468" t="s">
        <v>1265</v>
      </c>
      <c r="AH31" s="468" t="s">
        <v>1266</v>
      </c>
      <c r="AI31" s="468" t="s">
        <v>1267</v>
      </c>
      <c r="AJ31" s="468" t="s">
        <v>1268</v>
      </c>
      <c r="AK31" s="468" t="s">
        <v>1269</v>
      </c>
      <c r="AL31" s="468" t="s">
        <v>1270</v>
      </c>
      <c r="AM31" s="468" t="s">
        <v>1271</v>
      </c>
      <c r="AN31" s="468" t="s">
        <v>1272</v>
      </c>
      <c r="AO31" s="468" t="s">
        <v>1273</v>
      </c>
      <c r="AP31" s="468" t="s">
        <v>1274</v>
      </c>
      <c r="AQ31" s="468" t="s">
        <v>1275</v>
      </c>
      <c r="AR31" s="468" t="s">
        <v>1276</v>
      </c>
      <c r="AS31" s="468" t="s">
        <v>1277</v>
      </c>
      <c r="AT31" s="468" t="s">
        <v>1278</v>
      </c>
      <c r="AU31" s="468" t="s">
        <v>1279</v>
      </c>
      <c r="AV31" s="468" t="s">
        <v>1280</v>
      </c>
      <c r="AW31" s="468" t="s">
        <v>135</v>
      </c>
      <c r="AX31" s="468" t="s">
        <v>845</v>
      </c>
      <c r="AY31" s="468" t="s">
        <v>140</v>
      </c>
      <c r="AZ31" s="468" t="s">
        <v>141</v>
      </c>
      <c r="BA31" s="468" t="s">
        <v>882</v>
      </c>
      <c r="BB31" s="468" t="s">
        <v>1281</v>
      </c>
      <c r="BC31" s="468" t="s">
        <v>138</v>
      </c>
      <c r="BD31" s="468" t="s">
        <v>1282</v>
      </c>
      <c r="BE31" s="468"/>
    </row>
    <row r="32" spans="1:57" s="385" customFormat="1" hidden="1">
      <c r="A32" s="468" t="s">
        <v>1283</v>
      </c>
      <c r="B32" s="468" t="s">
        <v>1284</v>
      </c>
      <c r="C32" s="468" t="s">
        <v>1285</v>
      </c>
      <c r="D32" s="468" t="s">
        <v>1286</v>
      </c>
      <c r="E32" s="468" t="s">
        <v>1287</v>
      </c>
      <c r="F32" s="468" t="s">
        <v>1288</v>
      </c>
      <c r="G32" s="560" t="s">
        <v>1289</v>
      </c>
      <c r="H32" s="468" t="s">
        <v>1290</v>
      </c>
      <c r="I32" s="468" t="s">
        <v>1288</v>
      </c>
      <c r="J32" s="470">
        <v>418465.48</v>
      </c>
      <c r="K32" s="468" t="s">
        <v>849</v>
      </c>
      <c r="L32" s="468" t="s">
        <v>1291</v>
      </c>
      <c r="M32" s="468" t="s">
        <v>1292</v>
      </c>
      <c r="N32" s="468" t="s">
        <v>1293</v>
      </c>
      <c r="O32" s="468"/>
      <c r="P32" s="468" t="s">
        <v>1294</v>
      </c>
      <c r="Q32" s="468" t="s">
        <v>1295</v>
      </c>
      <c r="R32" s="468" t="s">
        <v>1295</v>
      </c>
      <c r="S32" s="468" t="s">
        <v>1295</v>
      </c>
      <c r="T32" s="468" t="s">
        <v>1295</v>
      </c>
      <c r="U32" s="468"/>
      <c r="V32" s="468" t="s">
        <v>1295</v>
      </c>
      <c r="W32" s="468" t="s">
        <v>1295</v>
      </c>
      <c r="X32" s="468" t="s">
        <v>1295</v>
      </c>
      <c r="Y32" s="468" t="s">
        <v>1296</v>
      </c>
      <c r="Z32" s="468" t="s">
        <v>1297</v>
      </c>
      <c r="AA32" s="468" t="s">
        <v>1295</v>
      </c>
      <c r="AB32" s="468" t="s">
        <v>1295</v>
      </c>
      <c r="AC32" s="468" t="s">
        <v>913</v>
      </c>
      <c r="AD32" s="468" t="s">
        <v>1295</v>
      </c>
      <c r="AE32" s="468" t="s">
        <v>913</v>
      </c>
      <c r="AF32" s="468" t="s">
        <v>913</v>
      </c>
      <c r="AG32" s="468" t="s">
        <v>913</v>
      </c>
      <c r="AH32" s="468" t="s">
        <v>913</v>
      </c>
      <c r="AI32" s="481">
        <v>418465.48</v>
      </c>
      <c r="AJ32" s="468" t="s">
        <v>1298</v>
      </c>
      <c r="AK32" s="468" t="s">
        <v>1298</v>
      </c>
      <c r="AL32" s="468" t="s">
        <v>1298</v>
      </c>
      <c r="AM32" s="468" t="s">
        <v>1298</v>
      </c>
      <c r="AN32" s="468" t="s">
        <v>1298</v>
      </c>
      <c r="AO32" s="468" t="s">
        <v>1298</v>
      </c>
      <c r="AP32" s="468" t="s">
        <v>1298</v>
      </c>
      <c r="AQ32" s="468" t="s">
        <v>1298</v>
      </c>
      <c r="AR32" s="468" t="s">
        <v>1298</v>
      </c>
      <c r="AS32" s="468"/>
      <c r="AT32" s="468"/>
      <c r="AU32" s="468" t="s">
        <v>1299</v>
      </c>
      <c r="AV32" s="468" t="s">
        <v>1300</v>
      </c>
      <c r="AW32" s="468" t="s">
        <v>1301</v>
      </c>
      <c r="AX32" s="468" t="s">
        <v>1302</v>
      </c>
      <c r="AY32" s="468" t="s">
        <v>1303</v>
      </c>
      <c r="AZ32" s="468" t="s">
        <v>153</v>
      </c>
      <c r="BA32" s="468" t="s">
        <v>1304</v>
      </c>
      <c r="BB32" s="468" t="s">
        <v>1305</v>
      </c>
      <c r="BC32" s="468" t="s">
        <v>1306</v>
      </c>
      <c r="BD32" s="468" t="s">
        <v>1307</v>
      </c>
      <c r="BE32" s="468"/>
    </row>
    <row r="33" spans="1:57" s="385" customFormat="1" hidden="1">
      <c r="A33" s="468" t="s">
        <v>1283</v>
      </c>
      <c r="B33" s="468" t="s">
        <v>1284</v>
      </c>
      <c r="C33" s="468" t="s">
        <v>1285</v>
      </c>
      <c r="D33" s="468" t="s">
        <v>1286</v>
      </c>
      <c r="E33" s="468" t="s">
        <v>1287</v>
      </c>
      <c r="F33" s="468" t="s">
        <v>1308</v>
      </c>
      <c r="G33" s="560" t="s">
        <v>1309</v>
      </c>
      <c r="H33" s="468" t="s">
        <v>1290</v>
      </c>
      <c r="I33" s="468" t="s">
        <v>1308</v>
      </c>
      <c r="J33" s="470">
        <v>7599000</v>
      </c>
      <c r="K33" s="468" t="s">
        <v>849</v>
      </c>
      <c r="L33" s="468" t="s">
        <v>1291</v>
      </c>
      <c r="M33" s="468" t="s">
        <v>1292</v>
      </c>
      <c r="N33" s="468" t="s">
        <v>1293</v>
      </c>
      <c r="O33" s="468"/>
      <c r="P33" s="468" t="s">
        <v>1310</v>
      </c>
      <c r="Q33" s="468" t="s">
        <v>1295</v>
      </c>
      <c r="R33" s="468" t="s">
        <v>1295</v>
      </c>
      <c r="S33" s="468" t="s">
        <v>1295</v>
      </c>
      <c r="T33" s="468" t="s">
        <v>1295</v>
      </c>
      <c r="U33" s="468"/>
      <c r="V33" s="468" t="s">
        <v>1295</v>
      </c>
      <c r="W33" s="468" t="s">
        <v>1295</v>
      </c>
      <c r="X33" s="468" t="s">
        <v>1295</v>
      </c>
      <c r="Y33" s="468" t="s">
        <v>1296</v>
      </c>
      <c r="Z33" s="468" t="s">
        <v>1297</v>
      </c>
      <c r="AA33" s="468" t="s">
        <v>1295</v>
      </c>
      <c r="AB33" s="468" t="s">
        <v>1295</v>
      </c>
      <c r="AC33" s="468" t="s">
        <v>913</v>
      </c>
      <c r="AD33" s="468" t="s">
        <v>1295</v>
      </c>
      <c r="AE33" s="468" t="s">
        <v>913</v>
      </c>
      <c r="AF33" s="468" t="s">
        <v>913</v>
      </c>
      <c r="AG33" s="468" t="s">
        <v>913</v>
      </c>
      <c r="AH33" s="468" t="s">
        <v>913</v>
      </c>
      <c r="AI33" s="481">
        <v>7599000</v>
      </c>
      <c r="AJ33" s="468" t="s">
        <v>1298</v>
      </c>
      <c r="AK33" s="468" t="s">
        <v>1298</v>
      </c>
      <c r="AL33" s="468" t="s">
        <v>1298</v>
      </c>
      <c r="AM33" s="468" t="s">
        <v>1298</v>
      </c>
      <c r="AN33" s="468" t="s">
        <v>1298</v>
      </c>
      <c r="AO33" s="468" t="s">
        <v>1298</v>
      </c>
      <c r="AP33" s="468" t="s">
        <v>1298</v>
      </c>
      <c r="AQ33" s="468" t="s">
        <v>1298</v>
      </c>
      <c r="AR33" s="468" t="s">
        <v>1298</v>
      </c>
      <c r="AS33" s="468"/>
      <c r="AT33" s="468"/>
      <c r="AU33" s="468" t="s">
        <v>1300</v>
      </c>
      <c r="AV33" s="468" t="s">
        <v>1300</v>
      </c>
      <c r="AW33" s="468" t="s">
        <v>1301</v>
      </c>
      <c r="AX33" s="468" t="s">
        <v>1302</v>
      </c>
      <c r="AY33" s="468" t="s">
        <v>1303</v>
      </c>
      <c r="AZ33" s="468" t="s">
        <v>153</v>
      </c>
      <c r="BA33" s="468" t="s">
        <v>1304</v>
      </c>
      <c r="BB33" s="468" t="s">
        <v>1305</v>
      </c>
      <c r="BC33" s="468" t="s">
        <v>1306</v>
      </c>
      <c r="BD33" s="468" t="s">
        <v>1307</v>
      </c>
      <c r="BE33" s="468"/>
    </row>
    <row r="34" spans="1:57" s="385" customFormat="1" hidden="1">
      <c r="A34" s="468" t="s">
        <v>1283</v>
      </c>
      <c r="B34" s="468" t="s">
        <v>1284</v>
      </c>
      <c r="C34" s="468" t="s">
        <v>1285</v>
      </c>
      <c r="D34" s="468" t="s">
        <v>1311</v>
      </c>
      <c r="E34" s="468" t="s">
        <v>1038</v>
      </c>
      <c r="F34" s="468" t="s">
        <v>1312</v>
      </c>
      <c r="G34" s="560" t="s">
        <v>1313</v>
      </c>
      <c r="H34" s="468" t="s">
        <v>1314</v>
      </c>
      <c r="I34" s="468" t="s">
        <v>1312</v>
      </c>
      <c r="J34" s="470">
        <v>600000000</v>
      </c>
      <c r="K34" s="468" t="s">
        <v>849</v>
      </c>
      <c r="L34" s="468" t="s">
        <v>1291</v>
      </c>
      <c r="M34" s="468" t="s">
        <v>1292</v>
      </c>
      <c r="N34" s="468" t="s">
        <v>1293</v>
      </c>
      <c r="O34" s="468"/>
      <c r="P34" s="468" t="s">
        <v>1310</v>
      </c>
      <c r="Q34" s="468" t="s">
        <v>1295</v>
      </c>
      <c r="R34" s="468" t="s">
        <v>1295</v>
      </c>
      <c r="S34" s="468" t="s">
        <v>1295</v>
      </c>
      <c r="T34" s="468" t="s">
        <v>913</v>
      </c>
      <c r="U34" s="468"/>
      <c r="V34" s="468" t="s">
        <v>1295</v>
      </c>
      <c r="W34" s="468" t="s">
        <v>1295</v>
      </c>
      <c r="X34" s="468" t="s">
        <v>1295</v>
      </c>
      <c r="Y34" s="468" t="s">
        <v>1296</v>
      </c>
      <c r="Z34" s="468" t="s">
        <v>1297</v>
      </c>
      <c r="AA34" s="468" t="s">
        <v>1295</v>
      </c>
      <c r="AB34" s="468" t="s">
        <v>1295</v>
      </c>
      <c r="AC34" s="468" t="s">
        <v>913</v>
      </c>
      <c r="AD34" s="468" t="s">
        <v>913</v>
      </c>
      <c r="AE34" s="468" t="s">
        <v>913</v>
      </c>
      <c r="AF34" s="468" t="s">
        <v>913</v>
      </c>
      <c r="AG34" s="468" t="s">
        <v>913</v>
      </c>
      <c r="AH34" s="468" t="s">
        <v>913</v>
      </c>
      <c r="AI34" s="481">
        <v>600000000</v>
      </c>
      <c r="AJ34" s="468" t="s">
        <v>1298</v>
      </c>
      <c r="AK34" s="468" t="s">
        <v>1298</v>
      </c>
      <c r="AL34" s="468" t="s">
        <v>1298</v>
      </c>
      <c r="AM34" s="468" t="s">
        <v>1295</v>
      </c>
      <c r="AN34" s="468" t="s">
        <v>1295</v>
      </c>
      <c r="AO34" s="468" t="s">
        <v>1295</v>
      </c>
      <c r="AP34" s="468" t="s">
        <v>1295</v>
      </c>
      <c r="AQ34" s="468" t="s">
        <v>1298</v>
      </c>
      <c r="AR34" s="468" t="s">
        <v>1295</v>
      </c>
      <c r="AS34" s="468"/>
      <c r="AT34" s="468"/>
      <c r="AU34" s="468" t="s">
        <v>1315</v>
      </c>
      <c r="AV34" s="468" t="s">
        <v>1315</v>
      </c>
      <c r="AW34" s="468" t="s">
        <v>1301</v>
      </c>
      <c r="AX34" s="468" t="s">
        <v>1302</v>
      </c>
      <c r="AY34" s="468" t="s">
        <v>1303</v>
      </c>
      <c r="AZ34" s="468" t="s">
        <v>153</v>
      </c>
      <c r="BA34" s="468" t="s">
        <v>1304</v>
      </c>
      <c r="BB34" s="468" t="s">
        <v>1305</v>
      </c>
      <c r="BC34" s="468" t="s">
        <v>1306</v>
      </c>
      <c r="BD34" s="468" t="s">
        <v>1307</v>
      </c>
      <c r="BE34" s="468"/>
    </row>
    <row r="35" spans="1:57" s="385" customFormat="1" hidden="1">
      <c r="A35" s="468" t="s">
        <v>1283</v>
      </c>
      <c r="B35" s="468" t="s">
        <v>1284</v>
      </c>
      <c r="C35" s="468" t="s">
        <v>1285</v>
      </c>
      <c r="D35" s="468" t="s">
        <v>1311</v>
      </c>
      <c r="E35" s="468" t="s">
        <v>1038</v>
      </c>
      <c r="F35" s="468" t="s">
        <v>1316</v>
      </c>
      <c r="G35" s="560" t="s">
        <v>1317</v>
      </c>
      <c r="H35" s="468" t="s">
        <v>1314</v>
      </c>
      <c r="I35" s="468" t="s">
        <v>1316</v>
      </c>
      <c r="J35" s="470">
        <v>1416723.29</v>
      </c>
      <c r="K35" s="468" t="s">
        <v>849</v>
      </c>
      <c r="L35" s="468" t="s">
        <v>1291</v>
      </c>
      <c r="M35" s="468" t="s">
        <v>1292</v>
      </c>
      <c r="N35" s="468" t="s">
        <v>1293</v>
      </c>
      <c r="O35" s="468"/>
      <c r="P35" s="468" t="s">
        <v>1294</v>
      </c>
      <c r="Q35" s="468" t="s">
        <v>1295</v>
      </c>
      <c r="R35" s="468" t="s">
        <v>1295</v>
      </c>
      <c r="S35" s="468" t="s">
        <v>1295</v>
      </c>
      <c r="T35" s="468" t="s">
        <v>913</v>
      </c>
      <c r="U35" s="468"/>
      <c r="V35" s="468" t="s">
        <v>1295</v>
      </c>
      <c r="W35" s="468" t="s">
        <v>1295</v>
      </c>
      <c r="X35" s="468" t="s">
        <v>1295</v>
      </c>
      <c r="Y35" s="468" t="s">
        <v>1296</v>
      </c>
      <c r="Z35" s="468" t="s">
        <v>1297</v>
      </c>
      <c r="AA35" s="468" t="s">
        <v>1295</v>
      </c>
      <c r="AB35" s="468" t="s">
        <v>1295</v>
      </c>
      <c r="AC35" s="468" t="s">
        <v>913</v>
      </c>
      <c r="AD35" s="468" t="s">
        <v>913</v>
      </c>
      <c r="AE35" s="468" t="s">
        <v>913</v>
      </c>
      <c r="AF35" s="468" t="s">
        <v>913</v>
      </c>
      <c r="AG35" s="468" t="s">
        <v>913</v>
      </c>
      <c r="AH35" s="468" t="s">
        <v>913</v>
      </c>
      <c r="AI35" s="481">
        <v>1416723.29</v>
      </c>
      <c r="AJ35" s="468" t="s">
        <v>1298</v>
      </c>
      <c r="AK35" s="468" t="s">
        <v>1298</v>
      </c>
      <c r="AL35" s="468" t="s">
        <v>1298</v>
      </c>
      <c r="AM35" s="468" t="s">
        <v>1295</v>
      </c>
      <c r="AN35" s="468" t="s">
        <v>1295</v>
      </c>
      <c r="AO35" s="468" t="s">
        <v>1295</v>
      </c>
      <c r="AP35" s="468" t="s">
        <v>1295</v>
      </c>
      <c r="AQ35" s="468" t="s">
        <v>1298</v>
      </c>
      <c r="AR35" s="468" t="s">
        <v>1295</v>
      </c>
      <c r="AS35" s="468"/>
      <c r="AT35" s="468"/>
      <c r="AU35" s="468" t="s">
        <v>1318</v>
      </c>
      <c r="AV35" s="468" t="s">
        <v>1315</v>
      </c>
      <c r="AW35" s="468" t="s">
        <v>1301</v>
      </c>
      <c r="AX35" s="468" t="s">
        <v>1302</v>
      </c>
      <c r="AY35" s="468" t="s">
        <v>1303</v>
      </c>
      <c r="AZ35" s="468" t="s">
        <v>153</v>
      </c>
      <c r="BA35" s="468" t="s">
        <v>1304</v>
      </c>
      <c r="BB35" s="468" t="s">
        <v>1305</v>
      </c>
      <c r="BC35" s="468" t="s">
        <v>1306</v>
      </c>
      <c r="BD35" s="468" t="s">
        <v>1307</v>
      </c>
      <c r="BE35" s="468"/>
    </row>
    <row r="36" spans="1:57" s="385" customFormat="1" hidden="1">
      <c r="A36" s="468" t="s">
        <v>1283</v>
      </c>
      <c r="B36" s="468" t="s">
        <v>1284</v>
      </c>
      <c r="C36" s="468" t="s">
        <v>1285</v>
      </c>
      <c r="D36" s="468" t="s">
        <v>1319</v>
      </c>
      <c r="E36" s="468" t="s">
        <v>1038</v>
      </c>
      <c r="F36" s="468" t="s">
        <v>1308</v>
      </c>
      <c r="G36" s="560" t="s">
        <v>1309</v>
      </c>
      <c r="H36" s="468" t="s">
        <v>1290</v>
      </c>
      <c r="I36" s="468" t="s">
        <v>1308</v>
      </c>
      <c r="J36" s="470">
        <v>200000000</v>
      </c>
      <c r="K36" s="468" t="s">
        <v>849</v>
      </c>
      <c r="L36" s="468" t="s">
        <v>1291</v>
      </c>
      <c r="M36" s="468" t="s">
        <v>1292</v>
      </c>
      <c r="N36" s="468" t="s">
        <v>1293</v>
      </c>
      <c r="O36" s="468"/>
      <c r="P36" s="468" t="s">
        <v>1310</v>
      </c>
      <c r="Q36" s="468" t="s">
        <v>1295</v>
      </c>
      <c r="R36" s="468" t="s">
        <v>1295</v>
      </c>
      <c r="S36" s="468" t="s">
        <v>1295</v>
      </c>
      <c r="T36" s="468" t="s">
        <v>913</v>
      </c>
      <c r="U36" s="468"/>
      <c r="V36" s="468" t="s">
        <v>1295</v>
      </c>
      <c r="W36" s="468" t="s">
        <v>1295</v>
      </c>
      <c r="X36" s="468" t="s">
        <v>1295</v>
      </c>
      <c r="Y36" s="468" t="s">
        <v>1296</v>
      </c>
      <c r="Z36" s="468" t="s">
        <v>1297</v>
      </c>
      <c r="AA36" s="468" t="s">
        <v>1295</v>
      </c>
      <c r="AB36" s="468" t="s">
        <v>1295</v>
      </c>
      <c r="AC36" s="468" t="s">
        <v>913</v>
      </c>
      <c r="AD36" s="468" t="s">
        <v>913</v>
      </c>
      <c r="AE36" s="468" t="s">
        <v>913</v>
      </c>
      <c r="AF36" s="468" t="s">
        <v>913</v>
      </c>
      <c r="AG36" s="468" t="s">
        <v>913</v>
      </c>
      <c r="AH36" s="468" t="s">
        <v>913</v>
      </c>
      <c r="AI36" s="481">
        <v>200000000</v>
      </c>
      <c r="AJ36" s="468" t="s">
        <v>1298</v>
      </c>
      <c r="AK36" s="468" t="s">
        <v>1298</v>
      </c>
      <c r="AL36" s="468" t="s">
        <v>1298</v>
      </c>
      <c r="AM36" s="468" t="s">
        <v>1295</v>
      </c>
      <c r="AN36" s="468" t="s">
        <v>1295</v>
      </c>
      <c r="AO36" s="468" t="s">
        <v>1295</v>
      </c>
      <c r="AP36" s="468" t="s">
        <v>1295</v>
      </c>
      <c r="AQ36" s="468" t="s">
        <v>1298</v>
      </c>
      <c r="AR36" s="468" t="s">
        <v>1295</v>
      </c>
      <c r="AS36" s="468"/>
      <c r="AT36" s="468"/>
      <c r="AU36" s="468" t="s">
        <v>1300</v>
      </c>
      <c r="AV36" s="468" t="s">
        <v>1300</v>
      </c>
      <c r="AW36" s="468" t="s">
        <v>1301</v>
      </c>
      <c r="AX36" s="468" t="s">
        <v>1302</v>
      </c>
      <c r="AY36" s="468" t="s">
        <v>1303</v>
      </c>
      <c r="AZ36" s="468" t="s">
        <v>153</v>
      </c>
      <c r="BA36" s="468" t="s">
        <v>1304</v>
      </c>
      <c r="BB36" s="468" t="s">
        <v>1305</v>
      </c>
      <c r="BC36" s="468" t="s">
        <v>1306</v>
      </c>
      <c r="BD36" s="468" t="s">
        <v>1307</v>
      </c>
      <c r="BE36" s="468"/>
    </row>
    <row r="37" spans="1:57" s="385" customFormat="1" hidden="1">
      <c r="A37" s="468" t="s">
        <v>1283</v>
      </c>
      <c r="B37" s="468" t="s">
        <v>1284</v>
      </c>
      <c r="C37" s="468" t="s">
        <v>1285</v>
      </c>
      <c r="D37" s="468" t="s">
        <v>1319</v>
      </c>
      <c r="E37" s="468" t="s">
        <v>1038</v>
      </c>
      <c r="F37" s="468" t="s">
        <v>1288</v>
      </c>
      <c r="G37" s="560" t="s">
        <v>1289</v>
      </c>
      <c r="H37" s="468" t="s">
        <v>1290</v>
      </c>
      <c r="I37" s="468" t="s">
        <v>1288</v>
      </c>
      <c r="J37" s="470">
        <v>568263.01</v>
      </c>
      <c r="K37" s="468" t="s">
        <v>849</v>
      </c>
      <c r="L37" s="468" t="s">
        <v>1291</v>
      </c>
      <c r="M37" s="468" t="s">
        <v>1292</v>
      </c>
      <c r="N37" s="468" t="s">
        <v>1293</v>
      </c>
      <c r="O37" s="468"/>
      <c r="P37" s="468" t="s">
        <v>1294</v>
      </c>
      <c r="Q37" s="468" t="s">
        <v>1295</v>
      </c>
      <c r="R37" s="468" t="s">
        <v>1295</v>
      </c>
      <c r="S37" s="468" t="s">
        <v>1295</v>
      </c>
      <c r="T37" s="468" t="s">
        <v>913</v>
      </c>
      <c r="U37" s="468"/>
      <c r="V37" s="468" t="s">
        <v>1295</v>
      </c>
      <c r="W37" s="468" t="s">
        <v>1295</v>
      </c>
      <c r="X37" s="468" t="s">
        <v>1295</v>
      </c>
      <c r="Y37" s="468" t="s">
        <v>1296</v>
      </c>
      <c r="Z37" s="468" t="s">
        <v>1297</v>
      </c>
      <c r="AA37" s="468" t="s">
        <v>1295</v>
      </c>
      <c r="AB37" s="468" t="s">
        <v>1295</v>
      </c>
      <c r="AC37" s="468" t="s">
        <v>913</v>
      </c>
      <c r="AD37" s="468" t="s">
        <v>913</v>
      </c>
      <c r="AE37" s="468" t="s">
        <v>913</v>
      </c>
      <c r="AF37" s="468" t="s">
        <v>913</v>
      </c>
      <c r="AG37" s="468" t="s">
        <v>913</v>
      </c>
      <c r="AH37" s="468" t="s">
        <v>913</v>
      </c>
      <c r="AI37" s="481">
        <v>568263.01</v>
      </c>
      <c r="AJ37" s="468" t="s">
        <v>1298</v>
      </c>
      <c r="AK37" s="468" t="s">
        <v>1298</v>
      </c>
      <c r="AL37" s="468" t="s">
        <v>1298</v>
      </c>
      <c r="AM37" s="468" t="s">
        <v>1295</v>
      </c>
      <c r="AN37" s="468" t="s">
        <v>1295</v>
      </c>
      <c r="AO37" s="468" t="s">
        <v>1295</v>
      </c>
      <c r="AP37" s="468" t="s">
        <v>1295</v>
      </c>
      <c r="AQ37" s="468" t="s">
        <v>1298</v>
      </c>
      <c r="AR37" s="468" t="s">
        <v>1295</v>
      </c>
      <c r="AS37" s="468"/>
      <c r="AT37" s="468"/>
      <c r="AU37" s="468" t="s">
        <v>1299</v>
      </c>
      <c r="AV37" s="468" t="s">
        <v>1300</v>
      </c>
      <c r="AW37" s="468" t="s">
        <v>1301</v>
      </c>
      <c r="AX37" s="468" t="s">
        <v>1302</v>
      </c>
      <c r="AY37" s="468" t="s">
        <v>1303</v>
      </c>
      <c r="AZ37" s="468" t="s">
        <v>153</v>
      </c>
      <c r="BA37" s="468" t="s">
        <v>1304</v>
      </c>
      <c r="BB37" s="468" t="s">
        <v>1305</v>
      </c>
      <c r="BC37" s="468" t="s">
        <v>1306</v>
      </c>
      <c r="BD37" s="468" t="s">
        <v>1307</v>
      </c>
      <c r="BE37" s="468"/>
    </row>
    <row r="38" spans="1:57" s="418" customFormat="1">
      <c r="A38" s="468" t="s">
        <v>1283</v>
      </c>
      <c r="B38" s="468" t="s">
        <v>1284</v>
      </c>
      <c r="C38" s="468" t="s">
        <v>1285</v>
      </c>
      <c r="D38" s="468" t="s">
        <v>1320</v>
      </c>
      <c r="E38" s="468" t="s">
        <v>1038</v>
      </c>
      <c r="F38" s="468" t="s">
        <v>1321</v>
      </c>
      <c r="G38" s="560" t="s">
        <v>1322</v>
      </c>
      <c r="H38" s="468" t="s">
        <v>1323</v>
      </c>
      <c r="I38" s="468" t="s">
        <v>1321</v>
      </c>
      <c r="J38" s="470">
        <v>300000000</v>
      </c>
      <c r="K38" s="468" t="s">
        <v>853</v>
      </c>
      <c r="L38" s="468" t="s">
        <v>1324</v>
      </c>
      <c r="M38" s="468" t="s">
        <v>1325</v>
      </c>
      <c r="N38" s="468" t="s">
        <v>98</v>
      </c>
      <c r="O38" s="468"/>
      <c r="P38" s="468"/>
      <c r="Q38" s="468" t="s">
        <v>1295</v>
      </c>
      <c r="R38" s="468" t="s">
        <v>1295</v>
      </c>
      <c r="S38" s="468" t="s">
        <v>1295</v>
      </c>
      <c r="T38" s="468" t="s">
        <v>913</v>
      </c>
      <c r="U38" s="468"/>
      <c r="V38" s="468" t="s">
        <v>1295</v>
      </c>
      <c r="W38" s="468" t="s">
        <v>1295</v>
      </c>
      <c r="X38" s="468" t="s">
        <v>1295</v>
      </c>
      <c r="Y38" s="468" t="s">
        <v>1296</v>
      </c>
      <c r="Z38" s="468" t="s">
        <v>1297</v>
      </c>
      <c r="AA38" s="468" t="s">
        <v>1295</v>
      </c>
      <c r="AB38" s="468" t="s">
        <v>1295</v>
      </c>
      <c r="AC38" s="468" t="s">
        <v>913</v>
      </c>
      <c r="AD38" s="468" t="s">
        <v>913</v>
      </c>
      <c r="AE38" s="468" t="s">
        <v>913</v>
      </c>
      <c r="AF38" s="468" t="s">
        <v>153</v>
      </c>
      <c r="AG38" s="468" t="s">
        <v>913</v>
      </c>
      <c r="AH38" s="468" t="s">
        <v>913</v>
      </c>
      <c r="AI38" s="481">
        <v>300000000</v>
      </c>
      <c r="AJ38" s="468" t="s">
        <v>1298</v>
      </c>
      <c r="AK38" s="468" t="s">
        <v>1298</v>
      </c>
      <c r="AL38" s="468" t="s">
        <v>1298</v>
      </c>
      <c r="AM38" s="468" t="s">
        <v>1295</v>
      </c>
      <c r="AN38" s="468" t="s">
        <v>1295</v>
      </c>
      <c r="AO38" s="468" t="s">
        <v>1295</v>
      </c>
      <c r="AP38" s="468" t="s">
        <v>1295</v>
      </c>
      <c r="AQ38" s="468" t="s">
        <v>1298</v>
      </c>
      <c r="AR38" s="468" t="s">
        <v>1295</v>
      </c>
      <c r="AS38" s="468"/>
      <c r="AT38" s="468"/>
      <c r="AU38" s="468" t="s">
        <v>1326</v>
      </c>
      <c r="AV38" s="468" t="s">
        <v>1326</v>
      </c>
      <c r="AW38" s="468" t="s">
        <v>1301</v>
      </c>
      <c r="AX38" s="468" t="s">
        <v>1302</v>
      </c>
      <c r="AY38" s="468" t="s">
        <v>1303</v>
      </c>
      <c r="AZ38" s="468" t="s">
        <v>153</v>
      </c>
      <c r="BA38" s="468" t="s">
        <v>1304</v>
      </c>
      <c r="BB38" s="468" t="s">
        <v>1305</v>
      </c>
      <c r="BC38" s="468" t="s">
        <v>1306</v>
      </c>
      <c r="BD38" s="468" t="s">
        <v>1307</v>
      </c>
      <c r="BE38" s="468"/>
    </row>
    <row r="39" spans="1:57" s="385" customFormat="1" hidden="1">
      <c r="A39" s="468" t="s">
        <v>1283</v>
      </c>
      <c r="B39" s="468" t="s">
        <v>1284</v>
      </c>
      <c r="C39" s="468" t="s">
        <v>1285</v>
      </c>
      <c r="D39" s="468" t="s">
        <v>1327</v>
      </c>
      <c r="E39" s="468" t="s">
        <v>1038</v>
      </c>
      <c r="F39" s="468" t="s">
        <v>1316</v>
      </c>
      <c r="G39" s="560" t="s">
        <v>1317</v>
      </c>
      <c r="H39" s="468" t="s">
        <v>1314</v>
      </c>
      <c r="I39" s="468" t="s">
        <v>1316</v>
      </c>
      <c r="J39" s="470">
        <v>18700931.5</v>
      </c>
      <c r="K39" s="468" t="s">
        <v>849</v>
      </c>
      <c r="L39" s="468" t="s">
        <v>1291</v>
      </c>
      <c r="M39" s="468" t="s">
        <v>1292</v>
      </c>
      <c r="N39" s="468" t="s">
        <v>1293</v>
      </c>
      <c r="O39" s="468"/>
      <c r="P39" s="468" t="s">
        <v>1294</v>
      </c>
      <c r="Q39" s="468" t="s">
        <v>1295</v>
      </c>
      <c r="R39" s="468" t="s">
        <v>1295</v>
      </c>
      <c r="S39" s="468" t="s">
        <v>1295</v>
      </c>
      <c r="T39" s="468" t="s">
        <v>913</v>
      </c>
      <c r="U39" s="468"/>
      <c r="V39" s="468" t="s">
        <v>1295</v>
      </c>
      <c r="W39" s="468" t="s">
        <v>1295</v>
      </c>
      <c r="X39" s="468" t="s">
        <v>1295</v>
      </c>
      <c r="Y39" s="468" t="s">
        <v>1296</v>
      </c>
      <c r="Z39" s="468" t="s">
        <v>1297</v>
      </c>
      <c r="AA39" s="468" t="s">
        <v>1295</v>
      </c>
      <c r="AB39" s="468" t="s">
        <v>1295</v>
      </c>
      <c r="AC39" s="468" t="s">
        <v>913</v>
      </c>
      <c r="AD39" s="468" t="s">
        <v>913</v>
      </c>
      <c r="AE39" s="468" t="s">
        <v>913</v>
      </c>
      <c r="AF39" s="468" t="s">
        <v>913</v>
      </c>
      <c r="AG39" s="468" t="s">
        <v>913</v>
      </c>
      <c r="AH39" s="468" t="s">
        <v>913</v>
      </c>
      <c r="AI39" s="481">
        <v>18700931.5</v>
      </c>
      <c r="AJ39" s="468" t="s">
        <v>1298</v>
      </c>
      <c r="AK39" s="468" t="s">
        <v>1298</v>
      </c>
      <c r="AL39" s="468" t="s">
        <v>1298</v>
      </c>
      <c r="AM39" s="468" t="s">
        <v>1295</v>
      </c>
      <c r="AN39" s="468" t="s">
        <v>1295</v>
      </c>
      <c r="AO39" s="468" t="s">
        <v>1295</v>
      </c>
      <c r="AP39" s="468" t="s">
        <v>1295</v>
      </c>
      <c r="AQ39" s="468" t="s">
        <v>1298</v>
      </c>
      <c r="AR39" s="468" t="s">
        <v>1295</v>
      </c>
      <c r="AS39" s="468"/>
      <c r="AT39" s="468"/>
      <c r="AU39" s="468" t="s">
        <v>1318</v>
      </c>
      <c r="AV39" s="468" t="s">
        <v>1315</v>
      </c>
      <c r="AW39" s="468" t="s">
        <v>1301</v>
      </c>
      <c r="AX39" s="468" t="s">
        <v>1302</v>
      </c>
      <c r="AY39" s="468" t="s">
        <v>1303</v>
      </c>
      <c r="AZ39" s="468" t="s">
        <v>153</v>
      </c>
      <c r="BA39" s="468" t="s">
        <v>1304</v>
      </c>
      <c r="BB39" s="468" t="s">
        <v>1305</v>
      </c>
      <c r="BC39" s="468" t="s">
        <v>1306</v>
      </c>
      <c r="BD39" s="468" t="s">
        <v>1307</v>
      </c>
      <c r="BE39" s="468"/>
    </row>
    <row r="40" spans="1:57" s="385" customFormat="1" hidden="1">
      <c r="A40" s="468" t="s">
        <v>1283</v>
      </c>
      <c r="B40" s="468" t="s">
        <v>1284</v>
      </c>
      <c r="C40" s="468" t="s">
        <v>1285</v>
      </c>
      <c r="D40" s="468" t="s">
        <v>1327</v>
      </c>
      <c r="E40" s="468" t="s">
        <v>1038</v>
      </c>
      <c r="F40" s="468" t="s">
        <v>1312</v>
      </c>
      <c r="G40" s="560" t="s">
        <v>1313</v>
      </c>
      <c r="H40" s="468" t="s">
        <v>1314</v>
      </c>
      <c r="I40" s="468" t="s">
        <v>1312</v>
      </c>
      <c r="J40" s="470">
        <v>500000000</v>
      </c>
      <c r="K40" s="468" t="s">
        <v>849</v>
      </c>
      <c r="L40" s="468" t="s">
        <v>1291</v>
      </c>
      <c r="M40" s="468" t="s">
        <v>1292</v>
      </c>
      <c r="N40" s="468" t="s">
        <v>1293</v>
      </c>
      <c r="O40" s="468"/>
      <c r="P40" s="468" t="s">
        <v>1310</v>
      </c>
      <c r="Q40" s="468" t="s">
        <v>1295</v>
      </c>
      <c r="R40" s="468" t="s">
        <v>1295</v>
      </c>
      <c r="S40" s="468" t="s">
        <v>1295</v>
      </c>
      <c r="T40" s="468" t="s">
        <v>913</v>
      </c>
      <c r="U40" s="468"/>
      <c r="V40" s="468" t="s">
        <v>1295</v>
      </c>
      <c r="W40" s="468" t="s">
        <v>1295</v>
      </c>
      <c r="X40" s="468" t="s">
        <v>1295</v>
      </c>
      <c r="Y40" s="468" t="s">
        <v>1296</v>
      </c>
      <c r="Z40" s="468" t="s">
        <v>1297</v>
      </c>
      <c r="AA40" s="468" t="s">
        <v>1295</v>
      </c>
      <c r="AB40" s="468" t="s">
        <v>1295</v>
      </c>
      <c r="AC40" s="468" t="s">
        <v>913</v>
      </c>
      <c r="AD40" s="468" t="s">
        <v>913</v>
      </c>
      <c r="AE40" s="468" t="s">
        <v>913</v>
      </c>
      <c r="AF40" s="468" t="s">
        <v>913</v>
      </c>
      <c r="AG40" s="468" t="s">
        <v>913</v>
      </c>
      <c r="AH40" s="468" t="s">
        <v>913</v>
      </c>
      <c r="AI40" s="481">
        <v>500000000</v>
      </c>
      <c r="AJ40" s="468" t="s">
        <v>1298</v>
      </c>
      <c r="AK40" s="468" t="s">
        <v>1298</v>
      </c>
      <c r="AL40" s="468" t="s">
        <v>1298</v>
      </c>
      <c r="AM40" s="468" t="s">
        <v>1295</v>
      </c>
      <c r="AN40" s="468" t="s">
        <v>1295</v>
      </c>
      <c r="AO40" s="468" t="s">
        <v>1295</v>
      </c>
      <c r="AP40" s="468" t="s">
        <v>1295</v>
      </c>
      <c r="AQ40" s="468" t="s">
        <v>1298</v>
      </c>
      <c r="AR40" s="468" t="s">
        <v>1295</v>
      </c>
      <c r="AS40" s="468"/>
      <c r="AT40" s="468"/>
      <c r="AU40" s="468" t="s">
        <v>1315</v>
      </c>
      <c r="AV40" s="468" t="s">
        <v>1315</v>
      </c>
      <c r="AW40" s="468" t="s">
        <v>1301</v>
      </c>
      <c r="AX40" s="468" t="s">
        <v>1302</v>
      </c>
      <c r="AY40" s="468" t="s">
        <v>1303</v>
      </c>
      <c r="AZ40" s="468" t="s">
        <v>153</v>
      </c>
      <c r="BA40" s="468" t="s">
        <v>1304</v>
      </c>
      <c r="BB40" s="468" t="s">
        <v>1305</v>
      </c>
      <c r="BC40" s="468" t="s">
        <v>1306</v>
      </c>
      <c r="BD40" s="468" t="s">
        <v>1307</v>
      </c>
      <c r="BE40" s="468"/>
    </row>
    <row r="41" spans="1:57" s="418" customFormat="1">
      <c r="A41" s="468" t="s">
        <v>1283</v>
      </c>
      <c r="B41" s="468" t="s">
        <v>1284</v>
      </c>
      <c r="C41" s="468" t="s">
        <v>1328</v>
      </c>
      <c r="D41" s="468" t="s">
        <v>1329</v>
      </c>
      <c r="E41" s="468" t="s">
        <v>1038</v>
      </c>
      <c r="F41" s="468" t="s">
        <v>1321</v>
      </c>
      <c r="G41" s="560" t="s">
        <v>1322</v>
      </c>
      <c r="H41" s="468" t="s">
        <v>1323</v>
      </c>
      <c r="I41" s="468" t="s">
        <v>1321</v>
      </c>
      <c r="J41" s="470">
        <v>500000000</v>
      </c>
      <c r="K41" s="468" t="s">
        <v>853</v>
      </c>
      <c r="L41" s="468" t="s">
        <v>1324</v>
      </c>
      <c r="M41" s="468" t="s">
        <v>1325</v>
      </c>
      <c r="N41" s="468" t="s">
        <v>98</v>
      </c>
      <c r="O41" s="468"/>
      <c r="P41" s="468"/>
      <c r="Q41" s="468" t="s">
        <v>1295</v>
      </c>
      <c r="R41" s="468" t="s">
        <v>1295</v>
      </c>
      <c r="S41" s="468" t="s">
        <v>1295</v>
      </c>
      <c r="T41" s="468" t="s">
        <v>913</v>
      </c>
      <c r="U41" s="468"/>
      <c r="V41" s="468" t="s">
        <v>1295</v>
      </c>
      <c r="W41" s="468" t="s">
        <v>1295</v>
      </c>
      <c r="X41" s="468" t="s">
        <v>1295</v>
      </c>
      <c r="Y41" s="468" t="s">
        <v>1296</v>
      </c>
      <c r="Z41" s="468" t="s">
        <v>1297</v>
      </c>
      <c r="AA41" s="468" t="s">
        <v>1295</v>
      </c>
      <c r="AB41" s="468" t="s">
        <v>1295</v>
      </c>
      <c r="AC41" s="468" t="s">
        <v>913</v>
      </c>
      <c r="AD41" s="468" t="s">
        <v>913</v>
      </c>
      <c r="AE41" s="468" t="s">
        <v>913</v>
      </c>
      <c r="AF41" s="468" t="s">
        <v>153</v>
      </c>
      <c r="AG41" s="468" t="s">
        <v>913</v>
      </c>
      <c r="AH41" s="468" t="s">
        <v>913</v>
      </c>
      <c r="AI41" s="481">
        <v>500000000</v>
      </c>
      <c r="AJ41" s="468" t="s">
        <v>1298</v>
      </c>
      <c r="AK41" s="468" t="s">
        <v>1298</v>
      </c>
      <c r="AL41" s="468" t="s">
        <v>1298</v>
      </c>
      <c r="AM41" s="468" t="s">
        <v>1295</v>
      </c>
      <c r="AN41" s="468" t="s">
        <v>1295</v>
      </c>
      <c r="AO41" s="468" t="s">
        <v>1295</v>
      </c>
      <c r="AP41" s="468" t="s">
        <v>1295</v>
      </c>
      <c r="AQ41" s="468" t="s">
        <v>1298</v>
      </c>
      <c r="AR41" s="468" t="s">
        <v>1295</v>
      </c>
      <c r="AS41" s="468"/>
      <c r="AT41" s="468"/>
      <c r="AU41" s="468" t="s">
        <v>1326</v>
      </c>
      <c r="AV41" s="468" t="s">
        <v>1326</v>
      </c>
      <c r="AW41" s="468" t="s">
        <v>1301</v>
      </c>
      <c r="AX41" s="468" t="s">
        <v>1302</v>
      </c>
      <c r="AY41" s="468" t="s">
        <v>1303</v>
      </c>
      <c r="AZ41" s="468" t="s">
        <v>153</v>
      </c>
      <c r="BA41" s="468" t="s">
        <v>1304</v>
      </c>
      <c r="BB41" s="468" t="s">
        <v>1305</v>
      </c>
      <c r="BC41" s="468" t="s">
        <v>1306</v>
      </c>
      <c r="BD41" s="468" t="s">
        <v>1307</v>
      </c>
      <c r="BE41" s="468"/>
    </row>
    <row r="42" spans="1:57" s="418" customFormat="1" hidden="1">
      <c r="A42" s="384" t="s">
        <v>1283</v>
      </c>
      <c r="B42" s="384" t="s">
        <v>1284</v>
      </c>
      <c r="C42" s="384" t="s">
        <v>1328</v>
      </c>
      <c r="D42" s="384" t="s">
        <v>1330</v>
      </c>
      <c r="E42" s="384" t="s">
        <v>1032</v>
      </c>
      <c r="F42" s="384" t="s">
        <v>1331</v>
      </c>
      <c r="G42" s="150" t="s">
        <v>1332</v>
      </c>
      <c r="H42" s="384" t="s">
        <v>1333</v>
      </c>
      <c r="I42" s="384" t="s">
        <v>1331</v>
      </c>
      <c r="J42" s="475">
        <v>-19146966.41</v>
      </c>
      <c r="K42" s="384" t="s">
        <v>855</v>
      </c>
      <c r="L42" s="384"/>
      <c r="M42" s="384"/>
      <c r="N42" s="384" t="s">
        <v>98</v>
      </c>
      <c r="O42" s="384"/>
      <c r="P42" s="384"/>
      <c r="Q42" s="384" t="s">
        <v>1295</v>
      </c>
      <c r="R42" s="384" t="s">
        <v>1334</v>
      </c>
      <c r="S42" s="384"/>
      <c r="T42" s="384" t="s">
        <v>153</v>
      </c>
      <c r="U42" s="384"/>
      <c r="V42" s="384"/>
      <c r="W42" s="384" t="s">
        <v>1335</v>
      </c>
      <c r="X42" s="384" t="s">
        <v>1336</v>
      </c>
      <c r="Y42" s="384" t="s">
        <v>1296</v>
      </c>
      <c r="Z42" s="384" t="s">
        <v>1297</v>
      </c>
      <c r="AA42" s="384" t="s">
        <v>1295</v>
      </c>
      <c r="AB42" s="384" t="s">
        <v>1295</v>
      </c>
      <c r="AC42" s="384" t="s">
        <v>913</v>
      </c>
      <c r="AD42" s="384" t="s">
        <v>153</v>
      </c>
      <c r="AE42" s="384" t="s">
        <v>913</v>
      </c>
      <c r="AF42" s="384" t="s">
        <v>913</v>
      </c>
      <c r="AG42" s="384" t="s">
        <v>913</v>
      </c>
      <c r="AH42" s="384" t="s">
        <v>913</v>
      </c>
      <c r="AI42" s="482">
        <v>-19146966.41</v>
      </c>
      <c r="AJ42" s="468" t="s">
        <v>1298</v>
      </c>
      <c r="AK42" s="468" t="s">
        <v>1298</v>
      </c>
      <c r="AL42" s="468" t="s">
        <v>1298</v>
      </c>
      <c r="AM42" s="468" t="s">
        <v>1298</v>
      </c>
      <c r="AN42" s="468" t="s">
        <v>1298</v>
      </c>
      <c r="AO42" s="468" t="s">
        <v>1298</v>
      </c>
      <c r="AP42" s="468" t="s">
        <v>1298</v>
      </c>
      <c r="AQ42" s="468" t="s">
        <v>1298</v>
      </c>
      <c r="AR42" s="468" t="s">
        <v>1298</v>
      </c>
      <c r="AS42" s="468" t="s">
        <v>1337</v>
      </c>
      <c r="AT42" s="468"/>
      <c r="AU42" s="468" t="s">
        <v>1338</v>
      </c>
      <c r="AV42" s="468" t="s">
        <v>1339</v>
      </c>
      <c r="AW42" s="468" t="s">
        <v>1301</v>
      </c>
      <c r="AX42" s="468" t="s">
        <v>1302</v>
      </c>
      <c r="AY42" s="468" t="s">
        <v>1303</v>
      </c>
      <c r="AZ42" s="468" t="s">
        <v>153</v>
      </c>
      <c r="BA42" s="468" t="s">
        <v>1304</v>
      </c>
      <c r="BB42" s="468" t="s">
        <v>1305</v>
      </c>
      <c r="BC42" s="468" t="s">
        <v>1306</v>
      </c>
      <c r="BD42" s="468" t="s">
        <v>1307</v>
      </c>
      <c r="BE42" s="468"/>
    </row>
    <row r="43" spans="1:57" s="418" customFormat="1">
      <c r="A43" s="384" t="s">
        <v>1283</v>
      </c>
      <c r="B43" s="384" t="s">
        <v>1284</v>
      </c>
      <c r="C43" s="384" t="s">
        <v>1328</v>
      </c>
      <c r="D43" s="384" t="s">
        <v>1330</v>
      </c>
      <c r="E43" s="384" t="s">
        <v>1038</v>
      </c>
      <c r="F43" s="384" t="s">
        <v>1340</v>
      </c>
      <c r="G43" s="150" t="s">
        <v>1341</v>
      </c>
      <c r="H43" s="384" t="s">
        <v>1342</v>
      </c>
      <c r="I43" s="384" t="s">
        <v>1340</v>
      </c>
      <c r="J43" s="475">
        <v>1383690177</v>
      </c>
      <c r="K43" s="384" t="s">
        <v>851</v>
      </c>
      <c r="L43" s="384" t="s">
        <v>1324</v>
      </c>
      <c r="M43" s="384" t="s">
        <v>1343</v>
      </c>
      <c r="N43" s="384" t="s">
        <v>98</v>
      </c>
      <c r="O43" s="384"/>
      <c r="P43" s="384"/>
      <c r="Q43" s="384" t="s">
        <v>1295</v>
      </c>
      <c r="R43" s="384" t="s">
        <v>1295</v>
      </c>
      <c r="S43" s="384" t="s">
        <v>1295</v>
      </c>
      <c r="T43" s="384" t="s">
        <v>913</v>
      </c>
      <c r="U43" s="384"/>
      <c r="V43" s="384" t="s">
        <v>1295</v>
      </c>
      <c r="W43" s="384" t="s">
        <v>1295</v>
      </c>
      <c r="X43" s="384" t="s">
        <v>1295</v>
      </c>
      <c r="Y43" s="384" t="s">
        <v>1296</v>
      </c>
      <c r="Z43" s="384" t="s">
        <v>1297</v>
      </c>
      <c r="AA43" s="384" t="s">
        <v>1295</v>
      </c>
      <c r="AB43" s="384" t="s">
        <v>1295</v>
      </c>
      <c r="AC43" s="384" t="s">
        <v>913</v>
      </c>
      <c r="AD43" s="384" t="s">
        <v>913</v>
      </c>
      <c r="AE43" s="384" t="s">
        <v>913</v>
      </c>
      <c r="AF43" s="384" t="s">
        <v>153</v>
      </c>
      <c r="AG43" s="384" t="s">
        <v>913</v>
      </c>
      <c r="AH43" s="384" t="s">
        <v>913</v>
      </c>
      <c r="AI43" s="482">
        <v>1383690177</v>
      </c>
      <c r="AJ43" s="468" t="s">
        <v>1298</v>
      </c>
      <c r="AK43" s="468" t="s">
        <v>1298</v>
      </c>
      <c r="AL43" s="468" t="s">
        <v>1298</v>
      </c>
      <c r="AM43" s="468" t="s">
        <v>1295</v>
      </c>
      <c r="AN43" s="468" t="s">
        <v>1295</v>
      </c>
      <c r="AO43" s="468" t="s">
        <v>1295</v>
      </c>
      <c r="AP43" s="468" t="s">
        <v>1295</v>
      </c>
      <c r="AQ43" s="468" t="s">
        <v>1298</v>
      </c>
      <c r="AR43" s="468" t="s">
        <v>1295</v>
      </c>
      <c r="AS43" s="468"/>
      <c r="AT43" s="468"/>
      <c r="AU43" s="468" t="s">
        <v>1339</v>
      </c>
      <c r="AV43" s="468" t="s">
        <v>1339</v>
      </c>
      <c r="AW43" s="468" t="s">
        <v>1301</v>
      </c>
      <c r="AX43" s="468" t="s">
        <v>1302</v>
      </c>
      <c r="AY43" s="468" t="s">
        <v>1303</v>
      </c>
      <c r="AZ43" s="468" t="s">
        <v>153</v>
      </c>
      <c r="BA43" s="468" t="s">
        <v>1304</v>
      </c>
      <c r="BB43" s="468" t="s">
        <v>1305</v>
      </c>
      <c r="BC43" s="468" t="s">
        <v>1306</v>
      </c>
      <c r="BD43" s="468" t="s">
        <v>1307</v>
      </c>
      <c r="BE43" s="468"/>
    </row>
    <row r="44" spans="1:57" s="418" customFormat="1">
      <c r="A44" s="384" t="s">
        <v>1283</v>
      </c>
      <c r="B44" s="384" t="s">
        <v>1284</v>
      </c>
      <c r="C44" s="384" t="s">
        <v>1328</v>
      </c>
      <c r="D44" s="384" t="s">
        <v>1330</v>
      </c>
      <c r="E44" s="384" t="s">
        <v>1032</v>
      </c>
      <c r="F44" s="384" t="s">
        <v>1340</v>
      </c>
      <c r="G44" s="150" t="s">
        <v>1341</v>
      </c>
      <c r="H44" s="384" t="s">
        <v>1342</v>
      </c>
      <c r="I44" s="384" t="s">
        <v>1340</v>
      </c>
      <c r="J44" s="475">
        <v>6326736</v>
      </c>
      <c r="K44" s="384" t="s">
        <v>851</v>
      </c>
      <c r="L44" s="384" t="s">
        <v>1324</v>
      </c>
      <c r="M44" s="384" t="s">
        <v>1343</v>
      </c>
      <c r="N44" s="384" t="s">
        <v>98</v>
      </c>
      <c r="O44" s="384"/>
      <c r="P44" s="384"/>
      <c r="Q44" s="384" t="s">
        <v>1295</v>
      </c>
      <c r="R44" s="384" t="s">
        <v>1334</v>
      </c>
      <c r="S44" s="384"/>
      <c r="T44" s="384" t="s">
        <v>153</v>
      </c>
      <c r="U44" s="384"/>
      <c r="V44" s="384"/>
      <c r="W44" s="384" t="s">
        <v>1335</v>
      </c>
      <c r="X44" s="384" t="s">
        <v>1336</v>
      </c>
      <c r="Y44" s="384" t="s">
        <v>1296</v>
      </c>
      <c r="Z44" s="384" t="s">
        <v>1297</v>
      </c>
      <c r="AA44" s="384" t="s">
        <v>1295</v>
      </c>
      <c r="AB44" s="384" t="s">
        <v>1295</v>
      </c>
      <c r="AC44" s="384" t="s">
        <v>913</v>
      </c>
      <c r="AD44" s="384" t="s">
        <v>153</v>
      </c>
      <c r="AE44" s="384" t="s">
        <v>913</v>
      </c>
      <c r="AF44" s="384" t="s">
        <v>153</v>
      </c>
      <c r="AG44" s="384" t="s">
        <v>913</v>
      </c>
      <c r="AH44" s="384" t="s">
        <v>913</v>
      </c>
      <c r="AI44" s="482">
        <v>6326736</v>
      </c>
      <c r="AJ44" s="468" t="s">
        <v>1298</v>
      </c>
      <c r="AK44" s="468" t="s">
        <v>1298</v>
      </c>
      <c r="AL44" s="468" t="s">
        <v>1298</v>
      </c>
      <c r="AM44" s="468" t="s">
        <v>1298</v>
      </c>
      <c r="AN44" s="468" t="s">
        <v>1298</v>
      </c>
      <c r="AO44" s="468" t="s">
        <v>1298</v>
      </c>
      <c r="AP44" s="468" t="s">
        <v>1298</v>
      </c>
      <c r="AQ44" s="468" t="s">
        <v>1298</v>
      </c>
      <c r="AR44" s="468" t="s">
        <v>1298</v>
      </c>
      <c r="AS44" s="468" t="s">
        <v>1337</v>
      </c>
      <c r="AT44" s="468"/>
      <c r="AU44" s="468" t="s">
        <v>1339</v>
      </c>
      <c r="AV44" s="468" t="s">
        <v>1339</v>
      </c>
      <c r="AW44" s="468" t="s">
        <v>1301</v>
      </c>
      <c r="AX44" s="468" t="s">
        <v>1302</v>
      </c>
      <c r="AY44" s="468" t="s">
        <v>1303</v>
      </c>
      <c r="AZ44" s="468" t="s">
        <v>153</v>
      </c>
      <c r="BA44" s="468" t="s">
        <v>1304</v>
      </c>
      <c r="BB44" s="468" t="s">
        <v>1305</v>
      </c>
      <c r="BC44" s="468" t="s">
        <v>1306</v>
      </c>
      <c r="BD44" s="468" t="s">
        <v>1307</v>
      </c>
      <c r="BE44" s="468"/>
    </row>
    <row r="45" spans="1:57" s="418" customFormat="1">
      <c r="A45" s="384" t="s">
        <v>1283</v>
      </c>
      <c r="B45" s="384" t="s">
        <v>1284</v>
      </c>
      <c r="C45" s="384" t="s">
        <v>1328</v>
      </c>
      <c r="D45" s="384" t="s">
        <v>1330</v>
      </c>
      <c r="E45" s="384" t="s">
        <v>1287</v>
      </c>
      <c r="F45" s="384" t="s">
        <v>1340</v>
      </c>
      <c r="G45" s="150" t="s">
        <v>1341</v>
      </c>
      <c r="H45" s="384" t="s">
        <v>1342</v>
      </c>
      <c r="I45" s="384" t="s">
        <v>1340</v>
      </c>
      <c r="J45" s="475">
        <v>1762761</v>
      </c>
      <c r="K45" s="384" t="s">
        <v>851</v>
      </c>
      <c r="L45" s="384" t="s">
        <v>1324</v>
      </c>
      <c r="M45" s="384" t="s">
        <v>1343</v>
      </c>
      <c r="N45" s="384" t="s">
        <v>98</v>
      </c>
      <c r="O45" s="384"/>
      <c r="P45" s="384"/>
      <c r="Q45" s="384" t="s">
        <v>1295</v>
      </c>
      <c r="R45" s="384" t="s">
        <v>1295</v>
      </c>
      <c r="S45" s="384" t="s">
        <v>1295</v>
      </c>
      <c r="T45" s="384" t="s">
        <v>1295</v>
      </c>
      <c r="U45" s="384"/>
      <c r="V45" s="384" t="s">
        <v>1295</v>
      </c>
      <c r="W45" s="384" t="s">
        <v>1295</v>
      </c>
      <c r="X45" s="384" t="s">
        <v>1295</v>
      </c>
      <c r="Y45" s="384" t="s">
        <v>1296</v>
      </c>
      <c r="Z45" s="384" t="s">
        <v>1297</v>
      </c>
      <c r="AA45" s="384" t="s">
        <v>1295</v>
      </c>
      <c r="AB45" s="384" t="s">
        <v>1295</v>
      </c>
      <c r="AC45" s="384" t="s">
        <v>913</v>
      </c>
      <c r="AD45" s="384" t="s">
        <v>1295</v>
      </c>
      <c r="AE45" s="384" t="s">
        <v>913</v>
      </c>
      <c r="AF45" s="384" t="s">
        <v>153</v>
      </c>
      <c r="AG45" s="384" t="s">
        <v>913</v>
      </c>
      <c r="AH45" s="384" t="s">
        <v>913</v>
      </c>
      <c r="AI45" s="482">
        <v>1762761</v>
      </c>
      <c r="AJ45" s="468" t="s">
        <v>1298</v>
      </c>
      <c r="AK45" s="468" t="s">
        <v>1298</v>
      </c>
      <c r="AL45" s="468" t="s">
        <v>1298</v>
      </c>
      <c r="AM45" s="468" t="s">
        <v>1298</v>
      </c>
      <c r="AN45" s="468" t="s">
        <v>1298</v>
      </c>
      <c r="AO45" s="468" t="s">
        <v>1298</v>
      </c>
      <c r="AP45" s="468" t="s">
        <v>1298</v>
      </c>
      <c r="AQ45" s="468" t="s">
        <v>1298</v>
      </c>
      <c r="AR45" s="468" t="s">
        <v>1298</v>
      </c>
      <c r="AS45" s="468"/>
      <c r="AT45" s="468"/>
      <c r="AU45" s="468" t="s">
        <v>1339</v>
      </c>
      <c r="AV45" s="468" t="s">
        <v>1339</v>
      </c>
      <c r="AW45" s="468" t="s">
        <v>1301</v>
      </c>
      <c r="AX45" s="468" t="s">
        <v>1302</v>
      </c>
      <c r="AY45" s="468" t="s">
        <v>1303</v>
      </c>
      <c r="AZ45" s="468" t="s">
        <v>153</v>
      </c>
      <c r="BA45" s="468" t="s">
        <v>1304</v>
      </c>
      <c r="BB45" s="468" t="s">
        <v>1305</v>
      </c>
      <c r="BC45" s="468" t="s">
        <v>1306</v>
      </c>
      <c r="BD45" s="468" t="s">
        <v>1307</v>
      </c>
      <c r="BE45" s="468"/>
    </row>
    <row r="46" spans="1:57" s="418" customFormat="1">
      <c r="A46" s="468" t="s">
        <v>1283</v>
      </c>
      <c r="B46" s="468" t="s">
        <v>1284</v>
      </c>
      <c r="C46" s="468" t="s">
        <v>1328</v>
      </c>
      <c r="D46" s="468" t="s">
        <v>1344</v>
      </c>
      <c r="E46" s="468" t="s">
        <v>1038</v>
      </c>
      <c r="F46" s="468" t="s">
        <v>1321</v>
      </c>
      <c r="G46" s="560" t="s">
        <v>1322</v>
      </c>
      <c r="H46" s="468" t="s">
        <v>1323</v>
      </c>
      <c r="I46" s="468" t="s">
        <v>1321</v>
      </c>
      <c r="J46" s="470">
        <v>400000000</v>
      </c>
      <c r="K46" s="468" t="s">
        <v>853</v>
      </c>
      <c r="L46" s="468" t="s">
        <v>1324</v>
      </c>
      <c r="M46" s="468" t="s">
        <v>1325</v>
      </c>
      <c r="N46" s="468" t="s">
        <v>98</v>
      </c>
      <c r="O46" s="468"/>
      <c r="P46" s="468"/>
      <c r="Q46" s="468" t="s">
        <v>1295</v>
      </c>
      <c r="R46" s="468" t="s">
        <v>1295</v>
      </c>
      <c r="S46" s="468" t="s">
        <v>1295</v>
      </c>
      <c r="T46" s="468" t="s">
        <v>913</v>
      </c>
      <c r="U46" s="468"/>
      <c r="V46" s="468" t="s">
        <v>1295</v>
      </c>
      <c r="W46" s="468" t="s">
        <v>1295</v>
      </c>
      <c r="X46" s="468" t="s">
        <v>1295</v>
      </c>
      <c r="Y46" s="468" t="s">
        <v>1296</v>
      </c>
      <c r="Z46" s="468" t="s">
        <v>1297</v>
      </c>
      <c r="AA46" s="468" t="s">
        <v>1295</v>
      </c>
      <c r="AB46" s="468" t="s">
        <v>1295</v>
      </c>
      <c r="AC46" s="468" t="s">
        <v>913</v>
      </c>
      <c r="AD46" s="468" t="s">
        <v>913</v>
      </c>
      <c r="AE46" s="468" t="s">
        <v>913</v>
      </c>
      <c r="AF46" s="468" t="s">
        <v>153</v>
      </c>
      <c r="AG46" s="468" t="s">
        <v>913</v>
      </c>
      <c r="AH46" s="468" t="s">
        <v>913</v>
      </c>
      <c r="AI46" s="481">
        <v>400000000</v>
      </c>
      <c r="AJ46" s="468" t="s">
        <v>1298</v>
      </c>
      <c r="AK46" s="468" t="s">
        <v>1298</v>
      </c>
      <c r="AL46" s="468" t="s">
        <v>1298</v>
      </c>
      <c r="AM46" s="468" t="s">
        <v>1295</v>
      </c>
      <c r="AN46" s="468" t="s">
        <v>1295</v>
      </c>
      <c r="AO46" s="468" t="s">
        <v>1295</v>
      </c>
      <c r="AP46" s="468" t="s">
        <v>1295</v>
      </c>
      <c r="AQ46" s="468" t="s">
        <v>1298</v>
      </c>
      <c r="AR46" s="468" t="s">
        <v>1295</v>
      </c>
      <c r="AS46" s="468"/>
      <c r="AT46" s="468"/>
      <c r="AU46" s="468" t="s">
        <v>1326</v>
      </c>
      <c r="AV46" s="468" t="s">
        <v>1326</v>
      </c>
      <c r="AW46" s="468" t="s">
        <v>1301</v>
      </c>
      <c r="AX46" s="468" t="s">
        <v>1302</v>
      </c>
      <c r="AY46" s="468" t="s">
        <v>1303</v>
      </c>
      <c r="AZ46" s="468" t="s">
        <v>153</v>
      </c>
      <c r="BA46" s="468" t="s">
        <v>1304</v>
      </c>
      <c r="BB46" s="468" t="s">
        <v>1305</v>
      </c>
      <c r="BC46" s="468" t="s">
        <v>1306</v>
      </c>
      <c r="BD46" s="468" t="s">
        <v>1307</v>
      </c>
      <c r="BE46" s="468"/>
    </row>
    <row r="49" spans="1:7" s="326" customFormat="1">
      <c r="A49" s="326" t="s">
        <v>1345</v>
      </c>
      <c r="G49" s="325"/>
    </row>
    <row r="50" spans="1:7" s="326" customFormat="1">
      <c r="A50" s="326" t="s">
        <v>1346</v>
      </c>
      <c r="G50" s="325" t="s">
        <v>1347</v>
      </c>
    </row>
    <row r="51" spans="1:7" s="326" customFormat="1">
      <c r="A51" s="450" t="s">
        <v>1348</v>
      </c>
      <c r="G51" s="325"/>
    </row>
    <row r="52" spans="1:7" s="326" customFormat="1">
      <c r="A52" s="450" t="s">
        <v>1349</v>
      </c>
      <c r="G52" s="772"/>
    </row>
    <row r="53" spans="1:7" s="326" customFormat="1">
      <c r="A53" s="450" t="s">
        <v>1224</v>
      </c>
      <c r="G53" s="148"/>
    </row>
    <row r="54" spans="1:7" s="326" customFormat="1">
      <c r="A54" s="450" t="s">
        <v>1225</v>
      </c>
      <c r="G54" s="325"/>
    </row>
    <row r="55" spans="1:7" s="326" customFormat="1">
      <c r="A55" s="450" t="s">
        <v>1226</v>
      </c>
      <c r="G55" s="325"/>
    </row>
    <row r="56" spans="1:7" s="326" customFormat="1">
      <c r="A56" s="450" t="s">
        <v>1227</v>
      </c>
      <c r="G56" s="325"/>
    </row>
    <row r="57" spans="1:7" s="326" customFormat="1">
      <c r="A57" s="450" t="s">
        <v>1228</v>
      </c>
      <c r="G57" s="325"/>
    </row>
    <row r="58" spans="1:7" s="326" customFormat="1">
      <c r="A58" s="450" t="s">
        <v>1350</v>
      </c>
      <c r="G58" s="325"/>
    </row>
    <row r="59" spans="1:7" s="326" customFormat="1">
      <c r="A59" s="450" t="s">
        <v>1351</v>
      </c>
      <c r="G59" s="325"/>
    </row>
    <row r="60" spans="1:7" s="326" customFormat="1">
      <c r="A60" s="450" t="s">
        <v>1352</v>
      </c>
      <c r="G60" s="325"/>
    </row>
    <row r="61" spans="1:7" s="326" customFormat="1">
      <c r="A61" s="450"/>
      <c r="G61" s="325"/>
    </row>
    <row r="62" spans="1:7" s="326" customFormat="1">
      <c r="A62" s="450" t="s">
        <v>1353</v>
      </c>
      <c r="G62" s="325"/>
    </row>
    <row r="63" spans="1:7" s="326" customFormat="1">
      <c r="A63" s="450" t="s">
        <v>1354</v>
      </c>
      <c r="G63" s="325"/>
    </row>
    <row r="64" spans="1:7" s="326" customFormat="1">
      <c r="A64" s="450" t="s">
        <v>1355</v>
      </c>
      <c r="G64" s="325"/>
    </row>
    <row r="65" spans="1:369" s="326" customFormat="1">
      <c r="A65" s="450"/>
      <c r="G65" s="148"/>
      <c r="H65" s="34"/>
      <c r="I65" s="34"/>
      <c r="J65" s="34"/>
      <c r="K65" s="34"/>
    </row>
    <row r="66" spans="1:369" s="326" customFormat="1">
      <c r="A66" s="450"/>
      <c r="G66" s="325"/>
    </row>
    <row r="67" spans="1:369" s="326" customFormat="1">
      <c r="A67" s="450" t="s">
        <v>1356</v>
      </c>
      <c r="G67" s="325"/>
    </row>
    <row r="68" spans="1:369">
      <c r="A68" s="468" t="s">
        <v>1357</v>
      </c>
      <c r="B68" s="468" t="s">
        <v>1358</v>
      </c>
      <c r="C68" s="468" t="s">
        <v>1359</v>
      </c>
      <c r="D68" s="468" t="s">
        <v>1360</v>
      </c>
      <c r="E68" s="468" t="s">
        <v>1361</v>
      </c>
      <c r="F68" s="468" t="s">
        <v>1362</v>
      </c>
      <c r="G68" s="560" t="s">
        <v>782</v>
      </c>
      <c r="H68" s="468" t="s">
        <v>1363</v>
      </c>
      <c r="I68" s="468" t="s">
        <v>1364</v>
      </c>
      <c r="J68" s="468" t="s">
        <v>184</v>
      </c>
      <c r="K68" s="468" t="s">
        <v>1365</v>
      </c>
      <c r="L68" s="468" t="s">
        <v>1366</v>
      </c>
      <c r="M68" s="326"/>
      <c r="N68" s="326"/>
      <c r="O68" s="326"/>
      <c r="P68" s="326"/>
      <c r="Q68" s="326"/>
      <c r="R68" s="326"/>
      <c r="S68" s="326"/>
      <c r="T68" s="326"/>
      <c r="U68" s="326"/>
      <c r="V68" s="326"/>
      <c r="W68" s="326"/>
      <c r="X68" s="326"/>
      <c r="Y68" s="326"/>
      <c r="Z68" s="326"/>
      <c r="AA68" s="326"/>
      <c r="AB68" s="326"/>
      <c r="AC68" s="326"/>
      <c r="AD68" s="326"/>
      <c r="AE68" s="326"/>
      <c r="AF68" s="326"/>
      <c r="AG68" s="326"/>
      <c r="AH68" s="326"/>
      <c r="AI68" s="326"/>
      <c r="AJ68" s="326"/>
      <c r="AK68" s="326"/>
      <c r="AL68" s="326"/>
      <c r="AM68" s="326"/>
      <c r="AN68" s="326"/>
      <c r="AO68" s="326"/>
      <c r="AP68" s="326"/>
      <c r="AQ68" s="326"/>
      <c r="AR68" s="326"/>
      <c r="AS68" s="326"/>
      <c r="AT68" s="326"/>
      <c r="AU68" s="326"/>
      <c r="AV68" s="326"/>
      <c r="AW68" s="326"/>
      <c r="AX68" s="326"/>
      <c r="AY68" s="326"/>
      <c r="AZ68" s="326"/>
      <c r="BA68" s="326"/>
      <c r="BB68" s="326"/>
      <c r="BC68" s="326"/>
      <c r="BD68" s="326"/>
      <c r="BE68" s="326"/>
      <c r="BF68" s="326"/>
      <c r="BG68" s="326"/>
      <c r="BH68" s="326"/>
      <c r="BI68" s="326"/>
      <c r="BJ68" s="326"/>
      <c r="BK68" s="326"/>
      <c r="BL68" s="326"/>
      <c r="BM68" s="326"/>
      <c r="BN68" s="326"/>
      <c r="BO68" s="326"/>
      <c r="BP68" s="326"/>
      <c r="BQ68" s="326"/>
      <c r="BR68" s="326"/>
      <c r="BS68" s="326"/>
      <c r="BT68" s="326"/>
      <c r="BU68" s="326"/>
      <c r="BV68" s="326"/>
      <c r="BW68" s="326"/>
      <c r="BX68" s="326"/>
      <c r="BY68" s="326"/>
      <c r="BZ68" s="326"/>
      <c r="CA68" s="326"/>
      <c r="CB68" s="326"/>
      <c r="CC68" s="326"/>
      <c r="CD68" s="326"/>
      <c r="CE68" s="326"/>
      <c r="CF68" s="326"/>
      <c r="CG68" s="326"/>
      <c r="CH68" s="326"/>
      <c r="CI68" s="326"/>
      <c r="CJ68" s="326"/>
      <c r="CK68" s="326"/>
      <c r="CL68" s="326"/>
      <c r="CM68" s="326"/>
      <c r="CN68" s="326"/>
      <c r="CO68" s="326"/>
      <c r="CP68" s="326"/>
      <c r="CQ68" s="326"/>
      <c r="CR68" s="326"/>
      <c r="CS68" s="326"/>
      <c r="CT68" s="326"/>
      <c r="CU68" s="326"/>
      <c r="CV68" s="326"/>
      <c r="CW68" s="326"/>
      <c r="CX68" s="326"/>
      <c r="CY68" s="326"/>
      <c r="CZ68" s="326"/>
      <c r="DA68" s="326"/>
      <c r="DB68" s="326"/>
      <c r="DC68" s="326"/>
      <c r="DD68" s="326"/>
      <c r="DE68" s="326"/>
      <c r="DF68" s="326"/>
      <c r="DG68" s="326"/>
      <c r="DH68" s="326"/>
      <c r="DI68" s="326"/>
      <c r="DJ68" s="326"/>
      <c r="DK68" s="326"/>
      <c r="DL68" s="326"/>
      <c r="DM68" s="326"/>
      <c r="DN68" s="326"/>
      <c r="DO68" s="326"/>
      <c r="DP68" s="326"/>
      <c r="DQ68" s="326"/>
      <c r="DR68" s="326"/>
      <c r="DS68" s="326"/>
      <c r="DT68" s="326"/>
      <c r="DU68" s="326"/>
      <c r="DV68" s="326"/>
      <c r="DW68" s="326"/>
      <c r="DX68" s="326"/>
      <c r="DY68" s="326"/>
      <c r="DZ68" s="326"/>
      <c r="EA68" s="326"/>
      <c r="EB68" s="326"/>
      <c r="EC68" s="326"/>
      <c r="ED68" s="326"/>
      <c r="EE68" s="326"/>
      <c r="EF68" s="326"/>
      <c r="EG68" s="326"/>
      <c r="EH68" s="326"/>
      <c r="EI68" s="326"/>
      <c r="EJ68" s="326"/>
      <c r="EK68" s="326"/>
      <c r="EL68" s="326"/>
      <c r="EM68" s="326"/>
      <c r="EN68" s="326"/>
      <c r="EO68" s="326"/>
      <c r="EP68" s="326"/>
      <c r="EQ68" s="326"/>
      <c r="ER68" s="326"/>
      <c r="ES68" s="326"/>
      <c r="ET68" s="326"/>
      <c r="EU68" s="326"/>
      <c r="EV68" s="326"/>
      <c r="EW68" s="326"/>
      <c r="EX68" s="326"/>
      <c r="EY68" s="326"/>
      <c r="EZ68" s="326"/>
      <c r="FA68" s="326"/>
      <c r="FB68" s="326"/>
      <c r="FC68" s="326"/>
      <c r="FD68" s="326"/>
      <c r="FE68" s="326"/>
      <c r="FF68" s="326"/>
      <c r="FG68" s="326"/>
      <c r="FH68" s="326"/>
      <c r="FI68" s="326"/>
      <c r="FJ68" s="326"/>
      <c r="FK68" s="326"/>
      <c r="FL68" s="326"/>
      <c r="FM68" s="326"/>
      <c r="FN68" s="326"/>
      <c r="FO68" s="326"/>
      <c r="FP68" s="326"/>
      <c r="FQ68" s="326"/>
      <c r="FR68" s="326"/>
      <c r="FS68" s="326"/>
      <c r="FT68" s="326"/>
      <c r="FU68" s="326"/>
      <c r="FV68" s="326"/>
      <c r="FW68" s="326"/>
      <c r="FX68" s="326"/>
      <c r="FY68" s="326"/>
      <c r="FZ68" s="326"/>
      <c r="GA68" s="326"/>
      <c r="GB68" s="326"/>
      <c r="GC68" s="326"/>
      <c r="GD68" s="326"/>
      <c r="GE68" s="326"/>
      <c r="GF68" s="326"/>
      <c r="GG68" s="326"/>
      <c r="GH68" s="326"/>
      <c r="GI68" s="326"/>
      <c r="GJ68" s="326"/>
      <c r="GK68" s="326"/>
      <c r="GL68" s="326"/>
      <c r="GM68" s="326"/>
      <c r="GN68" s="326"/>
      <c r="GO68" s="326"/>
      <c r="GP68" s="326"/>
      <c r="GQ68" s="326"/>
      <c r="GR68" s="326"/>
      <c r="GS68" s="326"/>
      <c r="GT68" s="326"/>
      <c r="GU68" s="326"/>
      <c r="GV68" s="326"/>
      <c r="GW68" s="326"/>
      <c r="GX68" s="326"/>
      <c r="GY68" s="326"/>
      <c r="GZ68" s="326"/>
      <c r="HA68" s="326"/>
      <c r="HB68" s="326"/>
      <c r="HC68" s="326"/>
      <c r="HD68" s="326"/>
      <c r="HE68" s="326"/>
      <c r="HF68" s="326"/>
      <c r="HG68" s="326"/>
      <c r="HH68" s="326"/>
      <c r="HI68" s="326"/>
      <c r="HJ68" s="326"/>
      <c r="HK68" s="326"/>
      <c r="HL68" s="326"/>
      <c r="HM68" s="326"/>
      <c r="HN68" s="326"/>
      <c r="HO68" s="326"/>
      <c r="HP68" s="326"/>
      <c r="HQ68" s="326"/>
      <c r="HR68" s="326"/>
      <c r="HS68" s="326"/>
      <c r="HT68" s="326"/>
      <c r="HU68" s="326"/>
      <c r="HV68" s="326"/>
      <c r="HW68" s="326"/>
      <c r="HX68" s="326"/>
      <c r="HY68" s="326"/>
      <c r="HZ68" s="326"/>
      <c r="IA68" s="326"/>
      <c r="IB68" s="326"/>
      <c r="IC68" s="326"/>
      <c r="ID68" s="326"/>
      <c r="IE68" s="326"/>
      <c r="IF68" s="326"/>
      <c r="IG68" s="326"/>
      <c r="IH68" s="326"/>
      <c r="II68" s="326"/>
      <c r="IJ68" s="326"/>
      <c r="IK68" s="326"/>
      <c r="IL68" s="326"/>
      <c r="IM68" s="326"/>
      <c r="IN68" s="326"/>
      <c r="IO68" s="326"/>
      <c r="IP68" s="326"/>
      <c r="IQ68" s="326"/>
      <c r="IR68" s="326"/>
      <c r="IS68" s="326"/>
      <c r="IT68" s="326"/>
      <c r="IU68" s="326"/>
      <c r="IV68" s="326"/>
      <c r="IW68" s="326"/>
      <c r="IX68" s="326"/>
      <c r="IY68" s="326"/>
      <c r="IZ68" s="326"/>
      <c r="JA68" s="326"/>
      <c r="JB68" s="326"/>
      <c r="JC68" s="326"/>
      <c r="JD68" s="326"/>
      <c r="JE68" s="326"/>
      <c r="JF68" s="326"/>
      <c r="JG68" s="326"/>
      <c r="JH68" s="326"/>
      <c r="JI68" s="326"/>
      <c r="JJ68" s="326"/>
      <c r="JK68" s="326"/>
      <c r="JL68" s="326"/>
      <c r="JM68" s="326"/>
      <c r="JN68" s="326"/>
      <c r="JO68" s="326"/>
      <c r="JP68" s="326"/>
      <c r="JQ68" s="326"/>
      <c r="JR68" s="326"/>
      <c r="JS68" s="326"/>
      <c r="JT68" s="326"/>
      <c r="JU68" s="326"/>
      <c r="JV68" s="326"/>
      <c r="JW68" s="326"/>
      <c r="JX68" s="326"/>
      <c r="JY68" s="326"/>
      <c r="JZ68" s="326"/>
      <c r="KA68" s="326"/>
      <c r="KB68" s="326"/>
      <c r="KC68" s="326"/>
      <c r="KD68" s="326"/>
      <c r="KE68" s="326"/>
      <c r="KF68" s="326"/>
      <c r="KG68" s="326"/>
      <c r="KH68" s="326"/>
      <c r="KI68" s="326"/>
      <c r="KJ68" s="326"/>
      <c r="KK68" s="326"/>
      <c r="KL68" s="326"/>
      <c r="KM68" s="326"/>
      <c r="KN68" s="326"/>
      <c r="KO68" s="326"/>
      <c r="KP68" s="326"/>
      <c r="KQ68" s="326"/>
      <c r="KR68" s="326"/>
      <c r="KS68" s="326"/>
      <c r="KT68" s="326"/>
      <c r="KU68" s="326"/>
      <c r="KV68" s="326"/>
      <c r="KW68" s="326"/>
      <c r="KX68" s="326"/>
      <c r="KY68" s="326"/>
      <c r="KZ68" s="326"/>
      <c r="LA68" s="326"/>
      <c r="LB68" s="326"/>
      <c r="LC68" s="326"/>
      <c r="LD68" s="326"/>
      <c r="LE68" s="326"/>
      <c r="LF68" s="326"/>
      <c r="LG68" s="326"/>
      <c r="LH68" s="326"/>
      <c r="LI68" s="326"/>
      <c r="LJ68" s="326"/>
      <c r="LK68" s="326"/>
      <c r="LL68" s="326"/>
      <c r="LM68" s="326"/>
      <c r="LN68" s="326"/>
      <c r="LO68" s="326"/>
      <c r="LP68" s="326"/>
      <c r="LQ68" s="326"/>
      <c r="LR68" s="326"/>
      <c r="LS68" s="326"/>
      <c r="LT68" s="326"/>
      <c r="LU68" s="326"/>
      <c r="LV68" s="326"/>
      <c r="LW68" s="326"/>
      <c r="LX68" s="326"/>
      <c r="LY68" s="326"/>
      <c r="LZ68" s="326"/>
      <c r="MA68" s="326"/>
      <c r="MB68" s="326"/>
      <c r="MC68" s="326"/>
      <c r="MD68" s="326"/>
      <c r="ME68" s="326"/>
      <c r="MF68" s="326"/>
      <c r="MG68" s="326"/>
      <c r="MH68" s="326"/>
      <c r="MI68" s="326"/>
      <c r="MJ68" s="326"/>
      <c r="MK68" s="326"/>
      <c r="ML68" s="326"/>
      <c r="MM68" s="326"/>
      <c r="MN68" s="326"/>
      <c r="MO68" s="326"/>
      <c r="MP68" s="326"/>
      <c r="MQ68" s="326"/>
      <c r="MR68" s="326"/>
      <c r="MS68" s="326"/>
      <c r="MT68" s="326"/>
      <c r="MU68" s="326"/>
      <c r="MV68" s="326"/>
      <c r="MW68" s="326"/>
      <c r="MX68" s="326"/>
      <c r="MY68" s="326"/>
      <c r="MZ68" s="326"/>
      <c r="NA68" s="326"/>
      <c r="NB68" s="326"/>
      <c r="NC68" s="326"/>
      <c r="ND68" s="326"/>
      <c r="NE68" s="326"/>
    </row>
    <row r="69" spans="1:369" s="385" customFormat="1">
      <c r="A69" s="469" t="s">
        <v>1213</v>
      </c>
      <c r="B69" s="468" t="s">
        <v>1367</v>
      </c>
      <c r="C69" s="468" t="s">
        <v>1368</v>
      </c>
      <c r="D69" s="468" t="s">
        <v>1369</v>
      </c>
      <c r="E69" s="468" t="s">
        <v>876</v>
      </c>
      <c r="F69" s="468" t="s">
        <v>880</v>
      </c>
      <c r="G69" s="561" t="s">
        <v>1297</v>
      </c>
      <c r="H69" s="469" t="s">
        <v>794</v>
      </c>
      <c r="I69" s="468" t="s">
        <v>1370</v>
      </c>
      <c r="J69" s="470">
        <v>-8017465.4800000004</v>
      </c>
      <c r="K69" s="470">
        <v>-8017465.4800000004</v>
      </c>
      <c r="L69" s="470">
        <v>-8017465.4800000004</v>
      </c>
      <c r="M69" s="326"/>
      <c r="N69" s="326"/>
      <c r="O69" s="326"/>
      <c r="P69" s="326"/>
      <c r="Q69" s="326"/>
      <c r="R69" s="326"/>
      <c r="S69" s="326"/>
      <c r="T69" s="326"/>
      <c r="U69" s="326"/>
      <c r="V69" s="326"/>
      <c r="W69" s="326"/>
      <c r="X69" s="326"/>
      <c r="Y69" s="326"/>
      <c r="Z69" s="326"/>
      <c r="AA69" s="326"/>
      <c r="AB69" s="326"/>
      <c r="AC69" s="326"/>
      <c r="AD69" s="326"/>
      <c r="AE69" s="326"/>
      <c r="AF69" s="326"/>
      <c r="AG69" s="326"/>
      <c r="AH69" s="326"/>
      <c r="AI69" s="326"/>
      <c r="AJ69" s="326"/>
      <c r="AK69" s="326"/>
      <c r="AL69" s="326"/>
      <c r="AM69" s="326"/>
      <c r="AN69" s="326"/>
      <c r="AO69" s="326"/>
      <c r="AP69" s="326"/>
      <c r="AQ69" s="326"/>
      <c r="AR69" s="326"/>
      <c r="AS69" s="326"/>
      <c r="AT69" s="326"/>
      <c r="AU69" s="326"/>
      <c r="AV69" s="326"/>
      <c r="AW69" s="326"/>
      <c r="AX69" s="326"/>
      <c r="AY69" s="326"/>
      <c r="AZ69" s="326"/>
      <c r="BA69" s="326"/>
      <c r="BB69" s="326"/>
      <c r="BC69" s="326"/>
      <c r="BD69" s="326"/>
      <c r="BE69" s="326"/>
      <c r="BF69" s="326"/>
      <c r="BG69" s="326"/>
      <c r="BH69" s="326"/>
      <c r="BI69" s="326"/>
      <c r="BJ69" s="326"/>
      <c r="BK69" s="326"/>
      <c r="BL69" s="326"/>
      <c r="BM69" s="326"/>
      <c r="BN69" s="326"/>
      <c r="BO69" s="326"/>
      <c r="BP69" s="326"/>
      <c r="BQ69" s="326"/>
      <c r="BR69" s="326"/>
      <c r="BS69" s="326"/>
      <c r="BT69" s="326"/>
      <c r="BU69" s="326"/>
      <c r="BV69" s="326"/>
      <c r="BW69" s="326"/>
      <c r="BX69" s="326"/>
      <c r="BY69" s="326"/>
      <c r="BZ69" s="326"/>
      <c r="CA69" s="326"/>
      <c r="CB69" s="326"/>
      <c r="CC69" s="326"/>
      <c r="CD69" s="326"/>
      <c r="CE69" s="326"/>
      <c r="CF69" s="326"/>
      <c r="CG69" s="326"/>
      <c r="CH69" s="326"/>
      <c r="CI69" s="326"/>
      <c r="CJ69" s="326"/>
      <c r="CK69" s="326"/>
      <c r="CL69" s="326"/>
      <c r="CM69" s="326"/>
      <c r="CN69" s="326"/>
      <c r="CO69" s="326"/>
      <c r="CP69" s="326"/>
      <c r="CQ69" s="326"/>
      <c r="CR69" s="326"/>
      <c r="CS69" s="326"/>
      <c r="CT69" s="326"/>
      <c r="CU69" s="326"/>
      <c r="CV69" s="326"/>
      <c r="CW69" s="326"/>
      <c r="CX69" s="326"/>
      <c r="CY69" s="326"/>
      <c r="CZ69" s="326"/>
      <c r="DA69" s="326"/>
      <c r="DB69" s="326"/>
      <c r="DC69" s="326"/>
      <c r="DD69" s="326"/>
      <c r="DE69" s="326"/>
      <c r="DF69" s="326"/>
      <c r="DG69" s="326"/>
      <c r="DH69" s="326"/>
      <c r="DI69" s="326"/>
      <c r="DJ69" s="326"/>
      <c r="DK69" s="326"/>
      <c r="DL69" s="326"/>
      <c r="DM69" s="326"/>
      <c r="DN69" s="326"/>
      <c r="DO69" s="326"/>
      <c r="DP69" s="326"/>
      <c r="DQ69" s="326"/>
      <c r="DR69" s="326"/>
      <c r="DS69" s="326"/>
      <c r="DT69" s="326"/>
      <c r="DU69" s="326"/>
      <c r="DV69" s="326"/>
      <c r="DW69" s="326"/>
      <c r="DX69" s="326"/>
      <c r="DY69" s="326"/>
      <c r="DZ69" s="326"/>
      <c r="EA69" s="326"/>
      <c r="EB69" s="326"/>
      <c r="EC69" s="326"/>
      <c r="ED69" s="326"/>
      <c r="EE69" s="326"/>
      <c r="EF69" s="326"/>
      <c r="EG69" s="326"/>
      <c r="EH69" s="326"/>
      <c r="EI69" s="326"/>
      <c r="EJ69" s="326"/>
      <c r="EK69" s="326"/>
      <c r="EL69" s="326"/>
      <c r="EM69" s="326"/>
      <c r="EN69" s="326"/>
      <c r="EO69" s="326"/>
      <c r="EP69" s="326"/>
      <c r="EQ69" s="326"/>
      <c r="ER69" s="326"/>
      <c r="ES69" s="326"/>
      <c r="ET69" s="326"/>
      <c r="EU69" s="326"/>
      <c r="EV69" s="326"/>
      <c r="EW69" s="326"/>
      <c r="EX69" s="326"/>
      <c r="EY69" s="326"/>
      <c r="EZ69" s="326"/>
      <c r="FA69" s="326"/>
      <c r="FB69" s="326"/>
      <c r="FC69" s="326"/>
      <c r="FD69" s="326"/>
      <c r="FE69" s="326"/>
      <c r="FF69" s="326"/>
      <c r="FG69" s="326"/>
      <c r="FH69" s="326"/>
      <c r="FI69" s="326"/>
      <c r="FJ69" s="326"/>
      <c r="FK69" s="326"/>
      <c r="FL69" s="326"/>
      <c r="FM69" s="326"/>
      <c r="FN69" s="326"/>
      <c r="FO69" s="326"/>
      <c r="FP69" s="326"/>
      <c r="FQ69" s="326"/>
      <c r="FR69" s="326"/>
      <c r="FS69" s="326"/>
      <c r="FT69" s="326"/>
      <c r="FU69" s="326"/>
      <c r="FV69" s="326"/>
      <c r="FW69" s="326"/>
      <c r="FX69" s="326"/>
      <c r="FY69" s="326"/>
      <c r="FZ69" s="326"/>
      <c r="GA69" s="326"/>
      <c r="GB69" s="326"/>
      <c r="GC69" s="326"/>
      <c r="GD69" s="326"/>
      <c r="GE69" s="326"/>
      <c r="GF69" s="326"/>
      <c r="GG69" s="326"/>
      <c r="GH69" s="326"/>
      <c r="GI69" s="326"/>
      <c r="GJ69" s="326"/>
      <c r="GK69" s="326"/>
      <c r="GL69" s="326"/>
      <c r="GM69" s="326"/>
      <c r="GN69" s="326"/>
      <c r="GO69" s="326"/>
      <c r="GP69" s="326"/>
      <c r="GQ69" s="326"/>
      <c r="GR69" s="326"/>
      <c r="GS69" s="326"/>
      <c r="GT69" s="326"/>
      <c r="GU69" s="326"/>
      <c r="GV69" s="326"/>
      <c r="GW69" s="326"/>
      <c r="GX69" s="326"/>
      <c r="GY69" s="326"/>
      <c r="GZ69" s="326"/>
      <c r="HA69" s="326"/>
      <c r="HB69" s="326"/>
      <c r="HC69" s="326"/>
      <c r="HD69" s="326"/>
      <c r="HE69" s="326"/>
      <c r="HF69" s="326"/>
      <c r="HG69" s="326"/>
      <c r="HH69" s="326"/>
      <c r="HI69" s="326"/>
      <c r="HJ69" s="326"/>
      <c r="HK69" s="326"/>
      <c r="HL69" s="326"/>
      <c r="HM69" s="326"/>
      <c r="HN69" s="326"/>
      <c r="HO69" s="326"/>
      <c r="HP69" s="326"/>
      <c r="HQ69" s="326"/>
      <c r="HR69" s="326"/>
      <c r="HS69" s="326"/>
      <c r="HT69" s="326"/>
      <c r="HU69" s="326"/>
      <c r="HV69" s="326"/>
      <c r="HW69" s="326"/>
      <c r="HX69" s="326"/>
      <c r="HY69" s="326"/>
      <c r="HZ69" s="326"/>
      <c r="IA69" s="326"/>
      <c r="IB69" s="326"/>
      <c r="IC69" s="326"/>
      <c r="ID69" s="326"/>
      <c r="IE69" s="326"/>
      <c r="IF69" s="326"/>
      <c r="IG69" s="326"/>
      <c r="IH69" s="326"/>
      <c r="II69" s="326"/>
      <c r="IJ69" s="326"/>
      <c r="IK69" s="326"/>
      <c r="IL69" s="326"/>
      <c r="IM69" s="326"/>
      <c r="IN69" s="326"/>
      <c r="IO69" s="326"/>
      <c r="IP69" s="326"/>
      <c r="IQ69" s="326"/>
      <c r="IR69" s="326"/>
      <c r="IS69" s="326"/>
      <c r="IT69" s="326"/>
      <c r="IU69" s="326"/>
      <c r="IV69" s="326"/>
      <c r="IW69" s="326"/>
      <c r="IX69" s="326"/>
      <c r="IY69" s="326"/>
      <c r="IZ69" s="326"/>
      <c r="JA69" s="326"/>
      <c r="JB69" s="326"/>
      <c r="JC69" s="326"/>
      <c r="JD69" s="326"/>
      <c r="JE69" s="326"/>
      <c r="JF69" s="326"/>
      <c r="JG69" s="326"/>
      <c r="JH69" s="326"/>
      <c r="JI69" s="326"/>
      <c r="JJ69" s="326"/>
      <c r="JK69" s="326"/>
      <c r="JL69" s="326"/>
      <c r="JM69" s="326"/>
      <c r="JN69" s="326"/>
      <c r="JO69" s="326"/>
      <c r="JP69" s="326"/>
      <c r="JQ69" s="326"/>
      <c r="JR69" s="326"/>
      <c r="JS69" s="326"/>
      <c r="JT69" s="326"/>
      <c r="JU69" s="326"/>
      <c r="JV69" s="326"/>
      <c r="JW69" s="326"/>
      <c r="JX69" s="326"/>
      <c r="JY69" s="326"/>
      <c r="JZ69" s="326"/>
      <c r="KA69" s="326"/>
      <c r="KB69" s="326"/>
      <c r="KC69" s="326"/>
      <c r="KD69" s="326"/>
      <c r="KE69" s="326"/>
      <c r="KF69" s="326"/>
      <c r="KG69" s="326"/>
      <c r="KH69" s="326"/>
      <c r="KI69" s="326"/>
      <c r="KJ69" s="326"/>
      <c r="KK69" s="326"/>
      <c r="KL69" s="326"/>
      <c r="KM69" s="326"/>
      <c r="KN69" s="326"/>
      <c r="KO69" s="326"/>
      <c r="KP69" s="326"/>
      <c r="KQ69" s="326"/>
      <c r="KR69" s="326"/>
      <c r="KS69" s="326"/>
      <c r="KT69" s="326"/>
      <c r="KU69" s="326"/>
      <c r="KV69" s="326"/>
      <c r="KW69" s="326"/>
      <c r="KX69" s="326"/>
      <c r="KY69" s="326"/>
      <c r="KZ69" s="326"/>
      <c r="LA69" s="326"/>
      <c r="LB69" s="326"/>
      <c r="LC69" s="326"/>
      <c r="LD69" s="326"/>
      <c r="LE69" s="326"/>
      <c r="LF69" s="326"/>
      <c r="LG69" s="326"/>
      <c r="LH69" s="326"/>
      <c r="LI69" s="326"/>
      <c r="LJ69" s="326"/>
      <c r="LK69" s="326"/>
      <c r="LL69" s="326"/>
      <c r="LM69" s="326"/>
      <c r="LN69" s="326"/>
      <c r="LO69" s="326"/>
      <c r="LP69" s="326"/>
      <c r="LQ69" s="326"/>
      <c r="LR69" s="326"/>
      <c r="LS69" s="326"/>
      <c r="LT69" s="326"/>
      <c r="LU69" s="326"/>
      <c r="LV69" s="326"/>
      <c r="LW69" s="326"/>
      <c r="LX69" s="326"/>
      <c r="LY69" s="326"/>
      <c r="LZ69" s="326"/>
      <c r="MA69" s="326"/>
      <c r="MB69" s="326"/>
      <c r="MC69" s="326"/>
      <c r="MD69" s="326"/>
      <c r="ME69" s="326"/>
      <c r="MF69" s="326"/>
      <c r="MG69" s="326"/>
      <c r="MH69" s="326"/>
      <c r="MI69" s="326"/>
      <c r="MJ69" s="326"/>
      <c r="MK69" s="326"/>
      <c r="ML69" s="326"/>
      <c r="MM69" s="326"/>
      <c r="MN69" s="326"/>
      <c r="MO69" s="326"/>
      <c r="MP69" s="326"/>
      <c r="MQ69" s="326"/>
      <c r="MR69" s="326"/>
      <c r="MS69" s="326"/>
      <c r="MT69" s="326"/>
      <c r="MU69" s="326"/>
      <c r="MV69" s="326"/>
      <c r="MW69" s="326"/>
      <c r="MX69" s="326"/>
      <c r="MY69" s="326"/>
      <c r="MZ69" s="326"/>
      <c r="NA69" s="326"/>
      <c r="NB69" s="326"/>
      <c r="NC69" s="326"/>
      <c r="ND69" s="326"/>
      <c r="NE69" s="326"/>
    </row>
    <row r="70" spans="1:369" s="385" customFormat="1">
      <c r="A70" s="469" t="s">
        <v>1213</v>
      </c>
      <c r="B70" s="468" t="s">
        <v>1367</v>
      </c>
      <c r="C70" s="468" t="s">
        <v>1368</v>
      </c>
      <c r="D70" s="468" t="s">
        <v>1369</v>
      </c>
      <c r="E70" s="468" t="s">
        <v>876</v>
      </c>
      <c r="F70" s="468" t="s">
        <v>880</v>
      </c>
      <c r="G70" s="561" t="s">
        <v>1297</v>
      </c>
      <c r="H70" s="469" t="s">
        <v>794</v>
      </c>
      <c r="I70" s="468" t="s">
        <v>1370</v>
      </c>
      <c r="J70" s="470">
        <v>-8017465.4800000004</v>
      </c>
      <c r="K70" s="470">
        <v>-8017465.4800000004</v>
      </c>
      <c r="L70" s="470">
        <v>-8017465.4800000004</v>
      </c>
      <c r="M70" s="326"/>
      <c r="N70" s="326"/>
      <c r="O70" s="326"/>
      <c r="P70" s="326"/>
      <c r="Q70" s="326"/>
      <c r="R70" s="326"/>
      <c r="S70" s="326"/>
      <c r="T70" s="326"/>
      <c r="U70" s="326"/>
      <c r="V70" s="326"/>
      <c r="W70" s="326"/>
      <c r="X70" s="326"/>
      <c r="Y70" s="326"/>
      <c r="Z70" s="326"/>
      <c r="AA70" s="326"/>
      <c r="AB70" s="326"/>
      <c r="AC70" s="326"/>
      <c r="AD70" s="326"/>
      <c r="AE70" s="326"/>
      <c r="AF70" s="326"/>
      <c r="AG70" s="326"/>
      <c r="AH70" s="326"/>
      <c r="AI70" s="326"/>
      <c r="AJ70" s="326"/>
      <c r="AK70" s="326"/>
      <c r="AL70" s="326"/>
      <c r="AM70" s="326"/>
      <c r="AN70" s="326"/>
      <c r="AO70" s="326"/>
      <c r="AP70" s="326"/>
      <c r="AQ70" s="326"/>
      <c r="AR70" s="326"/>
      <c r="AS70" s="326"/>
      <c r="AT70" s="326"/>
      <c r="AU70" s="326"/>
      <c r="AV70" s="326"/>
      <c r="AW70" s="326"/>
      <c r="AX70" s="326"/>
      <c r="AY70" s="326"/>
      <c r="AZ70" s="326"/>
      <c r="BA70" s="326"/>
      <c r="BB70" s="326"/>
      <c r="BC70" s="326"/>
      <c r="BD70" s="326"/>
      <c r="BE70" s="326"/>
      <c r="BF70" s="326"/>
      <c r="BG70" s="326"/>
      <c r="BH70" s="326"/>
      <c r="BI70" s="326"/>
      <c r="BJ70" s="326"/>
      <c r="BK70" s="326"/>
      <c r="BL70" s="326"/>
      <c r="BM70" s="326"/>
      <c r="BN70" s="326"/>
      <c r="BO70" s="326"/>
      <c r="BP70" s="326"/>
      <c r="BQ70" s="326"/>
      <c r="BR70" s="326"/>
      <c r="BS70" s="326"/>
      <c r="BT70" s="326"/>
      <c r="BU70" s="326"/>
      <c r="BV70" s="326"/>
      <c r="BW70" s="326"/>
      <c r="BX70" s="326"/>
      <c r="BY70" s="326"/>
      <c r="BZ70" s="326"/>
      <c r="CA70" s="326"/>
      <c r="CB70" s="326"/>
      <c r="CC70" s="326"/>
      <c r="CD70" s="326"/>
      <c r="CE70" s="326"/>
      <c r="CF70" s="326"/>
      <c r="CG70" s="326"/>
      <c r="CH70" s="326"/>
      <c r="CI70" s="326"/>
      <c r="CJ70" s="326"/>
      <c r="CK70" s="326"/>
      <c r="CL70" s="326"/>
      <c r="CM70" s="326"/>
      <c r="CN70" s="326"/>
      <c r="CO70" s="326"/>
      <c r="CP70" s="326"/>
      <c r="CQ70" s="326"/>
      <c r="CR70" s="326"/>
      <c r="CS70" s="326"/>
      <c r="CT70" s="326"/>
      <c r="CU70" s="326"/>
      <c r="CV70" s="326"/>
      <c r="CW70" s="326"/>
      <c r="CX70" s="326"/>
      <c r="CY70" s="326"/>
      <c r="CZ70" s="326"/>
      <c r="DA70" s="326"/>
      <c r="DB70" s="326"/>
      <c r="DC70" s="326"/>
      <c r="DD70" s="326"/>
      <c r="DE70" s="326"/>
      <c r="DF70" s="326"/>
      <c r="DG70" s="326"/>
      <c r="DH70" s="326"/>
      <c r="DI70" s="326"/>
      <c r="DJ70" s="326"/>
      <c r="DK70" s="326"/>
      <c r="DL70" s="326"/>
      <c r="DM70" s="326"/>
      <c r="DN70" s="326"/>
      <c r="DO70" s="326"/>
      <c r="DP70" s="326"/>
      <c r="DQ70" s="326"/>
      <c r="DR70" s="326"/>
      <c r="DS70" s="326"/>
      <c r="DT70" s="326"/>
      <c r="DU70" s="326"/>
      <c r="DV70" s="326"/>
      <c r="DW70" s="326"/>
      <c r="DX70" s="326"/>
      <c r="DY70" s="326"/>
      <c r="DZ70" s="326"/>
      <c r="EA70" s="326"/>
      <c r="EB70" s="326"/>
      <c r="EC70" s="326"/>
      <c r="ED70" s="326"/>
      <c r="EE70" s="326"/>
      <c r="EF70" s="326"/>
      <c r="EG70" s="326"/>
      <c r="EH70" s="326"/>
      <c r="EI70" s="326"/>
      <c r="EJ70" s="326"/>
      <c r="EK70" s="326"/>
      <c r="EL70" s="326"/>
      <c r="EM70" s="326"/>
      <c r="EN70" s="326"/>
      <c r="EO70" s="326"/>
      <c r="EP70" s="326"/>
      <c r="EQ70" s="326"/>
      <c r="ER70" s="326"/>
      <c r="ES70" s="326"/>
      <c r="ET70" s="326"/>
      <c r="EU70" s="326"/>
      <c r="EV70" s="326"/>
      <c r="EW70" s="326"/>
      <c r="EX70" s="326"/>
      <c r="EY70" s="326"/>
      <c r="EZ70" s="326"/>
      <c r="FA70" s="326"/>
      <c r="FB70" s="326"/>
      <c r="FC70" s="326"/>
      <c r="FD70" s="326"/>
      <c r="FE70" s="326"/>
      <c r="FF70" s="326"/>
      <c r="FG70" s="326"/>
      <c r="FH70" s="326"/>
      <c r="FI70" s="326"/>
      <c r="FJ70" s="326"/>
      <c r="FK70" s="326"/>
      <c r="FL70" s="326"/>
      <c r="FM70" s="326"/>
      <c r="FN70" s="326"/>
      <c r="FO70" s="326"/>
      <c r="FP70" s="326"/>
      <c r="FQ70" s="326"/>
      <c r="FR70" s="326"/>
      <c r="FS70" s="326"/>
      <c r="FT70" s="326"/>
      <c r="FU70" s="326"/>
      <c r="FV70" s="326"/>
      <c r="FW70" s="326"/>
      <c r="FX70" s="326"/>
      <c r="FY70" s="326"/>
      <c r="FZ70" s="326"/>
      <c r="GA70" s="326"/>
      <c r="GB70" s="326"/>
      <c r="GC70" s="326"/>
      <c r="GD70" s="326"/>
      <c r="GE70" s="326"/>
      <c r="GF70" s="326"/>
      <c r="GG70" s="326"/>
      <c r="GH70" s="326"/>
      <c r="GI70" s="326"/>
      <c r="GJ70" s="326"/>
      <c r="GK70" s="326"/>
      <c r="GL70" s="326"/>
      <c r="GM70" s="326"/>
      <c r="GN70" s="326"/>
      <c r="GO70" s="326"/>
      <c r="GP70" s="326"/>
      <c r="GQ70" s="326"/>
      <c r="GR70" s="326"/>
      <c r="GS70" s="326"/>
      <c r="GT70" s="326"/>
      <c r="GU70" s="326"/>
      <c r="GV70" s="326"/>
      <c r="GW70" s="326"/>
      <c r="GX70" s="326"/>
      <c r="GY70" s="326"/>
      <c r="GZ70" s="326"/>
      <c r="HA70" s="326"/>
      <c r="HB70" s="326"/>
      <c r="HC70" s="326"/>
      <c r="HD70" s="326"/>
      <c r="HE70" s="326"/>
      <c r="HF70" s="326"/>
      <c r="HG70" s="326"/>
      <c r="HH70" s="326"/>
      <c r="HI70" s="326"/>
      <c r="HJ70" s="326"/>
      <c r="HK70" s="326"/>
      <c r="HL70" s="326"/>
      <c r="HM70" s="326"/>
      <c r="HN70" s="326"/>
      <c r="HO70" s="326"/>
      <c r="HP70" s="326"/>
      <c r="HQ70" s="326"/>
      <c r="HR70" s="326"/>
      <c r="HS70" s="326"/>
      <c r="HT70" s="326"/>
      <c r="HU70" s="326"/>
      <c r="HV70" s="326"/>
      <c r="HW70" s="326"/>
      <c r="HX70" s="326"/>
      <c r="HY70" s="326"/>
      <c r="HZ70" s="326"/>
      <c r="IA70" s="326"/>
      <c r="IB70" s="326"/>
      <c r="IC70" s="326"/>
      <c r="ID70" s="326"/>
      <c r="IE70" s="326"/>
      <c r="IF70" s="326"/>
      <c r="IG70" s="326"/>
      <c r="IH70" s="326"/>
      <c r="II70" s="326"/>
      <c r="IJ70" s="326"/>
      <c r="IK70" s="326"/>
      <c r="IL70" s="326"/>
      <c r="IM70" s="326"/>
      <c r="IN70" s="326"/>
      <c r="IO70" s="326"/>
      <c r="IP70" s="326"/>
      <c r="IQ70" s="326"/>
      <c r="IR70" s="326"/>
      <c r="IS70" s="326"/>
      <c r="IT70" s="326"/>
      <c r="IU70" s="326"/>
      <c r="IV70" s="326"/>
      <c r="IW70" s="326"/>
      <c r="IX70" s="326"/>
      <c r="IY70" s="326"/>
      <c r="IZ70" s="326"/>
      <c r="JA70" s="326"/>
      <c r="JB70" s="326"/>
      <c r="JC70" s="326"/>
      <c r="JD70" s="326"/>
      <c r="JE70" s="326"/>
      <c r="JF70" s="326"/>
      <c r="JG70" s="326"/>
      <c r="JH70" s="326"/>
      <c r="JI70" s="326"/>
      <c r="JJ70" s="326"/>
      <c r="JK70" s="326"/>
      <c r="JL70" s="326"/>
      <c r="JM70" s="326"/>
      <c r="JN70" s="326"/>
      <c r="JO70" s="326"/>
      <c r="JP70" s="326"/>
      <c r="JQ70" s="326"/>
      <c r="JR70" s="326"/>
      <c r="JS70" s="326"/>
      <c r="JT70" s="326"/>
      <c r="JU70" s="326"/>
      <c r="JV70" s="326"/>
      <c r="JW70" s="326"/>
      <c r="JX70" s="326"/>
      <c r="JY70" s="326"/>
      <c r="JZ70" s="326"/>
      <c r="KA70" s="326"/>
      <c r="KB70" s="326"/>
      <c r="KC70" s="326"/>
      <c r="KD70" s="326"/>
      <c r="KE70" s="326"/>
      <c r="KF70" s="326"/>
      <c r="KG70" s="326"/>
      <c r="KH70" s="326"/>
      <c r="KI70" s="326"/>
      <c r="KJ70" s="326"/>
      <c r="KK70" s="326"/>
      <c r="KL70" s="326"/>
      <c r="KM70" s="326"/>
      <c r="KN70" s="326"/>
      <c r="KO70" s="326"/>
      <c r="KP70" s="326"/>
      <c r="KQ70" s="326"/>
      <c r="KR70" s="326"/>
      <c r="KS70" s="326"/>
      <c r="KT70" s="326"/>
      <c r="KU70" s="326"/>
      <c r="KV70" s="326"/>
      <c r="KW70" s="326"/>
      <c r="KX70" s="326"/>
      <c r="KY70" s="326"/>
      <c r="KZ70" s="326"/>
      <c r="LA70" s="326"/>
      <c r="LB70" s="326"/>
      <c r="LC70" s="326"/>
      <c r="LD70" s="326"/>
      <c r="LE70" s="326"/>
      <c r="LF70" s="326"/>
      <c r="LG70" s="326"/>
      <c r="LH70" s="326"/>
      <c r="LI70" s="326"/>
      <c r="LJ70" s="326"/>
      <c r="LK70" s="326"/>
      <c r="LL70" s="326"/>
      <c r="LM70" s="326"/>
      <c r="LN70" s="326"/>
      <c r="LO70" s="326"/>
      <c r="LP70" s="326"/>
      <c r="LQ70" s="326"/>
      <c r="LR70" s="326"/>
      <c r="LS70" s="326"/>
      <c r="LT70" s="326"/>
      <c r="LU70" s="326"/>
      <c r="LV70" s="326"/>
      <c r="LW70" s="326"/>
      <c r="LX70" s="326"/>
      <c r="LY70" s="326"/>
      <c r="LZ70" s="326"/>
      <c r="MA70" s="326"/>
      <c r="MB70" s="326"/>
      <c r="MC70" s="326"/>
      <c r="MD70" s="326"/>
      <c r="ME70" s="326"/>
      <c r="MF70" s="326"/>
      <c r="MG70" s="326"/>
      <c r="MH70" s="326"/>
      <c r="MI70" s="326"/>
      <c r="MJ70" s="326"/>
      <c r="MK70" s="326"/>
      <c r="ML70" s="326"/>
      <c r="MM70" s="326"/>
      <c r="MN70" s="326"/>
      <c r="MO70" s="326"/>
      <c r="MP70" s="326"/>
      <c r="MQ70" s="326"/>
      <c r="MR70" s="326"/>
      <c r="MS70" s="326"/>
      <c r="MT70" s="326"/>
      <c r="MU70" s="326"/>
      <c r="MV70" s="326"/>
      <c r="MW70" s="326"/>
      <c r="MX70" s="326"/>
      <c r="MY70" s="326"/>
      <c r="MZ70" s="326"/>
      <c r="NA70" s="326"/>
      <c r="NB70" s="326"/>
      <c r="NC70" s="326"/>
      <c r="ND70" s="326"/>
      <c r="NE70" s="326"/>
    </row>
    <row r="71" spans="1:369" s="385" customFormat="1">
      <c r="A71" s="468" t="s">
        <v>1215</v>
      </c>
      <c r="B71" s="468" t="s">
        <v>1367</v>
      </c>
      <c r="C71" s="468" t="s">
        <v>1371</v>
      </c>
      <c r="D71" s="468" t="s">
        <v>1372</v>
      </c>
      <c r="E71" s="468" t="s">
        <v>876</v>
      </c>
      <c r="F71" s="468" t="s">
        <v>880</v>
      </c>
      <c r="G71" s="561" t="s">
        <v>1297</v>
      </c>
      <c r="H71" s="469" t="s">
        <v>794</v>
      </c>
      <c r="I71" s="468" t="s">
        <v>1370</v>
      </c>
      <c r="J71" s="470">
        <v>-601416723.28999996</v>
      </c>
      <c r="K71" s="470">
        <v>-601416723.28999996</v>
      </c>
      <c r="L71" s="470">
        <v>-601416723.28999996</v>
      </c>
      <c r="M71" s="326"/>
      <c r="N71" s="326"/>
      <c r="O71" s="326"/>
      <c r="P71" s="326"/>
      <c r="Q71" s="326"/>
      <c r="R71" s="326"/>
      <c r="S71" s="326"/>
      <c r="T71" s="326"/>
      <c r="U71" s="326"/>
      <c r="V71" s="326"/>
      <c r="W71" s="326"/>
      <c r="X71" s="326"/>
      <c r="Y71" s="326"/>
      <c r="Z71" s="326"/>
      <c r="AA71" s="326"/>
      <c r="AB71" s="326"/>
      <c r="AC71" s="326"/>
      <c r="AD71" s="326"/>
      <c r="AE71" s="326"/>
      <c r="AF71" s="326"/>
      <c r="AG71" s="326"/>
      <c r="AH71" s="326"/>
      <c r="AI71" s="326"/>
      <c r="AJ71" s="326"/>
      <c r="AK71" s="326"/>
      <c r="AL71" s="326"/>
      <c r="AM71" s="326"/>
      <c r="AN71" s="326"/>
      <c r="AO71" s="326"/>
      <c r="AP71" s="326"/>
      <c r="AQ71" s="326"/>
      <c r="AR71" s="326"/>
      <c r="AS71" s="326"/>
      <c r="AT71" s="326"/>
      <c r="AU71" s="326"/>
      <c r="AV71" s="326"/>
      <c r="AW71" s="326"/>
      <c r="AX71" s="326"/>
      <c r="AY71" s="326"/>
      <c r="AZ71" s="326"/>
      <c r="BA71" s="326"/>
      <c r="BB71" s="326"/>
      <c r="BC71" s="326"/>
      <c r="BD71" s="326"/>
      <c r="BE71" s="326"/>
      <c r="BF71" s="326"/>
      <c r="BG71" s="326"/>
      <c r="BH71" s="326"/>
      <c r="BI71" s="326"/>
      <c r="BJ71" s="326"/>
      <c r="BK71" s="326"/>
      <c r="BL71" s="326"/>
      <c r="BM71" s="326"/>
      <c r="BN71" s="326"/>
      <c r="BO71" s="326"/>
      <c r="BP71" s="326"/>
      <c r="BQ71" s="326"/>
      <c r="BR71" s="326"/>
      <c r="BS71" s="326"/>
      <c r="BT71" s="326"/>
      <c r="BU71" s="326"/>
      <c r="BV71" s="326"/>
      <c r="BW71" s="326"/>
      <c r="BX71" s="326"/>
      <c r="BY71" s="326"/>
      <c r="BZ71" s="326"/>
      <c r="CA71" s="326"/>
      <c r="CB71" s="326"/>
      <c r="CC71" s="326"/>
      <c r="CD71" s="326"/>
      <c r="CE71" s="326"/>
      <c r="CF71" s="326"/>
      <c r="CG71" s="326"/>
      <c r="CH71" s="326"/>
      <c r="CI71" s="326"/>
      <c r="CJ71" s="326"/>
      <c r="CK71" s="326"/>
      <c r="CL71" s="326"/>
      <c r="CM71" s="326"/>
      <c r="CN71" s="326"/>
      <c r="CO71" s="326"/>
      <c r="CP71" s="326"/>
      <c r="CQ71" s="326"/>
      <c r="CR71" s="326"/>
      <c r="CS71" s="326"/>
      <c r="CT71" s="326"/>
      <c r="CU71" s="326"/>
      <c r="CV71" s="326"/>
      <c r="CW71" s="326"/>
      <c r="CX71" s="326"/>
      <c r="CY71" s="326"/>
      <c r="CZ71" s="326"/>
      <c r="DA71" s="326"/>
      <c r="DB71" s="326"/>
      <c r="DC71" s="326"/>
      <c r="DD71" s="326"/>
      <c r="DE71" s="326"/>
      <c r="DF71" s="326"/>
      <c r="DG71" s="326"/>
      <c r="DH71" s="326"/>
      <c r="DI71" s="326"/>
      <c r="DJ71" s="326"/>
      <c r="DK71" s="326"/>
      <c r="DL71" s="326"/>
      <c r="DM71" s="326"/>
      <c r="DN71" s="326"/>
      <c r="DO71" s="326"/>
      <c r="DP71" s="326"/>
      <c r="DQ71" s="326"/>
      <c r="DR71" s="326"/>
      <c r="DS71" s="326"/>
      <c r="DT71" s="326"/>
      <c r="DU71" s="326"/>
      <c r="DV71" s="326"/>
      <c r="DW71" s="326"/>
      <c r="DX71" s="326"/>
      <c r="DY71" s="326"/>
      <c r="DZ71" s="326"/>
      <c r="EA71" s="326"/>
      <c r="EB71" s="326"/>
      <c r="EC71" s="326"/>
      <c r="ED71" s="326"/>
      <c r="EE71" s="326"/>
      <c r="EF71" s="326"/>
      <c r="EG71" s="326"/>
      <c r="EH71" s="326"/>
      <c r="EI71" s="326"/>
      <c r="EJ71" s="326"/>
      <c r="EK71" s="326"/>
      <c r="EL71" s="326"/>
      <c r="EM71" s="326"/>
      <c r="EN71" s="326"/>
      <c r="EO71" s="326"/>
      <c r="EP71" s="326"/>
      <c r="EQ71" s="326"/>
      <c r="ER71" s="326"/>
      <c r="ES71" s="326"/>
      <c r="ET71" s="326"/>
      <c r="EU71" s="326"/>
      <c r="EV71" s="326"/>
      <c r="EW71" s="326"/>
      <c r="EX71" s="326"/>
      <c r="EY71" s="326"/>
      <c r="EZ71" s="326"/>
      <c r="FA71" s="326"/>
      <c r="FB71" s="326"/>
      <c r="FC71" s="326"/>
      <c r="FD71" s="326"/>
      <c r="FE71" s="326"/>
      <c r="FF71" s="326"/>
      <c r="FG71" s="326"/>
      <c r="FH71" s="326"/>
      <c r="FI71" s="326"/>
      <c r="FJ71" s="326"/>
      <c r="FK71" s="326"/>
      <c r="FL71" s="326"/>
      <c r="FM71" s="326"/>
      <c r="FN71" s="326"/>
      <c r="FO71" s="326"/>
      <c r="FP71" s="326"/>
      <c r="FQ71" s="326"/>
      <c r="FR71" s="326"/>
      <c r="FS71" s="326"/>
      <c r="FT71" s="326"/>
      <c r="FU71" s="326"/>
      <c r="FV71" s="326"/>
      <c r="FW71" s="326"/>
      <c r="FX71" s="326"/>
      <c r="FY71" s="326"/>
      <c r="FZ71" s="326"/>
      <c r="GA71" s="326"/>
      <c r="GB71" s="326"/>
      <c r="GC71" s="326"/>
      <c r="GD71" s="326"/>
      <c r="GE71" s="326"/>
      <c r="GF71" s="326"/>
      <c r="GG71" s="326"/>
      <c r="GH71" s="326"/>
      <c r="GI71" s="326"/>
      <c r="GJ71" s="326"/>
      <c r="GK71" s="326"/>
      <c r="GL71" s="326"/>
      <c r="GM71" s="326"/>
      <c r="GN71" s="326"/>
      <c r="GO71" s="326"/>
      <c r="GP71" s="326"/>
      <c r="GQ71" s="326"/>
      <c r="GR71" s="326"/>
      <c r="GS71" s="326"/>
      <c r="GT71" s="326"/>
      <c r="GU71" s="326"/>
      <c r="GV71" s="326"/>
      <c r="GW71" s="326"/>
      <c r="GX71" s="326"/>
      <c r="GY71" s="326"/>
      <c r="GZ71" s="326"/>
      <c r="HA71" s="326"/>
      <c r="HB71" s="326"/>
      <c r="HC71" s="326"/>
      <c r="HD71" s="326"/>
      <c r="HE71" s="326"/>
      <c r="HF71" s="326"/>
      <c r="HG71" s="326"/>
      <c r="HH71" s="326"/>
      <c r="HI71" s="326"/>
      <c r="HJ71" s="326"/>
      <c r="HK71" s="326"/>
      <c r="HL71" s="326"/>
      <c r="HM71" s="326"/>
      <c r="HN71" s="326"/>
      <c r="HO71" s="326"/>
      <c r="HP71" s="326"/>
      <c r="HQ71" s="326"/>
      <c r="HR71" s="326"/>
      <c r="HS71" s="326"/>
      <c r="HT71" s="326"/>
      <c r="HU71" s="326"/>
      <c r="HV71" s="326"/>
      <c r="HW71" s="326"/>
      <c r="HX71" s="326"/>
      <c r="HY71" s="326"/>
      <c r="HZ71" s="326"/>
      <c r="IA71" s="326"/>
      <c r="IB71" s="326"/>
      <c r="IC71" s="326"/>
      <c r="ID71" s="326"/>
      <c r="IE71" s="326"/>
      <c r="IF71" s="326"/>
      <c r="IG71" s="326"/>
      <c r="IH71" s="326"/>
      <c r="II71" s="326"/>
      <c r="IJ71" s="326"/>
      <c r="IK71" s="326"/>
      <c r="IL71" s="326"/>
      <c r="IM71" s="326"/>
      <c r="IN71" s="326"/>
      <c r="IO71" s="326"/>
      <c r="IP71" s="326"/>
      <c r="IQ71" s="326"/>
      <c r="IR71" s="326"/>
      <c r="IS71" s="326"/>
      <c r="IT71" s="326"/>
      <c r="IU71" s="326"/>
      <c r="IV71" s="326"/>
      <c r="IW71" s="326"/>
      <c r="IX71" s="326"/>
      <c r="IY71" s="326"/>
      <c r="IZ71" s="326"/>
      <c r="JA71" s="326"/>
      <c r="JB71" s="326"/>
      <c r="JC71" s="326"/>
      <c r="JD71" s="326"/>
      <c r="JE71" s="326"/>
      <c r="JF71" s="326"/>
      <c r="JG71" s="326"/>
      <c r="JH71" s="326"/>
      <c r="JI71" s="326"/>
      <c r="JJ71" s="326"/>
      <c r="JK71" s="326"/>
      <c r="JL71" s="326"/>
      <c r="JM71" s="326"/>
      <c r="JN71" s="326"/>
      <c r="JO71" s="326"/>
      <c r="JP71" s="326"/>
      <c r="JQ71" s="326"/>
      <c r="JR71" s="326"/>
      <c r="JS71" s="326"/>
      <c r="JT71" s="326"/>
      <c r="JU71" s="326"/>
      <c r="JV71" s="326"/>
      <c r="JW71" s="326"/>
      <c r="JX71" s="326"/>
      <c r="JY71" s="326"/>
      <c r="JZ71" s="326"/>
      <c r="KA71" s="326"/>
      <c r="KB71" s="326"/>
      <c r="KC71" s="326"/>
      <c r="KD71" s="326"/>
      <c r="KE71" s="326"/>
      <c r="KF71" s="326"/>
      <c r="KG71" s="326"/>
      <c r="KH71" s="326"/>
      <c r="KI71" s="326"/>
      <c r="KJ71" s="326"/>
      <c r="KK71" s="326"/>
      <c r="KL71" s="326"/>
      <c r="KM71" s="326"/>
      <c r="KN71" s="326"/>
      <c r="KO71" s="326"/>
      <c r="KP71" s="326"/>
      <c r="KQ71" s="326"/>
      <c r="KR71" s="326"/>
      <c r="KS71" s="326"/>
      <c r="KT71" s="326"/>
      <c r="KU71" s="326"/>
      <c r="KV71" s="326"/>
      <c r="KW71" s="326"/>
      <c r="KX71" s="326"/>
      <c r="KY71" s="326"/>
      <c r="KZ71" s="326"/>
      <c r="LA71" s="326"/>
      <c r="LB71" s="326"/>
      <c r="LC71" s="326"/>
      <c r="LD71" s="326"/>
      <c r="LE71" s="326"/>
      <c r="LF71" s="326"/>
      <c r="LG71" s="326"/>
      <c r="LH71" s="326"/>
      <c r="LI71" s="326"/>
      <c r="LJ71" s="326"/>
      <c r="LK71" s="326"/>
      <c r="LL71" s="326"/>
      <c r="LM71" s="326"/>
      <c r="LN71" s="326"/>
      <c r="LO71" s="326"/>
      <c r="LP71" s="326"/>
      <c r="LQ71" s="326"/>
      <c r="LR71" s="326"/>
      <c r="LS71" s="326"/>
      <c r="LT71" s="326"/>
      <c r="LU71" s="326"/>
      <c r="LV71" s="326"/>
      <c r="LW71" s="326"/>
      <c r="LX71" s="326"/>
      <c r="LY71" s="326"/>
      <c r="LZ71" s="326"/>
      <c r="MA71" s="326"/>
      <c r="MB71" s="326"/>
      <c r="MC71" s="326"/>
      <c r="MD71" s="326"/>
      <c r="ME71" s="326"/>
      <c r="MF71" s="326"/>
      <c r="MG71" s="326"/>
      <c r="MH71" s="326"/>
      <c r="MI71" s="326"/>
      <c r="MJ71" s="326"/>
      <c r="MK71" s="326"/>
      <c r="ML71" s="326"/>
      <c r="MM71" s="326"/>
      <c r="MN71" s="326"/>
      <c r="MO71" s="326"/>
      <c r="MP71" s="326"/>
      <c r="MQ71" s="326"/>
      <c r="MR71" s="326"/>
      <c r="MS71" s="326"/>
      <c r="MT71" s="326"/>
      <c r="MU71" s="326"/>
      <c r="MV71" s="326"/>
      <c r="MW71" s="326"/>
      <c r="MX71" s="326"/>
      <c r="MY71" s="326"/>
      <c r="MZ71" s="326"/>
      <c r="NA71" s="326"/>
      <c r="NB71" s="326"/>
      <c r="NC71" s="326"/>
      <c r="ND71" s="326"/>
      <c r="NE71" s="326"/>
    </row>
    <row r="72" spans="1:369" s="385" customFormat="1">
      <c r="A72" s="468" t="s">
        <v>1216</v>
      </c>
      <c r="B72" s="468" t="s">
        <v>1367</v>
      </c>
      <c r="C72" s="468" t="s">
        <v>1373</v>
      </c>
      <c r="D72" s="468" t="s">
        <v>1374</v>
      </c>
      <c r="E72" s="468" t="s">
        <v>876</v>
      </c>
      <c r="F72" s="468" t="s">
        <v>880</v>
      </c>
      <c r="G72" s="561" t="s">
        <v>1297</v>
      </c>
      <c r="H72" s="469" t="s">
        <v>794</v>
      </c>
      <c r="I72" s="468" t="s">
        <v>1370</v>
      </c>
      <c r="J72" s="470">
        <v>-200568263.00999999</v>
      </c>
      <c r="K72" s="470">
        <v>-200568263.00999999</v>
      </c>
      <c r="L72" s="470">
        <v>-200568263.00999999</v>
      </c>
      <c r="M72" s="326"/>
      <c r="N72" s="326"/>
      <c r="O72" s="326"/>
      <c r="P72" s="326"/>
      <c r="Q72" s="326"/>
      <c r="R72" s="326"/>
      <c r="S72" s="326"/>
      <c r="T72" s="326"/>
      <c r="U72" s="326"/>
      <c r="V72" s="326"/>
      <c r="W72" s="326"/>
      <c r="X72" s="326"/>
      <c r="Y72" s="326"/>
      <c r="Z72" s="326"/>
      <c r="AA72" s="326"/>
      <c r="AB72" s="326"/>
      <c r="AC72" s="326"/>
      <c r="AD72" s="326"/>
      <c r="AE72" s="326"/>
      <c r="AF72" s="326"/>
      <c r="AG72" s="326"/>
      <c r="AH72" s="326"/>
      <c r="AI72" s="326"/>
      <c r="AJ72" s="326"/>
      <c r="AK72" s="326"/>
      <c r="AL72" s="326"/>
      <c r="AM72" s="326"/>
      <c r="AN72" s="326"/>
      <c r="AO72" s="326"/>
      <c r="AP72" s="326"/>
      <c r="AQ72" s="326"/>
      <c r="AR72" s="326"/>
      <c r="AS72" s="326"/>
      <c r="AT72" s="326"/>
      <c r="AU72" s="326"/>
      <c r="AV72" s="326"/>
      <c r="AW72" s="326"/>
      <c r="AX72" s="326"/>
      <c r="AY72" s="326"/>
      <c r="AZ72" s="326"/>
      <c r="BA72" s="326"/>
      <c r="BB72" s="326"/>
      <c r="BC72" s="326"/>
      <c r="BD72" s="326"/>
      <c r="BE72" s="326"/>
      <c r="BF72" s="326"/>
      <c r="BG72" s="326"/>
      <c r="BH72" s="326"/>
      <c r="BI72" s="326"/>
      <c r="BJ72" s="326"/>
      <c r="BK72" s="326"/>
      <c r="BL72" s="326"/>
      <c r="BM72" s="326"/>
      <c r="BN72" s="326"/>
      <c r="BO72" s="326"/>
      <c r="BP72" s="326"/>
      <c r="BQ72" s="326"/>
      <c r="BR72" s="326"/>
      <c r="BS72" s="326"/>
      <c r="BT72" s="326"/>
      <c r="BU72" s="326"/>
      <c r="BV72" s="326"/>
      <c r="BW72" s="326"/>
      <c r="BX72" s="326"/>
      <c r="BY72" s="326"/>
      <c r="BZ72" s="326"/>
      <c r="CA72" s="326"/>
      <c r="CB72" s="326"/>
      <c r="CC72" s="326"/>
      <c r="CD72" s="326"/>
      <c r="CE72" s="326"/>
      <c r="CF72" s="326"/>
      <c r="CG72" s="326"/>
      <c r="CH72" s="326"/>
      <c r="CI72" s="326"/>
      <c r="CJ72" s="326"/>
      <c r="CK72" s="326"/>
      <c r="CL72" s="326"/>
      <c r="CM72" s="326"/>
      <c r="CN72" s="326"/>
      <c r="CO72" s="326"/>
      <c r="CP72" s="326"/>
      <c r="CQ72" s="326"/>
      <c r="CR72" s="326"/>
      <c r="CS72" s="326"/>
      <c r="CT72" s="326"/>
      <c r="CU72" s="326"/>
      <c r="CV72" s="326"/>
      <c r="CW72" s="326"/>
      <c r="CX72" s="326"/>
      <c r="CY72" s="326"/>
      <c r="CZ72" s="326"/>
      <c r="DA72" s="326"/>
      <c r="DB72" s="326"/>
      <c r="DC72" s="326"/>
      <c r="DD72" s="326"/>
      <c r="DE72" s="326"/>
      <c r="DF72" s="326"/>
      <c r="DG72" s="326"/>
      <c r="DH72" s="326"/>
      <c r="DI72" s="326"/>
      <c r="DJ72" s="326"/>
      <c r="DK72" s="326"/>
      <c r="DL72" s="326"/>
      <c r="DM72" s="326"/>
      <c r="DN72" s="326"/>
      <c r="DO72" s="326"/>
      <c r="DP72" s="326"/>
      <c r="DQ72" s="326"/>
      <c r="DR72" s="326"/>
      <c r="DS72" s="326"/>
      <c r="DT72" s="326"/>
      <c r="DU72" s="326"/>
      <c r="DV72" s="326"/>
      <c r="DW72" s="326"/>
      <c r="DX72" s="326"/>
      <c r="DY72" s="326"/>
      <c r="DZ72" s="326"/>
      <c r="EA72" s="326"/>
      <c r="EB72" s="326"/>
      <c r="EC72" s="326"/>
      <c r="ED72" s="326"/>
      <c r="EE72" s="326"/>
      <c r="EF72" s="326"/>
      <c r="EG72" s="326"/>
      <c r="EH72" s="326"/>
      <c r="EI72" s="326"/>
      <c r="EJ72" s="326"/>
      <c r="EK72" s="326"/>
      <c r="EL72" s="326"/>
      <c r="EM72" s="326"/>
      <c r="EN72" s="326"/>
      <c r="EO72" s="326"/>
      <c r="EP72" s="326"/>
      <c r="EQ72" s="326"/>
      <c r="ER72" s="326"/>
      <c r="ES72" s="326"/>
      <c r="ET72" s="326"/>
      <c r="EU72" s="326"/>
      <c r="EV72" s="326"/>
      <c r="EW72" s="326"/>
      <c r="EX72" s="326"/>
      <c r="EY72" s="326"/>
      <c r="EZ72" s="326"/>
      <c r="FA72" s="326"/>
      <c r="FB72" s="326"/>
      <c r="FC72" s="326"/>
      <c r="FD72" s="326"/>
      <c r="FE72" s="326"/>
      <c r="FF72" s="326"/>
      <c r="FG72" s="326"/>
      <c r="FH72" s="326"/>
      <c r="FI72" s="326"/>
      <c r="FJ72" s="326"/>
      <c r="FK72" s="326"/>
      <c r="FL72" s="326"/>
      <c r="FM72" s="326"/>
      <c r="FN72" s="326"/>
      <c r="FO72" s="326"/>
      <c r="FP72" s="326"/>
      <c r="FQ72" s="326"/>
      <c r="FR72" s="326"/>
      <c r="FS72" s="326"/>
      <c r="FT72" s="326"/>
      <c r="FU72" s="326"/>
      <c r="FV72" s="326"/>
      <c r="FW72" s="326"/>
      <c r="FX72" s="326"/>
      <c r="FY72" s="326"/>
      <c r="FZ72" s="326"/>
      <c r="GA72" s="326"/>
      <c r="GB72" s="326"/>
      <c r="GC72" s="326"/>
      <c r="GD72" s="326"/>
      <c r="GE72" s="326"/>
      <c r="GF72" s="326"/>
      <c r="GG72" s="326"/>
      <c r="GH72" s="326"/>
      <c r="GI72" s="326"/>
      <c r="GJ72" s="326"/>
      <c r="GK72" s="326"/>
      <c r="GL72" s="326"/>
      <c r="GM72" s="326"/>
      <c r="GN72" s="326"/>
      <c r="GO72" s="326"/>
      <c r="GP72" s="326"/>
      <c r="GQ72" s="326"/>
      <c r="GR72" s="326"/>
      <c r="GS72" s="326"/>
      <c r="GT72" s="326"/>
      <c r="GU72" s="326"/>
      <c r="GV72" s="326"/>
      <c r="GW72" s="326"/>
      <c r="GX72" s="326"/>
      <c r="GY72" s="326"/>
      <c r="GZ72" s="326"/>
      <c r="HA72" s="326"/>
      <c r="HB72" s="326"/>
      <c r="HC72" s="326"/>
      <c r="HD72" s="326"/>
      <c r="HE72" s="326"/>
      <c r="HF72" s="326"/>
      <c r="HG72" s="326"/>
      <c r="HH72" s="326"/>
      <c r="HI72" s="326"/>
      <c r="HJ72" s="326"/>
      <c r="HK72" s="326"/>
      <c r="HL72" s="326"/>
      <c r="HM72" s="326"/>
      <c r="HN72" s="326"/>
      <c r="HO72" s="326"/>
      <c r="HP72" s="326"/>
      <c r="HQ72" s="326"/>
      <c r="HR72" s="326"/>
      <c r="HS72" s="326"/>
      <c r="HT72" s="326"/>
      <c r="HU72" s="326"/>
      <c r="HV72" s="326"/>
      <c r="HW72" s="326"/>
      <c r="HX72" s="326"/>
      <c r="HY72" s="326"/>
      <c r="HZ72" s="326"/>
      <c r="IA72" s="326"/>
      <c r="IB72" s="326"/>
      <c r="IC72" s="326"/>
      <c r="ID72" s="326"/>
      <c r="IE72" s="326"/>
      <c r="IF72" s="326"/>
      <c r="IG72" s="326"/>
      <c r="IH72" s="326"/>
      <c r="II72" s="326"/>
      <c r="IJ72" s="326"/>
      <c r="IK72" s="326"/>
      <c r="IL72" s="326"/>
      <c r="IM72" s="326"/>
      <c r="IN72" s="326"/>
      <c r="IO72" s="326"/>
      <c r="IP72" s="326"/>
      <c r="IQ72" s="326"/>
      <c r="IR72" s="326"/>
      <c r="IS72" s="326"/>
      <c r="IT72" s="326"/>
      <c r="IU72" s="326"/>
      <c r="IV72" s="326"/>
      <c r="IW72" s="326"/>
      <c r="IX72" s="326"/>
      <c r="IY72" s="326"/>
      <c r="IZ72" s="326"/>
      <c r="JA72" s="326"/>
      <c r="JB72" s="326"/>
      <c r="JC72" s="326"/>
      <c r="JD72" s="326"/>
      <c r="JE72" s="326"/>
      <c r="JF72" s="326"/>
      <c r="JG72" s="326"/>
      <c r="JH72" s="326"/>
      <c r="JI72" s="326"/>
      <c r="JJ72" s="326"/>
      <c r="JK72" s="326"/>
      <c r="JL72" s="326"/>
      <c r="JM72" s="326"/>
      <c r="JN72" s="326"/>
      <c r="JO72" s="326"/>
      <c r="JP72" s="326"/>
      <c r="JQ72" s="326"/>
      <c r="JR72" s="326"/>
      <c r="JS72" s="326"/>
      <c r="JT72" s="326"/>
      <c r="JU72" s="326"/>
      <c r="JV72" s="326"/>
      <c r="JW72" s="326"/>
      <c r="JX72" s="326"/>
      <c r="JY72" s="326"/>
      <c r="JZ72" s="326"/>
      <c r="KA72" s="326"/>
      <c r="KB72" s="326"/>
      <c r="KC72" s="326"/>
      <c r="KD72" s="326"/>
      <c r="KE72" s="326"/>
      <c r="KF72" s="326"/>
      <c r="KG72" s="326"/>
      <c r="KH72" s="326"/>
      <c r="KI72" s="326"/>
      <c r="KJ72" s="326"/>
      <c r="KK72" s="326"/>
      <c r="KL72" s="326"/>
      <c r="KM72" s="326"/>
      <c r="KN72" s="326"/>
      <c r="KO72" s="326"/>
      <c r="KP72" s="326"/>
      <c r="KQ72" s="326"/>
      <c r="KR72" s="326"/>
      <c r="KS72" s="326"/>
      <c r="KT72" s="326"/>
      <c r="KU72" s="326"/>
      <c r="KV72" s="326"/>
      <c r="KW72" s="326"/>
      <c r="KX72" s="326"/>
      <c r="KY72" s="326"/>
      <c r="KZ72" s="326"/>
      <c r="LA72" s="326"/>
      <c r="LB72" s="326"/>
      <c r="LC72" s="326"/>
      <c r="LD72" s="326"/>
      <c r="LE72" s="326"/>
      <c r="LF72" s="326"/>
      <c r="LG72" s="326"/>
      <c r="LH72" s="326"/>
      <c r="LI72" s="326"/>
      <c r="LJ72" s="326"/>
      <c r="LK72" s="326"/>
      <c r="LL72" s="326"/>
      <c r="LM72" s="326"/>
      <c r="LN72" s="326"/>
      <c r="LO72" s="326"/>
      <c r="LP72" s="326"/>
      <c r="LQ72" s="326"/>
      <c r="LR72" s="326"/>
      <c r="LS72" s="326"/>
      <c r="LT72" s="326"/>
      <c r="LU72" s="326"/>
      <c r="LV72" s="326"/>
      <c r="LW72" s="326"/>
      <c r="LX72" s="326"/>
      <c r="LY72" s="326"/>
      <c r="LZ72" s="326"/>
      <c r="MA72" s="326"/>
      <c r="MB72" s="326"/>
      <c r="MC72" s="326"/>
      <c r="MD72" s="326"/>
      <c r="ME72" s="326"/>
      <c r="MF72" s="326"/>
      <c r="MG72" s="326"/>
      <c r="MH72" s="326"/>
      <c r="MI72" s="326"/>
      <c r="MJ72" s="326"/>
      <c r="MK72" s="326"/>
      <c r="ML72" s="326"/>
      <c r="MM72" s="326"/>
      <c r="MN72" s="326"/>
      <c r="MO72" s="326"/>
      <c r="MP72" s="326"/>
      <c r="MQ72" s="326"/>
      <c r="MR72" s="326"/>
      <c r="MS72" s="326"/>
      <c r="MT72" s="326"/>
      <c r="MU72" s="326"/>
      <c r="MV72" s="326"/>
      <c r="MW72" s="326"/>
      <c r="MX72" s="326"/>
      <c r="MY72" s="326"/>
      <c r="MZ72" s="326"/>
      <c r="NA72" s="326"/>
      <c r="NB72" s="326"/>
      <c r="NC72" s="326"/>
      <c r="ND72" s="326"/>
      <c r="NE72" s="326"/>
    </row>
    <row r="73" spans="1:369" s="418" customFormat="1">
      <c r="A73" s="468" t="s">
        <v>1217</v>
      </c>
      <c r="B73" s="468" t="s">
        <v>1367</v>
      </c>
      <c r="C73" s="468" t="s">
        <v>1375</v>
      </c>
      <c r="D73" s="469" t="s">
        <v>344</v>
      </c>
      <c r="E73" s="468" t="s">
        <v>878</v>
      </c>
      <c r="F73" s="468" t="s">
        <v>881</v>
      </c>
      <c r="G73" s="560" t="s">
        <v>1376</v>
      </c>
      <c r="H73" s="469" t="s">
        <v>794</v>
      </c>
      <c r="I73" s="468" t="s">
        <v>1370</v>
      </c>
      <c r="J73" s="470">
        <v>-300000000</v>
      </c>
      <c r="K73" s="470">
        <v>-300000000</v>
      </c>
      <c r="L73" s="470">
        <v>-300000000</v>
      </c>
      <c r="M73" s="326"/>
      <c r="N73" s="326"/>
      <c r="O73" s="326"/>
      <c r="P73" s="326"/>
      <c r="Q73" s="326"/>
      <c r="R73" s="326"/>
      <c r="S73" s="326"/>
      <c r="T73" s="326"/>
      <c r="U73" s="326"/>
      <c r="V73" s="326"/>
      <c r="W73" s="326"/>
      <c r="X73" s="326"/>
      <c r="Y73" s="326"/>
      <c r="Z73" s="326"/>
      <c r="AA73" s="326"/>
      <c r="AB73" s="326"/>
      <c r="AC73" s="326"/>
      <c r="AD73" s="326"/>
      <c r="AE73" s="326"/>
      <c r="AF73" s="326"/>
      <c r="AG73" s="326"/>
      <c r="AH73" s="326"/>
      <c r="AI73" s="326"/>
      <c r="AJ73" s="326"/>
      <c r="AK73" s="326"/>
      <c r="AL73" s="326"/>
      <c r="AM73" s="326"/>
      <c r="AN73" s="326"/>
      <c r="AO73" s="326"/>
      <c r="AP73" s="326"/>
      <c r="AQ73" s="326"/>
      <c r="AR73" s="326"/>
      <c r="AS73" s="326"/>
      <c r="AT73" s="326"/>
      <c r="AU73" s="326"/>
      <c r="AV73" s="326"/>
      <c r="AW73" s="326"/>
      <c r="AX73" s="326"/>
      <c r="AY73" s="326"/>
      <c r="AZ73" s="326"/>
      <c r="BA73" s="326"/>
      <c r="BB73" s="326"/>
      <c r="BC73" s="326"/>
      <c r="BD73" s="326"/>
      <c r="BE73" s="326"/>
      <c r="BF73" s="326"/>
      <c r="BG73" s="326"/>
      <c r="BH73" s="326"/>
      <c r="BI73" s="326"/>
      <c r="BJ73" s="326"/>
      <c r="BK73" s="326"/>
      <c r="BL73" s="326"/>
      <c r="BM73" s="326"/>
      <c r="BN73" s="326"/>
      <c r="BO73" s="326"/>
      <c r="BP73" s="326"/>
      <c r="BQ73" s="326"/>
      <c r="BR73" s="326"/>
      <c r="BS73" s="326"/>
      <c r="BT73" s="326"/>
      <c r="BU73" s="326"/>
      <c r="BV73" s="326"/>
      <c r="BW73" s="326"/>
      <c r="BX73" s="326"/>
      <c r="BY73" s="326"/>
      <c r="BZ73" s="326"/>
      <c r="CA73" s="326"/>
      <c r="CB73" s="326"/>
      <c r="CC73" s="326"/>
      <c r="CD73" s="326"/>
      <c r="CE73" s="326"/>
      <c r="CF73" s="326"/>
      <c r="CG73" s="326"/>
      <c r="CH73" s="326"/>
      <c r="CI73" s="326"/>
      <c r="CJ73" s="326"/>
      <c r="CK73" s="326"/>
      <c r="CL73" s="326"/>
      <c r="CM73" s="326"/>
      <c r="CN73" s="326"/>
      <c r="CO73" s="326"/>
      <c r="CP73" s="326"/>
      <c r="CQ73" s="326"/>
      <c r="CR73" s="326"/>
      <c r="CS73" s="326"/>
      <c r="CT73" s="326"/>
      <c r="CU73" s="326"/>
      <c r="CV73" s="326"/>
      <c r="CW73" s="326"/>
      <c r="CX73" s="326"/>
      <c r="CY73" s="326"/>
      <c r="CZ73" s="326"/>
      <c r="DA73" s="326"/>
      <c r="DB73" s="326"/>
      <c r="DC73" s="326"/>
      <c r="DD73" s="326"/>
      <c r="DE73" s="326"/>
      <c r="DF73" s="326"/>
      <c r="DG73" s="326"/>
      <c r="DH73" s="326"/>
      <c r="DI73" s="326"/>
      <c r="DJ73" s="326"/>
      <c r="DK73" s="326"/>
      <c r="DL73" s="326"/>
      <c r="DM73" s="326"/>
      <c r="DN73" s="326"/>
      <c r="DO73" s="326"/>
      <c r="DP73" s="326"/>
      <c r="DQ73" s="326"/>
      <c r="DR73" s="326"/>
      <c r="DS73" s="326"/>
      <c r="DT73" s="326"/>
      <c r="DU73" s="326"/>
      <c r="DV73" s="326"/>
      <c r="DW73" s="326"/>
      <c r="DX73" s="326"/>
      <c r="DY73" s="326"/>
      <c r="DZ73" s="326"/>
      <c r="EA73" s="326"/>
      <c r="EB73" s="326"/>
      <c r="EC73" s="326"/>
      <c r="ED73" s="326"/>
      <c r="EE73" s="326"/>
      <c r="EF73" s="326"/>
      <c r="EG73" s="326"/>
      <c r="EH73" s="326"/>
      <c r="EI73" s="326"/>
      <c r="EJ73" s="326"/>
      <c r="EK73" s="326"/>
      <c r="EL73" s="326"/>
      <c r="EM73" s="326"/>
      <c r="EN73" s="326"/>
      <c r="EO73" s="326"/>
      <c r="EP73" s="326"/>
      <c r="EQ73" s="326"/>
      <c r="ER73" s="326"/>
      <c r="ES73" s="326"/>
      <c r="ET73" s="326"/>
      <c r="EU73" s="326"/>
      <c r="EV73" s="326"/>
      <c r="EW73" s="326"/>
      <c r="EX73" s="326"/>
      <c r="EY73" s="326"/>
      <c r="EZ73" s="326"/>
      <c r="FA73" s="326"/>
      <c r="FB73" s="326"/>
      <c r="FC73" s="326"/>
      <c r="FD73" s="326"/>
      <c r="FE73" s="326"/>
      <c r="FF73" s="326"/>
      <c r="FG73" s="326"/>
      <c r="FH73" s="326"/>
      <c r="FI73" s="326"/>
      <c r="FJ73" s="326"/>
      <c r="FK73" s="326"/>
      <c r="FL73" s="326"/>
      <c r="FM73" s="326"/>
      <c r="FN73" s="326"/>
      <c r="FO73" s="326"/>
      <c r="FP73" s="326"/>
      <c r="FQ73" s="326"/>
      <c r="FR73" s="326"/>
      <c r="FS73" s="326"/>
      <c r="FT73" s="326"/>
      <c r="FU73" s="326"/>
      <c r="FV73" s="326"/>
      <c r="FW73" s="326"/>
      <c r="FX73" s="326"/>
      <c r="FY73" s="326"/>
      <c r="FZ73" s="326"/>
      <c r="GA73" s="326"/>
      <c r="GB73" s="326"/>
      <c r="GC73" s="326"/>
      <c r="GD73" s="326"/>
      <c r="GE73" s="326"/>
      <c r="GF73" s="326"/>
      <c r="GG73" s="326"/>
      <c r="GH73" s="326"/>
      <c r="GI73" s="326"/>
      <c r="GJ73" s="326"/>
      <c r="GK73" s="326"/>
      <c r="GL73" s="326"/>
      <c r="GM73" s="326"/>
      <c r="GN73" s="326"/>
      <c r="GO73" s="326"/>
      <c r="GP73" s="326"/>
      <c r="GQ73" s="326"/>
      <c r="GR73" s="326"/>
      <c r="GS73" s="326"/>
      <c r="GT73" s="326"/>
      <c r="GU73" s="326"/>
      <c r="GV73" s="326"/>
      <c r="GW73" s="326"/>
      <c r="GX73" s="326"/>
      <c r="GY73" s="326"/>
      <c r="GZ73" s="326"/>
      <c r="HA73" s="326"/>
      <c r="HB73" s="326"/>
      <c r="HC73" s="326"/>
      <c r="HD73" s="326"/>
      <c r="HE73" s="326"/>
      <c r="HF73" s="326"/>
      <c r="HG73" s="326"/>
      <c r="HH73" s="326"/>
      <c r="HI73" s="326"/>
      <c r="HJ73" s="326"/>
      <c r="HK73" s="326"/>
      <c r="HL73" s="326"/>
      <c r="HM73" s="326"/>
      <c r="HN73" s="326"/>
      <c r="HO73" s="326"/>
      <c r="HP73" s="326"/>
      <c r="HQ73" s="326"/>
      <c r="HR73" s="326"/>
      <c r="HS73" s="326"/>
      <c r="HT73" s="326"/>
      <c r="HU73" s="326"/>
      <c r="HV73" s="326"/>
      <c r="HW73" s="326"/>
      <c r="HX73" s="326"/>
      <c r="HY73" s="326"/>
      <c r="HZ73" s="326"/>
      <c r="IA73" s="326"/>
      <c r="IB73" s="326"/>
      <c r="IC73" s="326"/>
      <c r="ID73" s="326"/>
      <c r="IE73" s="326"/>
      <c r="IF73" s="326"/>
      <c r="IG73" s="326"/>
      <c r="IH73" s="326"/>
      <c r="II73" s="326"/>
      <c r="IJ73" s="326"/>
      <c r="IK73" s="326"/>
      <c r="IL73" s="326"/>
      <c r="IM73" s="326"/>
      <c r="IN73" s="326"/>
      <c r="IO73" s="326"/>
      <c r="IP73" s="326"/>
      <c r="IQ73" s="326"/>
      <c r="IR73" s="326"/>
      <c r="IS73" s="326"/>
      <c r="IT73" s="326"/>
      <c r="IU73" s="326"/>
      <c r="IV73" s="326"/>
      <c r="IW73" s="326"/>
      <c r="IX73" s="326"/>
      <c r="IY73" s="326"/>
      <c r="IZ73" s="326"/>
      <c r="JA73" s="326"/>
      <c r="JB73" s="326"/>
      <c r="JC73" s="326"/>
      <c r="JD73" s="326"/>
      <c r="JE73" s="326"/>
      <c r="JF73" s="326"/>
      <c r="JG73" s="326"/>
      <c r="JH73" s="326"/>
      <c r="JI73" s="326"/>
      <c r="JJ73" s="326"/>
      <c r="JK73" s="326"/>
      <c r="JL73" s="326"/>
      <c r="JM73" s="326"/>
      <c r="JN73" s="326"/>
      <c r="JO73" s="326"/>
      <c r="JP73" s="326"/>
      <c r="JQ73" s="326"/>
      <c r="JR73" s="326"/>
      <c r="JS73" s="326"/>
      <c r="JT73" s="326"/>
      <c r="JU73" s="326"/>
      <c r="JV73" s="326"/>
      <c r="JW73" s="326"/>
      <c r="JX73" s="326"/>
      <c r="JY73" s="326"/>
      <c r="JZ73" s="326"/>
      <c r="KA73" s="326"/>
      <c r="KB73" s="326"/>
      <c r="KC73" s="326"/>
      <c r="KD73" s="326"/>
      <c r="KE73" s="326"/>
      <c r="KF73" s="326"/>
      <c r="KG73" s="326"/>
      <c r="KH73" s="326"/>
      <c r="KI73" s="326"/>
      <c r="KJ73" s="326"/>
      <c r="KK73" s="326"/>
      <c r="KL73" s="326"/>
      <c r="KM73" s="326"/>
      <c r="KN73" s="326"/>
      <c r="KO73" s="326"/>
      <c r="KP73" s="326"/>
      <c r="KQ73" s="326"/>
      <c r="KR73" s="326"/>
      <c r="KS73" s="326"/>
      <c r="KT73" s="326"/>
      <c r="KU73" s="326"/>
      <c r="KV73" s="326"/>
      <c r="KW73" s="326"/>
      <c r="KX73" s="326"/>
      <c r="KY73" s="326"/>
      <c r="KZ73" s="326"/>
      <c r="LA73" s="326"/>
      <c r="LB73" s="326"/>
      <c r="LC73" s="326"/>
      <c r="LD73" s="326"/>
      <c r="LE73" s="326"/>
      <c r="LF73" s="326"/>
      <c r="LG73" s="326"/>
      <c r="LH73" s="326"/>
      <c r="LI73" s="326"/>
      <c r="LJ73" s="326"/>
      <c r="LK73" s="326"/>
      <c r="LL73" s="326"/>
      <c r="LM73" s="326"/>
      <c r="LN73" s="326"/>
      <c r="LO73" s="326"/>
      <c r="LP73" s="326"/>
      <c r="LQ73" s="326"/>
      <c r="LR73" s="326"/>
      <c r="LS73" s="326"/>
      <c r="LT73" s="326"/>
      <c r="LU73" s="326"/>
      <c r="LV73" s="326"/>
      <c r="LW73" s="326"/>
      <c r="LX73" s="326"/>
      <c r="LY73" s="326"/>
      <c r="LZ73" s="326"/>
      <c r="MA73" s="326"/>
      <c r="MB73" s="326"/>
      <c r="MC73" s="326"/>
      <c r="MD73" s="326"/>
      <c r="ME73" s="326"/>
      <c r="MF73" s="326"/>
      <c r="MG73" s="326"/>
      <c r="MH73" s="326"/>
      <c r="MI73" s="326"/>
      <c r="MJ73" s="326"/>
      <c r="MK73" s="326"/>
      <c r="ML73" s="326"/>
      <c r="MM73" s="326"/>
      <c r="MN73" s="326"/>
      <c r="MO73" s="326"/>
      <c r="MP73" s="326"/>
      <c r="MQ73" s="326"/>
      <c r="MR73" s="326"/>
      <c r="MS73" s="326"/>
      <c r="MT73" s="326"/>
      <c r="MU73" s="326"/>
      <c r="MV73" s="326"/>
      <c r="MW73" s="326"/>
      <c r="MX73" s="326"/>
      <c r="MY73" s="326"/>
      <c r="MZ73" s="326"/>
      <c r="NA73" s="326"/>
      <c r="NB73" s="326"/>
      <c r="NC73" s="326"/>
      <c r="ND73" s="326"/>
      <c r="NE73" s="326"/>
    </row>
    <row r="74" spans="1:369" s="385" customFormat="1">
      <c r="A74" s="468" t="s">
        <v>1218</v>
      </c>
      <c r="B74" s="468" t="s">
        <v>1367</v>
      </c>
      <c r="C74" s="468" t="s">
        <v>1377</v>
      </c>
      <c r="D74" s="468" t="s">
        <v>1378</v>
      </c>
      <c r="E74" s="468" t="s">
        <v>876</v>
      </c>
      <c r="F74" s="468" t="s">
        <v>880</v>
      </c>
      <c r="G74" s="561" t="s">
        <v>1297</v>
      </c>
      <c r="H74" s="469" t="s">
        <v>794</v>
      </c>
      <c r="I74" s="468" t="s">
        <v>1370</v>
      </c>
      <c r="J74" s="470">
        <v>-518700931.5</v>
      </c>
      <c r="K74" s="470">
        <v>-518700931.5</v>
      </c>
      <c r="L74" s="470">
        <v>-518700931.5</v>
      </c>
      <c r="M74" s="326"/>
      <c r="N74" s="326"/>
      <c r="O74" s="326"/>
      <c r="P74" s="326"/>
      <c r="Q74" s="326"/>
      <c r="R74" s="326"/>
      <c r="S74" s="326"/>
      <c r="T74" s="326"/>
      <c r="U74" s="326"/>
      <c r="V74" s="326"/>
      <c r="W74" s="326"/>
      <c r="X74" s="326"/>
      <c r="Y74" s="326"/>
      <c r="Z74" s="326"/>
      <c r="AA74" s="326"/>
      <c r="AB74" s="326"/>
      <c r="AC74" s="326"/>
      <c r="AD74" s="326"/>
      <c r="AE74" s="326"/>
      <c r="AF74" s="326"/>
      <c r="AG74" s="326"/>
      <c r="AH74" s="326"/>
      <c r="AI74" s="326"/>
      <c r="AJ74" s="326"/>
      <c r="AK74" s="326"/>
      <c r="AL74" s="326"/>
      <c r="AM74" s="326"/>
      <c r="AN74" s="326"/>
      <c r="AO74" s="326"/>
      <c r="AP74" s="326"/>
      <c r="AQ74" s="326"/>
      <c r="AR74" s="326"/>
      <c r="AS74" s="326"/>
      <c r="AT74" s="326"/>
      <c r="AU74" s="326"/>
      <c r="AV74" s="326"/>
      <c r="AW74" s="326"/>
      <c r="AX74" s="326"/>
      <c r="AY74" s="326"/>
      <c r="AZ74" s="326"/>
      <c r="BA74" s="326"/>
      <c r="BB74" s="326"/>
      <c r="BC74" s="326"/>
      <c r="BD74" s="326"/>
      <c r="BE74" s="326"/>
      <c r="BF74" s="326"/>
      <c r="BG74" s="326"/>
      <c r="BH74" s="326"/>
      <c r="BI74" s="326"/>
      <c r="BJ74" s="326"/>
      <c r="BK74" s="326"/>
      <c r="BL74" s="326"/>
      <c r="BM74" s="326"/>
      <c r="BN74" s="326"/>
      <c r="BO74" s="326"/>
      <c r="BP74" s="326"/>
      <c r="BQ74" s="326"/>
      <c r="BR74" s="326"/>
      <c r="BS74" s="326"/>
      <c r="BT74" s="326"/>
      <c r="BU74" s="326"/>
      <c r="BV74" s="326"/>
      <c r="BW74" s="326"/>
      <c r="BX74" s="326"/>
      <c r="BY74" s="326"/>
      <c r="BZ74" s="326"/>
      <c r="CA74" s="326"/>
      <c r="CB74" s="326"/>
      <c r="CC74" s="326"/>
      <c r="CD74" s="326"/>
      <c r="CE74" s="326"/>
      <c r="CF74" s="326"/>
      <c r="CG74" s="326"/>
      <c r="CH74" s="326"/>
      <c r="CI74" s="326"/>
      <c r="CJ74" s="326"/>
      <c r="CK74" s="326"/>
      <c r="CL74" s="326"/>
      <c r="CM74" s="326"/>
      <c r="CN74" s="326"/>
      <c r="CO74" s="326"/>
      <c r="CP74" s="326"/>
      <c r="CQ74" s="326"/>
      <c r="CR74" s="326"/>
      <c r="CS74" s="326"/>
      <c r="CT74" s="326"/>
      <c r="CU74" s="326"/>
      <c r="CV74" s="326"/>
      <c r="CW74" s="326"/>
      <c r="CX74" s="326"/>
      <c r="CY74" s="326"/>
      <c r="CZ74" s="326"/>
      <c r="DA74" s="326"/>
      <c r="DB74" s="326"/>
      <c r="DC74" s="326"/>
      <c r="DD74" s="326"/>
      <c r="DE74" s="326"/>
      <c r="DF74" s="326"/>
      <c r="DG74" s="326"/>
      <c r="DH74" s="326"/>
      <c r="DI74" s="326"/>
      <c r="DJ74" s="326"/>
      <c r="DK74" s="326"/>
      <c r="DL74" s="326"/>
      <c r="DM74" s="326"/>
      <c r="DN74" s="326"/>
      <c r="DO74" s="326"/>
      <c r="DP74" s="326"/>
      <c r="DQ74" s="326"/>
      <c r="DR74" s="326"/>
      <c r="DS74" s="326"/>
      <c r="DT74" s="326"/>
      <c r="DU74" s="326"/>
      <c r="DV74" s="326"/>
      <c r="DW74" s="326"/>
      <c r="DX74" s="326"/>
      <c r="DY74" s="326"/>
      <c r="DZ74" s="326"/>
      <c r="EA74" s="326"/>
      <c r="EB74" s="326"/>
      <c r="EC74" s="326"/>
      <c r="ED74" s="326"/>
      <c r="EE74" s="326"/>
      <c r="EF74" s="326"/>
      <c r="EG74" s="326"/>
      <c r="EH74" s="326"/>
      <c r="EI74" s="326"/>
      <c r="EJ74" s="326"/>
      <c r="EK74" s="326"/>
      <c r="EL74" s="326"/>
      <c r="EM74" s="326"/>
      <c r="EN74" s="326"/>
      <c r="EO74" s="326"/>
      <c r="EP74" s="326"/>
      <c r="EQ74" s="326"/>
      <c r="ER74" s="326"/>
      <c r="ES74" s="326"/>
      <c r="ET74" s="326"/>
      <c r="EU74" s="326"/>
      <c r="EV74" s="326"/>
      <c r="EW74" s="326"/>
      <c r="EX74" s="326"/>
      <c r="EY74" s="326"/>
      <c r="EZ74" s="326"/>
      <c r="FA74" s="326"/>
      <c r="FB74" s="326"/>
      <c r="FC74" s="326"/>
      <c r="FD74" s="326"/>
      <c r="FE74" s="326"/>
      <c r="FF74" s="326"/>
      <c r="FG74" s="326"/>
      <c r="FH74" s="326"/>
      <c r="FI74" s="326"/>
      <c r="FJ74" s="326"/>
      <c r="FK74" s="326"/>
      <c r="FL74" s="326"/>
      <c r="FM74" s="326"/>
      <c r="FN74" s="326"/>
      <c r="FO74" s="326"/>
      <c r="FP74" s="326"/>
      <c r="FQ74" s="326"/>
      <c r="FR74" s="326"/>
      <c r="FS74" s="326"/>
      <c r="FT74" s="326"/>
      <c r="FU74" s="326"/>
      <c r="FV74" s="326"/>
      <c r="FW74" s="326"/>
      <c r="FX74" s="326"/>
      <c r="FY74" s="326"/>
      <c r="FZ74" s="326"/>
      <c r="GA74" s="326"/>
      <c r="GB74" s="326"/>
      <c r="GC74" s="326"/>
      <c r="GD74" s="326"/>
      <c r="GE74" s="326"/>
      <c r="GF74" s="326"/>
      <c r="GG74" s="326"/>
      <c r="GH74" s="326"/>
      <c r="GI74" s="326"/>
      <c r="GJ74" s="326"/>
      <c r="GK74" s="326"/>
      <c r="GL74" s="326"/>
      <c r="GM74" s="326"/>
      <c r="GN74" s="326"/>
      <c r="GO74" s="326"/>
      <c r="GP74" s="326"/>
      <c r="GQ74" s="326"/>
      <c r="GR74" s="326"/>
      <c r="GS74" s="326"/>
      <c r="GT74" s="326"/>
      <c r="GU74" s="326"/>
      <c r="GV74" s="326"/>
      <c r="GW74" s="326"/>
      <c r="GX74" s="326"/>
      <c r="GY74" s="326"/>
      <c r="GZ74" s="326"/>
      <c r="HA74" s="326"/>
      <c r="HB74" s="326"/>
      <c r="HC74" s="326"/>
      <c r="HD74" s="326"/>
      <c r="HE74" s="326"/>
      <c r="HF74" s="326"/>
      <c r="HG74" s="326"/>
      <c r="HH74" s="326"/>
      <c r="HI74" s="326"/>
      <c r="HJ74" s="326"/>
      <c r="HK74" s="326"/>
      <c r="HL74" s="326"/>
      <c r="HM74" s="326"/>
      <c r="HN74" s="326"/>
      <c r="HO74" s="326"/>
      <c r="HP74" s="326"/>
      <c r="HQ74" s="326"/>
      <c r="HR74" s="326"/>
      <c r="HS74" s="326"/>
      <c r="HT74" s="326"/>
      <c r="HU74" s="326"/>
      <c r="HV74" s="326"/>
      <c r="HW74" s="326"/>
      <c r="HX74" s="326"/>
      <c r="HY74" s="326"/>
      <c r="HZ74" s="326"/>
      <c r="IA74" s="326"/>
      <c r="IB74" s="326"/>
      <c r="IC74" s="326"/>
      <c r="ID74" s="326"/>
      <c r="IE74" s="326"/>
      <c r="IF74" s="326"/>
      <c r="IG74" s="326"/>
      <c r="IH74" s="326"/>
      <c r="II74" s="326"/>
      <c r="IJ74" s="326"/>
      <c r="IK74" s="326"/>
      <c r="IL74" s="326"/>
      <c r="IM74" s="326"/>
      <c r="IN74" s="326"/>
      <c r="IO74" s="326"/>
      <c r="IP74" s="326"/>
      <c r="IQ74" s="326"/>
      <c r="IR74" s="326"/>
      <c r="IS74" s="326"/>
      <c r="IT74" s="326"/>
      <c r="IU74" s="326"/>
      <c r="IV74" s="326"/>
      <c r="IW74" s="326"/>
      <c r="IX74" s="326"/>
      <c r="IY74" s="326"/>
      <c r="IZ74" s="326"/>
      <c r="JA74" s="326"/>
      <c r="JB74" s="326"/>
      <c r="JC74" s="326"/>
      <c r="JD74" s="326"/>
      <c r="JE74" s="326"/>
      <c r="JF74" s="326"/>
      <c r="JG74" s="326"/>
      <c r="JH74" s="326"/>
      <c r="JI74" s="326"/>
      <c r="JJ74" s="326"/>
      <c r="JK74" s="326"/>
      <c r="JL74" s="326"/>
      <c r="JM74" s="326"/>
      <c r="JN74" s="326"/>
      <c r="JO74" s="326"/>
      <c r="JP74" s="326"/>
      <c r="JQ74" s="326"/>
      <c r="JR74" s="326"/>
      <c r="JS74" s="326"/>
      <c r="JT74" s="326"/>
      <c r="JU74" s="326"/>
      <c r="JV74" s="326"/>
      <c r="JW74" s="326"/>
      <c r="JX74" s="326"/>
      <c r="JY74" s="326"/>
      <c r="JZ74" s="326"/>
      <c r="KA74" s="326"/>
      <c r="KB74" s="326"/>
      <c r="KC74" s="326"/>
      <c r="KD74" s="326"/>
      <c r="KE74" s="326"/>
      <c r="KF74" s="326"/>
      <c r="KG74" s="326"/>
      <c r="KH74" s="326"/>
      <c r="KI74" s="326"/>
      <c r="KJ74" s="326"/>
      <c r="KK74" s="326"/>
      <c r="KL74" s="326"/>
      <c r="KM74" s="326"/>
      <c r="KN74" s="326"/>
      <c r="KO74" s="326"/>
      <c r="KP74" s="326"/>
      <c r="KQ74" s="326"/>
      <c r="KR74" s="326"/>
      <c r="KS74" s="326"/>
      <c r="KT74" s="326"/>
      <c r="KU74" s="326"/>
      <c r="KV74" s="326"/>
      <c r="KW74" s="326"/>
      <c r="KX74" s="326"/>
      <c r="KY74" s="326"/>
      <c r="KZ74" s="326"/>
      <c r="LA74" s="326"/>
      <c r="LB74" s="326"/>
      <c r="LC74" s="326"/>
      <c r="LD74" s="326"/>
      <c r="LE74" s="326"/>
      <c r="LF74" s="326"/>
      <c r="LG74" s="326"/>
      <c r="LH74" s="326"/>
      <c r="LI74" s="326"/>
      <c r="LJ74" s="326"/>
      <c r="LK74" s="326"/>
      <c r="LL74" s="326"/>
      <c r="LM74" s="326"/>
      <c r="LN74" s="326"/>
      <c r="LO74" s="326"/>
      <c r="LP74" s="326"/>
      <c r="LQ74" s="326"/>
      <c r="LR74" s="326"/>
      <c r="LS74" s="326"/>
      <c r="LT74" s="326"/>
      <c r="LU74" s="326"/>
      <c r="LV74" s="326"/>
      <c r="LW74" s="326"/>
      <c r="LX74" s="326"/>
      <c r="LY74" s="326"/>
      <c r="LZ74" s="326"/>
      <c r="MA74" s="326"/>
      <c r="MB74" s="326"/>
      <c r="MC74" s="326"/>
      <c r="MD74" s="326"/>
      <c r="ME74" s="326"/>
      <c r="MF74" s="326"/>
      <c r="MG74" s="326"/>
      <c r="MH74" s="326"/>
      <c r="MI74" s="326"/>
      <c r="MJ74" s="326"/>
      <c r="MK74" s="326"/>
      <c r="ML74" s="326"/>
      <c r="MM74" s="326"/>
      <c r="MN74" s="326"/>
      <c r="MO74" s="326"/>
      <c r="MP74" s="326"/>
      <c r="MQ74" s="326"/>
      <c r="MR74" s="326"/>
      <c r="MS74" s="326"/>
      <c r="MT74" s="326"/>
      <c r="MU74" s="326"/>
      <c r="MV74" s="326"/>
      <c r="MW74" s="326"/>
      <c r="MX74" s="326"/>
      <c r="MY74" s="326"/>
      <c r="MZ74" s="326"/>
      <c r="NA74" s="326"/>
      <c r="NB74" s="326"/>
      <c r="NC74" s="326"/>
      <c r="ND74" s="326"/>
      <c r="NE74" s="326"/>
    </row>
    <row r="75" spans="1:369" s="418" customFormat="1">
      <c r="A75" s="468" t="s">
        <v>1219</v>
      </c>
      <c r="B75" s="468" t="s">
        <v>1367</v>
      </c>
      <c r="C75" s="468" t="s">
        <v>1379</v>
      </c>
      <c r="D75" s="384" t="s">
        <v>1380</v>
      </c>
      <c r="E75" s="468" t="s">
        <v>878</v>
      </c>
      <c r="F75" s="468" t="s">
        <v>881</v>
      </c>
      <c r="G75" s="560" t="s">
        <v>1381</v>
      </c>
      <c r="H75" s="469" t="s">
        <v>794</v>
      </c>
      <c r="I75" s="468" t="s">
        <v>1370</v>
      </c>
      <c r="J75" s="470">
        <v>-500000000</v>
      </c>
      <c r="K75" s="470">
        <v>-500000000</v>
      </c>
      <c r="L75" s="470">
        <v>-500000000</v>
      </c>
      <c r="M75" s="326"/>
      <c r="N75" s="326"/>
      <c r="O75" s="326"/>
      <c r="P75" s="326"/>
      <c r="Q75" s="326"/>
      <c r="R75" s="326"/>
      <c r="S75" s="326"/>
      <c r="T75" s="326"/>
      <c r="U75" s="326"/>
      <c r="V75" s="326"/>
      <c r="W75" s="326"/>
      <c r="X75" s="326"/>
      <c r="Y75" s="326"/>
      <c r="Z75" s="326"/>
      <c r="AA75" s="326"/>
      <c r="AB75" s="326"/>
      <c r="AC75" s="326"/>
      <c r="AD75" s="326"/>
      <c r="AE75" s="326"/>
      <c r="AF75" s="326"/>
      <c r="AG75" s="326"/>
      <c r="AH75" s="326"/>
      <c r="AI75" s="326"/>
      <c r="AJ75" s="326"/>
      <c r="AK75" s="326"/>
      <c r="AL75" s="326"/>
      <c r="AM75" s="326"/>
      <c r="AN75" s="326"/>
      <c r="AO75" s="326"/>
      <c r="AP75" s="326"/>
      <c r="AQ75" s="326"/>
      <c r="AR75" s="326"/>
      <c r="AS75" s="326"/>
      <c r="AT75" s="326"/>
      <c r="AU75" s="326"/>
      <c r="AV75" s="326"/>
      <c r="AW75" s="326"/>
      <c r="AX75" s="326"/>
      <c r="AY75" s="326"/>
      <c r="AZ75" s="326"/>
      <c r="BA75" s="326"/>
      <c r="BB75" s="326"/>
      <c r="BC75" s="326"/>
      <c r="BD75" s="326"/>
      <c r="BE75" s="326"/>
      <c r="BF75" s="326"/>
      <c r="BG75" s="326"/>
      <c r="BH75" s="326"/>
      <c r="BI75" s="326"/>
      <c r="BJ75" s="326"/>
      <c r="BK75" s="326"/>
      <c r="BL75" s="326"/>
      <c r="BM75" s="326"/>
      <c r="BN75" s="326"/>
      <c r="BO75" s="326"/>
      <c r="BP75" s="326"/>
      <c r="BQ75" s="326"/>
      <c r="BR75" s="326"/>
      <c r="BS75" s="326"/>
      <c r="BT75" s="326"/>
      <c r="BU75" s="326"/>
      <c r="BV75" s="326"/>
      <c r="BW75" s="326"/>
      <c r="BX75" s="326"/>
      <c r="BY75" s="326"/>
      <c r="BZ75" s="326"/>
      <c r="CA75" s="326"/>
      <c r="CB75" s="326"/>
      <c r="CC75" s="326"/>
      <c r="CD75" s="326"/>
      <c r="CE75" s="326"/>
      <c r="CF75" s="326"/>
      <c r="CG75" s="326"/>
      <c r="CH75" s="326"/>
      <c r="CI75" s="326"/>
      <c r="CJ75" s="326"/>
      <c r="CK75" s="326"/>
      <c r="CL75" s="326"/>
      <c r="CM75" s="326"/>
      <c r="CN75" s="326"/>
      <c r="CO75" s="326"/>
      <c r="CP75" s="326"/>
      <c r="CQ75" s="326"/>
      <c r="CR75" s="326"/>
      <c r="CS75" s="326"/>
      <c r="CT75" s="326"/>
      <c r="CU75" s="326"/>
      <c r="CV75" s="326"/>
      <c r="CW75" s="326"/>
      <c r="CX75" s="326"/>
      <c r="CY75" s="326"/>
      <c r="CZ75" s="326"/>
      <c r="DA75" s="326"/>
      <c r="DB75" s="326"/>
      <c r="DC75" s="326"/>
      <c r="DD75" s="326"/>
      <c r="DE75" s="326"/>
      <c r="DF75" s="326"/>
      <c r="DG75" s="326"/>
      <c r="DH75" s="326"/>
      <c r="DI75" s="326"/>
      <c r="DJ75" s="326"/>
      <c r="DK75" s="326"/>
      <c r="DL75" s="326"/>
      <c r="DM75" s="326"/>
      <c r="DN75" s="326"/>
      <c r="DO75" s="326"/>
      <c r="DP75" s="326"/>
      <c r="DQ75" s="326"/>
      <c r="DR75" s="326"/>
      <c r="DS75" s="326"/>
      <c r="DT75" s="326"/>
      <c r="DU75" s="326"/>
      <c r="DV75" s="326"/>
      <c r="DW75" s="326"/>
      <c r="DX75" s="326"/>
      <c r="DY75" s="326"/>
      <c r="DZ75" s="326"/>
      <c r="EA75" s="326"/>
      <c r="EB75" s="326"/>
      <c r="EC75" s="326"/>
      <c r="ED75" s="326"/>
      <c r="EE75" s="326"/>
      <c r="EF75" s="326"/>
      <c r="EG75" s="326"/>
      <c r="EH75" s="326"/>
      <c r="EI75" s="326"/>
      <c r="EJ75" s="326"/>
      <c r="EK75" s="326"/>
      <c r="EL75" s="326"/>
      <c r="EM75" s="326"/>
      <c r="EN75" s="326"/>
      <c r="EO75" s="326"/>
      <c r="EP75" s="326"/>
      <c r="EQ75" s="326"/>
      <c r="ER75" s="326"/>
      <c r="ES75" s="326"/>
      <c r="ET75" s="326"/>
      <c r="EU75" s="326"/>
      <c r="EV75" s="326"/>
      <c r="EW75" s="326"/>
      <c r="EX75" s="326"/>
      <c r="EY75" s="326"/>
      <c r="EZ75" s="326"/>
      <c r="FA75" s="326"/>
      <c r="FB75" s="326"/>
      <c r="FC75" s="326"/>
      <c r="FD75" s="326"/>
      <c r="FE75" s="326"/>
      <c r="FF75" s="326"/>
      <c r="FG75" s="326"/>
      <c r="FH75" s="326"/>
      <c r="FI75" s="326"/>
      <c r="FJ75" s="326"/>
      <c r="FK75" s="326"/>
      <c r="FL75" s="326"/>
      <c r="FM75" s="326"/>
      <c r="FN75" s="326"/>
      <c r="FO75" s="326"/>
      <c r="FP75" s="326"/>
      <c r="FQ75" s="326"/>
      <c r="FR75" s="326"/>
      <c r="FS75" s="326"/>
      <c r="FT75" s="326"/>
      <c r="FU75" s="326"/>
      <c r="FV75" s="326"/>
      <c r="FW75" s="326"/>
      <c r="FX75" s="326"/>
      <c r="FY75" s="326"/>
      <c r="FZ75" s="326"/>
      <c r="GA75" s="326"/>
      <c r="GB75" s="326"/>
      <c r="GC75" s="326"/>
      <c r="GD75" s="326"/>
      <c r="GE75" s="326"/>
      <c r="GF75" s="326"/>
      <c r="GG75" s="326"/>
      <c r="GH75" s="326"/>
      <c r="GI75" s="326"/>
      <c r="GJ75" s="326"/>
      <c r="GK75" s="326"/>
      <c r="GL75" s="326"/>
      <c r="GM75" s="326"/>
      <c r="GN75" s="326"/>
      <c r="GO75" s="326"/>
      <c r="GP75" s="326"/>
      <c r="GQ75" s="326"/>
      <c r="GR75" s="326"/>
      <c r="GS75" s="326"/>
      <c r="GT75" s="326"/>
      <c r="GU75" s="326"/>
      <c r="GV75" s="326"/>
      <c r="GW75" s="326"/>
      <c r="GX75" s="326"/>
      <c r="GY75" s="326"/>
      <c r="GZ75" s="326"/>
      <c r="HA75" s="326"/>
      <c r="HB75" s="326"/>
      <c r="HC75" s="326"/>
      <c r="HD75" s="326"/>
      <c r="HE75" s="326"/>
      <c r="HF75" s="326"/>
      <c r="HG75" s="326"/>
      <c r="HH75" s="326"/>
      <c r="HI75" s="326"/>
      <c r="HJ75" s="326"/>
      <c r="HK75" s="326"/>
      <c r="HL75" s="326"/>
      <c r="HM75" s="326"/>
      <c r="HN75" s="326"/>
      <c r="HO75" s="326"/>
      <c r="HP75" s="326"/>
      <c r="HQ75" s="326"/>
      <c r="HR75" s="326"/>
      <c r="HS75" s="326"/>
      <c r="HT75" s="326"/>
      <c r="HU75" s="326"/>
      <c r="HV75" s="326"/>
      <c r="HW75" s="326"/>
      <c r="HX75" s="326"/>
      <c r="HY75" s="326"/>
      <c r="HZ75" s="326"/>
      <c r="IA75" s="326"/>
      <c r="IB75" s="326"/>
      <c r="IC75" s="326"/>
      <c r="ID75" s="326"/>
      <c r="IE75" s="326"/>
      <c r="IF75" s="326"/>
      <c r="IG75" s="326"/>
      <c r="IH75" s="326"/>
      <c r="II75" s="326"/>
      <c r="IJ75" s="326"/>
      <c r="IK75" s="326"/>
      <c r="IL75" s="326"/>
      <c r="IM75" s="326"/>
      <c r="IN75" s="326"/>
      <c r="IO75" s="326"/>
      <c r="IP75" s="326"/>
      <c r="IQ75" s="326"/>
      <c r="IR75" s="326"/>
      <c r="IS75" s="326"/>
      <c r="IT75" s="326"/>
      <c r="IU75" s="326"/>
      <c r="IV75" s="326"/>
      <c r="IW75" s="326"/>
      <c r="IX75" s="326"/>
      <c r="IY75" s="326"/>
      <c r="IZ75" s="326"/>
      <c r="JA75" s="326"/>
      <c r="JB75" s="326"/>
      <c r="JC75" s="326"/>
      <c r="JD75" s="326"/>
      <c r="JE75" s="326"/>
      <c r="JF75" s="326"/>
      <c r="JG75" s="326"/>
      <c r="JH75" s="326"/>
      <c r="JI75" s="326"/>
      <c r="JJ75" s="326"/>
      <c r="JK75" s="326"/>
      <c r="JL75" s="326"/>
      <c r="JM75" s="326"/>
      <c r="JN75" s="326"/>
      <c r="JO75" s="326"/>
      <c r="JP75" s="326"/>
      <c r="JQ75" s="326"/>
      <c r="JR75" s="326"/>
      <c r="JS75" s="326"/>
      <c r="JT75" s="326"/>
      <c r="JU75" s="326"/>
      <c r="JV75" s="326"/>
      <c r="JW75" s="326"/>
      <c r="JX75" s="326"/>
      <c r="JY75" s="326"/>
      <c r="JZ75" s="326"/>
      <c r="KA75" s="326"/>
      <c r="KB75" s="326"/>
      <c r="KC75" s="326"/>
      <c r="KD75" s="326"/>
      <c r="KE75" s="326"/>
      <c r="KF75" s="326"/>
      <c r="KG75" s="326"/>
      <c r="KH75" s="326"/>
      <c r="KI75" s="326"/>
      <c r="KJ75" s="326"/>
      <c r="KK75" s="326"/>
      <c r="KL75" s="326"/>
      <c r="KM75" s="326"/>
      <c r="KN75" s="326"/>
      <c r="KO75" s="326"/>
      <c r="KP75" s="326"/>
      <c r="KQ75" s="326"/>
      <c r="KR75" s="326"/>
      <c r="KS75" s="326"/>
      <c r="KT75" s="326"/>
      <c r="KU75" s="326"/>
      <c r="KV75" s="326"/>
      <c r="KW75" s="326"/>
      <c r="KX75" s="326"/>
      <c r="KY75" s="326"/>
      <c r="KZ75" s="326"/>
      <c r="LA75" s="326"/>
      <c r="LB75" s="326"/>
      <c r="LC75" s="326"/>
      <c r="LD75" s="326"/>
      <c r="LE75" s="326"/>
      <c r="LF75" s="326"/>
      <c r="LG75" s="326"/>
      <c r="LH75" s="326"/>
      <c r="LI75" s="326"/>
      <c r="LJ75" s="326"/>
      <c r="LK75" s="326"/>
      <c r="LL75" s="326"/>
      <c r="LM75" s="326"/>
      <c r="LN75" s="326"/>
      <c r="LO75" s="326"/>
      <c r="LP75" s="326"/>
      <c r="LQ75" s="326"/>
      <c r="LR75" s="326"/>
      <c r="LS75" s="326"/>
      <c r="LT75" s="326"/>
      <c r="LU75" s="326"/>
      <c r="LV75" s="326"/>
      <c r="LW75" s="326"/>
      <c r="LX75" s="326"/>
      <c r="LY75" s="326"/>
      <c r="LZ75" s="326"/>
      <c r="MA75" s="326"/>
      <c r="MB75" s="326"/>
      <c r="MC75" s="326"/>
      <c r="MD75" s="326"/>
      <c r="ME75" s="326"/>
      <c r="MF75" s="326"/>
      <c r="MG75" s="326"/>
      <c r="MH75" s="326"/>
      <c r="MI75" s="326"/>
      <c r="MJ75" s="326"/>
      <c r="MK75" s="326"/>
      <c r="ML75" s="326"/>
      <c r="MM75" s="326"/>
      <c r="MN75" s="326"/>
      <c r="MO75" s="326"/>
      <c r="MP75" s="326"/>
      <c r="MQ75" s="326"/>
      <c r="MR75" s="326"/>
      <c r="MS75" s="326"/>
      <c r="MT75" s="326"/>
      <c r="MU75" s="326"/>
      <c r="MV75" s="326"/>
      <c r="MW75" s="326"/>
      <c r="MX75" s="326"/>
      <c r="MY75" s="326"/>
      <c r="MZ75" s="326"/>
      <c r="NA75" s="326"/>
      <c r="NB75" s="326"/>
      <c r="NC75" s="326"/>
      <c r="ND75" s="326"/>
      <c r="NE75" s="326"/>
    </row>
    <row r="76" spans="1:369" s="418" customFormat="1">
      <c r="A76" s="383" t="s">
        <v>1220</v>
      </c>
      <c r="B76" s="468" t="s">
        <v>1367</v>
      </c>
      <c r="C76" s="468" t="s">
        <v>1382</v>
      </c>
      <c r="D76" s="469" t="s">
        <v>344</v>
      </c>
      <c r="E76" s="468" t="s">
        <v>878</v>
      </c>
      <c r="F76" s="468" t="s">
        <v>881</v>
      </c>
      <c r="G76" s="560" t="s">
        <v>1383</v>
      </c>
      <c r="H76" s="469" t="s">
        <v>794</v>
      </c>
      <c r="I76" s="468" t="s">
        <v>1370</v>
      </c>
      <c r="J76" s="470">
        <v>-1372632707.5899999</v>
      </c>
      <c r="K76" s="470">
        <v>-1372632707.5899999</v>
      </c>
      <c r="L76" s="470">
        <v>-1372632707.5899999</v>
      </c>
      <c r="M76" s="326"/>
      <c r="N76" s="326"/>
      <c r="O76" s="326"/>
      <c r="P76" s="326"/>
      <c r="Q76" s="326"/>
      <c r="R76" s="326"/>
      <c r="S76" s="326"/>
      <c r="T76" s="326"/>
      <c r="U76" s="326"/>
      <c r="V76" s="326"/>
      <c r="W76" s="326"/>
      <c r="X76" s="326"/>
      <c r="Y76" s="326"/>
      <c r="Z76" s="326"/>
      <c r="AA76" s="326"/>
      <c r="AB76" s="326"/>
      <c r="AC76" s="326"/>
      <c r="AD76" s="326"/>
      <c r="AE76" s="326"/>
      <c r="AF76" s="326"/>
      <c r="AG76" s="326"/>
      <c r="AH76" s="326"/>
      <c r="AI76" s="326"/>
      <c r="AJ76" s="326"/>
      <c r="AK76" s="326"/>
      <c r="AL76" s="326"/>
      <c r="AM76" s="326"/>
      <c r="AN76" s="326"/>
      <c r="AO76" s="326"/>
      <c r="AP76" s="326"/>
      <c r="AQ76" s="326"/>
      <c r="AR76" s="326"/>
      <c r="AS76" s="326"/>
      <c r="AT76" s="326"/>
      <c r="AU76" s="326"/>
      <c r="AV76" s="326"/>
      <c r="AW76" s="326"/>
      <c r="AX76" s="326"/>
      <c r="AY76" s="326"/>
      <c r="AZ76" s="326"/>
      <c r="BA76" s="326"/>
      <c r="BB76" s="326"/>
      <c r="BC76" s="326"/>
      <c r="BD76" s="326"/>
      <c r="BE76" s="326"/>
      <c r="BF76" s="326"/>
      <c r="BG76" s="326"/>
      <c r="BH76" s="326"/>
      <c r="BI76" s="326"/>
      <c r="BJ76" s="326"/>
      <c r="BK76" s="326"/>
      <c r="BL76" s="326"/>
      <c r="BM76" s="326"/>
      <c r="BN76" s="326"/>
      <c r="BO76" s="326"/>
      <c r="BP76" s="326"/>
      <c r="BQ76" s="326"/>
      <c r="BR76" s="326"/>
      <c r="BS76" s="326"/>
      <c r="BT76" s="326"/>
      <c r="BU76" s="326"/>
      <c r="BV76" s="326"/>
      <c r="BW76" s="326"/>
      <c r="BX76" s="326"/>
      <c r="BY76" s="326"/>
      <c r="BZ76" s="326"/>
      <c r="CA76" s="326"/>
      <c r="CB76" s="326"/>
      <c r="CC76" s="326"/>
      <c r="CD76" s="326"/>
      <c r="CE76" s="326"/>
      <c r="CF76" s="326"/>
      <c r="CG76" s="326"/>
      <c r="CH76" s="326"/>
      <c r="CI76" s="326"/>
      <c r="CJ76" s="326"/>
      <c r="CK76" s="326"/>
      <c r="CL76" s="326"/>
      <c r="CM76" s="326"/>
      <c r="CN76" s="326"/>
      <c r="CO76" s="326"/>
      <c r="CP76" s="326"/>
      <c r="CQ76" s="326"/>
      <c r="CR76" s="326"/>
      <c r="CS76" s="326"/>
      <c r="CT76" s="326"/>
      <c r="CU76" s="326"/>
      <c r="CV76" s="326"/>
      <c r="CW76" s="326"/>
      <c r="CX76" s="326"/>
      <c r="CY76" s="326"/>
      <c r="CZ76" s="326"/>
      <c r="DA76" s="326"/>
      <c r="DB76" s="326"/>
      <c r="DC76" s="326"/>
      <c r="DD76" s="326"/>
      <c r="DE76" s="326"/>
      <c r="DF76" s="326"/>
      <c r="DG76" s="326"/>
      <c r="DH76" s="326"/>
      <c r="DI76" s="326"/>
      <c r="DJ76" s="326"/>
      <c r="DK76" s="326"/>
      <c r="DL76" s="326"/>
      <c r="DM76" s="326"/>
      <c r="DN76" s="326"/>
      <c r="DO76" s="326"/>
      <c r="DP76" s="326"/>
      <c r="DQ76" s="326"/>
      <c r="DR76" s="326"/>
      <c r="DS76" s="326"/>
      <c r="DT76" s="326"/>
      <c r="DU76" s="326"/>
      <c r="DV76" s="326"/>
      <c r="DW76" s="326"/>
      <c r="DX76" s="326"/>
      <c r="DY76" s="326"/>
      <c r="DZ76" s="326"/>
      <c r="EA76" s="326"/>
      <c r="EB76" s="326"/>
      <c r="EC76" s="326"/>
      <c r="ED76" s="326"/>
      <c r="EE76" s="326"/>
      <c r="EF76" s="326"/>
      <c r="EG76" s="326"/>
      <c r="EH76" s="326"/>
      <c r="EI76" s="326"/>
      <c r="EJ76" s="326"/>
      <c r="EK76" s="326"/>
      <c r="EL76" s="326"/>
      <c r="EM76" s="326"/>
      <c r="EN76" s="326"/>
      <c r="EO76" s="326"/>
      <c r="EP76" s="326"/>
      <c r="EQ76" s="326"/>
      <c r="ER76" s="326"/>
      <c r="ES76" s="326"/>
      <c r="ET76" s="326"/>
      <c r="EU76" s="326"/>
      <c r="EV76" s="326"/>
      <c r="EW76" s="326"/>
      <c r="EX76" s="326"/>
      <c r="EY76" s="326"/>
      <c r="EZ76" s="326"/>
      <c r="FA76" s="326"/>
      <c r="FB76" s="326"/>
      <c r="FC76" s="326"/>
      <c r="FD76" s="326"/>
      <c r="FE76" s="326"/>
      <c r="FF76" s="326"/>
      <c r="FG76" s="326"/>
      <c r="FH76" s="326"/>
      <c r="FI76" s="326"/>
      <c r="FJ76" s="326"/>
      <c r="FK76" s="326"/>
      <c r="FL76" s="326"/>
      <c r="FM76" s="326"/>
      <c r="FN76" s="326"/>
      <c r="FO76" s="326"/>
      <c r="FP76" s="326"/>
      <c r="FQ76" s="326"/>
      <c r="FR76" s="326"/>
      <c r="FS76" s="326"/>
      <c r="FT76" s="326"/>
      <c r="FU76" s="326"/>
      <c r="FV76" s="326"/>
      <c r="FW76" s="326"/>
      <c r="FX76" s="326"/>
      <c r="FY76" s="326"/>
      <c r="FZ76" s="326"/>
      <c r="GA76" s="326"/>
      <c r="GB76" s="326"/>
      <c r="GC76" s="326"/>
      <c r="GD76" s="326"/>
      <c r="GE76" s="326"/>
      <c r="GF76" s="326"/>
      <c r="GG76" s="326"/>
      <c r="GH76" s="326"/>
      <c r="GI76" s="326"/>
      <c r="GJ76" s="326"/>
      <c r="GK76" s="326"/>
      <c r="GL76" s="326"/>
      <c r="GM76" s="326"/>
      <c r="GN76" s="326"/>
      <c r="GO76" s="326"/>
      <c r="GP76" s="326"/>
      <c r="GQ76" s="326"/>
      <c r="GR76" s="326"/>
      <c r="GS76" s="326"/>
      <c r="GT76" s="326"/>
      <c r="GU76" s="326"/>
      <c r="GV76" s="326"/>
      <c r="GW76" s="326"/>
      <c r="GX76" s="326"/>
      <c r="GY76" s="326"/>
      <c r="GZ76" s="326"/>
      <c r="HA76" s="326"/>
      <c r="HB76" s="326"/>
      <c r="HC76" s="326"/>
      <c r="HD76" s="326"/>
      <c r="HE76" s="326"/>
      <c r="HF76" s="326"/>
      <c r="HG76" s="326"/>
      <c r="HH76" s="326"/>
      <c r="HI76" s="326"/>
      <c r="HJ76" s="326"/>
      <c r="HK76" s="326"/>
      <c r="HL76" s="326"/>
      <c r="HM76" s="326"/>
      <c r="HN76" s="326"/>
      <c r="HO76" s="326"/>
      <c r="HP76" s="326"/>
      <c r="HQ76" s="326"/>
      <c r="HR76" s="326"/>
      <c r="HS76" s="326"/>
      <c r="HT76" s="326"/>
      <c r="HU76" s="326"/>
      <c r="HV76" s="326"/>
      <c r="HW76" s="326"/>
      <c r="HX76" s="326"/>
      <c r="HY76" s="326"/>
      <c r="HZ76" s="326"/>
      <c r="IA76" s="326"/>
      <c r="IB76" s="326"/>
      <c r="IC76" s="326"/>
      <c r="ID76" s="326"/>
      <c r="IE76" s="326"/>
      <c r="IF76" s="326"/>
      <c r="IG76" s="326"/>
      <c r="IH76" s="326"/>
      <c r="II76" s="326"/>
      <c r="IJ76" s="326"/>
      <c r="IK76" s="326"/>
      <c r="IL76" s="326"/>
      <c r="IM76" s="326"/>
      <c r="IN76" s="326"/>
      <c r="IO76" s="326"/>
      <c r="IP76" s="326"/>
      <c r="IQ76" s="326"/>
      <c r="IR76" s="326"/>
      <c r="IS76" s="326"/>
      <c r="IT76" s="326"/>
      <c r="IU76" s="326"/>
      <c r="IV76" s="326"/>
      <c r="IW76" s="326"/>
      <c r="IX76" s="326"/>
      <c r="IY76" s="326"/>
      <c r="IZ76" s="326"/>
      <c r="JA76" s="326"/>
      <c r="JB76" s="326"/>
      <c r="JC76" s="326"/>
      <c r="JD76" s="326"/>
      <c r="JE76" s="326"/>
      <c r="JF76" s="326"/>
      <c r="JG76" s="326"/>
      <c r="JH76" s="326"/>
      <c r="JI76" s="326"/>
      <c r="JJ76" s="326"/>
      <c r="JK76" s="326"/>
      <c r="JL76" s="326"/>
      <c r="JM76" s="326"/>
      <c r="JN76" s="326"/>
      <c r="JO76" s="326"/>
      <c r="JP76" s="326"/>
      <c r="JQ76" s="326"/>
      <c r="JR76" s="326"/>
      <c r="JS76" s="326"/>
      <c r="JT76" s="326"/>
      <c r="JU76" s="326"/>
      <c r="JV76" s="326"/>
      <c r="JW76" s="326"/>
      <c r="JX76" s="326"/>
      <c r="JY76" s="326"/>
      <c r="JZ76" s="326"/>
      <c r="KA76" s="326"/>
      <c r="KB76" s="326"/>
      <c r="KC76" s="326"/>
      <c r="KD76" s="326"/>
      <c r="KE76" s="326"/>
      <c r="KF76" s="326"/>
      <c r="KG76" s="326"/>
      <c r="KH76" s="326"/>
      <c r="KI76" s="326"/>
      <c r="KJ76" s="326"/>
      <c r="KK76" s="326"/>
      <c r="KL76" s="326"/>
      <c r="KM76" s="326"/>
      <c r="KN76" s="326"/>
      <c r="KO76" s="326"/>
      <c r="KP76" s="326"/>
      <c r="KQ76" s="326"/>
      <c r="KR76" s="326"/>
      <c r="KS76" s="326"/>
      <c r="KT76" s="326"/>
      <c r="KU76" s="326"/>
      <c r="KV76" s="326"/>
      <c r="KW76" s="326"/>
      <c r="KX76" s="326"/>
      <c r="KY76" s="326"/>
      <c r="KZ76" s="326"/>
      <c r="LA76" s="326"/>
      <c r="LB76" s="326"/>
      <c r="LC76" s="326"/>
      <c r="LD76" s="326"/>
      <c r="LE76" s="326"/>
      <c r="LF76" s="326"/>
      <c r="LG76" s="326"/>
      <c r="LH76" s="326"/>
      <c r="LI76" s="326"/>
      <c r="LJ76" s="326"/>
      <c r="LK76" s="326"/>
      <c r="LL76" s="326"/>
      <c r="LM76" s="326"/>
      <c r="LN76" s="326"/>
      <c r="LO76" s="326"/>
      <c r="LP76" s="326"/>
      <c r="LQ76" s="326"/>
      <c r="LR76" s="326"/>
      <c r="LS76" s="326"/>
      <c r="LT76" s="326"/>
      <c r="LU76" s="326"/>
      <c r="LV76" s="326"/>
      <c r="LW76" s="326"/>
      <c r="LX76" s="326"/>
      <c r="LY76" s="326"/>
      <c r="LZ76" s="326"/>
      <c r="MA76" s="326"/>
      <c r="MB76" s="326"/>
      <c r="MC76" s="326"/>
      <c r="MD76" s="326"/>
      <c r="ME76" s="326"/>
      <c r="MF76" s="326"/>
      <c r="MG76" s="326"/>
      <c r="MH76" s="326"/>
      <c r="MI76" s="326"/>
      <c r="MJ76" s="326"/>
      <c r="MK76" s="326"/>
      <c r="ML76" s="326"/>
      <c r="MM76" s="326"/>
      <c r="MN76" s="326"/>
      <c r="MO76" s="326"/>
      <c r="MP76" s="326"/>
      <c r="MQ76" s="326"/>
      <c r="MR76" s="326"/>
      <c r="MS76" s="326"/>
      <c r="MT76" s="326"/>
      <c r="MU76" s="326"/>
      <c r="MV76" s="326"/>
      <c r="MW76" s="326"/>
      <c r="MX76" s="326"/>
      <c r="MY76" s="326"/>
      <c r="MZ76" s="326"/>
      <c r="NA76" s="326"/>
      <c r="NB76" s="326"/>
      <c r="NC76" s="326"/>
      <c r="ND76" s="326"/>
      <c r="NE76" s="326"/>
    </row>
    <row r="77" spans="1:369" s="418" customFormat="1">
      <c r="A77" s="468" t="s">
        <v>1221</v>
      </c>
      <c r="B77" s="468" t="s">
        <v>1367</v>
      </c>
      <c r="C77" s="468" t="s">
        <v>1384</v>
      </c>
      <c r="D77" s="468" t="s">
        <v>1385</v>
      </c>
      <c r="E77" s="468" t="s">
        <v>878</v>
      </c>
      <c r="F77" s="468" t="s">
        <v>881</v>
      </c>
      <c r="G77" s="560" t="s">
        <v>1386</v>
      </c>
      <c r="H77" s="469" t="s">
        <v>794</v>
      </c>
      <c r="I77" s="468" t="s">
        <v>1370</v>
      </c>
      <c r="J77" s="470">
        <v>-400000000</v>
      </c>
      <c r="K77" s="470">
        <v>-400000000</v>
      </c>
      <c r="L77" s="470">
        <v>-400000000</v>
      </c>
      <c r="M77" s="326"/>
      <c r="N77" s="326"/>
      <c r="O77" s="326"/>
      <c r="P77" s="326"/>
      <c r="Q77" s="326"/>
      <c r="R77" s="326"/>
      <c r="S77" s="326"/>
      <c r="T77" s="326"/>
      <c r="U77" s="326"/>
      <c r="V77" s="326"/>
      <c r="W77" s="326"/>
      <c r="X77" s="326"/>
      <c r="Y77" s="326"/>
      <c r="Z77" s="326"/>
      <c r="AA77" s="326"/>
      <c r="AB77" s="326"/>
      <c r="AC77" s="326"/>
      <c r="AD77" s="326"/>
      <c r="AE77" s="326"/>
      <c r="AF77" s="326"/>
      <c r="AG77" s="326"/>
      <c r="AH77" s="326"/>
      <c r="AI77" s="326"/>
      <c r="AJ77" s="326"/>
      <c r="AK77" s="326"/>
      <c r="AL77" s="326"/>
      <c r="AM77" s="326"/>
      <c r="AN77" s="326"/>
      <c r="AO77" s="326"/>
      <c r="AP77" s="326"/>
      <c r="AQ77" s="326"/>
      <c r="AR77" s="326"/>
      <c r="AS77" s="326"/>
      <c r="AT77" s="326"/>
      <c r="AU77" s="326"/>
      <c r="AV77" s="326"/>
      <c r="AW77" s="326"/>
      <c r="AX77" s="326"/>
      <c r="AY77" s="326"/>
      <c r="AZ77" s="326"/>
      <c r="BA77" s="326"/>
      <c r="BB77" s="326"/>
      <c r="BC77" s="326"/>
      <c r="BD77" s="326"/>
      <c r="BE77" s="326"/>
      <c r="BF77" s="326"/>
      <c r="BG77" s="326"/>
      <c r="BH77" s="326"/>
      <c r="BI77" s="326"/>
      <c r="BJ77" s="326"/>
      <c r="BK77" s="326"/>
      <c r="BL77" s="326"/>
      <c r="BM77" s="326"/>
      <c r="BN77" s="326"/>
      <c r="BO77" s="326"/>
      <c r="BP77" s="326"/>
      <c r="BQ77" s="326"/>
      <c r="BR77" s="326"/>
      <c r="BS77" s="326"/>
      <c r="BT77" s="326"/>
      <c r="BU77" s="326"/>
      <c r="BV77" s="326"/>
      <c r="BW77" s="326"/>
      <c r="BX77" s="326"/>
      <c r="BY77" s="326"/>
      <c r="BZ77" s="326"/>
      <c r="CA77" s="326"/>
      <c r="CB77" s="326"/>
      <c r="CC77" s="326"/>
      <c r="CD77" s="326"/>
      <c r="CE77" s="326"/>
      <c r="CF77" s="326"/>
      <c r="CG77" s="326"/>
      <c r="CH77" s="326"/>
      <c r="CI77" s="326"/>
      <c r="CJ77" s="326"/>
      <c r="CK77" s="326"/>
      <c r="CL77" s="326"/>
      <c r="CM77" s="326"/>
      <c r="CN77" s="326"/>
      <c r="CO77" s="326"/>
      <c r="CP77" s="326"/>
      <c r="CQ77" s="326"/>
      <c r="CR77" s="326"/>
      <c r="CS77" s="326"/>
      <c r="CT77" s="326"/>
      <c r="CU77" s="326"/>
      <c r="CV77" s="326"/>
      <c r="CW77" s="326"/>
      <c r="CX77" s="326"/>
      <c r="CY77" s="326"/>
      <c r="CZ77" s="326"/>
      <c r="DA77" s="326"/>
      <c r="DB77" s="326"/>
      <c r="DC77" s="326"/>
      <c r="DD77" s="326"/>
      <c r="DE77" s="326"/>
      <c r="DF77" s="326"/>
      <c r="DG77" s="326"/>
      <c r="DH77" s="326"/>
      <c r="DI77" s="326"/>
      <c r="DJ77" s="326"/>
      <c r="DK77" s="326"/>
      <c r="DL77" s="326"/>
      <c r="DM77" s="326"/>
      <c r="DN77" s="326"/>
      <c r="DO77" s="326"/>
      <c r="DP77" s="326"/>
      <c r="DQ77" s="326"/>
      <c r="DR77" s="326"/>
      <c r="DS77" s="326"/>
      <c r="DT77" s="326"/>
      <c r="DU77" s="326"/>
      <c r="DV77" s="326"/>
      <c r="DW77" s="326"/>
      <c r="DX77" s="326"/>
      <c r="DY77" s="326"/>
      <c r="DZ77" s="326"/>
      <c r="EA77" s="326"/>
      <c r="EB77" s="326"/>
      <c r="EC77" s="326"/>
      <c r="ED77" s="326"/>
      <c r="EE77" s="326"/>
      <c r="EF77" s="326"/>
      <c r="EG77" s="326"/>
      <c r="EH77" s="326"/>
      <c r="EI77" s="326"/>
      <c r="EJ77" s="326"/>
      <c r="EK77" s="326"/>
      <c r="EL77" s="326"/>
      <c r="EM77" s="326"/>
      <c r="EN77" s="326"/>
      <c r="EO77" s="326"/>
      <c r="EP77" s="326"/>
      <c r="EQ77" s="326"/>
      <c r="ER77" s="326"/>
      <c r="ES77" s="326"/>
      <c r="ET77" s="326"/>
      <c r="EU77" s="326"/>
      <c r="EV77" s="326"/>
      <c r="EW77" s="326"/>
      <c r="EX77" s="326"/>
      <c r="EY77" s="326"/>
      <c r="EZ77" s="326"/>
      <c r="FA77" s="326"/>
      <c r="FB77" s="326"/>
      <c r="FC77" s="326"/>
      <c r="FD77" s="326"/>
      <c r="FE77" s="326"/>
      <c r="FF77" s="326"/>
      <c r="FG77" s="326"/>
      <c r="FH77" s="326"/>
      <c r="FI77" s="326"/>
      <c r="FJ77" s="326"/>
      <c r="FK77" s="326"/>
      <c r="FL77" s="326"/>
      <c r="FM77" s="326"/>
      <c r="FN77" s="326"/>
      <c r="FO77" s="326"/>
      <c r="FP77" s="326"/>
      <c r="FQ77" s="326"/>
      <c r="FR77" s="326"/>
      <c r="FS77" s="326"/>
      <c r="FT77" s="326"/>
      <c r="FU77" s="326"/>
      <c r="FV77" s="326"/>
      <c r="FW77" s="326"/>
      <c r="FX77" s="326"/>
      <c r="FY77" s="326"/>
      <c r="FZ77" s="326"/>
      <c r="GA77" s="326"/>
      <c r="GB77" s="326"/>
      <c r="GC77" s="326"/>
      <c r="GD77" s="326"/>
      <c r="GE77" s="326"/>
      <c r="GF77" s="326"/>
      <c r="GG77" s="326"/>
      <c r="GH77" s="326"/>
      <c r="GI77" s="326"/>
      <c r="GJ77" s="326"/>
      <c r="GK77" s="326"/>
      <c r="GL77" s="326"/>
      <c r="GM77" s="326"/>
      <c r="GN77" s="326"/>
      <c r="GO77" s="326"/>
      <c r="GP77" s="326"/>
      <c r="GQ77" s="326"/>
      <c r="GR77" s="326"/>
      <c r="GS77" s="326"/>
      <c r="GT77" s="326"/>
      <c r="GU77" s="326"/>
      <c r="GV77" s="326"/>
      <c r="GW77" s="326"/>
      <c r="GX77" s="326"/>
      <c r="GY77" s="326"/>
      <c r="GZ77" s="326"/>
      <c r="HA77" s="326"/>
      <c r="HB77" s="326"/>
      <c r="HC77" s="326"/>
      <c r="HD77" s="326"/>
      <c r="HE77" s="326"/>
      <c r="HF77" s="326"/>
      <c r="HG77" s="326"/>
      <c r="HH77" s="326"/>
      <c r="HI77" s="326"/>
      <c r="HJ77" s="326"/>
      <c r="HK77" s="326"/>
      <c r="HL77" s="326"/>
      <c r="HM77" s="326"/>
      <c r="HN77" s="326"/>
      <c r="HO77" s="326"/>
      <c r="HP77" s="326"/>
      <c r="HQ77" s="326"/>
      <c r="HR77" s="326"/>
      <c r="HS77" s="326"/>
      <c r="HT77" s="326"/>
      <c r="HU77" s="326"/>
      <c r="HV77" s="326"/>
      <c r="HW77" s="326"/>
      <c r="HX77" s="326"/>
      <c r="HY77" s="326"/>
      <c r="HZ77" s="326"/>
      <c r="IA77" s="326"/>
      <c r="IB77" s="326"/>
      <c r="IC77" s="326"/>
      <c r="ID77" s="326"/>
      <c r="IE77" s="326"/>
      <c r="IF77" s="326"/>
      <c r="IG77" s="326"/>
      <c r="IH77" s="326"/>
      <c r="II77" s="326"/>
      <c r="IJ77" s="326"/>
      <c r="IK77" s="326"/>
      <c r="IL77" s="326"/>
      <c r="IM77" s="326"/>
      <c r="IN77" s="326"/>
      <c r="IO77" s="326"/>
      <c r="IP77" s="326"/>
      <c r="IQ77" s="326"/>
      <c r="IR77" s="326"/>
      <c r="IS77" s="326"/>
      <c r="IT77" s="326"/>
      <c r="IU77" s="326"/>
      <c r="IV77" s="326"/>
      <c r="IW77" s="326"/>
      <c r="IX77" s="326"/>
      <c r="IY77" s="326"/>
      <c r="IZ77" s="326"/>
      <c r="JA77" s="326"/>
      <c r="JB77" s="326"/>
      <c r="JC77" s="326"/>
      <c r="JD77" s="326"/>
      <c r="JE77" s="326"/>
      <c r="JF77" s="326"/>
      <c r="JG77" s="326"/>
      <c r="JH77" s="326"/>
      <c r="JI77" s="326"/>
      <c r="JJ77" s="326"/>
      <c r="JK77" s="326"/>
      <c r="JL77" s="326"/>
      <c r="JM77" s="326"/>
      <c r="JN77" s="326"/>
      <c r="JO77" s="326"/>
      <c r="JP77" s="326"/>
      <c r="JQ77" s="326"/>
      <c r="JR77" s="326"/>
      <c r="JS77" s="326"/>
      <c r="JT77" s="326"/>
      <c r="JU77" s="326"/>
      <c r="JV77" s="326"/>
      <c r="JW77" s="326"/>
      <c r="JX77" s="326"/>
      <c r="JY77" s="326"/>
      <c r="JZ77" s="326"/>
      <c r="KA77" s="326"/>
      <c r="KB77" s="326"/>
      <c r="KC77" s="326"/>
      <c r="KD77" s="326"/>
      <c r="KE77" s="326"/>
      <c r="KF77" s="326"/>
      <c r="KG77" s="326"/>
      <c r="KH77" s="326"/>
      <c r="KI77" s="326"/>
      <c r="KJ77" s="326"/>
      <c r="KK77" s="326"/>
      <c r="KL77" s="326"/>
      <c r="KM77" s="326"/>
      <c r="KN77" s="326"/>
      <c r="KO77" s="326"/>
      <c r="KP77" s="326"/>
      <c r="KQ77" s="326"/>
      <c r="KR77" s="326"/>
      <c r="KS77" s="326"/>
      <c r="KT77" s="326"/>
      <c r="KU77" s="326"/>
      <c r="KV77" s="326"/>
      <c r="KW77" s="326"/>
      <c r="KX77" s="326"/>
      <c r="KY77" s="326"/>
      <c r="KZ77" s="326"/>
      <c r="LA77" s="326"/>
      <c r="LB77" s="326"/>
      <c r="LC77" s="326"/>
      <c r="LD77" s="326"/>
      <c r="LE77" s="326"/>
      <c r="LF77" s="326"/>
      <c r="LG77" s="326"/>
      <c r="LH77" s="326"/>
      <c r="LI77" s="326"/>
      <c r="LJ77" s="326"/>
      <c r="LK77" s="326"/>
      <c r="LL77" s="326"/>
      <c r="LM77" s="326"/>
      <c r="LN77" s="326"/>
      <c r="LO77" s="326"/>
      <c r="LP77" s="326"/>
      <c r="LQ77" s="326"/>
      <c r="LR77" s="326"/>
      <c r="LS77" s="326"/>
      <c r="LT77" s="326"/>
      <c r="LU77" s="326"/>
      <c r="LV77" s="326"/>
      <c r="LW77" s="326"/>
      <c r="LX77" s="326"/>
      <c r="LY77" s="326"/>
      <c r="LZ77" s="326"/>
      <c r="MA77" s="326"/>
      <c r="MB77" s="326"/>
      <c r="MC77" s="326"/>
      <c r="MD77" s="326"/>
      <c r="ME77" s="326"/>
      <c r="MF77" s="326"/>
      <c r="MG77" s="326"/>
      <c r="MH77" s="326"/>
      <c r="MI77" s="326"/>
      <c r="MJ77" s="326"/>
      <c r="MK77" s="326"/>
      <c r="ML77" s="326"/>
      <c r="MM77" s="326"/>
      <c r="MN77" s="326"/>
      <c r="MO77" s="326"/>
      <c r="MP77" s="326"/>
      <c r="MQ77" s="326"/>
      <c r="MR77" s="326"/>
      <c r="MS77" s="326"/>
      <c r="MT77" s="326"/>
      <c r="MU77" s="326"/>
      <c r="MV77" s="326"/>
      <c r="MW77" s="326"/>
      <c r="MX77" s="326"/>
      <c r="MY77" s="326"/>
      <c r="MZ77" s="326"/>
      <c r="NA77" s="326"/>
      <c r="NB77" s="326"/>
      <c r="NC77" s="326"/>
      <c r="ND77" s="326"/>
      <c r="NE77" s="326"/>
    </row>
    <row r="78" spans="1:369" s="449" customFormat="1">
      <c r="G78" s="164"/>
      <c r="AT78" s="451"/>
    </row>
    <row r="79" spans="1:369" s="449" customFormat="1">
      <c r="A79" s="884" t="s">
        <v>1387</v>
      </c>
      <c r="B79" s="884"/>
      <c r="C79" s="884"/>
      <c r="D79" s="884"/>
      <c r="E79" s="884"/>
      <c r="F79" s="884"/>
      <c r="G79" s="884"/>
      <c r="H79" s="884"/>
      <c r="I79" s="884"/>
      <c r="J79" s="884"/>
      <c r="AT79" s="451"/>
    </row>
    <row r="80" spans="1:369" s="449" customFormat="1">
      <c r="A80" s="884"/>
      <c r="B80" s="884"/>
      <c r="C80" s="884"/>
      <c r="D80" s="884"/>
      <c r="E80" s="884"/>
      <c r="F80" s="884"/>
      <c r="G80" s="884"/>
      <c r="H80" s="884"/>
      <c r="I80" s="884"/>
      <c r="J80" s="884"/>
      <c r="AT80" s="451"/>
    </row>
    <row r="81" spans="1:46" s="449" customFormat="1">
      <c r="A81" s="884"/>
      <c r="B81" s="884"/>
      <c r="C81" s="884"/>
      <c r="D81" s="884"/>
      <c r="E81" s="884"/>
      <c r="F81" s="884"/>
      <c r="G81" s="884"/>
      <c r="H81" s="884"/>
      <c r="I81" s="884"/>
      <c r="J81" s="884"/>
      <c r="AT81" s="451"/>
    </row>
    <row r="82" spans="1:46" s="449" customFormat="1" ht="209.25" customHeight="1">
      <c r="A82" s="884"/>
      <c r="B82" s="884"/>
      <c r="C82" s="884"/>
      <c r="D82" s="884"/>
      <c r="E82" s="884"/>
      <c r="F82" s="884"/>
      <c r="G82" s="884"/>
      <c r="H82" s="884"/>
      <c r="I82" s="884"/>
      <c r="J82" s="884"/>
      <c r="AT82" s="451"/>
    </row>
    <row r="83" spans="1:46" s="449" customFormat="1" ht="21.75" customHeight="1">
      <c r="A83" s="34" t="s">
        <v>782</v>
      </c>
      <c r="B83" s="326"/>
      <c r="C83" s="326"/>
      <c r="D83" s="326"/>
      <c r="E83" s="326"/>
      <c r="F83" s="326"/>
      <c r="G83" s="325"/>
      <c r="H83" s="326"/>
      <c r="I83" s="326"/>
      <c r="J83" s="326"/>
      <c r="K83" s="326"/>
      <c r="L83" s="326"/>
      <c r="M83" s="326"/>
      <c r="N83" s="326"/>
      <c r="O83" s="326"/>
      <c r="P83" s="326"/>
      <c r="Q83" s="326"/>
      <c r="AT83" s="451"/>
    </row>
    <row r="84" spans="1:46" s="449" customFormat="1" ht="21.75" customHeight="1">
      <c r="A84" s="34" t="s">
        <v>1388</v>
      </c>
      <c r="B84" s="34"/>
      <c r="C84" s="34"/>
      <c r="D84" s="34"/>
      <c r="E84" s="34"/>
      <c r="F84" s="34"/>
      <c r="G84" s="148"/>
      <c r="H84" s="34"/>
      <c r="I84" s="326"/>
      <c r="J84" s="326"/>
      <c r="K84" s="326"/>
      <c r="L84" s="326"/>
      <c r="M84" s="326"/>
      <c r="N84" s="326"/>
      <c r="O84" s="326"/>
      <c r="P84" s="326"/>
      <c r="Q84" s="326"/>
      <c r="AT84" s="451"/>
    </row>
    <row r="85" spans="1:46" s="449" customFormat="1" ht="18" customHeight="1">
      <c r="A85" s="34" t="s">
        <v>1389</v>
      </c>
      <c r="B85" s="34"/>
      <c r="C85" s="34"/>
      <c r="D85" s="34"/>
      <c r="E85" s="34"/>
      <c r="F85" s="34"/>
      <c r="G85" s="148"/>
      <c r="H85" s="34"/>
      <c r="I85" s="326"/>
      <c r="J85" s="326"/>
      <c r="K85" s="326"/>
      <c r="L85" s="326"/>
      <c r="M85" s="326"/>
      <c r="N85" s="326"/>
      <c r="O85" s="326"/>
      <c r="P85" s="326"/>
      <c r="Q85" s="326"/>
      <c r="AT85" s="451"/>
    </row>
    <row r="86" spans="1:46" s="449" customFormat="1" ht="18" customHeight="1">
      <c r="A86" s="34"/>
      <c r="B86" s="34"/>
      <c r="C86" s="34"/>
      <c r="D86" s="34"/>
      <c r="E86" s="34"/>
      <c r="F86" s="34"/>
      <c r="G86" s="148"/>
      <c r="H86" s="34"/>
      <c r="I86" s="326"/>
      <c r="J86" s="326"/>
      <c r="K86" s="326"/>
      <c r="L86" s="326"/>
      <c r="M86" s="326"/>
      <c r="N86" s="326"/>
      <c r="O86" s="326"/>
      <c r="P86" s="326"/>
      <c r="Q86" s="326"/>
      <c r="AT86" s="451"/>
    </row>
    <row r="87" spans="1:46" s="449" customFormat="1" ht="18" customHeight="1">
      <c r="A87" s="497" t="s">
        <v>1390</v>
      </c>
      <c r="B87" s="773"/>
      <c r="C87" s="773"/>
      <c r="D87" s="773"/>
      <c r="E87" s="326"/>
      <c r="F87" s="326"/>
      <c r="G87" s="325"/>
      <c r="H87" s="326"/>
      <c r="I87" s="326"/>
      <c r="J87" s="326"/>
      <c r="K87" s="326"/>
      <c r="L87" s="326"/>
      <c r="M87" s="326"/>
      <c r="N87" s="326"/>
      <c r="O87" s="326"/>
      <c r="P87" s="326"/>
      <c r="Q87" s="326"/>
      <c r="AT87" s="451"/>
    </row>
    <row r="88" spans="1:46" s="449" customFormat="1" ht="18" customHeight="1">
      <c r="A88" s="496" t="s">
        <v>1391</v>
      </c>
      <c r="B88" s="773"/>
      <c r="C88" s="773"/>
      <c r="D88" s="773"/>
      <c r="E88" s="326"/>
      <c r="F88" s="34"/>
      <c r="G88" s="325"/>
      <c r="H88" s="326"/>
      <c r="I88" s="326"/>
      <c r="J88" s="326"/>
      <c r="K88" s="326"/>
      <c r="L88" s="326"/>
      <c r="M88" s="326"/>
      <c r="N88" s="326"/>
      <c r="O88" s="326"/>
      <c r="P88" s="326"/>
      <c r="Q88" s="326"/>
      <c r="AT88" s="451"/>
    </row>
    <row r="89" spans="1:46" s="449" customFormat="1" ht="18" customHeight="1">
      <c r="A89" s="34" t="s">
        <v>1392</v>
      </c>
      <c r="B89" s="34"/>
      <c r="C89" s="773"/>
      <c r="D89" s="773"/>
      <c r="E89" s="326"/>
      <c r="F89" s="34"/>
      <c r="G89" s="325"/>
      <c r="H89" s="326"/>
      <c r="I89" s="326"/>
      <c r="J89" s="326"/>
      <c r="K89" s="326"/>
      <c r="L89" s="326"/>
      <c r="M89" s="326"/>
      <c r="N89" s="326"/>
      <c r="O89" s="326"/>
      <c r="P89" s="326"/>
      <c r="Q89" s="326"/>
      <c r="AT89" s="451"/>
    </row>
    <row r="90" spans="1:46" s="449" customFormat="1" ht="18" customHeight="1">
      <c r="A90" s="34" t="s">
        <v>1393</v>
      </c>
      <c r="B90" s="34"/>
      <c r="C90" s="773"/>
      <c r="D90" s="773"/>
      <c r="E90" s="34"/>
      <c r="F90" s="34"/>
      <c r="G90" s="325"/>
      <c r="H90" s="326"/>
      <c r="I90" s="326"/>
      <c r="J90" s="326"/>
      <c r="K90" s="326"/>
      <c r="L90" s="326"/>
      <c r="M90" s="326"/>
      <c r="N90" s="326"/>
      <c r="O90" s="326"/>
      <c r="P90" s="326"/>
      <c r="Q90" s="326"/>
      <c r="AT90" s="451"/>
    </row>
    <row r="91" spans="1:46" s="449" customFormat="1" ht="18" customHeight="1">
      <c r="A91" s="34" t="s">
        <v>1394</v>
      </c>
      <c r="B91" s="34"/>
      <c r="C91" s="773"/>
      <c r="D91" s="773"/>
      <c r="E91" s="34"/>
      <c r="F91" s="34"/>
      <c r="G91" s="325"/>
      <c r="H91" s="326"/>
      <c r="I91" s="326"/>
      <c r="J91" s="326"/>
      <c r="K91" s="326"/>
      <c r="L91" s="326"/>
      <c r="M91" s="326"/>
      <c r="N91" s="326"/>
      <c r="O91" s="326"/>
      <c r="P91" s="326"/>
      <c r="Q91" s="326"/>
      <c r="AT91" s="451"/>
    </row>
    <row r="92" spans="1:46" s="449" customFormat="1" ht="18" customHeight="1">
      <c r="C92" s="34"/>
      <c r="D92" s="34"/>
      <c r="E92" s="34"/>
      <c r="F92" s="326"/>
      <c r="G92" s="325"/>
      <c r="H92" s="326"/>
      <c r="I92" s="326"/>
      <c r="J92" s="326"/>
      <c r="K92" s="326"/>
      <c r="L92" s="326"/>
      <c r="M92" s="326"/>
      <c r="N92" s="326"/>
      <c r="O92" s="326"/>
      <c r="P92" s="326"/>
      <c r="Q92" s="326"/>
      <c r="AT92" s="451"/>
    </row>
    <row r="93" spans="1:46" s="449" customFormat="1" ht="18" customHeight="1">
      <c r="A93" s="34"/>
      <c r="B93" s="34"/>
      <c r="C93" s="34"/>
      <c r="D93" s="34"/>
      <c r="E93" s="34"/>
      <c r="F93" s="326"/>
      <c r="G93" s="325"/>
      <c r="H93" s="326"/>
      <c r="I93" s="326"/>
      <c r="J93" s="326"/>
      <c r="K93" s="326"/>
      <c r="L93" s="326"/>
      <c r="M93" s="326"/>
      <c r="N93" s="326"/>
      <c r="O93" s="326"/>
      <c r="P93" s="326"/>
      <c r="Q93" s="326"/>
      <c r="AT93" s="451"/>
    </row>
    <row r="94" spans="1:46" s="449" customFormat="1" ht="18" customHeight="1">
      <c r="A94" s="34"/>
      <c r="B94" s="34"/>
      <c r="C94" s="34"/>
      <c r="D94" s="34"/>
      <c r="E94" s="34"/>
      <c r="F94" s="326"/>
      <c r="G94" s="325"/>
      <c r="H94" s="326"/>
      <c r="I94" s="326"/>
      <c r="J94" s="326"/>
      <c r="K94" s="326"/>
      <c r="L94" s="326"/>
      <c r="M94" s="326"/>
      <c r="N94" s="326"/>
      <c r="O94" s="326"/>
      <c r="P94" s="326"/>
      <c r="Q94" s="326"/>
      <c r="AT94" s="451"/>
    </row>
    <row r="95" spans="1:46" s="449" customFormat="1">
      <c r="A95" s="774" t="s">
        <v>1395</v>
      </c>
      <c r="B95" s="773"/>
      <c r="C95" s="773"/>
      <c r="D95" s="773"/>
      <c r="E95" s="773"/>
      <c r="F95" s="773"/>
      <c r="G95" s="775"/>
      <c r="H95" s="773"/>
      <c r="I95" s="773"/>
      <c r="J95" s="773"/>
      <c r="AT95" s="451"/>
    </row>
    <row r="96" spans="1:46" s="326" customFormat="1" ht="21" customHeight="1">
      <c r="A96" s="776" t="s">
        <v>1357</v>
      </c>
      <c r="B96" s="776" t="s">
        <v>1358</v>
      </c>
      <c r="C96" s="776" t="s">
        <v>1359</v>
      </c>
      <c r="D96" s="776" t="s">
        <v>1360</v>
      </c>
      <c r="E96" s="776" t="s">
        <v>1361</v>
      </c>
      <c r="F96" s="776" t="s">
        <v>1362</v>
      </c>
      <c r="G96" s="777" t="s">
        <v>782</v>
      </c>
      <c r="H96" s="776" t="s">
        <v>1363</v>
      </c>
      <c r="I96" s="776" t="s">
        <v>1364</v>
      </c>
      <c r="J96" s="776" t="s">
        <v>184</v>
      </c>
      <c r="K96" s="544" t="s">
        <v>1365</v>
      </c>
      <c r="L96" s="544" t="s">
        <v>1366</v>
      </c>
      <c r="M96" s="544" t="s">
        <v>845</v>
      </c>
    </row>
    <row r="97" spans="1:46" ht="21" customHeight="1">
      <c r="A97" s="477" t="s">
        <v>1213</v>
      </c>
      <c r="B97" s="476" t="s">
        <v>1367</v>
      </c>
      <c r="C97" s="476" t="s">
        <v>1368</v>
      </c>
      <c r="D97" s="476" t="s">
        <v>1369</v>
      </c>
      <c r="E97" s="476" t="s">
        <v>876</v>
      </c>
      <c r="F97" s="476" t="s">
        <v>880</v>
      </c>
      <c r="G97" s="341" t="s">
        <v>1396</v>
      </c>
      <c r="H97" s="477" t="s">
        <v>794</v>
      </c>
      <c r="I97" s="476" t="s">
        <v>1397</v>
      </c>
      <c r="J97" s="477" t="s">
        <v>1398</v>
      </c>
      <c r="K97" s="469" t="s">
        <v>1398</v>
      </c>
      <c r="L97" s="469" t="s">
        <v>1398</v>
      </c>
      <c r="M97" s="383" t="s">
        <v>1399</v>
      </c>
    </row>
    <row r="98" spans="1:46" ht="21" customHeight="1">
      <c r="A98" s="477" t="s">
        <v>1213</v>
      </c>
      <c r="B98" s="476" t="s">
        <v>1367</v>
      </c>
      <c r="C98" s="476" t="s">
        <v>1368</v>
      </c>
      <c r="D98" s="476" t="s">
        <v>1369</v>
      </c>
      <c r="E98" s="476" t="s">
        <v>876</v>
      </c>
      <c r="F98" s="476" t="s">
        <v>880</v>
      </c>
      <c r="G98" s="341" t="s">
        <v>1396</v>
      </c>
      <c r="H98" s="477" t="s">
        <v>794</v>
      </c>
      <c r="I98" s="476" t="s">
        <v>1397</v>
      </c>
      <c r="J98" s="477" t="s">
        <v>1398</v>
      </c>
      <c r="K98" s="469" t="s">
        <v>1398</v>
      </c>
      <c r="L98" s="469" t="s">
        <v>1398</v>
      </c>
      <c r="M98" s="383" t="s">
        <v>1399</v>
      </c>
    </row>
    <row r="99" spans="1:46" ht="21" customHeight="1">
      <c r="A99" s="476" t="s">
        <v>1215</v>
      </c>
      <c r="B99" s="476" t="s">
        <v>1367</v>
      </c>
      <c r="C99" s="476" t="s">
        <v>1371</v>
      </c>
      <c r="D99" s="476" t="s">
        <v>1372</v>
      </c>
      <c r="E99" s="476" t="s">
        <v>876</v>
      </c>
      <c r="F99" s="476" t="s">
        <v>880</v>
      </c>
      <c r="G99" s="341" t="s">
        <v>1400</v>
      </c>
      <c r="H99" s="477" t="s">
        <v>794</v>
      </c>
      <c r="I99" s="476" t="s">
        <v>1397</v>
      </c>
      <c r="J99" s="477" t="s">
        <v>1401</v>
      </c>
      <c r="K99" s="469" t="s">
        <v>1401</v>
      </c>
      <c r="L99" s="469" t="s">
        <v>1401</v>
      </c>
      <c r="M99" s="383" t="s">
        <v>1399</v>
      </c>
    </row>
    <row r="100" spans="1:46" ht="21" customHeight="1">
      <c r="A100" s="476" t="s">
        <v>1216</v>
      </c>
      <c r="B100" s="476" t="s">
        <v>1367</v>
      </c>
      <c r="C100" s="476" t="s">
        <v>1373</v>
      </c>
      <c r="D100" s="476" t="s">
        <v>1374</v>
      </c>
      <c r="E100" s="476" t="s">
        <v>876</v>
      </c>
      <c r="F100" s="476" t="s">
        <v>880</v>
      </c>
      <c r="G100" s="341" t="s">
        <v>1402</v>
      </c>
      <c r="H100" s="477" t="s">
        <v>794</v>
      </c>
      <c r="I100" s="476" t="s">
        <v>1397</v>
      </c>
      <c r="J100" s="477" t="s">
        <v>1403</v>
      </c>
      <c r="K100" s="469" t="s">
        <v>1403</v>
      </c>
      <c r="L100" s="469" t="s">
        <v>1403</v>
      </c>
      <c r="M100" s="383" t="s">
        <v>1399</v>
      </c>
    </row>
    <row r="101" spans="1:46" ht="21" customHeight="1">
      <c r="A101" s="476" t="s">
        <v>1217</v>
      </c>
      <c r="B101" s="476" t="s">
        <v>1367</v>
      </c>
      <c r="C101" s="476" t="s">
        <v>1375</v>
      </c>
      <c r="D101" s="476" t="s">
        <v>344</v>
      </c>
      <c r="E101" s="476" t="s">
        <v>878</v>
      </c>
      <c r="F101" s="476" t="s">
        <v>881</v>
      </c>
      <c r="G101" s="341" t="s">
        <v>1376</v>
      </c>
      <c r="H101" s="477" t="s">
        <v>794</v>
      </c>
      <c r="I101" s="476" t="s">
        <v>1397</v>
      </c>
      <c r="J101" s="477" t="s">
        <v>1404</v>
      </c>
      <c r="K101" s="469" t="s">
        <v>1404</v>
      </c>
      <c r="L101" s="469" t="s">
        <v>1404</v>
      </c>
      <c r="M101" s="383" t="s">
        <v>1399</v>
      </c>
    </row>
    <row r="102" spans="1:46" ht="21" customHeight="1">
      <c r="A102" s="476" t="s">
        <v>1218</v>
      </c>
      <c r="B102" s="476" t="s">
        <v>1367</v>
      </c>
      <c r="C102" s="476" t="s">
        <v>1377</v>
      </c>
      <c r="D102" s="476" t="s">
        <v>1378</v>
      </c>
      <c r="E102" s="476" t="s">
        <v>876</v>
      </c>
      <c r="F102" s="476" t="s">
        <v>880</v>
      </c>
      <c r="G102" s="341" t="s">
        <v>1405</v>
      </c>
      <c r="H102" s="477" t="s">
        <v>794</v>
      </c>
      <c r="I102" s="476" t="s">
        <v>1397</v>
      </c>
      <c r="J102" s="477" t="s">
        <v>1406</v>
      </c>
      <c r="K102" s="469" t="s">
        <v>1406</v>
      </c>
      <c r="L102" s="469" t="s">
        <v>1406</v>
      </c>
      <c r="M102" s="383" t="s">
        <v>1399</v>
      </c>
    </row>
    <row r="103" spans="1:46" ht="21" customHeight="1">
      <c r="A103" s="476" t="s">
        <v>1219</v>
      </c>
      <c r="B103" s="476" t="s">
        <v>1367</v>
      </c>
      <c r="C103" s="476" t="s">
        <v>1379</v>
      </c>
      <c r="D103" s="476" t="s">
        <v>1380</v>
      </c>
      <c r="E103" s="476" t="s">
        <v>878</v>
      </c>
      <c r="F103" s="476" t="s">
        <v>881</v>
      </c>
      <c r="G103" s="341" t="s">
        <v>1381</v>
      </c>
      <c r="H103" s="477" t="s">
        <v>794</v>
      </c>
      <c r="I103" s="476" t="s">
        <v>1397</v>
      </c>
      <c r="J103" s="477" t="s">
        <v>1407</v>
      </c>
      <c r="K103" s="469" t="s">
        <v>1407</v>
      </c>
      <c r="L103" s="469" t="s">
        <v>1407</v>
      </c>
      <c r="M103" s="383" t="s">
        <v>1399</v>
      </c>
    </row>
    <row r="104" spans="1:46" ht="21" customHeight="1">
      <c r="A104" s="476" t="s">
        <v>1220</v>
      </c>
      <c r="B104" s="476" t="s">
        <v>1367</v>
      </c>
      <c r="C104" s="476" t="s">
        <v>1382</v>
      </c>
      <c r="D104" s="476" t="s">
        <v>344</v>
      </c>
      <c r="E104" s="476" t="s">
        <v>878</v>
      </c>
      <c r="F104" s="476" t="s">
        <v>881</v>
      </c>
      <c r="G104" s="341" t="s">
        <v>1383</v>
      </c>
      <c r="H104" s="477" t="s">
        <v>794</v>
      </c>
      <c r="I104" s="476" t="s">
        <v>1397</v>
      </c>
      <c r="J104" s="477" t="s">
        <v>1408</v>
      </c>
      <c r="K104" s="469" t="s">
        <v>1408</v>
      </c>
      <c r="L104" s="469" t="s">
        <v>1408</v>
      </c>
      <c r="M104" s="383" t="s">
        <v>1399</v>
      </c>
    </row>
    <row r="105" spans="1:46" ht="21" customHeight="1">
      <c r="A105" s="476" t="s">
        <v>1221</v>
      </c>
      <c r="B105" s="476" t="s">
        <v>1367</v>
      </c>
      <c r="C105" s="476" t="s">
        <v>1384</v>
      </c>
      <c r="D105" s="476" t="s">
        <v>1385</v>
      </c>
      <c r="E105" s="476" t="s">
        <v>878</v>
      </c>
      <c r="F105" s="476" t="s">
        <v>881</v>
      </c>
      <c r="G105" s="341" t="s">
        <v>1386</v>
      </c>
      <c r="H105" s="477" t="s">
        <v>794</v>
      </c>
      <c r="I105" s="476" t="s">
        <v>1397</v>
      </c>
      <c r="J105" s="477" t="s">
        <v>1409</v>
      </c>
      <c r="K105" s="469" t="s">
        <v>1409</v>
      </c>
      <c r="L105" s="469" t="s">
        <v>1409</v>
      </c>
      <c r="M105" s="383" t="s">
        <v>1399</v>
      </c>
    </row>
    <row r="106" spans="1:46" s="449" customFormat="1">
      <c r="A106" s="502" t="s">
        <v>1410</v>
      </c>
      <c r="B106" s="778"/>
      <c r="C106" s="778"/>
      <c r="D106" s="778"/>
      <c r="E106" s="778"/>
      <c r="F106" s="778"/>
      <c r="G106" s="779"/>
      <c r="H106" s="778"/>
      <c r="I106" s="778"/>
      <c r="J106" s="778"/>
      <c r="K106" s="503"/>
      <c r="L106" s="503"/>
      <c r="M106" s="503"/>
      <c r="N106" s="503"/>
      <c r="O106" s="503"/>
      <c r="P106" s="504"/>
      <c r="AT106" s="451"/>
    </row>
    <row r="107" spans="1:46" s="449" customFormat="1">
      <c r="A107" s="505" t="s">
        <v>383</v>
      </c>
      <c r="B107" s="780"/>
      <c r="C107" s="780"/>
      <c r="D107" s="780"/>
      <c r="E107" s="780"/>
      <c r="F107" s="780"/>
      <c r="G107" s="781"/>
      <c r="H107" s="780"/>
      <c r="I107" s="780"/>
      <c r="J107" s="780"/>
      <c r="K107" s="506"/>
      <c r="L107" s="506"/>
      <c r="M107" s="506"/>
      <c r="N107" s="506"/>
      <c r="O107" s="506"/>
      <c r="P107" s="507"/>
      <c r="AT107" s="451"/>
    </row>
    <row r="108" spans="1:46" s="449" customFormat="1">
      <c r="A108" s="508" t="s">
        <v>1411</v>
      </c>
      <c r="B108" s="780"/>
      <c r="C108" s="780"/>
      <c r="D108" s="780"/>
      <c r="E108" s="780"/>
      <c r="F108" s="780"/>
      <c r="G108" s="781"/>
      <c r="H108" s="780"/>
      <c r="I108" s="780"/>
      <c r="J108" s="780"/>
      <c r="K108" s="506"/>
      <c r="L108" s="506"/>
      <c r="M108" s="506"/>
      <c r="N108" s="506"/>
      <c r="O108" s="506"/>
      <c r="P108" s="507"/>
      <c r="AT108" s="451"/>
    </row>
    <row r="109" spans="1:46" s="449" customFormat="1">
      <c r="A109" s="505" t="s">
        <v>1412</v>
      </c>
      <c r="B109" s="780"/>
      <c r="C109" s="780"/>
      <c r="D109" s="780"/>
      <c r="E109" s="780"/>
      <c r="F109" s="780"/>
      <c r="G109" s="781"/>
      <c r="H109" s="780"/>
      <c r="I109" s="780"/>
      <c r="J109" s="780"/>
      <c r="K109" s="506"/>
      <c r="L109" s="506"/>
      <c r="M109" s="506"/>
      <c r="N109" s="506"/>
      <c r="O109" s="506"/>
      <c r="P109" s="507"/>
      <c r="AT109" s="451"/>
    </row>
    <row r="110" spans="1:46" s="449" customFormat="1">
      <c r="A110" s="505"/>
      <c r="B110" s="780"/>
      <c r="C110" s="780"/>
      <c r="D110" s="780"/>
      <c r="E110" s="780"/>
      <c r="F110" s="780"/>
      <c r="G110" s="781"/>
      <c r="H110" s="780"/>
      <c r="I110" s="780"/>
      <c r="J110" s="780"/>
      <c r="K110" s="506"/>
      <c r="L110" s="506"/>
      <c r="M110" s="506"/>
      <c r="N110" s="506"/>
      <c r="O110" s="506"/>
      <c r="P110" s="507"/>
      <c r="AT110" s="451"/>
    </row>
    <row r="111" spans="1:46" s="449" customFormat="1">
      <c r="A111" s="508" t="s">
        <v>1413</v>
      </c>
      <c r="B111" s="780"/>
      <c r="C111" s="780"/>
      <c r="D111" s="780"/>
      <c r="E111" s="780"/>
      <c r="F111" s="780"/>
      <c r="G111" s="781"/>
      <c r="H111" s="780"/>
      <c r="I111" s="780"/>
      <c r="J111" s="780"/>
      <c r="K111" s="506"/>
      <c r="L111" s="506"/>
      <c r="M111" s="506"/>
      <c r="N111" s="506"/>
      <c r="O111" s="506"/>
      <c r="P111" s="507"/>
      <c r="AT111" s="451"/>
    </row>
    <row r="112" spans="1:46" s="449" customFormat="1">
      <c r="A112" s="508" t="s">
        <v>1414</v>
      </c>
      <c r="B112" s="780"/>
      <c r="C112" s="780"/>
      <c r="D112" s="780"/>
      <c r="E112" s="780"/>
      <c r="F112" s="780"/>
      <c r="G112" s="781"/>
      <c r="H112" s="780"/>
      <c r="I112" s="780"/>
      <c r="J112" s="780"/>
      <c r="K112" s="506"/>
      <c r="L112" s="506"/>
      <c r="M112" s="506"/>
      <c r="N112" s="506"/>
      <c r="O112" s="506"/>
      <c r="P112" s="507"/>
      <c r="AT112" s="451"/>
    </row>
    <row r="113" spans="1:46" s="449" customFormat="1" ht="15" customHeight="1">
      <c r="A113" s="885" t="s">
        <v>1415</v>
      </c>
      <c r="B113" s="886"/>
      <c r="C113" s="886"/>
      <c r="D113" s="886"/>
      <c r="E113" s="886"/>
      <c r="F113" s="886"/>
      <c r="G113" s="886"/>
      <c r="H113" s="886"/>
      <c r="I113" s="886"/>
      <c r="J113" s="886"/>
      <c r="K113" s="886"/>
      <c r="L113" s="886"/>
      <c r="M113" s="506"/>
      <c r="N113" s="506"/>
      <c r="O113" s="506"/>
      <c r="P113" s="507"/>
      <c r="AT113" s="451"/>
    </row>
    <row r="114" spans="1:46" s="449" customFormat="1" ht="15" customHeight="1">
      <c r="A114" s="886"/>
      <c r="B114" s="886"/>
      <c r="C114" s="886"/>
      <c r="D114" s="886"/>
      <c r="E114" s="886"/>
      <c r="F114" s="886"/>
      <c r="G114" s="886"/>
      <c r="H114" s="886"/>
      <c r="I114" s="886"/>
      <c r="J114" s="886"/>
      <c r="K114" s="886"/>
      <c r="L114" s="886"/>
      <c r="M114" s="506"/>
      <c r="N114" s="506"/>
      <c r="O114" s="506"/>
      <c r="P114" s="507"/>
      <c r="AT114" s="451"/>
    </row>
    <row r="115" spans="1:46" s="449" customFormat="1" ht="15" customHeight="1">
      <c r="A115" s="886"/>
      <c r="B115" s="886"/>
      <c r="C115" s="886"/>
      <c r="D115" s="886"/>
      <c r="E115" s="886"/>
      <c r="F115" s="886"/>
      <c r="G115" s="886"/>
      <c r="H115" s="886"/>
      <c r="I115" s="886"/>
      <c r="J115" s="886"/>
      <c r="K115" s="886"/>
      <c r="L115" s="886"/>
      <c r="M115" s="506"/>
      <c r="N115" s="506"/>
      <c r="O115" s="506"/>
      <c r="P115" s="507"/>
      <c r="AT115" s="451"/>
    </row>
    <row r="116" spans="1:46" s="449" customFormat="1" ht="15" customHeight="1">
      <c r="A116" s="886"/>
      <c r="B116" s="886"/>
      <c r="C116" s="886"/>
      <c r="D116" s="886"/>
      <c r="E116" s="886"/>
      <c r="F116" s="886"/>
      <c r="G116" s="886"/>
      <c r="H116" s="886"/>
      <c r="I116" s="886"/>
      <c r="J116" s="886"/>
      <c r="K116" s="886"/>
      <c r="L116" s="886"/>
      <c r="M116" s="506"/>
      <c r="N116" s="506"/>
      <c r="O116" s="506"/>
      <c r="P116" s="507"/>
      <c r="AT116" s="451"/>
    </row>
    <row r="117" spans="1:46" s="449" customFormat="1" ht="62.25" customHeight="1">
      <c r="A117" s="886"/>
      <c r="B117" s="886"/>
      <c r="C117" s="886"/>
      <c r="D117" s="886"/>
      <c r="E117" s="886"/>
      <c r="F117" s="886"/>
      <c r="G117" s="886"/>
      <c r="H117" s="886"/>
      <c r="I117" s="886"/>
      <c r="J117" s="886"/>
      <c r="K117" s="886"/>
      <c r="L117" s="886"/>
      <c r="M117" s="506"/>
      <c r="N117" s="506"/>
      <c r="O117" s="506"/>
      <c r="P117" s="507"/>
      <c r="AT117" s="451"/>
    </row>
    <row r="118" spans="1:46" s="449" customFormat="1">
      <c r="A118" s="508" t="s">
        <v>1416</v>
      </c>
      <c r="B118" s="780"/>
      <c r="C118" s="780"/>
      <c r="D118" s="780"/>
      <c r="E118" s="780"/>
      <c r="F118" s="780"/>
      <c r="G118" s="781"/>
      <c r="H118" s="780"/>
      <c r="I118" s="780"/>
      <c r="J118" s="780"/>
      <c r="K118" s="506"/>
      <c r="L118" s="506"/>
      <c r="M118" s="506"/>
      <c r="N118" s="506"/>
      <c r="O118" s="506"/>
      <c r="P118" s="507"/>
      <c r="AT118" s="451"/>
    </row>
    <row r="119" spans="1:46" s="449" customFormat="1">
      <c r="A119" s="509" t="s">
        <v>1392</v>
      </c>
      <c r="B119" s="510"/>
      <c r="C119" s="780"/>
      <c r="D119" s="780"/>
      <c r="E119" s="780"/>
      <c r="F119" s="780"/>
      <c r="G119" s="781"/>
      <c r="H119" s="780"/>
      <c r="I119" s="780"/>
      <c r="J119" s="780"/>
      <c r="K119" s="506"/>
      <c r="L119" s="506"/>
      <c r="M119" s="506"/>
      <c r="N119" s="506"/>
      <c r="O119" s="506"/>
      <c r="P119" s="507"/>
      <c r="AT119" s="451"/>
    </row>
    <row r="120" spans="1:46" s="449" customFormat="1">
      <c r="A120" s="509" t="s">
        <v>1393</v>
      </c>
      <c r="B120" s="510"/>
      <c r="C120" s="780"/>
      <c r="D120" s="780"/>
      <c r="E120" s="780"/>
      <c r="F120" s="780"/>
      <c r="G120" s="781"/>
      <c r="H120" s="780"/>
      <c r="I120" s="780"/>
      <c r="J120" s="780"/>
      <c r="K120" s="506"/>
      <c r="L120" s="506"/>
      <c r="M120" s="506"/>
      <c r="N120" s="506"/>
      <c r="O120" s="506"/>
      <c r="P120" s="507"/>
      <c r="AT120" s="451"/>
    </row>
    <row r="121" spans="1:46" s="449" customFormat="1">
      <c r="A121" s="509" t="s">
        <v>1394</v>
      </c>
      <c r="B121" s="510"/>
      <c r="C121" s="780"/>
      <c r="D121" s="780"/>
      <c r="E121" s="780"/>
      <c r="F121" s="780"/>
      <c r="G121" s="781"/>
      <c r="H121" s="780"/>
      <c r="I121" s="780"/>
      <c r="J121" s="780"/>
      <c r="K121" s="506"/>
      <c r="L121" s="506"/>
      <c r="M121" s="506"/>
      <c r="N121" s="506"/>
      <c r="O121" s="506"/>
      <c r="P121" s="507"/>
      <c r="AT121" s="451"/>
    </row>
    <row r="122" spans="1:46" s="449" customFormat="1">
      <c r="A122" s="509" t="s">
        <v>1417</v>
      </c>
      <c r="B122" s="510"/>
      <c r="C122" s="780"/>
      <c r="D122" s="780"/>
      <c r="E122" s="780"/>
      <c r="F122" s="780"/>
      <c r="G122" s="781"/>
      <c r="H122" s="780"/>
      <c r="I122" s="780"/>
      <c r="J122" s="780"/>
      <c r="K122" s="506"/>
      <c r="L122" s="506"/>
      <c r="M122" s="506"/>
      <c r="N122" s="506"/>
      <c r="O122" s="506"/>
      <c r="P122" s="507"/>
      <c r="AT122" s="451"/>
    </row>
    <row r="123" spans="1:46" s="449" customFormat="1">
      <c r="A123" s="509"/>
      <c r="B123" s="510"/>
      <c r="C123" s="780"/>
      <c r="D123" s="780"/>
      <c r="E123" s="780"/>
      <c r="F123" s="780"/>
      <c r="G123" s="781"/>
      <c r="H123" s="780"/>
      <c r="I123" s="780"/>
      <c r="J123" s="780"/>
      <c r="K123" s="506"/>
      <c r="L123" s="506"/>
      <c r="M123" s="506"/>
      <c r="N123" s="506"/>
      <c r="O123" s="506"/>
      <c r="P123" s="507"/>
      <c r="AT123" s="451"/>
    </row>
    <row r="124" spans="1:46" s="449" customFormat="1">
      <c r="A124" s="509" t="s">
        <v>1418</v>
      </c>
      <c r="B124" s="510"/>
      <c r="C124" s="780"/>
      <c r="D124" s="780"/>
      <c r="E124" s="780"/>
      <c r="F124" s="780"/>
      <c r="G124" s="781"/>
      <c r="H124" s="780"/>
      <c r="I124" s="780"/>
      <c r="J124" s="780"/>
      <c r="K124" s="506"/>
      <c r="L124" s="506"/>
      <c r="M124" s="506"/>
      <c r="N124" s="506"/>
      <c r="O124" s="506"/>
      <c r="P124" s="507"/>
      <c r="AT124" s="451"/>
    </row>
    <row r="125" spans="1:46" s="449" customFormat="1">
      <c r="A125" s="509" t="s">
        <v>1224</v>
      </c>
      <c r="B125" s="510"/>
      <c r="C125" s="780"/>
      <c r="D125" s="780"/>
      <c r="E125" s="780"/>
      <c r="F125" s="780"/>
      <c r="G125" s="781"/>
      <c r="H125" s="780"/>
      <c r="I125" s="780"/>
      <c r="J125" s="780"/>
      <c r="K125" s="506"/>
      <c r="L125" s="506"/>
      <c r="M125" s="506"/>
      <c r="N125" s="506"/>
      <c r="O125" s="506"/>
      <c r="P125" s="507"/>
      <c r="AT125" s="451"/>
    </row>
    <row r="126" spans="1:46" s="449" customFormat="1">
      <c r="A126" s="509" t="s">
        <v>1419</v>
      </c>
      <c r="B126" s="510"/>
      <c r="C126" s="780"/>
      <c r="D126" s="780"/>
      <c r="E126" s="780"/>
      <c r="F126" s="780"/>
      <c r="G126" s="781"/>
      <c r="H126" s="780"/>
      <c r="I126" s="780"/>
      <c r="J126" s="780"/>
      <c r="K126" s="506"/>
      <c r="L126" s="506"/>
      <c r="M126" s="506"/>
      <c r="N126" s="506"/>
      <c r="O126" s="506"/>
      <c r="P126" s="507"/>
      <c r="AT126" s="451"/>
    </row>
    <row r="127" spans="1:46" s="449" customFormat="1">
      <c r="A127" s="509" t="s">
        <v>1420</v>
      </c>
      <c r="B127" s="510"/>
      <c r="C127" s="780"/>
      <c r="D127" s="780"/>
      <c r="E127" s="780"/>
      <c r="F127" s="780"/>
      <c r="G127" s="781"/>
      <c r="H127" s="780"/>
      <c r="I127" s="780"/>
      <c r="J127" s="780"/>
      <c r="K127" s="506"/>
      <c r="L127" s="506"/>
      <c r="M127" s="506"/>
      <c r="N127" s="506"/>
      <c r="O127" s="506"/>
      <c r="P127" s="507"/>
      <c r="AT127" s="451"/>
    </row>
    <row r="128" spans="1:46" s="449" customFormat="1">
      <c r="A128" s="509" t="s">
        <v>1421</v>
      </c>
      <c r="B128" s="510"/>
      <c r="C128" s="780"/>
      <c r="D128" s="780"/>
      <c r="E128" s="780"/>
      <c r="F128" s="780"/>
      <c r="G128" s="781"/>
      <c r="H128" s="780"/>
      <c r="I128" s="780"/>
      <c r="J128" s="780"/>
      <c r="K128" s="506"/>
      <c r="L128" s="506"/>
      <c r="M128" s="506"/>
      <c r="N128" s="506"/>
      <c r="O128" s="506"/>
      <c r="P128" s="507"/>
      <c r="AT128" s="451"/>
    </row>
    <row r="129" spans="1:46" s="449" customFormat="1">
      <c r="A129" s="509" t="s">
        <v>1422</v>
      </c>
      <c r="B129" s="510"/>
      <c r="C129" s="780"/>
      <c r="D129" s="780"/>
      <c r="E129" s="780"/>
      <c r="F129" s="780"/>
      <c r="G129" s="781"/>
      <c r="H129" s="780"/>
      <c r="I129" s="780"/>
      <c r="J129" s="780"/>
      <c r="K129" s="506"/>
      <c r="L129" s="506"/>
      <c r="M129" s="506"/>
      <c r="N129" s="506"/>
      <c r="O129" s="506"/>
      <c r="P129" s="507"/>
      <c r="AT129" s="451"/>
    </row>
    <row r="130" spans="1:46" s="449" customFormat="1">
      <c r="A130" s="509" t="s">
        <v>1423</v>
      </c>
      <c r="B130" s="510"/>
      <c r="C130" s="780"/>
      <c r="D130" s="780"/>
      <c r="E130" s="780"/>
      <c r="F130" s="780"/>
      <c r="G130" s="781"/>
      <c r="H130" s="780"/>
      <c r="I130" s="780"/>
      <c r="J130" s="780"/>
      <c r="K130" s="506"/>
      <c r="L130" s="506"/>
      <c r="M130" s="506"/>
      <c r="N130" s="506"/>
      <c r="O130" s="506"/>
      <c r="P130" s="507"/>
      <c r="AT130" s="451"/>
    </row>
    <row r="131" spans="1:46" s="449" customFormat="1">
      <c r="A131" s="509" t="s">
        <v>1424</v>
      </c>
      <c r="B131" s="510"/>
      <c r="C131" s="780"/>
      <c r="D131" s="780"/>
      <c r="E131" s="780"/>
      <c r="F131" s="780"/>
      <c r="G131" s="781"/>
      <c r="H131" s="780"/>
      <c r="I131" s="780"/>
      <c r="J131" s="780"/>
      <c r="K131" s="506"/>
      <c r="L131" s="506"/>
      <c r="M131" s="506"/>
      <c r="N131" s="506"/>
      <c r="O131" s="506"/>
      <c r="P131" s="507"/>
      <c r="AT131" s="451"/>
    </row>
    <row r="132" spans="1:46" s="449" customFormat="1">
      <c r="A132" s="509"/>
      <c r="B132" s="510"/>
      <c r="C132" s="780"/>
      <c r="D132" s="780"/>
      <c r="E132" s="780"/>
      <c r="F132" s="780"/>
      <c r="G132" s="781"/>
      <c r="H132" s="780"/>
      <c r="I132" s="780"/>
      <c r="J132" s="780"/>
      <c r="K132" s="506"/>
      <c r="L132" s="506"/>
      <c r="M132" s="506"/>
      <c r="N132" s="506"/>
      <c r="O132" s="506"/>
      <c r="P132" s="507"/>
      <c r="AT132" s="451"/>
    </row>
    <row r="133" spans="1:46" s="449" customFormat="1">
      <c r="A133" s="509" t="s">
        <v>1425</v>
      </c>
      <c r="B133" s="510"/>
      <c r="C133" s="780"/>
      <c r="D133" s="780"/>
      <c r="E133" s="780"/>
      <c r="F133" s="780"/>
      <c r="G133" s="781"/>
      <c r="H133" s="780"/>
      <c r="I133" s="780"/>
      <c r="J133" s="780"/>
      <c r="K133" s="506"/>
      <c r="L133" s="506"/>
      <c r="M133" s="506"/>
      <c r="N133" s="506"/>
      <c r="O133" s="506"/>
      <c r="P133" s="507"/>
      <c r="AT133" s="451"/>
    </row>
    <row r="134" spans="1:46" s="449" customFormat="1">
      <c r="A134" s="509"/>
      <c r="B134" s="510"/>
      <c r="C134" s="780"/>
      <c r="D134" s="780"/>
      <c r="E134" s="780"/>
      <c r="F134" s="780"/>
      <c r="G134" s="781"/>
      <c r="H134" s="780"/>
      <c r="I134" s="780"/>
      <c r="J134" s="780"/>
      <c r="K134" s="506"/>
      <c r="L134" s="506"/>
      <c r="M134" s="506"/>
      <c r="N134" s="506"/>
      <c r="O134" s="506"/>
      <c r="P134" s="507"/>
      <c r="AT134" s="451"/>
    </row>
    <row r="135" spans="1:46" s="449" customFormat="1">
      <c r="A135" s="509" t="s">
        <v>1224</v>
      </c>
      <c r="B135" s="510"/>
      <c r="C135" s="780"/>
      <c r="D135" s="780"/>
      <c r="E135" s="780"/>
      <c r="F135" s="780"/>
      <c r="G135" s="781"/>
      <c r="H135" s="780"/>
      <c r="I135" s="780"/>
      <c r="J135" s="780"/>
      <c r="K135" s="506"/>
      <c r="L135" s="506"/>
      <c r="M135" s="506"/>
      <c r="N135" s="506"/>
      <c r="O135" s="506"/>
      <c r="P135" s="507"/>
      <c r="AT135" s="451"/>
    </row>
    <row r="136" spans="1:46" s="449" customFormat="1">
      <c r="A136" s="509" t="s">
        <v>1419</v>
      </c>
      <c r="B136" s="510"/>
      <c r="C136" s="780"/>
      <c r="D136" s="780"/>
      <c r="E136" s="780"/>
      <c r="F136" s="780"/>
      <c r="G136" s="781"/>
      <c r="H136" s="780"/>
      <c r="I136" s="780"/>
      <c r="J136" s="780"/>
      <c r="K136" s="506"/>
      <c r="L136" s="506"/>
      <c r="M136" s="506"/>
      <c r="N136" s="506"/>
      <c r="O136" s="506"/>
      <c r="P136" s="507"/>
      <c r="AT136" s="451"/>
    </row>
    <row r="137" spans="1:46" s="449" customFormat="1">
      <c r="A137" s="509" t="s">
        <v>1426</v>
      </c>
      <c r="B137" s="510"/>
      <c r="C137" s="780"/>
      <c r="D137" s="780"/>
      <c r="E137" s="780"/>
      <c r="F137" s="780"/>
      <c r="G137" s="781"/>
      <c r="H137" s="780"/>
      <c r="I137" s="780"/>
      <c r="J137" s="780"/>
      <c r="K137" s="506"/>
      <c r="L137" s="506"/>
      <c r="M137" s="506"/>
      <c r="N137" s="506"/>
      <c r="O137" s="506"/>
      <c r="P137" s="507"/>
      <c r="AT137" s="451"/>
    </row>
    <row r="138" spans="1:46" s="449" customFormat="1">
      <c r="A138" s="509" t="s">
        <v>1427</v>
      </c>
      <c r="B138" s="510"/>
      <c r="C138" s="780"/>
      <c r="D138" s="780"/>
      <c r="E138" s="780"/>
      <c r="F138" s="780"/>
      <c r="G138" s="781"/>
      <c r="H138" s="780"/>
      <c r="I138" s="780"/>
      <c r="J138" s="780"/>
      <c r="K138" s="506"/>
      <c r="L138" s="506"/>
      <c r="M138" s="506"/>
      <c r="N138" s="506"/>
      <c r="O138" s="506"/>
      <c r="P138" s="507"/>
      <c r="AT138" s="451"/>
    </row>
    <row r="139" spans="1:46" s="449" customFormat="1">
      <c r="A139" s="509" t="s">
        <v>1428</v>
      </c>
      <c r="B139" s="510"/>
      <c r="C139" s="780"/>
      <c r="D139" s="780"/>
      <c r="E139" s="780"/>
      <c r="F139" s="780"/>
      <c r="G139" s="781"/>
      <c r="H139" s="780"/>
      <c r="I139" s="780"/>
      <c r="J139" s="780"/>
      <c r="K139" s="506"/>
      <c r="L139" s="506"/>
      <c r="M139" s="506"/>
      <c r="N139" s="506"/>
      <c r="O139" s="506"/>
      <c r="P139" s="507"/>
      <c r="AT139" s="451"/>
    </row>
    <row r="140" spans="1:46" s="449" customFormat="1">
      <c r="A140" s="509" t="s">
        <v>1429</v>
      </c>
      <c r="B140" s="510"/>
      <c r="C140" s="780"/>
      <c r="D140" s="780"/>
      <c r="E140" s="780"/>
      <c r="F140" s="780"/>
      <c r="G140" s="781"/>
      <c r="H140" s="780"/>
      <c r="I140" s="780"/>
      <c r="J140" s="780"/>
      <c r="K140" s="506"/>
      <c r="L140" s="506"/>
      <c r="M140" s="506"/>
      <c r="N140" s="506"/>
      <c r="O140" s="506"/>
      <c r="P140" s="507"/>
      <c r="AT140" s="451"/>
    </row>
    <row r="141" spans="1:46" s="449" customFormat="1">
      <c r="A141" s="509"/>
      <c r="B141" s="510"/>
      <c r="C141" s="780"/>
      <c r="D141" s="780"/>
      <c r="E141" s="780"/>
      <c r="F141" s="780"/>
      <c r="G141" s="781"/>
      <c r="H141" s="780"/>
      <c r="I141" s="780"/>
      <c r="J141" s="780"/>
      <c r="K141" s="506"/>
      <c r="L141" s="506"/>
      <c r="M141" s="506"/>
      <c r="N141" s="506"/>
      <c r="O141" s="506"/>
      <c r="P141" s="507"/>
      <c r="AT141" s="451"/>
    </row>
    <row r="142" spans="1:46" s="449" customFormat="1">
      <c r="A142" s="782" t="s">
        <v>1430</v>
      </c>
      <c r="B142" s="780"/>
      <c r="C142" s="780"/>
      <c r="D142" s="780"/>
      <c r="E142" s="780"/>
      <c r="F142" s="780"/>
      <c r="G142" s="781"/>
      <c r="H142" s="780"/>
      <c r="I142" s="780"/>
      <c r="J142" s="780"/>
      <c r="K142" s="506"/>
      <c r="L142" s="506"/>
      <c r="M142" s="506"/>
      <c r="N142" s="506"/>
      <c r="O142" s="506"/>
      <c r="P142" s="507"/>
      <c r="AT142" s="451"/>
    </row>
    <row r="143" spans="1:46" s="449" customFormat="1">
      <c r="A143" s="782" t="s">
        <v>1431</v>
      </c>
      <c r="B143" s="780"/>
      <c r="C143" s="780"/>
      <c r="D143" s="780"/>
      <c r="E143" s="780"/>
      <c r="F143" s="780"/>
      <c r="G143" s="781"/>
      <c r="H143" s="780"/>
      <c r="I143" s="780"/>
      <c r="J143" s="780"/>
      <c r="K143" s="506"/>
      <c r="L143" s="506"/>
      <c r="M143" s="506"/>
      <c r="N143" s="506"/>
      <c r="O143" s="506"/>
      <c r="P143" s="507"/>
      <c r="AT143" s="451"/>
    </row>
    <row r="144" spans="1:46" s="449" customFormat="1">
      <c r="A144" s="511" t="s">
        <v>1432</v>
      </c>
      <c r="B144" s="780"/>
      <c r="C144" s="780"/>
      <c r="D144" s="780"/>
      <c r="E144" s="780"/>
      <c r="F144" s="780"/>
      <c r="G144" s="781"/>
      <c r="H144" s="780"/>
      <c r="I144" s="780"/>
      <c r="J144" s="780"/>
      <c r="K144" s="506"/>
      <c r="L144" s="506"/>
      <c r="M144" s="506"/>
      <c r="N144" s="506"/>
      <c r="O144" s="506"/>
      <c r="P144" s="507"/>
      <c r="AT144" s="451"/>
    </row>
    <row r="145" spans="1:46" s="449" customFormat="1">
      <c r="A145" s="511"/>
      <c r="B145" s="780"/>
      <c r="C145" s="780"/>
      <c r="D145" s="780"/>
      <c r="E145" s="780"/>
      <c r="F145" s="780"/>
      <c r="G145" s="781"/>
      <c r="H145" s="780"/>
      <c r="I145" s="780"/>
      <c r="J145" s="780"/>
      <c r="K145" s="506"/>
      <c r="L145" s="506"/>
      <c r="M145" s="506"/>
      <c r="N145" s="506"/>
      <c r="O145" s="506"/>
      <c r="P145" s="507"/>
      <c r="AT145" s="451"/>
    </row>
    <row r="146" spans="1:46" s="449" customFormat="1">
      <c r="A146" s="511" t="s">
        <v>1433</v>
      </c>
      <c r="B146" s="780"/>
      <c r="C146" s="780"/>
      <c r="D146" s="780"/>
      <c r="E146" s="780"/>
      <c r="F146" s="780"/>
      <c r="G146" s="781"/>
      <c r="H146" s="780"/>
      <c r="I146" s="780"/>
      <c r="J146" s="780"/>
      <c r="K146" s="506"/>
      <c r="L146" s="506"/>
      <c r="M146" s="506"/>
      <c r="N146" s="506"/>
      <c r="O146" s="506"/>
      <c r="P146" s="507"/>
      <c r="AT146" s="451"/>
    </row>
    <row r="147" spans="1:46" s="449" customFormat="1">
      <c r="A147" s="511" t="s">
        <v>1434</v>
      </c>
      <c r="B147" s="780"/>
      <c r="C147" s="780"/>
      <c r="D147" s="780"/>
      <c r="E147" s="780"/>
      <c r="F147" s="780"/>
      <c r="G147" s="781"/>
      <c r="H147" s="780"/>
      <c r="I147" s="780"/>
      <c r="J147" s="780"/>
      <c r="K147" s="506"/>
      <c r="L147" s="506"/>
      <c r="M147" s="506"/>
      <c r="N147" s="506"/>
      <c r="O147" s="506"/>
      <c r="P147" s="507"/>
      <c r="AT147" s="451"/>
    </row>
    <row r="148" spans="1:46" s="449" customFormat="1">
      <c r="A148" s="511"/>
      <c r="B148" s="780"/>
      <c r="C148" s="780"/>
      <c r="D148" s="780"/>
      <c r="E148" s="780"/>
      <c r="F148" s="780"/>
      <c r="G148" s="781"/>
      <c r="H148" s="780"/>
      <c r="I148" s="780"/>
      <c r="J148" s="780"/>
      <c r="K148" s="506"/>
      <c r="L148" s="506"/>
      <c r="M148" s="506"/>
      <c r="N148" s="506"/>
      <c r="O148" s="506"/>
      <c r="P148" s="507"/>
      <c r="AT148" s="451"/>
    </row>
    <row r="149" spans="1:46" s="449" customFormat="1">
      <c r="A149" s="511" t="s">
        <v>1435</v>
      </c>
      <c r="B149" s="780"/>
      <c r="C149" s="780"/>
      <c r="D149" s="780"/>
      <c r="E149" s="780"/>
      <c r="F149" s="780"/>
      <c r="G149" s="781"/>
      <c r="H149" s="780"/>
      <c r="I149" s="780"/>
      <c r="J149" s="780"/>
      <c r="K149" s="506"/>
      <c r="L149" s="506"/>
      <c r="M149" s="506"/>
      <c r="N149" s="506"/>
      <c r="O149" s="506"/>
      <c r="P149" s="507"/>
      <c r="AT149" s="451"/>
    </row>
    <row r="150" spans="1:46">
      <c r="A150" s="512"/>
      <c r="B150" s="513"/>
      <c r="C150" s="513"/>
      <c r="D150" s="513"/>
      <c r="E150" s="513"/>
      <c r="F150" s="513"/>
      <c r="G150" s="562"/>
      <c r="H150" s="513"/>
      <c r="I150" s="513"/>
      <c r="J150" s="513"/>
      <c r="K150" s="513"/>
      <c r="L150" s="513"/>
      <c r="M150" s="513"/>
      <c r="N150" s="513"/>
      <c r="O150" s="513"/>
      <c r="P150" s="514"/>
    </row>
    <row r="151" spans="1:46" s="326" customFormat="1">
      <c r="A151" s="326" t="s">
        <v>1436</v>
      </c>
      <c r="G151" s="325"/>
    </row>
    <row r="152" spans="1:46" s="326" customFormat="1">
      <c r="A152" s="326" t="s">
        <v>1223</v>
      </c>
      <c r="G152" s="325"/>
    </row>
    <row r="153" spans="1:46" s="326" customFormat="1">
      <c r="A153" s="326" t="s">
        <v>1224</v>
      </c>
      <c r="G153" s="325"/>
    </row>
    <row r="154" spans="1:46" s="326" customFormat="1">
      <c r="A154" s="450" t="s">
        <v>1225</v>
      </c>
      <c r="G154" s="325"/>
    </row>
    <row r="155" spans="1:46" s="326" customFormat="1">
      <c r="A155" s="450" t="s">
        <v>1226</v>
      </c>
      <c r="G155" s="325"/>
    </row>
    <row r="156" spans="1:46" s="326" customFormat="1">
      <c r="A156" s="450" t="s">
        <v>1227</v>
      </c>
      <c r="G156" s="325"/>
    </row>
    <row r="157" spans="1:46" s="326" customFormat="1">
      <c r="A157" s="450" t="s">
        <v>1228</v>
      </c>
      <c r="G157" s="325"/>
    </row>
    <row r="158" spans="1:46" s="326" customFormat="1">
      <c r="A158" s="450" t="s">
        <v>1350</v>
      </c>
      <c r="G158" s="325"/>
    </row>
    <row r="159" spans="1:46" s="326" customFormat="1">
      <c r="A159" s="450" t="s">
        <v>1351</v>
      </c>
      <c r="G159" s="325"/>
    </row>
    <row r="160" spans="1:46" s="326" customFormat="1">
      <c r="A160" s="450" t="s">
        <v>1352</v>
      </c>
      <c r="G160" s="325"/>
      <c r="AC160" s="452" t="s">
        <v>1437</v>
      </c>
      <c r="AD160" s="452">
        <v>1000</v>
      </c>
      <c r="AE160" s="43">
        <f>AC160/AD160</f>
        <v>7599</v>
      </c>
    </row>
    <row r="161" spans="1:308" s="326" customFormat="1">
      <c r="A161" s="450" t="s">
        <v>1353</v>
      </c>
      <c r="G161" s="325"/>
    </row>
    <row r="162" spans="1:308" s="326" customFormat="1">
      <c r="A162" s="326" t="s">
        <v>1438</v>
      </c>
      <c r="B162" s="326" t="s">
        <v>1439</v>
      </c>
      <c r="G162" s="325"/>
    </row>
    <row r="163" spans="1:308" s="326" customFormat="1">
      <c r="G163" s="325"/>
    </row>
    <row r="165" spans="1:308">
      <c r="A165" s="383" t="s">
        <v>1234</v>
      </c>
      <c r="B165" s="383" t="s">
        <v>1235</v>
      </c>
      <c r="C165" s="383" t="s">
        <v>1236</v>
      </c>
      <c r="D165" s="383" t="s">
        <v>1237</v>
      </c>
      <c r="E165" s="383" t="s">
        <v>782</v>
      </c>
      <c r="F165" s="383" t="s">
        <v>1440</v>
      </c>
      <c r="G165" s="136" t="s">
        <v>1441</v>
      </c>
      <c r="H165" s="383" t="s">
        <v>1442</v>
      </c>
      <c r="I165" s="383" t="s">
        <v>1443</v>
      </c>
      <c r="J165" s="383" t="s">
        <v>1444</v>
      </c>
      <c r="K165" s="383" t="s">
        <v>1445</v>
      </c>
      <c r="L165" s="383" t="s">
        <v>1446</v>
      </c>
      <c r="M165" s="383" t="s">
        <v>1447</v>
      </c>
      <c r="N165" s="383" t="s">
        <v>1448</v>
      </c>
      <c r="O165" s="383" t="s">
        <v>1449</v>
      </c>
      <c r="P165" s="383" t="s">
        <v>1450</v>
      </c>
      <c r="Q165" s="383" t="s">
        <v>1255</v>
      </c>
      <c r="R165" s="383" t="s">
        <v>1451</v>
      </c>
      <c r="S165" s="383" t="s">
        <v>1452</v>
      </c>
      <c r="T165" s="383" t="s">
        <v>1453</v>
      </c>
      <c r="U165" s="383" t="s">
        <v>1454</v>
      </c>
      <c r="V165" s="383" t="s">
        <v>1455</v>
      </c>
      <c r="W165" s="383" t="s">
        <v>1456</v>
      </c>
      <c r="X165" s="383" t="s">
        <v>1457</v>
      </c>
      <c r="Y165" s="383" t="s">
        <v>1458</v>
      </c>
      <c r="Z165" s="383" t="s">
        <v>1459</v>
      </c>
      <c r="AA165" s="383" t="s">
        <v>1460</v>
      </c>
      <c r="AB165" s="383" t="s">
        <v>1461</v>
      </c>
      <c r="AC165" s="383" t="s">
        <v>1462</v>
      </c>
      <c r="AD165" s="383" t="s">
        <v>1463</v>
      </c>
      <c r="AE165" s="383" t="s">
        <v>1464</v>
      </c>
      <c r="AF165" s="383" t="s">
        <v>1465</v>
      </c>
      <c r="AG165" s="383" t="s">
        <v>1466</v>
      </c>
      <c r="AH165" s="383" t="s">
        <v>1467</v>
      </c>
      <c r="AI165" s="383" t="s">
        <v>1468</v>
      </c>
      <c r="AJ165" s="383" t="s">
        <v>1469</v>
      </c>
      <c r="AK165" s="383" t="s">
        <v>1470</v>
      </c>
      <c r="AL165" s="383" t="s">
        <v>1471</v>
      </c>
      <c r="AM165" s="383" t="s">
        <v>1472</v>
      </c>
      <c r="AN165" s="383" t="s">
        <v>1473</v>
      </c>
      <c r="AO165" s="383" t="s">
        <v>1474</v>
      </c>
      <c r="AP165" s="383" t="s">
        <v>1475</v>
      </c>
      <c r="AQ165" s="383" t="s">
        <v>1476</v>
      </c>
      <c r="AR165" s="383" t="s">
        <v>1477</v>
      </c>
      <c r="AS165" s="383" t="s">
        <v>1478</v>
      </c>
      <c r="AT165" s="383" t="s">
        <v>1479</v>
      </c>
      <c r="AU165" s="383" t="s">
        <v>1480</v>
      </c>
      <c r="AV165" s="383" t="s">
        <v>1481</v>
      </c>
      <c r="AW165" s="383" t="s">
        <v>1482</v>
      </c>
      <c r="AX165" s="383" t="s">
        <v>1483</v>
      </c>
      <c r="AY165" s="383" t="s">
        <v>1484</v>
      </c>
      <c r="AZ165" s="383" t="s">
        <v>1485</v>
      </c>
      <c r="BA165" s="383" t="s">
        <v>1486</v>
      </c>
      <c r="BB165" s="383" t="s">
        <v>1487</v>
      </c>
      <c r="BC165" s="383" t="s">
        <v>1488</v>
      </c>
      <c r="BD165" s="383" t="s">
        <v>1489</v>
      </c>
      <c r="BE165" s="383" t="s">
        <v>1490</v>
      </c>
      <c r="BF165" s="383" t="s">
        <v>1491</v>
      </c>
      <c r="BG165" s="383" t="s">
        <v>1492</v>
      </c>
      <c r="BH165" s="383" t="s">
        <v>1493</v>
      </c>
      <c r="BI165" s="383" t="s">
        <v>1494</v>
      </c>
      <c r="BJ165" s="383" t="s">
        <v>1495</v>
      </c>
      <c r="BK165" s="383" t="s">
        <v>1496</v>
      </c>
      <c r="BL165" s="383" t="s">
        <v>1497</v>
      </c>
      <c r="BM165" s="383" t="s">
        <v>1498</v>
      </c>
      <c r="BN165" s="383" t="s">
        <v>1499</v>
      </c>
      <c r="BO165" s="383" t="s">
        <v>1500</v>
      </c>
      <c r="BP165" s="383" t="s">
        <v>1501</v>
      </c>
      <c r="BQ165" s="383" t="s">
        <v>1502</v>
      </c>
      <c r="BR165" s="383" t="s">
        <v>1503</v>
      </c>
      <c r="BS165" s="383" t="s">
        <v>1504</v>
      </c>
      <c r="BT165" s="383" t="s">
        <v>1505</v>
      </c>
      <c r="BU165" s="383" t="s">
        <v>1506</v>
      </c>
      <c r="BV165" s="383" t="s">
        <v>1507</v>
      </c>
      <c r="BW165" s="383" t="s">
        <v>1508</v>
      </c>
      <c r="BX165" s="383" t="s">
        <v>1509</v>
      </c>
      <c r="BY165" s="383" t="s">
        <v>1510</v>
      </c>
      <c r="BZ165" s="383" t="s">
        <v>1511</v>
      </c>
      <c r="CA165" s="383" t="s">
        <v>1512</v>
      </c>
      <c r="CB165" s="383" t="s">
        <v>1513</v>
      </c>
      <c r="CC165" s="383" t="s">
        <v>1514</v>
      </c>
      <c r="CD165" s="383" t="s">
        <v>1515</v>
      </c>
      <c r="CE165" s="383" t="s">
        <v>1516</v>
      </c>
      <c r="CF165" s="383" t="s">
        <v>1517</v>
      </c>
      <c r="CG165" s="383" t="s">
        <v>1518</v>
      </c>
      <c r="CH165" s="383" t="s">
        <v>1519</v>
      </c>
      <c r="CI165" s="383" t="s">
        <v>1520</v>
      </c>
      <c r="CJ165" s="383" t="s">
        <v>1521</v>
      </c>
      <c r="CK165" s="383" t="s">
        <v>1522</v>
      </c>
      <c r="CL165" s="383" t="s">
        <v>1523</v>
      </c>
      <c r="CM165" s="383" t="s">
        <v>1524</v>
      </c>
      <c r="CN165" s="383" t="s">
        <v>1525</v>
      </c>
      <c r="CO165" s="383" t="s">
        <v>1526</v>
      </c>
      <c r="CP165" s="383" t="s">
        <v>1527</v>
      </c>
      <c r="CQ165" s="383" t="s">
        <v>1528</v>
      </c>
      <c r="CR165" s="383" t="s">
        <v>1529</v>
      </c>
      <c r="CS165" s="383" t="s">
        <v>1530</v>
      </c>
      <c r="CT165" s="383" t="s">
        <v>1531</v>
      </c>
      <c r="CU165" s="383" t="s">
        <v>1532</v>
      </c>
      <c r="CV165" s="383" t="s">
        <v>1533</v>
      </c>
      <c r="CW165" s="383" t="s">
        <v>140</v>
      </c>
      <c r="CX165" s="383"/>
    </row>
    <row r="166" spans="1:308" s="392" customFormat="1">
      <c r="A166" s="383" t="s">
        <v>1283</v>
      </c>
      <c r="B166" s="383" t="s">
        <v>1284</v>
      </c>
      <c r="C166" s="383" t="s">
        <v>1285</v>
      </c>
      <c r="D166" s="383" t="s">
        <v>1286</v>
      </c>
      <c r="E166" s="383" t="s">
        <v>1396</v>
      </c>
      <c r="F166" s="383" t="s">
        <v>1295</v>
      </c>
      <c r="G166" s="136" t="s">
        <v>1295</v>
      </c>
      <c r="H166" s="383" t="s">
        <v>1295</v>
      </c>
      <c r="I166" s="383" t="s">
        <v>1295</v>
      </c>
      <c r="J166" s="383" t="s">
        <v>1534</v>
      </c>
      <c r="K166" s="383" t="s">
        <v>1032</v>
      </c>
      <c r="L166" s="383" t="s">
        <v>1287</v>
      </c>
      <c r="M166" s="383" t="s">
        <v>1535</v>
      </c>
      <c r="N166" s="383" t="s">
        <v>1536</v>
      </c>
      <c r="O166" s="383" t="s">
        <v>1537</v>
      </c>
      <c r="P166" s="383" t="s">
        <v>1538</v>
      </c>
      <c r="Q166" s="383" t="s">
        <v>1335</v>
      </c>
      <c r="R166" s="383" t="s">
        <v>1539</v>
      </c>
      <c r="S166" s="383" t="s">
        <v>1540</v>
      </c>
      <c r="T166" s="383" t="s">
        <v>1541</v>
      </c>
      <c r="U166" s="383" t="s">
        <v>1542</v>
      </c>
      <c r="V166" s="383" t="s">
        <v>1543</v>
      </c>
      <c r="W166" s="383" t="s">
        <v>1295</v>
      </c>
      <c r="X166" s="383" t="s">
        <v>1295</v>
      </c>
      <c r="Y166" s="383" t="s">
        <v>1295</v>
      </c>
      <c r="Z166" s="383" t="s">
        <v>1295</v>
      </c>
      <c r="AA166" s="383" t="s">
        <v>1295</v>
      </c>
      <c r="AB166" s="383" t="s">
        <v>1295</v>
      </c>
      <c r="AC166" s="383" t="s">
        <v>1544</v>
      </c>
      <c r="AD166" s="383" t="s">
        <v>1545</v>
      </c>
      <c r="AE166" s="383" t="s">
        <v>1546</v>
      </c>
      <c r="AF166" s="383" t="s">
        <v>1547</v>
      </c>
      <c r="AG166" s="383" t="s">
        <v>1544</v>
      </c>
      <c r="AH166" s="383" t="s">
        <v>1545</v>
      </c>
      <c r="AI166" s="383" t="s">
        <v>1544</v>
      </c>
      <c r="AJ166" s="383" t="s">
        <v>1548</v>
      </c>
      <c r="AK166" s="383" t="s">
        <v>1549</v>
      </c>
      <c r="AL166" s="383" t="s">
        <v>1295</v>
      </c>
      <c r="AM166" s="383" t="s">
        <v>1295</v>
      </c>
      <c r="AN166" s="383" t="s">
        <v>1295</v>
      </c>
      <c r="AO166" s="383" t="s">
        <v>1295</v>
      </c>
      <c r="AP166" s="383" t="s">
        <v>1295</v>
      </c>
      <c r="AQ166" s="383" t="s">
        <v>1295</v>
      </c>
      <c r="AR166" s="383" t="s">
        <v>1550</v>
      </c>
      <c r="AS166" s="383" t="s">
        <v>1551</v>
      </c>
      <c r="AT166" s="383" t="s">
        <v>1295</v>
      </c>
      <c r="AU166" s="383" t="s">
        <v>1295</v>
      </c>
      <c r="AV166" s="383" t="s">
        <v>1552</v>
      </c>
      <c r="AW166" s="383" t="s">
        <v>1553</v>
      </c>
      <c r="AX166" s="383" t="s">
        <v>1295</v>
      </c>
      <c r="AY166" s="383" t="s">
        <v>1295</v>
      </c>
      <c r="AZ166" s="383" t="s">
        <v>1554</v>
      </c>
      <c r="BA166" s="383" t="s">
        <v>1555</v>
      </c>
      <c r="BB166" s="383" t="s">
        <v>1551</v>
      </c>
      <c r="BC166" s="383" t="s">
        <v>1295</v>
      </c>
      <c r="BD166" s="383" t="s">
        <v>1295</v>
      </c>
      <c r="BE166" s="383" t="s">
        <v>1295</v>
      </c>
      <c r="BF166" s="383" t="s">
        <v>1295</v>
      </c>
      <c r="BG166" s="383" t="s">
        <v>1295</v>
      </c>
      <c r="BH166" s="383" t="s">
        <v>1556</v>
      </c>
      <c r="BI166" s="383" t="s">
        <v>1557</v>
      </c>
      <c r="BJ166" s="383" t="s">
        <v>1558</v>
      </c>
      <c r="BK166" s="383" t="s">
        <v>1559</v>
      </c>
      <c r="BL166" s="383" t="s">
        <v>1560</v>
      </c>
      <c r="BM166" s="383" t="s">
        <v>1559</v>
      </c>
      <c r="BN166" s="383" t="s">
        <v>1295</v>
      </c>
      <c r="BO166" s="383" t="s">
        <v>1540</v>
      </c>
      <c r="BP166" s="383" t="s">
        <v>1561</v>
      </c>
      <c r="BQ166" s="383" t="s">
        <v>1562</v>
      </c>
      <c r="BR166" s="383" t="s">
        <v>913</v>
      </c>
      <c r="BS166" s="383" t="s">
        <v>1295</v>
      </c>
      <c r="BT166" s="383" t="s">
        <v>1295</v>
      </c>
      <c r="BU166" s="383" t="s">
        <v>231</v>
      </c>
      <c r="BV166" s="383" t="s">
        <v>170</v>
      </c>
      <c r="BW166" s="383" t="s">
        <v>1563</v>
      </c>
      <c r="BX166" s="383" t="s">
        <v>1540</v>
      </c>
      <c r="BY166" s="383" t="s">
        <v>913</v>
      </c>
      <c r="BZ166" s="383" t="s">
        <v>1297</v>
      </c>
      <c r="CA166" s="383" t="s">
        <v>153</v>
      </c>
      <c r="CB166" s="383" t="s">
        <v>153</v>
      </c>
      <c r="CC166" s="383" t="s">
        <v>1295</v>
      </c>
      <c r="CD166" s="383" t="s">
        <v>1295</v>
      </c>
      <c r="CE166" s="383" t="s">
        <v>1295</v>
      </c>
      <c r="CF166" s="383" t="s">
        <v>1295</v>
      </c>
      <c r="CG166" s="383" t="s">
        <v>1295</v>
      </c>
      <c r="CH166" s="383" t="s">
        <v>1295</v>
      </c>
      <c r="CI166" s="383" t="s">
        <v>1295</v>
      </c>
      <c r="CJ166" s="383" t="s">
        <v>1295</v>
      </c>
      <c r="CK166" s="383" t="s">
        <v>1295</v>
      </c>
      <c r="CL166" s="383" t="s">
        <v>1295</v>
      </c>
      <c r="CM166" s="383" t="s">
        <v>1295</v>
      </c>
      <c r="CN166" s="383" t="s">
        <v>1295</v>
      </c>
      <c r="CO166" s="383" t="s">
        <v>1295</v>
      </c>
      <c r="CP166" s="383" t="s">
        <v>1295</v>
      </c>
      <c r="CQ166" s="383" t="s">
        <v>1295</v>
      </c>
      <c r="CR166" s="383" t="s">
        <v>1295</v>
      </c>
      <c r="CS166" s="383" t="s">
        <v>1295</v>
      </c>
      <c r="CT166" s="383" t="s">
        <v>153</v>
      </c>
      <c r="CU166" s="383" t="s">
        <v>1295</v>
      </c>
      <c r="CV166" s="383" t="s">
        <v>1564</v>
      </c>
      <c r="CW166" s="383" t="s">
        <v>1303</v>
      </c>
      <c r="CX166" s="383"/>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c r="DZ166" s="34"/>
      <c r="EA166" s="34"/>
      <c r="EB166" s="34"/>
      <c r="EC166" s="34"/>
      <c r="ED166" s="34"/>
      <c r="EE166" s="34"/>
      <c r="EF166" s="34"/>
      <c r="EG166" s="34"/>
      <c r="EH166" s="34"/>
      <c r="EI166" s="34"/>
      <c r="EJ166" s="34"/>
      <c r="EK166" s="34"/>
      <c r="EL166" s="34"/>
      <c r="EM166" s="34"/>
      <c r="EN166" s="34"/>
      <c r="EO166" s="34"/>
      <c r="EP166" s="34"/>
      <c r="EQ166" s="34"/>
      <c r="ER166" s="34"/>
      <c r="ES166" s="34"/>
      <c r="ET166" s="34"/>
      <c r="EU166" s="34"/>
      <c r="EV166" s="34"/>
      <c r="EW166" s="34"/>
      <c r="EX166" s="34"/>
      <c r="EY166" s="34"/>
      <c r="EZ166" s="34"/>
      <c r="FA166" s="34"/>
      <c r="FB166" s="34"/>
      <c r="FC166" s="34"/>
      <c r="FD166" s="34"/>
      <c r="FE166" s="34"/>
      <c r="FF166" s="34"/>
      <c r="FG166" s="34"/>
      <c r="FH166" s="34"/>
      <c r="FI166" s="34"/>
      <c r="FJ166" s="34"/>
      <c r="FK166" s="34"/>
      <c r="FL166" s="34"/>
      <c r="FM166" s="34"/>
      <c r="FN166" s="34"/>
      <c r="FO166" s="34"/>
      <c r="FP166" s="34"/>
      <c r="FQ166" s="34"/>
      <c r="FR166" s="34"/>
      <c r="FS166" s="34"/>
      <c r="FT166" s="34"/>
      <c r="FU166" s="34"/>
      <c r="FV166" s="34"/>
      <c r="FW166" s="34"/>
      <c r="FX166" s="34"/>
      <c r="FY166" s="34"/>
      <c r="FZ166" s="34"/>
      <c r="GA166" s="34"/>
      <c r="GB166" s="34"/>
      <c r="GC166" s="34"/>
      <c r="GD166" s="34"/>
      <c r="GE166" s="34"/>
      <c r="GF166" s="34"/>
      <c r="GG166" s="34"/>
      <c r="GH166" s="34"/>
      <c r="GI166" s="34"/>
      <c r="GJ166" s="34"/>
      <c r="GK166" s="34"/>
      <c r="GL166" s="34"/>
      <c r="GM166" s="34"/>
      <c r="GN166" s="34"/>
      <c r="GO166" s="34"/>
      <c r="GP166" s="34"/>
      <c r="GQ166" s="34"/>
      <c r="GR166" s="34"/>
      <c r="GS166" s="34"/>
      <c r="GT166" s="34"/>
      <c r="GU166" s="34"/>
      <c r="GV166" s="34"/>
      <c r="GW166" s="34"/>
      <c r="GX166" s="34"/>
      <c r="GY166" s="34"/>
      <c r="GZ166" s="34"/>
      <c r="HA166" s="34"/>
      <c r="HB166" s="34"/>
      <c r="HC166" s="34"/>
      <c r="HD166" s="34"/>
      <c r="HE166" s="34"/>
      <c r="HF166" s="34"/>
      <c r="HG166" s="34"/>
      <c r="HH166" s="34"/>
      <c r="HI166" s="34"/>
      <c r="HJ166" s="34"/>
      <c r="HK166" s="34"/>
      <c r="HL166" s="34"/>
      <c r="HM166" s="34"/>
      <c r="HN166" s="34"/>
      <c r="HO166" s="34"/>
      <c r="HP166" s="34"/>
      <c r="HQ166" s="34"/>
      <c r="HR166" s="34"/>
      <c r="HS166" s="34"/>
      <c r="HT166" s="34"/>
      <c r="HU166" s="34"/>
      <c r="HV166" s="34"/>
      <c r="HW166" s="34"/>
      <c r="HX166" s="34"/>
      <c r="HY166" s="34"/>
      <c r="HZ166" s="34"/>
      <c r="IA166" s="34"/>
      <c r="IB166" s="34"/>
      <c r="IC166" s="34"/>
      <c r="ID166" s="34"/>
      <c r="IE166" s="34"/>
      <c r="IF166" s="34"/>
      <c r="IG166" s="34"/>
      <c r="IH166" s="34"/>
      <c r="II166" s="34"/>
      <c r="IJ166" s="34"/>
      <c r="IK166" s="34"/>
      <c r="IL166" s="34"/>
      <c r="IM166" s="34"/>
      <c r="IN166" s="34"/>
      <c r="IO166" s="34"/>
      <c r="IP166" s="34"/>
      <c r="IQ166" s="34"/>
      <c r="IR166" s="34"/>
      <c r="IS166" s="34"/>
      <c r="IT166" s="34"/>
      <c r="IU166" s="34"/>
      <c r="IV166" s="34"/>
      <c r="IW166" s="34"/>
      <c r="IX166" s="34"/>
      <c r="IY166" s="34"/>
      <c r="IZ166" s="34"/>
      <c r="JA166" s="34"/>
      <c r="JB166" s="34"/>
      <c r="JC166" s="34"/>
      <c r="JD166" s="34"/>
      <c r="JE166" s="34"/>
      <c r="JF166" s="34"/>
      <c r="JG166" s="34"/>
      <c r="JH166" s="34"/>
      <c r="JI166" s="34"/>
      <c r="JJ166" s="34"/>
      <c r="JK166" s="34"/>
      <c r="JL166" s="34"/>
      <c r="JM166" s="34"/>
      <c r="JN166" s="34"/>
      <c r="JO166" s="34"/>
      <c r="JP166" s="34"/>
      <c r="JQ166" s="34"/>
      <c r="JR166" s="34"/>
      <c r="JS166" s="34"/>
      <c r="JT166" s="34"/>
      <c r="JU166" s="34"/>
      <c r="JV166" s="34"/>
      <c r="JW166" s="34"/>
      <c r="JX166" s="34"/>
      <c r="JY166" s="34"/>
      <c r="JZ166" s="34"/>
      <c r="KA166" s="34"/>
      <c r="KB166" s="34"/>
      <c r="KC166" s="34"/>
      <c r="KD166" s="34"/>
      <c r="KE166" s="34"/>
      <c r="KF166" s="34"/>
      <c r="KG166" s="34"/>
      <c r="KH166" s="34"/>
      <c r="KI166" s="34"/>
      <c r="KJ166" s="34"/>
      <c r="KK166" s="34"/>
      <c r="KL166" s="34"/>
      <c r="KM166" s="34"/>
      <c r="KN166" s="34"/>
      <c r="KO166" s="34"/>
      <c r="KP166" s="34"/>
      <c r="KQ166" s="34"/>
      <c r="KR166" s="34"/>
      <c r="KS166" s="34"/>
      <c r="KT166" s="34"/>
      <c r="KU166" s="34"/>
      <c r="KV166" s="34"/>
    </row>
    <row r="167" spans="1:308">
      <c r="A167" s="383" t="s">
        <v>1283</v>
      </c>
      <c r="B167" s="383" t="s">
        <v>1284</v>
      </c>
      <c r="C167" s="383" t="s">
        <v>1285</v>
      </c>
      <c r="D167" s="383" t="s">
        <v>1311</v>
      </c>
      <c r="E167" s="383" t="s">
        <v>1400</v>
      </c>
      <c r="F167" s="383" t="s">
        <v>1295</v>
      </c>
      <c r="G167" s="136" t="s">
        <v>1295</v>
      </c>
      <c r="H167" s="383" t="s">
        <v>1295</v>
      </c>
      <c r="I167" s="383" t="s">
        <v>1295</v>
      </c>
      <c r="J167" s="383" t="s">
        <v>1565</v>
      </c>
      <c r="K167" s="383" t="s">
        <v>1032</v>
      </c>
      <c r="L167" s="383" t="s">
        <v>1038</v>
      </c>
      <c r="M167" s="383" t="s">
        <v>1535</v>
      </c>
      <c r="N167" s="383" t="s">
        <v>1536</v>
      </c>
      <c r="O167" s="383" t="s">
        <v>1566</v>
      </c>
      <c r="P167" s="383" t="s">
        <v>1538</v>
      </c>
      <c r="Q167" s="383" t="s">
        <v>1335</v>
      </c>
      <c r="R167" s="383" t="s">
        <v>1567</v>
      </c>
      <c r="S167" s="383" t="s">
        <v>1540</v>
      </c>
      <c r="T167" s="383" t="s">
        <v>1541</v>
      </c>
      <c r="U167" s="383" t="s">
        <v>1542</v>
      </c>
      <c r="V167" s="383" t="s">
        <v>1543</v>
      </c>
      <c r="W167" s="383" t="s">
        <v>1295</v>
      </c>
      <c r="X167" s="383" t="s">
        <v>1295</v>
      </c>
      <c r="Y167" s="383" t="s">
        <v>1295</v>
      </c>
      <c r="Z167" s="383" t="s">
        <v>1295</v>
      </c>
      <c r="AA167" s="383" t="s">
        <v>1295</v>
      </c>
      <c r="AB167" s="383" t="s">
        <v>1295</v>
      </c>
      <c r="AC167" s="383" t="s">
        <v>1568</v>
      </c>
      <c r="AD167" s="383" t="s">
        <v>1569</v>
      </c>
      <c r="AE167" s="383" t="s">
        <v>1546</v>
      </c>
      <c r="AF167" s="383" t="s">
        <v>1547</v>
      </c>
      <c r="AG167" s="383" t="s">
        <v>1568</v>
      </c>
      <c r="AH167" s="383" t="s">
        <v>1569</v>
      </c>
      <c r="AI167" s="383" t="s">
        <v>1570</v>
      </c>
      <c r="AJ167" s="383" t="s">
        <v>1548</v>
      </c>
      <c r="AK167" s="383" t="s">
        <v>1571</v>
      </c>
      <c r="AL167" s="383" t="s">
        <v>1295</v>
      </c>
      <c r="AM167" s="383" t="s">
        <v>1295</v>
      </c>
      <c r="AN167" s="383" t="s">
        <v>1295</v>
      </c>
      <c r="AO167" s="383" t="s">
        <v>1295</v>
      </c>
      <c r="AP167" s="383" t="s">
        <v>1295</v>
      </c>
      <c r="AQ167" s="383" t="s">
        <v>1295</v>
      </c>
      <c r="AR167" s="383" t="s">
        <v>1572</v>
      </c>
      <c r="AS167" s="383" t="s">
        <v>1573</v>
      </c>
      <c r="AT167" s="383" t="s">
        <v>1295</v>
      </c>
      <c r="AU167" s="383" t="s">
        <v>1295</v>
      </c>
      <c r="AV167" s="383" t="s">
        <v>1574</v>
      </c>
      <c r="AW167" s="383" t="s">
        <v>1553</v>
      </c>
      <c r="AX167" s="383" t="s">
        <v>1295</v>
      </c>
      <c r="AY167" s="383" t="s">
        <v>1295</v>
      </c>
      <c r="AZ167" s="383" t="s">
        <v>1575</v>
      </c>
      <c r="BA167" s="383" t="s">
        <v>1576</v>
      </c>
      <c r="BB167" s="383" t="s">
        <v>1573</v>
      </c>
      <c r="BC167" s="383" t="s">
        <v>1295</v>
      </c>
      <c r="BD167" s="383" t="s">
        <v>1573</v>
      </c>
      <c r="BE167" s="383" t="s">
        <v>1553</v>
      </c>
      <c r="BF167" s="383" t="s">
        <v>1573</v>
      </c>
      <c r="BG167" s="383" t="s">
        <v>1577</v>
      </c>
      <c r="BH167" s="383" t="s">
        <v>1295</v>
      </c>
      <c r="BI167" s="383" t="s">
        <v>1557</v>
      </c>
      <c r="BJ167" s="383" t="s">
        <v>1558</v>
      </c>
      <c r="BK167" s="383" t="s">
        <v>1559</v>
      </c>
      <c r="BL167" s="383" t="s">
        <v>1560</v>
      </c>
      <c r="BM167" s="383" t="s">
        <v>1559</v>
      </c>
      <c r="BN167" s="383" t="s">
        <v>1295</v>
      </c>
      <c r="BO167" s="383" t="s">
        <v>1540</v>
      </c>
      <c r="BP167" s="383" t="s">
        <v>1295</v>
      </c>
      <c r="BQ167" s="383" t="s">
        <v>1563</v>
      </c>
      <c r="BR167" s="383" t="s">
        <v>913</v>
      </c>
      <c r="BS167" s="383" t="s">
        <v>1295</v>
      </c>
      <c r="BT167" s="383" t="s">
        <v>1295</v>
      </c>
      <c r="BU167" s="383" t="s">
        <v>231</v>
      </c>
      <c r="BV167" s="383" t="s">
        <v>721</v>
      </c>
      <c r="BW167" s="383" t="s">
        <v>1295</v>
      </c>
      <c r="BX167" s="383" t="s">
        <v>1540</v>
      </c>
      <c r="BY167" s="383" t="s">
        <v>913</v>
      </c>
      <c r="BZ167" s="383" t="s">
        <v>1297</v>
      </c>
      <c r="CA167" s="383" t="s">
        <v>153</v>
      </c>
      <c r="CB167" s="383" t="s">
        <v>153</v>
      </c>
      <c r="CC167" s="383" t="s">
        <v>1295</v>
      </c>
      <c r="CD167" s="383" t="s">
        <v>1295</v>
      </c>
      <c r="CE167" s="383" t="s">
        <v>1295</v>
      </c>
      <c r="CF167" s="383" t="s">
        <v>1295</v>
      </c>
      <c r="CG167" s="383" t="s">
        <v>1295</v>
      </c>
      <c r="CH167" s="383" t="s">
        <v>1295</v>
      </c>
      <c r="CI167" s="383" t="s">
        <v>1295</v>
      </c>
      <c r="CJ167" s="383" t="s">
        <v>1295</v>
      </c>
      <c r="CK167" s="383" t="s">
        <v>1295</v>
      </c>
      <c r="CL167" s="383" t="s">
        <v>1295</v>
      </c>
      <c r="CM167" s="383" t="s">
        <v>1295</v>
      </c>
      <c r="CN167" s="383" t="s">
        <v>1295</v>
      </c>
      <c r="CO167" s="383" t="s">
        <v>1295</v>
      </c>
      <c r="CP167" s="383" t="s">
        <v>1295</v>
      </c>
      <c r="CQ167" s="383" t="s">
        <v>1295</v>
      </c>
      <c r="CR167" s="383" t="s">
        <v>1295</v>
      </c>
      <c r="CS167" s="383" t="s">
        <v>1295</v>
      </c>
      <c r="CT167" s="383" t="s">
        <v>153</v>
      </c>
      <c r="CU167" s="383" t="s">
        <v>1295</v>
      </c>
      <c r="CV167" s="383" t="s">
        <v>1564</v>
      </c>
      <c r="CW167" s="383" t="s">
        <v>1303</v>
      </c>
      <c r="CX167" s="383"/>
    </row>
    <row r="168" spans="1:308">
      <c r="A168" s="383" t="s">
        <v>1283</v>
      </c>
      <c r="B168" s="383" t="s">
        <v>1284</v>
      </c>
      <c r="C168" s="383" t="s">
        <v>1285</v>
      </c>
      <c r="D168" s="383" t="s">
        <v>1319</v>
      </c>
      <c r="E168" s="383" t="s">
        <v>1402</v>
      </c>
      <c r="F168" s="383" t="s">
        <v>1295</v>
      </c>
      <c r="G168" s="136" t="s">
        <v>1295</v>
      </c>
      <c r="H168" s="383" t="s">
        <v>1295</v>
      </c>
      <c r="I168" s="383" t="s">
        <v>1295</v>
      </c>
      <c r="J168" s="383" t="s">
        <v>1578</v>
      </c>
      <c r="K168" s="383" t="s">
        <v>1032</v>
      </c>
      <c r="L168" s="383" t="s">
        <v>1038</v>
      </c>
      <c r="M168" s="383" t="s">
        <v>1535</v>
      </c>
      <c r="N168" s="383" t="s">
        <v>1536</v>
      </c>
      <c r="O168" s="383" t="s">
        <v>1537</v>
      </c>
      <c r="P168" s="383" t="s">
        <v>1538</v>
      </c>
      <c r="Q168" s="383" t="s">
        <v>1335</v>
      </c>
      <c r="R168" s="383" t="s">
        <v>1567</v>
      </c>
      <c r="S168" s="383" t="s">
        <v>1540</v>
      </c>
      <c r="T168" s="383" t="s">
        <v>1541</v>
      </c>
      <c r="U168" s="383" t="s">
        <v>1542</v>
      </c>
      <c r="V168" s="383" t="s">
        <v>1543</v>
      </c>
      <c r="W168" s="383" t="s">
        <v>1295</v>
      </c>
      <c r="X168" s="383" t="s">
        <v>1295</v>
      </c>
      <c r="Y168" s="383" t="s">
        <v>1295</v>
      </c>
      <c r="Z168" s="383" t="s">
        <v>1295</v>
      </c>
      <c r="AA168" s="383" t="s">
        <v>1295</v>
      </c>
      <c r="AB168" s="383" t="s">
        <v>1295</v>
      </c>
      <c r="AC168" s="383" t="s">
        <v>1579</v>
      </c>
      <c r="AD168" s="383" t="s">
        <v>1569</v>
      </c>
      <c r="AE168" s="383" t="s">
        <v>1546</v>
      </c>
      <c r="AF168" s="383" t="s">
        <v>1547</v>
      </c>
      <c r="AG168" s="383" t="s">
        <v>1579</v>
      </c>
      <c r="AH168" s="383" t="s">
        <v>1569</v>
      </c>
      <c r="AI168" s="383" t="s">
        <v>1580</v>
      </c>
      <c r="AJ168" s="383" t="s">
        <v>1548</v>
      </c>
      <c r="AK168" s="383" t="s">
        <v>1581</v>
      </c>
      <c r="AL168" s="383" t="s">
        <v>1295</v>
      </c>
      <c r="AM168" s="383" t="s">
        <v>1295</v>
      </c>
      <c r="AN168" s="383" t="s">
        <v>1295</v>
      </c>
      <c r="AO168" s="383" t="s">
        <v>1295</v>
      </c>
      <c r="AP168" s="383" t="s">
        <v>1295</v>
      </c>
      <c r="AQ168" s="383" t="s">
        <v>1295</v>
      </c>
      <c r="AR168" s="383" t="s">
        <v>1582</v>
      </c>
      <c r="AS168" s="383" t="s">
        <v>1583</v>
      </c>
      <c r="AT168" s="383" t="s">
        <v>1295</v>
      </c>
      <c r="AU168" s="383" t="s">
        <v>1295</v>
      </c>
      <c r="AV168" s="383" t="s">
        <v>1584</v>
      </c>
      <c r="AW168" s="383" t="s">
        <v>1553</v>
      </c>
      <c r="AX168" s="383" t="s">
        <v>1295</v>
      </c>
      <c r="AY168" s="383" t="s">
        <v>1295</v>
      </c>
      <c r="AZ168" s="383" t="s">
        <v>1575</v>
      </c>
      <c r="BA168" s="383" t="s">
        <v>1576</v>
      </c>
      <c r="BB168" s="383" t="s">
        <v>1583</v>
      </c>
      <c r="BC168" s="383" t="s">
        <v>1295</v>
      </c>
      <c r="BD168" s="383" t="s">
        <v>1583</v>
      </c>
      <c r="BE168" s="383" t="s">
        <v>1553</v>
      </c>
      <c r="BF168" s="383" t="s">
        <v>1583</v>
      </c>
      <c r="BG168" s="383" t="s">
        <v>1577</v>
      </c>
      <c r="BH168" s="383" t="s">
        <v>1295</v>
      </c>
      <c r="BI168" s="383" t="s">
        <v>1557</v>
      </c>
      <c r="BJ168" s="383" t="s">
        <v>1558</v>
      </c>
      <c r="BK168" s="383" t="s">
        <v>1559</v>
      </c>
      <c r="BL168" s="383" t="s">
        <v>1560</v>
      </c>
      <c r="BM168" s="383" t="s">
        <v>1559</v>
      </c>
      <c r="BN168" s="383" t="s">
        <v>1295</v>
      </c>
      <c r="BO168" s="383" t="s">
        <v>1540</v>
      </c>
      <c r="BP168" s="383" t="s">
        <v>1561</v>
      </c>
      <c r="BQ168" s="383" t="s">
        <v>1585</v>
      </c>
      <c r="BR168" s="383" t="s">
        <v>913</v>
      </c>
      <c r="BS168" s="383" t="s">
        <v>1295</v>
      </c>
      <c r="BT168" s="383" t="s">
        <v>1295</v>
      </c>
      <c r="BU168" s="383" t="s">
        <v>231</v>
      </c>
      <c r="BV168" s="383" t="s">
        <v>170</v>
      </c>
      <c r="BW168" s="383" t="s">
        <v>1295</v>
      </c>
      <c r="BX168" s="383" t="s">
        <v>1540</v>
      </c>
      <c r="BY168" s="383" t="s">
        <v>913</v>
      </c>
      <c r="BZ168" s="383" t="s">
        <v>1297</v>
      </c>
      <c r="CA168" s="383" t="s">
        <v>153</v>
      </c>
      <c r="CB168" s="383" t="s">
        <v>153</v>
      </c>
      <c r="CC168" s="383" t="s">
        <v>1295</v>
      </c>
      <c r="CD168" s="383" t="s">
        <v>1295</v>
      </c>
      <c r="CE168" s="383" t="s">
        <v>1295</v>
      </c>
      <c r="CF168" s="383" t="s">
        <v>1295</v>
      </c>
      <c r="CG168" s="383" t="s">
        <v>1295</v>
      </c>
      <c r="CH168" s="383" t="s">
        <v>1295</v>
      </c>
      <c r="CI168" s="383" t="s">
        <v>1295</v>
      </c>
      <c r="CJ168" s="383" t="s">
        <v>1295</v>
      </c>
      <c r="CK168" s="383" t="s">
        <v>1295</v>
      </c>
      <c r="CL168" s="383" t="s">
        <v>1295</v>
      </c>
      <c r="CM168" s="383" t="s">
        <v>1295</v>
      </c>
      <c r="CN168" s="383" t="s">
        <v>1295</v>
      </c>
      <c r="CO168" s="383" t="s">
        <v>1295</v>
      </c>
      <c r="CP168" s="383" t="s">
        <v>1295</v>
      </c>
      <c r="CQ168" s="383" t="s">
        <v>1295</v>
      </c>
      <c r="CR168" s="383" t="s">
        <v>1295</v>
      </c>
      <c r="CS168" s="383" t="s">
        <v>1295</v>
      </c>
      <c r="CT168" s="383" t="s">
        <v>153</v>
      </c>
      <c r="CU168" s="383" t="s">
        <v>1295</v>
      </c>
      <c r="CV168" s="383" t="s">
        <v>1564</v>
      </c>
      <c r="CW168" s="383" t="s">
        <v>1303</v>
      </c>
      <c r="CX168" s="383"/>
    </row>
    <row r="169" spans="1:308">
      <c r="A169" s="383" t="s">
        <v>1283</v>
      </c>
      <c r="B169" s="383" t="s">
        <v>1284</v>
      </c>
      <c r="C169" s="383" t="s">
        <v>1285</v>
      </c>
      <c r="D169" s="383" t="s">
        <v>1320</v>
      </c>
      <c r="E169" s="383" t="s">
        <v>1376</v>
      </c>
      <c r="F169" s="383" t="s">
        <v>1586</v>
      </c>
      <c r="G169" s="136" t="s">
        <v>1295</v>
      </c>
      <c r="H169" s="383" t="s">
        <v>1295</v>
      </c>
      <c r="I169" s="383" t="s">
        <v>1295</v>
      </c>
      <c r="J169" s="383" t="s">
        <v>1587</v>
      </c>
      <c r="K169" s="383" t="s">
        <v>1032</v>
      </c>
      <c r="L169" s="383" t="s">
        <v>1038</v>
      </c>
      <c r="M169" s="383" t="s">
        <v>1535</v>
      </c>
      <c r="N169" s="383" t="s">
        <v>1536</v>
      </c>
      <c r="O169" s="383" t="s">
        <v>1588</v>
      </c>
      <c r="P169" s="383" t="s">
        <v>1295</v>
      </c>
      <c r="Q169" s="383" t="s">
        <v>1335</v>
      </c>
      <c r="R169" s="383" t="s">
        <v>1587</v>
      </c>
      <c r="S169" s="383" t="s">
        <v>1540</v>
      </c>
      <c r="T169" s="383" t="s">
        <v>1541</v>
      </c>
      <c r="U169" s="383" t="s">
        <v>1542</v>
      </c>
      <c r="V169" s="383" t="s">
        <v>1543</v>
      </c>
      <c r="W169" s="383" t="s">
        <v>1295</v>
      </c>
      <c r="X169" s="383" t="s">
        <v>1295</v>
      </c>
      <c r="Y169" s="383" t="s">
        <v>1295</v>
      </c>
      <c r="Z169" s="383" t="s">
        <v>1295</v>
      </c>
      <c r="AA169" s="383" t="s">
        <v>1295</v>
      </c>
      <c r="AB169" s="383" t="s">
        <v>1295</v>
      </c>
      <c r="AC169" s="383" t="s">
        <v>1589</v>
      </c>
      <c r="AD169" s="383" t="s">
        <v>1569</v>
      </c>
      <c r="AE169" s="383" t="s">
        <v>1546</v>
      </c>
      <c r="AF169" s="383" t="s">
        <v>1547</v>
      </c>
      <c r="AG169" s="383" t="s">
        <v>1589</v>
      </c>
      <c r="AH169" s="383" t="s">
        <v>1569</v>
      </c>
      <c r="AI169" s="383" t="s">
        <v>1589</v>
      </c>
      <c r="AJ169" s="383" t="s">
        <v>1548</v>
      </c>
      <c r="AK169" s="383" t="s">
        <v>1590</v>
      </c>
      <c r="AL169" s="383" t="s">
        <v>1295</v>
      </c>
      <c r="AM169" s="383" t="s">
        <v>1295</v>
      </c>
      <c r="AN169" s="383" t="s">
        <v>1295</v>
      </c>
      <c r="AO169" s="383" t="s">
        <v>1295</v>
      </c>
      <c r="AP169" s="383" t="s">
        <v>1295</v>
      </c>
      <c r="AQ169" s="383" t="s">
        <v>1295</v>
      </c>
      <c r="AR169" s="383" t="s">
        <v>1591</v>
      </c>
      <c r="AS169" s="383" t="s">
        <v>1592</v>
      </c>
      <c r="AT169" s="383" t="s">
        <v>1295</v>
      </c>
      <c r="AU169" s="383" t="s">
        <v>1295</v>
      </c>
      <c r="AV169" s="383" t="s">
        <v>1593</v>
      </c>
      <c r="AW169" s="383" t="s">
        <v>1594</v>
      </c>
      <c r="AX169" s="383" t="s">
        <v>1295</v>
      </c>
      <c r="AY169" s="383" t="s">
        <v>1295</v>
      </c>
      <c r="AZ169" s="383" t="s">
        <v>1295</v>
      </c>
      <c r="BA169" s="383" t="s">
        <v>1295</v>
      </c>
      <c r="BB169" s="383" t="s">
        <v>1295</v>
      </c>
      <c r="BC169" s="383" t="s">
        <v>1295</v>
      </c>
      <c r="BD169" s="383" t="s">
        <v>1295</v>
      </c>
      <c r="BE169" s="383" t="s">
        <v>1295</v>
      </c>
      <c r="BF169" s="383" t="s">
        <v>1595</v>
      </c>
      <c r="BG169" s="383" t="s">
        <v>1596</v>
      </c>
      <c r="BH169" s="383" t="s">
        <v>1556</v>
      </c>
      <c r="BI169" s="383" t="s">
        <v>1557</v>
      </c>
      <c r="BJ169" s="383" t="s">
        <v>1558</v>
      </c>
      <c r="BK169" s="383" t="s">
        <v>1559</v>
      </c>
      <c r="BL169" s="383" t="s">
        <v>1560</v>
      </c>
      <c r="BM169" s="383" t="s">
        <v>1559</v>
      </c>
      <c r="BN169" s="383" t="s">
        <v>1295</v>
      </c>
      <c r="BO169" s="383" t="s">
        <v>1540</v>
      </c>
      <c r="BP169" s="383" t="s">
        <v>1597</v>
      </c>
      <c r="BQ169" s="383" t="s">
        <v>1598</v>
      </c>
      <c r="BR169" s="383" t="s">
        <v>913</v>
      </c>
      <c r="BS169" s="383" t="s">
        <v>1295</v>
      </c>
      <c r="BT169" s="383" t="s">
        <v>1295</v>
      </c>
      <c r="BU169" s="383" t="s">
        <v>231</v>
      </c>
      <c r="BV169" s="383" t="s">
        <v>163</v>
      </c>
      <c r="BW169" s="383" t="s">
        <v>1295</v>
      </c>
      <c r="BX169" s="383" t="s">
        <v>1540</v>
      </c>
      <c r="BY169" s="383" t="s">
        <v>913</v>
      </c>
      <c r="BZ169" s="383" t="s">
        <v>1297</v>
      </c>
      <c r="CA169" s="383" t="s">
        <v>153</v>
      </c>
      <c r="CB169" s="383" t="s">
        <v>153</v>
      </c>
      <c r="CC169" s="383" t="s">
        <v>1295</v>
      </c>
      <c r="CD169" s="383" t="s">
        <v>1295</v>
      </c>
      <c r="CE169" s="383" t="s">
        <v>1295</v>
      </c>
      <c r="CF169" s="383" t="s">
        <v>1295</v>
      </c>
      <c r="CG169" s="383" t="s">
        <v>1295</v>
      </c>
      <c r="CH169" s="383" t="s">
        <v>1295</v>
      </c>
      <c r="CI169" s="383" t="s">
        <v>1295</v>
      </c>
      <c r="CJ169" s="383" t="s">
        <v>1295</v>
      </c>
      <c r="CK169" s="383" t="s">
        <v>1295</v>
      </c>
      <c r="CL169" s="383" t="s">
        <v>1295</v>
      </c>
      <c r="CM169" s="383" t="s">
        <v>1295</v>
      </c>
      <c r="CN169" s="383" t="s">
        <v>1295</v>
      </c>
      <c r="CO169" s="383" t="s">
        <v>1295</v>
      </c>
      <c r="CP169" s="383" t="s">
        <v>1295</v>
      </c>
      <c r="CQ169" s="383" t="s">
        <v>1295</v>
      </c>
      <c r="CR169" s="383" t="s">
        <v>1295</v>
      </c>
      <c r="CS169" s="383" t="s">
        <v>1295</v>
      </c>
      <c r="CT169" s="383" t="s">
        <v>153</v>
      </c>
      <c r="CU169" s="383" t="s">
        <v>1295</v>
      </c>
      <c r="CV169" s="383" t="s">
        <v>1564</v>
      </c>
      <c r="CW169" s="383" t="s">
        <v>1303</v>
      </c>
      <c r="CX169" s="383"/>
    </row>
    <row r="170" spans="1:308">
      <c r="A170" s="383" t="s">
        <v>1283</v>
      </c>
      <c r="B170" s="383" t="s">
        <v>1284</v>
      </c>
      <c r="C170" s="383" t="s">
        <v>1285</v>
      </c>
      <c r="D170" s="383" t="s">
        <v>1327</v>
      </c>
      <c r="E170" s="383" t="s">
        <v>1405</v>
      </c>
      <c r="F170" s="383" t="s">
        <v>1599</v>
      </c>
      <c r="G170" s="136" t="s">
        <v>1295</v>
      </c>
      <c r="H170" s="383" t="s">
        <v>1295</v>
      </c>
      <c r="I170" s="383" t="s">
        <v>1295</v>
      </c>
      <c r="J170" s="383" t="s">
        <v>1600</v>
      </c>
      <c r="K170" s="383" t="s">
        <v>1032</v>
      </c>
      <c r="L170" s="383" t="s">
        <v>1038</v>
      </c>
      <c r="M170" s="383" t="s">
        <v>1535</v>
      </c>
      <c r="N170" s="383" t="s">
        <v>1536</v>
      </c>
      <c r="O170" s="383" t="s">
        <v>1566</v>
      </c>
      <c r="P170" s="383" t="s">
        <v>1538</v>
      </c>
      <c r="Q170" s="383" t="s">
        <v>1335</v>
      </c>
      <c r="R170" s="383" t="s">
        <v>1567</v>
      </c>
      <c r="S170" s="383" t="s">
        <v>1540</v>
      </c>
      <c r="T170" s="383" t="s">
        <v>1541</v>
      </c>
      <c r="U170" s="383" t="s">
        <v>1542</v>
      </c>
      <c r="V170" s="383" t="s">
        <v>1543</v>
      </c>
      <c r="W170" s="383" t="s">
        <v>1295</v>
      </c>
      <c r="X170" s="383" t="s">
        <v>1295</v>
      </c>
      <c r="Y170" s="383" t="s">
        <v>1295</v>
      </c>
      <c r="Z170" s="383" t="s">
        <v>1295</v>
      </c>
      <c r="AA170" s="383" t="s">
        <v>1295</v>
      </c>
      <c r="AB170" s="383" t="s">
        <v>1295</v>
      </c>
      <c r="AC170" s="383" t="s">
        <v>1601</v>
      </c>
      <c r="AD170" s="383" t="s">
        <v>1569</v>
      </c>
      <c r="AE170" s="383" t="s">
        <v>1546</v>
      </c>
      <c r="AF170" s="383" t="s">
        <v>1547</v>
      </c>
      <c r="AG170" s="383" t="s">
        <v>1601</v>
      </c>
      <c r="AH170" s="383" t="s">
        <v>1569</v>
      </c>
      <c r="AI170" s="383" t="s">
        <v>1602</v>
      </c>
      <c r="AJ170" s="383" t="s">
        <v>1548</v>
      </c>
      <c r="AK170" s="383" t="s">
        <v>1603</v>
      </c>
      <c r="AL170" s="383" t="s">
        <v>1295</v>
      </c>
      <c r="AM170" s="383" t="s">
        <v>1295</v>
      </c>
      <c r="AN170" s="383" t="s">
        <v>1295</v>
      </c>
      <c r="AO170" s="383" t="s">
        <v>1295</v>
      </c>
      <c r="AP170" s="383" t="s">
        <v>1295</v>
      </c>
      <c r="AQ170" s="383" t="s">
        <v>1295</v>
      </c>
      <c r="AR170" s="383" t="s">
        <v>1604</v>
      </c>
      <c r="AS170" s="383" t="s">
        <v>1605</v>
      </c>
      <c r="AT170" s="383" t="s">
        <v>1295</v>
      </c>
      <c r="AU170" s="383" t="s">
        <v>1295</v>
      </c>
      <c r="AV170" s="383" t="s">
        <v>1606</v>
      </c>
      <c r="AW170" s="383" t="s">
        <v>1553</v>
      </c>
      <c r="AX170" s="383" t="s">
        <v>1295</v>
      </c>
      <c r="AY170" s="383" t="s">
        <v>1295</v>
      </c>
      <c r="AZ170" s="383" t="s">
        <v>1575</v>
      </c>
      <c r="BA170" s="383" t="s">
        <v>1576</v>
      </c>
      <c r="BB170" s="383" t="s">
        <v>1605</v>
      </c>
      <c r="BC170" s="383" t="s">
        <v>1295</v>
      </c>
      <c r="BD170" s="383" t="s">
        <v>1606</v>
      </c>
      <c r="BE170" s="383" t="s">
        <v>1553</v>
      </c>
      <c r="BF170" s="383" t="s">
        <v>1607</v>
      </c>
      <c r="BG170" s="383" t="s">
        <v>1577</v>
      </c>
      <c r="BH170" s="383" t="s">
        <v>1295</v>
      </c>
      <c r="BI170" s="383" t="s">
        <v>1557</v>
      </c>
      <c r="BJ170" s="383" t="s">
        <v>1558</v>
      </c>
      <c r="BK170" s="383" t="s">
        <v>1559</v>
      </c>
      <c r="BL170" s="383" t="s">
        <v>1560</v>
      </c>
      <c r="BM170" s="383" t="s">
        <v>1559</v>
      </c>
      <c r="BN170" s="383" t="s">
        <v>1295</v>
      </c>
      <c r="BO170" s="383" t="s">
        <v>1540</v>
      </c>
      <c r="BP170" s="383" t="s">
        <v>1295</v>
      </c>
      <c r="BQ170" s="383" t="s">
        <v>1563</v>
      </c>
      <c r="BR170" s="383" t="s">
        <v>913</v>
      </c>
      <c r="BS170" s="383" t="s">
        <v>1295</v>
      </c>
      <c r="BT170" s="383" t="s">
        <v>1295</v>
      </c>
      <c r="BU170" s="383" t="s">
        <v>1295</v>
      </c>
      <c r="BV170" s="383" t="s">
        <v>721</v>
      </c>
      <c r="BW170" s="383" t="s">
        <v>1295</v>
      </c>
      <c r="BX170" s="383" t="s">
        <v>1540</v>
      </c>
      <c r="BY170" s="383" t="s">
        <v>913</v>
      </c>
      <c r="BZ170" s="383" t="s">
        <v>1297</v>
      </c>
      <c r="CA170" s="383" t="s">
        <v>153</v>
      </c>
      <c r="CB170" s="383" t="s">
        <v>153</v>
      </c>
      <c r="CC170" s="383" t="s">
        <v>1295</v>
      </c>
      <c r="CD170" s="383" t="s">
        <v>1295</v>
      </c>
      <c r="CE170" s="383" t="s">
        <v>1295</v>
      </c>
      <c r="CF170" s="383" t="s">
        <v>1295</v>
      </c>
      <c r="CG170" s="383" t="s">
        <v>1295</v>
      </c>
      <c r="CH170" s="383" t="s">
        <v>1295</v>
      </c>
      <c r="CI170" s="383" t="s">
        <v>1295</v>
      </c>
      <c r="CJ170" s="383" t="s">
        <v>1295</v>
      </c>
      <c r="CK170" s="383" t="s">
        <v>1295</v>
      </c>
      <c r="CL170" s="383" t="s">
        <v>1295</v>
      </c>
      <c r="CM170" s="383" t="s">
        <v>1295</v>
      </c>
      <c r="CN170" s="383" t="s">
        <v>1295</v>
      </c>
      <c r="CO170" s="383" t="s">
        <v>1295</v>
      </c>
      <c r="CP170" s="383" t="s">
        <v>1295</v>
      </c>
      <c r="CQ170" s="383" t="s">
        <v>1295</v>
      </c>
      <c r="CR170" s="383" t="s">
        <v>1295</v>
      </c>
      <c r="CS170" s="383" t="s">
        <v>1295</v>
      </c>
      <c r="CT170" s="383" t="s">
        <v>153</v>
      </c>
      <c r="CU170" s="383" t="s">
        <v>1295</v>
      </c>
      <c r="CV170" s="383" t="s">
        <v>1564</v>
      </c>
      <c r="CW170" s="383" t="s">
        <v>1303</v>
      </c>
      <c r="CX170" s="383"/>
    </row>
    <row r="171" spans="1:308">
      <c r="A171" s="383" t="s">
        <v>1283</v>
      </c>
      <c r="B171" s="383" t="s">
        <v>1284</v>
      </c>
      <c r="C171" s="383" t="s">
        <v>1328</v>
      </c>
      <c r="D171" s="383" t="s">
        <v>1329</v>
      </c>
      <c r="E171" s="383" t="s">
        <v>1381</v>
      </c>
      <c r="F171" s="383" t="s">
        <v>1608</v>
      </c>
      <c r="G171" s="136" t="s">
        <v>1295</v>
      </c>
      <c r="H171" s="383" t="s">
        <v>1295</v>
      </c>
      <c r="I171" s="383" t="s">
        <v>1295</v>
      </c>
      <c r="J171" s="383" t="s">
        <v>1609</v>
      </c>
      <c r="K171" s="383" t="s">
        <v>1032</v>
      </c>
      <c r="L171" s="383" t="s">
        <v>1038</v>
      </c>
      <c r="M171" s="383" t="s">
        <v>1535</v>
      </c>
      <c r="N171" s="383" t="s">
        <v>1536</v>
      </c>
      <c r="O171" s="383" t="s">
        <v>1588</v>
      </c>
      <c r="P171" s="383" t="s">
        <v>1295</v>
      </c>
      <c r="Q171" s="383" t="s">
        <v>1335</v>
      </c>
      <c r="R171" s="383" t="s">
        <v>1587</v>
      </c>
      <c r="S171" s="383" t="s">
        <v>1540</v>
      </c>
      <c r="T171" s="383" t="s">
        <v>1541</v>
      </c>
      <c r="U171" s="383" t="s">
        <v>1542</v>
      </c>
      <c r="V171" s="383" t="s">
        <v>1543</v>
      </c>
      <c r="W171" s="383" t="s">
        <v>1295</v>
      </c>
      <c r="X171" s="383" t="s">
        <v>1295</v>
      </c>
      <c r="Y171" s="383" t="s">
        <v>1295</v>
      </c>
      <c r="Z171" s="383" t="s">
        <v>1295</v>
      </c>
      <c r="AA171" s="383" t="s">
        <v>1295</v>
      </c>
      <c r="AB171" s="383" t="s">
        <v>1295</v>
      </c>
      <c r="AC171" s="383" t="s">
        <v>1601</v>
      </c>
      <c r="AD171" s="383" t="s">
        <v>1569</v>
      </c>
      <c r="AE171" s="383" t="s">
        <v>1546</v>
      </c>
      <c r="AF171" s="383" t="s">
        <v>1547</v>
      </c>
      <c r="AG171" s="383" t="s">
        <v>1601</v>
      </c>
      <c r="AH171" s="383" t="s">
        <v>1569</v>
      </c>
      <c r="AI171" s="383" t="s">
        <v>1601</v>
      </c>
      <c r="AJ171" s="383" t="s">
        <v>1548</v>
      </c>
      <c r="AK171" s="383" t="s">
        <v>1610</v>
      </c>
      <c r="AL171" s="383" t="s">
        <v>1295</v>
      </c>
      <c r="AM171" s="383" t="s">
        <v>1295</v>
      </c>
      <c r="AN171" s="383" t="s">
        <v>1295</v>
      </c>
      <c r="AO171" s="383" t="s">
        <v>1295</v>
      </c>
      <c r="AP171" s="383" t="s">
        <v>1295</v>
      </c>
      <c r="AQ171" s="383" t="s">
        <v>1295</v>
      </c>
      <c r="AR171" s="383" t="s">
        <v>1611</v>
      </c>
      <c r="AS171" s="383" t="s">
        <v>1612</v>
      </c>
      <c r="AT171" s="383" t="s">
        <v>1295</v>
      </c>
      <c r="AU171" s="383" t="s">
        <v>1295</v>
      </c>
      <c r="AV171" s="383" t="s">
        <v>1613</v>
      </c>
      <c r="AW171" s="383" t="s">
        <v>1553</v>
      </c>
      <c r="AX171" s="383" t="s">
        <v>1295</v>
      </c>
      <c r="AY171" s="383" t="s">
        <v>1295</v>
      </c>
      <c r="AZ171" s="383" t="s">
        <v>1575</v>
      </c>
      <c r="BA171" s="383" t="s">
        <v>1576</v>
      </c>
      <c r="BB171" s="383" t="s">
        <v>1614</v>
      </c>
      <c r="BC171" s="383" t="s">
        <v>1295</v>
      </c>
      <c r="BD171" s="383" t="s">
        <v>1295</v>
      </c>
      <c r="BE171" s="383" t="s">
        <v>1295</v>
      </c>
      <c r="BF171" s="383" t="s">
        <v>1615</v>
      </c>
      <c r="BG171" s="383" t="s">
        <v>1596</v>
      </c>
      <c r="BH171" s="383" t="s">
        <v>1295</v>
      </c>
      <c r="BI171" s="383" t="s">
        <v>1557</v>
      </c>
      <c r="BJ171" s="383" t="s">
        <v>1558</v>
      </c>
      <c r="BK171" s="383" t="s">
        <v>1559</v>
      </c>
      <c r="BL171" s="383" t="s">
        <v>1560</v>
      </c>
      <c r="BM171" s="383" t="s">
        <v>1559</v>
      </c>
      <c r="BN171" s="383" t="s">
        <v>1295</v>
      </c>
      <c r="BO171" s="383" t="s">
        <v>1540</v>
      </c>
      <c r="BP171" s="383" t="s">
        <v>1597</v>
      </c>
      <c r="BQ171" s="383" t="s">
        <v>1616</v>
      </c>
      <c r="BR171" s="383" t="s">
        <v>913</v>
      </c>
      <c r="BS171" s="383" t="s">
        <v>1295</v>
      </c>
      <c r="BT171" s="383" t="s">
        <v>1295</v>
      </c>
      <c r="BU171" s="383" t="s">
        <v>231</v>
      </c>
      <c r="BV171" s="383" t="s">
        <v>163</v>
      </c>
      <c r="BW171" s="383" t="s">
        <v>1295</v>
      </c>
      <c r="BX171" s="383" t="s">
        <v>1540</v>
      </c>
      <c r="BY171" s="383" t="s">
        <v>913</v>
      </c>
      <c r="BZ171" s="383" t="s">
        <v>1297</v>
      </c>
      <c r="CA171" s="383" t="s">
        <v>153</v>
      </c>
      <c r="CB171" s="383" t="s">
        <v>153</v>
      </c>
      <c r="CC171" s="383" t="s">
        <v>1295</v>
      </c>
      <c r="CD171" s="383" t="s">
        <v>1295</v>
      </c>
      <c r="CE171" s="383" t="s">
        <v>1295</v>
      </c>
      <c r="CF171" s="383" t="s">
        <v>1295</v>
      </c>
      <c r="CG171" s="383" t="s">
        <v>1295</v>
      </c>
      <c r="CH171" s="383" t="s">
        <v>1295</v>
      </c>
      <c r="CI171" s="383" t="s">
        <v>1295</v>
      </c>
      <c r="CJ171" s="383" t="s">
        <v>1295</v>
      </c>
      <c r="CK171" s="383" t="s">
        <v>1295</v>
      </c>
      <c r="CL171" s="383" t="s">
        <v>1295</v>
      </c>
      <c r="CM171" s="383" t="s">
        <v>1295</v>
      </c>
      <c r="CN171" s="383" t="s">
        <v>1295</v>
      </c>
      <c r="CO171" s="383" t="s">
        <v>1295</v>
      </c>
      <c r="CP171" s="383" t="s">
        <v>1295</v>
      </c>
      <c r="CQ171" s="383" t="s">
        <v>1295</v>
      </c>
      <c r="CR171" s="383" t="s">
        <v>1295</v>
      </c>
      <c r="CS171" s="383" t="s">
        <v>1295</v>
      </c>
      <c r="CT171" s="383" t="s">
        <v>153</v>
      </c>
      <c r="CU171" s="383" t="s">
        <v>1295</v>
      </c>
      <c r="CV171" s="383" t="s">
        <v>1564</v>
      </c>
      <c r="CW171" s="383" t="s">
        <v>1303</v>
      </c>
      <c r="CX171" s="383"/>
    </row>
    <row r="172" spans="1:308" s="385" customFormat="1">
      <c r="A172" s="384" t="s">
        <v>1283</v>
      </c>
      <c r="B172" s="384" t="s">
        <v>1284</v>
      </c>
      <c r="C172" s="384" t="s">
        <v>1328</v>
      </c>
      <c r="D172" s="384" t="s">
        <v>1330</v>
      </c>
      <c r="E172" s="384" t="s">
        <v>1383</v>
      </c>
      <c r="F172" s="384" t="s">
        <v>1617</v>
      </c>
      <c r="G172" s="150" t="s">
        <v>1295</v>
      </c>
      <c r="H172" s="384" t="s">
        <v>1295</v>
      </c>
      <c r="I172" s="384" t="s">
        <v>1295</v>
      </c>
      <c r="J172" s="384" t="s">
        <v>1618</v>
      </c>
      <c r="K172" s="384" t="s">
        <v>1032</v>
      </c>
      <c r="L172" s="384" t="s">
        <v>1619</v>
      </c>
      <c r="M172" s="384" t="s">
        <v>1535</v>
      </c>
      <c r="N172" s="384" t="s">
        <v>1536</v>
      </c>
      <c r="O172" s="384" t="s">
        <v>912</v>
      </c>
      <c r="P172" s="384" t="s">
        <v>1295</v>
      </c>
      <c r="Q172" s="384" t="s">
        <v>1335</v>
      </c>
      <c r="R172" s="384" t="s">
        <v>1336</v>
      </c>
      <c r="S172" s="384" t="s">
        <v>1540</v>
      </c>
      <c r="T172" s="384" t="s">
        <v>1541</v>
      </c>
      <c r="U172" s="384" t="s">
        <v>1542</v>
      </c>
      <c r="V172" s="384" t="s">
        <v>1543</v>
      </c>
      <c r="W172" s="384" t="s">
        <v>1295</v>
      </c>
      <c r="X172" s="384" t="s">
        <v>1295</v>
      </c>
      <c r="Y172" s="384" t="s">
        <v>1295</v>
      </c>
      <c r="Z172" s="384" t="s">
        <v>1295</v>
      </c>
      <c r="AA172" s="384" t="s">
        <v>1295</v>
      </c>
      <c r="AB172" s="384" t="s">
        <v>1295</v>
      </c>
      <c r="AC172" s="384" t="s">
        <v>1620</v>
      </c>
      <c r="AD172" s="384" t="s">
        <v>1621</v>
      </c>
      <c r="AE172" s="384" t="s">
        <v>1546</v>
      </c>
      <c r="AF172" s="384" t="s">
        <v>1547</v>
      </c>
      <c r="AG172" s="384" t="s">
        <v>1620</v>
      </c>
      <c r="AH172" s="384" t="s">
        <v>1621</v>
      </c>
      <c r="AI172" s="384" t="s">
        <v>1622</v>
      </c>
      <c r="AJ172" s="384" t="s">
        <v>1295</v>
      </c>
      <c r="AK172" s="384" t="s">
        <v>1295</v>
      </c>
      <c r="AL172" s="384" t="s">
        <v>1295</v>
      </c>
      <c r="AM172" s="384" t="s">
        <v>1295</v>
      </c>
      <c r="AN172" s="384" t="s">
        <v>1295</v>
      </c>
      <c r="AO172" s="384" t="s">
        <v>1295</v>
      </c>
      <c r="AP172" s="384" t="s">
        <v>1295</v>
      </c>
      <c r="AQ172" s="384" t="s">
        <v>1295</v>
      </c>
      <c r="AR172" s="384" t="s">
        <v>1295</v>
      </c>
      <c r="AS172" s="384" t="s">
        <v>1295</v>
      </c>
      <c r="AT172" s="384" t="s">
        <v>1295</v>
      </c>
      <c r="AU172" s="384" t="s">
        <v>1295</v>
      </c>
      <c r="AV172" s="384" t="s">
        <v>1295</v>
      </c>
      <c r="AW172" s="384" t="s">
        <v>1295</v>
      </c>
      <c r="AX172" s="384" t="s">
        <v>1295</v>
      </c>
      <c r="AY172" s="384" t="s">
        <v>1295</v>
      </c>
      <c r="AZ172" s="384" t="s">
        <v>1295</v>
      </c>
      <c r="BA172" s="384" t="s">
        <v>1295</v>
      </c>
      <c r="BB172" s="384" t="s">
        <v>1295</v>
      </c>
      <c r="BC172" s="384" t="s">
        <v>1295</v>
      </c>
      <c r="BD172" s="384" t="s">
        <v>1295</v>
      </c>
      <c r="BE172" s="384" t="s">
        <v>1295</v>
      </c>
      <c r="BF172" s="384" t="s">
        <v>1295</v>
      </c>
      <c r="BG172" s="384" t="s">
        <v>1295</v>
      </c>
      <c r="BH172" s="384" t="s">
        <v>1295</v>
      </c>
      <c r="BI172" s="384" t="s">
        <v>1295</v>
      </c>
      <c r="BJ172" s="384" t="s">
        <v>1295</v>
      </c>
      <c r="BK172" s="384" t="s">
        <v>1295</v>
      </c>
      <c r="BL172" s="384" t="s">
        <v>1295</v>
      </c>
      <c r="BM172" s="384" t="s">
        <v>1295</v>
      </c>
      <c r="BN172" s="384" t="s">
        <v>1295</v>
      </c>
      <c r="BO172" s="384" t="s">
        <v>1540</v>
      </c>
      <c r="BP172" s="384" t="s">
        <v>1623</v>
      </c>
      <c r="BQ172" s="384" t="s">
        <v>1624</v>
      </c>
      <c r="BR172" s="384" t="s">
        <v>913</v>
      </c>
      <c r="BS172" s="384" t="s">
        <v>1295</v>
      </c>
      <c r="BT172" s="384" t="s">
        <v>1295</v>
      </c>
      <c r="BU172" s="384" t="s">
        <v>231</v>
      </c>
      <c r="BV172" s="384" t="s">
        <v>153</v>
      </c>
      <c r="BW172" s="384" t="s">
        <v>1295</v>
      </c>
      <c r="BX172" s="384" t="s">
        <v>1540</v>
      </c>
      <c r="BY172" s="384" t="s">
        <v>913</v>
      </c>
      <c r="BZ172" s="384" t="s">
        <v>1297</v>
      </c>
      <c r="CA172" s="384" t="s">
        <v>153</v>
      </c>
      <c r="CB172" s="384" t="s">
        <v>153</v>
      </c>
      <c r="CC172" s="384" t="s">
        <v>1295</v>
      </c>
      <c r="CD172" s="384" t="s">
        <v>1295</v>
      </c>
      <c r="CE172" s="384" t="s">
        <v>1295</v>
      </c>
      <c r="CF172" s="384" t="s">
        <v>1295</v>
      </c>
      <c r="CG172" s="384" t="s">
        <v>1295</v>
      </c>
      <c r="CH172" s="384" t="s">
        <v>1295</v>
      </c>
      <c r="CI172" s="384" t="s">
        <v>1295</v>
      </c>
      <c r="CJ172" s="384" t="s">
        <v>1295</v>
      </c>
      <c r="CK172" s="384" t="s">
        <v>1295</v>
      </c>
      <c r="CL172" s="384" t="s">
        <v>1295</v>
      </c>
      <c r="CM172" s="384" t="s">
        <v>1295</v>
      </c>
      <c r="CN172" s="384" t="s">
        <v>1295</v>
      </c>
      <c r="CO172" s="384" t="s">
        <v>1295</v>
      </c>
      <c r="CP172" s="384" t="s">
        <v>1295</v>
      </c>
      <c r="CQ172" s="384" t="s">
        <v>1295</v>
      </c>
      <c r="CR172" s="384" t="s">
        <v>1295</v>
      </c>
      <c r="CS172" s="384" t="s">
        <v>1295</v>
      </c>
      <c r="CT172" s="384" t="s">
        <v>153</v>
      </c>
      <c r="CU172" s="384" t="s">
        <v>1295</v>
      </c>
      <c r="CV172" s="384" t="s">
        <v>1564</v>
      </c>
      <c r="CW172" s="384" t="s">
        <v>1303</v>
      </c>
      <c r="CX172" s="384"/>
    </row>
    <row r="173" spans="1:308">
      <c r="A173" s="383" t="s">
        <v>1283</v>
      </c>
      <c r="B173" s="383" t="s">
        <v>1284</v>
      </c>
      <c r="C173" s="383" t="s">
        <v>1328</v>
      </c>
      <c r="D173" s="383" t="s">
        <v>1344</v>
      </c>
      <c r="E173" s="383" t="s">
        <v>1386</v>
      </c>
      <c r="F173" s="383" t="s">
        <v>1625</v>
      </c>
      <c r="G173" s="136" t="s">
        <v>1295</v>
      </c>
      <c r="H173" s="383" t="s">
        <v>1295</v>
      </c>
      <c r="I173" s="383" t="s">
        <v>1295</v>
      </c>
      <c r="J173" s="383" t="s">
        <v>1626</v>
      </c>
      <c r="K173" s="383" t="s">
        <v>1032</v>
      </c>
      <c r="L173" s="383" t="s">
        <v>1038</v>
      </c>
      <c r="M173" s="383" t="s">
        <v>1535</v>
      </c>
      <c r="N173" s="383" t="s">
        <v>1536</v>
      </c>
      <c r="O173" s="383" t="s">
        <v>1588</v>
      </c>
      <c r="P173" s="383" t="s">
        <v>1538</v>
      </c>
      <c r="Q173" s="383" t="s">
        <v>1335</v>
      </c>
      <c r="R173" s="383" t="s">
        <v>1567</v>
      </c>
      <c r="S173" s="383" t="s">
        <v>1540</v>
      </c>
      <c r="T173" s="383" t="s">
        <v>1541</v>
      </c>
      <c r="U173" s="383" t="s">
        <v>1542</v>
      </c>
      <c r="V173" s="383" t="s">
        <v>1543</v>
      </c>
      <c r="W173" s="383" t="s">
        <v>1295</v>
      </c>
      <c r="X173" s="383" t="s">
        <v>1295</v>
      </c>
      <c r="Y173" s="383" t="s">
        <v>1295</v>
      </c>
      <c r="Z173" s="383" t="s">
        <v>1295</v>
      </c>
      <c r="AA173" s="383" t="s">
        <v>1295</v>
      </c>
      <c r="AB173" s="383" t="s">
        <v>1295</v>
      </c>
      <c r="AC173" s="383" t="s">
        <v>1627</v>
      </c>
      <c r="AD173" s="383" t="s">
        <v>1569</v>
      </c>
      <c r="AE173" s="383" t="s">
        <v>1546</v>
      </c>
      <c r="AF173" s="383" t="s">
        <v>1547</v>
      </c>
      <c r="AG173" s="383" t="s">
        <v>1627</v>
      </c>
      <c r="AH173" s="383" t="s">
        <v>1569</v>
      </c>
      <c r="AI173" s="383" t="s">
        <v>1627</v>
      </c>
      <c r="AJ173" s="383" t="s">
        <v>1548</v>
      </c>
      <c r="AK173" s="383" t="s">
        <v>1628</v>
      </c>
      <c r="AL173" s="383" t="s">
        <v>1295</v>
      </c>
      <c r="AM173" s="383" t="s">
        <v>1295</v>
      </c>
      <c r="AN173" s="383" t="s">
        <v>1295</v>
      </c>
      <c r="AO173" s="383" t="s">
        <v>1295</v>
      </c>
      <c r="AP173" s="383" t="s">
        <v>1295</v>
      </c>
      <c r="AQ173" s="383" t="s">
        <v>1295</v>
      </c>
      <c r="AR173" s="383" t="s">
        <v>1629</v>
      </c>
      <c r="AS173" s="383" t="s">
        <v>1630</v>
      </c>
      <c r="AT173" s="383" t="s">
        <v>1295</v>
      </c>
      <c r="AU173" s="383" t="s">
        <v>1295</v>
      </c>
      <c r="AV173" s="383" t="s">
        <v>1631</v>
      </c>
      <c r="AW173" s="383" t="s">
        <v>1553</v>
      </c>
      <c r="AX173" s="383" t="s">
        <v>1295</v>
      </c>
      <c r="AY173" s="383" t="s">
        <v>1295</v>
      </c>
      <c r="AZ173" s="383" t="s">
        <v>1575</v>
      </c>
      <c r="BA173" s="383" t="s">
        <v>1576</v>
      </c>
      <c r="BB173" s="383" t="s">
        <v>1630</v>
      </c>
      <c r="BC173" s="383" t="s">
        <v>1295</v>
      </c>
      <c r="BD173" s="383" t="s">
        <v>1295</v>
      </c>
      <c r="BE173" s="383" t="s">
        <v>1295</v>
      </c>
      <c r="BF173" s="383" t="s">
        <v>1632</v>
      </c>
      <c r="BG173" s="383" t="s">
        <v>1596</v>
      </c>
      <c r="BH173" s="383" t="s">
        <v>1295</v>
      </c>
      <c r="BI173" s="383" t="s">
        <v>1557</v>
      </c>
      <c r="BJ173" s="383" t="s">
        <v>1558</v>
      </c>
      <c r="BK173" s="383" t="s">
        <v>1559</v>
      </c>
      <c r="BL173" s="383" t="s">
        <v>1560</v>
      </c>
      <c r="BM173" s="383" t="s">
        <v>1559</v>
      </c>
      <c r="BN173" s="383" t="s">
        <v>1295</v>
      </c>
      <c r="BO173" s="383" t="s">
        <v>1540</v>
      </c>
      <c r="BP173" s="383" t="s">
        <v>1597</v>
      </c>
      <c r="BQ173" s="383" t="s">
        <v>1633</v>
      </c>
      <c r="BR173" s="383" t="s">
        <v>913</v>
      </c>
      <c r="BS173" s="383" t="s">
        <v>1295</v>
      </c>
      <c r="BT173" s="383" t="s">
        <v>1295</v>
      </c>
      <c r="BU173" s="383" t="s">
        <v>231</v>
      </c>
      <c r="BV173" s="383" t="s">
        <v>163</v>
      </c>
      <c r="BW173" s="383" t="s">
        <v>1295</v>
      </c>
      <c r="BX173" s="383" t="s">
        <v>1540</v>
      </c>
      <c r="BY173" s="383" t="s">
        <v>913</v>
      </c>
      <c r="BZ173" s="383" t="s">
        <v>1297</v>
      </c>
      <c r="CA173" s="383" t="s">
        <v>153</v>
      </c>
      <c r="CB173" s="383" t="s">
        <v>153</v>
      </c>
      <c r="CC173" s="383" t="s">
        <v>1295</v>
      </c>
      <c r="CD173" s="383" t="s">
        <v>1295</v>
      </c>
      <c r="CE173" s="383" t="s">
        <v>1295</v>
      </c>
      <c r="CF173" s="383" t="s">
        <v>1295</v>
      </c>
      <c r="CG173" s="383" t="s">
        <v>1295</v>
      </c>
      <c r="CH173" s="383" t="s">
        <v>1295</v>
      </c>
      <c r="CI173" s="383" t="s">
        <v>1295</v>
      </c>
      <c r="CJ173" s="383" t="s">
        <v>1295</v>
      </c>
      <c r="CK173" s="383" t="s">
        <v>1295</v>
      </c>
      <c r="CL173" s="383" t="s">
        <v>1295</v>
      </c>
      <c r="CM173" s="383" t="s">
        <v>1295</v>
      </c>
      <c r="CN173" s="383" t="s">
        <v>1295</v>
      </c>
      <c r="CO173" s="383" t="s">
        <v>1295</v>
      </c>
      <c r="CP173" s="383" t="s">
        <v>1295</v>
      </c>
      <c r="CQ173" s="383" t="s">
        <v>1295</v>
      </c>
      <c r="CR173" s="383" t="s">
        <v>1295</v>
      </c>
      <c r="CS173" s="383" t="s">
        <v>1295</v>
      </c>
      <c r="CT173" s="383" t="s">
        <v>153</v>
      </c>
      <c r="CU173" s="383" t="s">
        <v>1295</v>
      </c>
      <c r="CV173" s="383" t="s">
        <v>1564</v>
      </c>
      <c r="CW173" s="383" t="s">
        <v>1303</v>
      </c>
      <c r="CX173" s="383"/>
    </row>
    <row r="175" spans="1:308">
      <c r="A175" s="33"/>
      <c r="B175" s="33"/>
      <c r="C175" s="33"/>
      <c r="D175" s="33"/>
      <c r="E175" s="33"/>
      <c r="F175" s="33"/>
      <c r="G175" s="563"/>
      <c r="H175" s="33"/>
      <c r="I175" s="33"/>
      <c r="J175" s="33"/>
      <c r="K175" s="33"/>
      <c r="L175" s="33"/>
      <c r="M175" s="33"/>
      <c r="N175" s="33"/>
      <c r="O175" s="33"/>
      <c r="P175" s="33"/>
      <c r="Q175" s="33"/>
      <c r="R175" s="33"/>
      <c r="S175" s="33"/>
      <c r="T175" s="33"/>
      <c r="U175" s="33"/>
      <c r="V175" s="33"/>
      <c r="W175" s="33"/>
      <c r="X175" s="33"/>
      <c r="Y175" s="33"/>
      <c r="Z175" s="33"/>
      <c r="AA175" s="33"/>
      <c r="AB175" s="33"/>
      <c r="AC175" s="480">
        <v>6326736</v>
      </c>
      <c r="AD175" s="33"/>
      <c r="AE175" s="33"/>
      <c r="AF175" s="33"/>
      <c r="AG175" s="556" t="s">
        <v>1620</v>
      </c>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row>
    <row r="176" spans="1:308">
      <c r="A176" s="33"/>
      <c r="B176" s="33"/>
      <c r="C176" s="33"/>
      <c r="D176" s="33"/>
      <c r="E176" s="33"/>
      <c r="F176" s="33"/>
      <c r="G176" s="563"/>
      <c r="H176" s="33"/>
      <c r="I176" s="33"/>
      <c r="J176" s="33"/>
      <c r="K176" s="33"/>
      <c r="L176" s="33"/>
      <c r="M176" s="33"/>
      <c r="N176" s="33"/>
      <c r="O176" s="33"/>
      <c r="P176" s="33"/>
      <c r="Q176" s="33"/>
      <c r="R176" s="33"/>
      <c r="S176" s="33"/>
      <c r="T176" s="33"/>
      <c r="U176" s="33"/>
      <c r="V176" s="33"/>
      <c r="W176" s="33"/>
      <c r="X176" s="33"/>
      <c r="Y176" s="33"/>
      <c r="Z176" s="33"/>
      <c r="AA176" s="33"/>
      <c r="AB176" s="33"/>
      <c r="AC176" s="480">
        <v>1383690177</v>
      </c>
      <c r="AD176" s="33"/>
      <c r="AE176" s="33"/>
      <c r="AF176" s="33"/>
      <c r="AG176" s="557" t="s">
        <v>1634</v>
      </c>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row>
    <row r="177" spans="1:97" s="326" customFormat="1">
      <c r="A177" s="32" t="s">
        <v>1635</v>
      </c>
      <c r="B177" s="32"/>
      <c r="C177" s="32"/>
      <c r="D177" s="32"/>
      <c r="E177" s="32"/>
      <c r="F177" s="32"/>
      <c r="G177" s="564"/>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558">
        <f>AG175-AG176</f>
        <v>1385452938</v>
      </c>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row>
    <row r="178" spans="1:97" s="326" customFormat="1">
      <c r="A178" s="32" t="s">
        <v>1223</v>
      </c>
      <c r="B178" s="32"/>
      <c r="C178" s="32"/>
      <c r="D178" s="32"/>
      <c r="E178" s="32"/>
      <c r="F178" s="32"/>
      <c r="G178" s="564"/>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row>
    <row r="179" spans="1:97" s="326" customFormat="1">
      <c r="A179" s="32" t="s">
        <v>1224</v>
      </c>
      <c r="B179" s="32"/>
      <c r="C179" s="32"/>
      <c r="D179" s="32"/>
      <c r="E179" s="32"/>
      <c r="F179" s="32"/>
      <c r="G179" s="564"/>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row>
    <row r="180" spans="1:97" s="326" customFormat="1">
      <c r="A180" s="473" t="s">
        <v>1225</v>
      </c>
      <c r="B180" s="32"/>
      <c r="C180" s="32"/>
      <c r="D180" s="32"/>
      <c r="E180" s="32"/>
      <c r="F180" s="32"/>
      <c r="G180" s="564"/>
      <c r="H180" s="32"/>
      <c r="I180" s="32"/>
      <c r="J180" s="32"/>
      <c r="K180" s="32"/>
      <c r="L180" s="32"/>
      <c r="M180" s="32"/>
      <c r="N180" s="32"/>
      <c r="O180" s="32"/>
      <c r="P180" s="32"/>
      <c r="Q180" s="32"/>
      <c r="R180" s="32"/>
      <c r="S180" s="32"/>
      <c r="T180" s="32"/>
      <c r="U180" s="32"/>
      <c r="V180" s="32"/>
      <c r="W180" s="32"/>
      <c r="X180" s="32"/>
      <c r="Y180" s="32"/>
      <c r="Z180" s="32"/>
      <c r="AA180" s="32"/>
      <c r="AB180" s="32"/>
      <c r="AC180" s="783">
        <v>-19146966.41</v>
      </c>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row>
    <row r="181" spans="1:97" s="326" customFormat="1">
      <c r="A181" s="473" t="s">
        <v>1226</v>
      </c>
      <c r="B181" s="32"/>
      <c r="C181" s="32"/>
      <c r="D181" s="32"/>
      <c r="E181" s="32"/>
      <c r="F181" s="32"/>
      <c r="G181" s="564"/>
      <c r="H181" s="32"/>
      <c r="I181" s="32"/>
      <c r="J181" s="32"/>
      <c r="K181" s="32"/>
      <c r="L181" s="32"/>
      <c r="M181" s="32"/>
      <c r="N181" s="32"/>
      <c r="O181" s="32"/>
      <c r="P181" s="32"/>
      <c r="Q181" s="32"/>
      <c r="R181" s="32"/>
      <c r="S181" s="32"/>
      <c r="T181" s="32"/>
      <c r="U181" s="32"/>
      <c r="V181" s="32"/>
      <c r="W181" s="32"/>
      <c r="X181" s="32"/>
      <c r="Y181" s="32"/>
      <c r="Z181" s="32"/>
      <c r="AA181" s="32"/>
      <c r="AB181" s="32"/>
      <c r="AC181" s="480">
        <v>1383690177</v>
      </c>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row>
    <row r="182" spans="1:97" s="326" customFormat="1">
      <c r="A182" s="473" t="s">
        <v>1227</v>
      </c>
      <c r="B182" s="32"/>
      <c r="C182" s="32"/>
      <c r="D182" s="32"/>
      <c r="E182" s="32"/>
      <c r="F182" s="32"/>
      <c r="G182" s="564"/>
      <c r="H182" s="32"/>
      <c r="I182" s="32"/>
      <c r="J182" s="32"/>
      <c r="K182" s="32"/>
      <c r="L182" s="32"/>
      <c r="M182" s="32"/>
      <c r="N182" s="32"/>
      <c r="O182" s="32"/>
      <c r="P182" s="32"/>
      <c r="Q182" s="32"/>
      <c r="R182" s="32"/>
      <c r="S182" s="32"/>
      <c r="T182" s="32"/>
      <c r="U182" s="32"/>
      <c r="V182" s="32"/>
      <c r="W182" s="32"/>
      <c r="X182" s="32"/>
      <c r="Y182" s="32"/>
      <c r="Z182" s="32"/>
      <c r="AA182" s="32"/>
      <c r="AB182" s="32"/>
      <c r="AC182" s="480">
        <v>6326736</v>
      </c>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row>
    <row r="183" spans="1:97" s="326" customFormat="1">
      <c r="A183" s="474" t="s">
        <v>1228</v>
      </c>
      <c r="B183" s="32" t="s">
        <v>1636</v>
      </c>
      <c r="C183" s="32"/>
      <c r="D183" s="32"/>
      <c r="E183" s="32"/>
      <c r="F183" s="32"/>
      <c r="G183" s="564"/>
      <c r="H183" s="32"/>
      <c r="I183" s="32"/>
      <c r="J183" s="32"/>
      <c r="K183" s="32"/>
      <c r="L183" s="32"/>
      <c r="M183" s="32"/>
      <c r="N183" s="32"/>
      <c r="O183" s="32"/>
      <c r="P183" s="32"/>
      <c r="Q183" s="32"/>
      <c r="R183" s="32"/>
      <c r="S183" s="32"/>
      <c r="T183" s="32"/>
      <c r="U183" s="32"/>
      <c r="V183" s="32"/>
      <c r="W183" s="32"/>
      <c r="X183" s="32"/>
      <c r="Y183" s="32"/>
      <c r="Z183" s="32"/>
      <c r="AA183" s="32"/>
      <c r="AB183" s="32"/>
      <c r="AC183" s="784">
        <v>1762761</v>
      </c>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row>
    <row r="184" spans="1:97" s="326" customFormat="1">
      <c r="A184" s="473" t="s">
        <v>1350</v>
      </c>
      <c r="B184" s="32"/>
      <c r="C184" s="32"/>
      <c r="D184" s="32"/>
      <c r="E184" s="32"/>
      <c r="F184" s="32"/>
      <c r="G184" s="564"/>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row>
    <row r="185" spans="1:97" s="326" customFormat="1">
      <c r="A185" s="473" t="s">
        <v>1351</v>
      </c>
      <c r="B185" s="32"/>
      <c r="C185" s="32"/>
      <c r="D185" s="32"/>
      <c r="E185" s="32"/>
      <c r="F185" s="32"/>
      <c r="G185" s="564"/>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row>
    <row r="186" spans="1:97" s="326" customFormat="1">
      <c r="A186" s="473" t="s">
        <v>1352</v>
      </c>
      <c r="B186" s="32"/>
      <c r="C186" s="32"/>
      <c r="D186" s="32"/>
      <c r="E186" s="32"/>
      <c r="F186" s="32"/>
      <c r="G186" s="564"/>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row>
    <row r="187" spans="1:97" s="326" customFormat="1">
      <c r="A187" s="473" t="s">
        <v>1353</v>
      </c>
      <c r="B187" s="32"/>
      <c r="C187" s="32"/>
      <c r="D187" s="32"/>
      <c r="E187" s="32"/>
      <c r="F187" s="32"/>
      <c r="G187" s="564"/>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row>
    <row r="188" spans="1:97" s="326" customFormat="1">
      <c r="A188" s="32" t="s">
        <v>1438</v>
      </c>
      <c r="B188" s="32" t="s">
        <v>1439</v>
      </c>
      <c r="C188" s="32"/>
      <c r="D188" s="32"/>
      <c r="E188" s="32"/>
      <c r="F188" s="32"/>
      <c r="G188" s="564"/>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row>
    <row r="189" spans="1:97" s="326" customFormat="1">
      <c r="A189" s="32" t="s">
        <v>1637</v>
      </c>
      <c r="B189" s="32"/>
      <c r="C189" s="32"/>
      <c r="D189" s="32"/>
      <c r="E189" s="32"/>
      <c r="F189" s="32"/>
      <c r="G189" s="564"/>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row>
    <row r="190" spans="1:97">
      <c r="A190" s="382" t="s">
        <v>1234</v>
      </c>
      <c r="B190" s="382" t="s">
        <v>1235</v>
      </c>
      <c r="C190" s="382" t="s">
        <v>1236</v>
      </c>
      <c r="D190" s="382" t="s">
        <v>1237</v>
      </c>
      <c r="E190" s="382" t="s">
        <v>93</v>
      </c>
      <c r="F190" s="382" t="s">
        <v>1638</v>
      </c>
      <c r="G190" s="565" t="s">
        <v>1447</v>
      </c>
      <c r="H190" s="382" t="s">
        <v>1639</v>
      </c>
      <c r="I190" s="382" t="s">
        <v>1239</v>
      </c>
      <c r="J190" s="382" t="s">
        <v>1238</v>
      </c>
      <c r="K190" s="382" t="s">
        <v>1640</v>
      </c>
      <c r="L190" s="382" t="s">
        <v>1641</v>
      </c>
      <c r="M190" s="382" t="s">
        <v>1642</v>
      </c>
      <c r="N190" s="382" t="s">
        <v>1242</v>
      </c>
      <c r="O190" s="382" t="s">
        <v>1257</v>
      </c>
      <c r="P190" s="382" t="s">
        <v>135</v>
      </c>
      <c r="Q190" s="382" t="s">
        <v>845</v>
      </c>
      <c r="R190" s="382" t="s">
        <v>140</v>
      </c>
      <c r="S190" s="382" t="s">
        <v>141</v>
      </c>
      <c r="T190" s="382"/>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row>
    <row r="191" spans="1:97">
      <c r="A191" s="382" t="s">
        <v>1283</v>
      </c>
      <c r="B191" s="382" t="s">
        <v>1284</v>
      </c>
      <c r="C191" s="382" t="s">
        <v>1285</v>
      </c>
      <c r="D191" s="382" t="s">
        <v>1286</v>
      </c>
      <c r="E191" s="382" t="s">
        <v>1287</v>
      </c>
      <c r="F191" s="382" t="s">
        <v>1643</v>
      </c>
      <c r="G191" s="565" t="s">
        <v>1535</v>
      </c>
      <c r="H191" s="382"/>
      <c r="I191" s="382" t="s">
        <v>1289</v>
      </c>
      <c r="J191" s="382" t="s">
        <v>1288</v>
      </c>
      <c r="K191" s="382" t="s">
        <v>1644</v>
      </c>
      <c r="L191" s="382"/>
      <c r="M191" s="382" t="s">
        <v>1645</v>
      </c>
      <c r="N191" s="382" t="s">
        <v>1646</v>
      </c>
      <c r="O191" s="382" t="s">
        <v>1296</v>
      </c>
      <c r="P191" s="382" t="s">
        <v>1647</v>
      </c>
      <c r="Q191" s="382" t="s">
        <v>1648</v>
      </c>
      <c r="R191" s="382" t="s">
        <v>1303</v>
      </c>
      <c r="S191" s="382" t="s">
        <v>153</v>
      </c>
      <c r="T191" s="382"/>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row>
    <row r="192" spans="1:97">
      <c r="A192" s="382" t="s">
        <v>1283</v>
      </c>
      <c r="B192" s="382" t="s">
        <v>1284</v>
      </c>
      <c r="C192" s="382" t="s">
        <v>1285</v>
      </c>
      <c r="D192" s="382" t="s">
        <v>1286</v>
      </c>
      <c r="E192" s="382" t="s">
        <v>1287</v>
      </c>
      <c r="F192" s="382" t="s">
        <v>1643</v>
      </c>
      <c r="G192" s="565" t="s">
        <v>1535</v>
      </c>
      <c r="H192" s="382"/>
      <c r="I192" s="382" t="s">
        <v>1309</v>
      </c>
      <c r="J192" s="382" t="s">
        <v>1308</v>
      </c>
      <c r="K192" s="382" t="s">
        <v>1644</v>
      </c>
      <c r="L192" s="382"/>
      <c r="M192" s="382" t="s">
        <v>1645</v>
      </c>
      <c r="N192" s="382" t="s">
        <v>1544</v>
      </c>
      <c r="O192" s="382" t="s">
        <v>1296</v>
      </c>
      <c r="P192" s="382" t="s">
        <v>1647</v>
      </c>
      <c r="Q192" s="382" t="s">
        <v>1648</v>
      </c>
      <c r="R192" s="382" t="s">
        <v>1303</v>
      </c>
      <c r="S192" s="382" t="s">
        <v>153</v>
      </c>
      <c r="T192" s="382"/>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row>
    <row r="193" spans="1:97">
      <c r="A193" s="382" t="s">
        <v>1283</v>
      </c>
      <c r="B193" s="382" t="s">
        <v>1284</v>
      </c>
      <c r="C193" s="382" t="s">
        <v>1285</v>
      </c>
      <c r="D193" s="382" t="s">
        <v>1311</v>
      </c>
      <c r="E193" s="382" t="s">
        <v>1038</v>
      </c>
      <c r="F193" s="382" t="s">
        <v>1643</v>
      </c>
      <c r="G193" s="565" t="s">
        <v>1535</v>
      </c>
      <c r="H193" s="382"/>
      <c r="I193" s="382" t="s">
        <v>1317</v>
      </c>
      <c r="J193" s="382" t="s">
        <v>1316</v>
      </c>
      <c r="K193" s="382" t="s">
        <v>1644</v>
      </c>
      <c r="L193" s="382"/>
      <c r="M193" s="382" t="s">
        <v>1645</v>
      </c>
      <c r="N193" s="382" t="s">
        <v>1649</v>
      </c>
      <c r="O193" s="382" t="s">
        <v>1296</v>
      </c>
      <c r="P193" s="382" t="s">
        <v>1647</v>
      </c>
      <c r="Q193" s="382" t="s">
        <v>1648</v>
      </c>
      <c r="R193" s="382" t="s">
        <v>1303</v>
      </c>
      <c r="S193" s="382" t="s">
        <v>153</v>
      </c>
      <c r="T193" s="382"/>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row>
    <row r="194" spans="1:97">
      <c r="A194" s="382" t="s">
        <v>1283</v>
      </c>
      <c r="B194" s="382" t="s">
        <v>1284</v>
      </c>
      <c r="C194" s="382" t="s">
        <v>1285</v>
      </c>
      <c r="D194" s="382" t="s">
        <v>1311</v>
      </c>
      <c r="E194" s="382" t="s">
        <v>1038</v>
      </c>
      <c r="F194" s="382" t="s">
        <v>1643</v>
      </c>
      <c r="G194" s="565" t="s">
        <v>1535</v>
      </c>
      <c r="H194" s="382"/>
      <c r="I194" s="382" t="s">
        <v>1313</v>
      </c>
      <c r="J194" s="382" t="s">
        <v>1312</v>
      </c>
      <c r="K194" s="382" t="s">
        <v>1644</v>
      </c>
      <c r="L194" s="382"/>
      <c r="M194" s="382" t="s">
        <v>1645</v>
      </c>
      <c r="N194" s="382" t="s">
        <v>1568</v>
      </c>
      <c r="O194" s="382" t="s">
        <v>1296</v>
      </c>
      <c r="P194" s="382" t="s">
        <v>1647</v>
      </c>
      <c r="Q194" s="382" t="s">
        <v>1648</v>
      </c>
      <c r="R194" s="382" t="s">
        <v>1303</v>
      </c>
      <c r="S194" s="382" t="s">
        <v>153</v>
      </c>
      <c r="T194" s="382"/>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row>
    <row r="195" spans="1:97">
      <c r="A195" s="382" t="s">
        <v>1283</v>
      </c>
      <c r="B195" s="382" t="s">
        <v>1284</v>
      </c>
      <c r="C195" s="382" t="s">
        <v>1285</v>
      </c>
      <c r="D195" s="382" t="s">
        <v>1319</v>
      </c>
      <c r="E195" s="382" t="s">
        <v>1038</v>
      </c>
      <c r="F195" s="382" t="s">
        <v>1643</v>
      </c>
      <c r="G195" s="565" t="s">
        <v>1535</v>
      </c>
      <c r="H195" s="382"/>
      <c r="I195" s="382" t="s">
        <v>1309</v>
      </c>
      <c r="J195" s="382" t="s">
        <v>1308</v>
      </c>
      <c r="K195" s="382" t="s">
        <v>1644</v>
      </c>
      <c r="L195" s="382"/>
      <c r="M195" s="382" t="s">
        <v>1645</v>
      </c>
      <c r="N195" s="382" t="s">
        <v>1579</v>
      </c>
      <c r="O195" s="382" t="s">
        <v>1296</v>
      </c>
      <c r="P195" s="382" t="s">
        <v>1647</v>
      </c>
      <c r="Q195" s="382" t="s">
        <v>1648</v>
      </c>
      <c r="R195" s="382" t="s">
        <v>1303</v>
      </c>
      <c r="S195" s="382" t="s">
        <v>153</v>
      </c>
      <c r="T195" s="382"/>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row>
    <row r="196" spans="1:97">
      <c r="A196" s="382" t="s">
        <v>1283</v>
      </c>
      <c r="B196" s="382" t="s">
        <v>1284</v>
      </c>
      <c r="C196" s="382" t="s">
        <v>1285</v>
      </c>
      <c r="D196" s="382" t="s">
        <v>1319</v>
      </c>
      <c r="E196" s="382" t="s">
        <v>1038</v>
      </c>
      <c r="F196" s="382" t="s">
        <v>1643</v>
      </c>
      <c r="G196" s="565" t="s">
        <v>1535</v>
      </c>
      <c r="H196" s="382"/>
      <c r="I196" s="382" t="s">
        <v>1289</v>
      </c>
      <c r="J196" s="382" t="s">
        <v>1288</v>
      </c>
      <c r="K196" s="382" t="s">
        <v>1644</v>
      </c>
      <c r="L196" s="382"/>
      <c r="M196" s="382" t="s">
        <v>1645</v>
      </c>
      <c r="N196" s="382" t="s">
        <v>1650</v>
      </c>
      <c r="O196" s="382" t="s">
        <v>1296</v>
      </c>
      <c r="P196" s="382" t="s">
        <v>1647</v>
      </c>
      <c r="Q196" s="382" t="s">
        <v>1648</v>
      </c>
      <c r="R196" s="382" t="s">
        <v>1303</v>
      </c>
      <c r="S196" s="382" t="s">
        <v>153</v>
      </c>
      <c r="T196" s="382"/>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row>
    <row r="197" spans="1:97">
      <c r="A197" s="382" t="s">
        <v>1283</v>
      </c>
      <c r="B197" s="382" t="s">
        <v>1284</v>
      </c>
      <c r="C197" s="382" t="s">
        <v>1285</v>
      </c>
      <c r="D197" s="382" t="s">
        <v>1320</v>
      </c>
      <c r="E197" s="382" t="s">
        <v>1038</v>
      </c>
      <c r="F197" s="382" t="s">
        <v>1643</v>
      </c>
      <c r="G197" s="565" t="s">
        <v>1535</v>
      </c>
      <c r="H197" s="382"/>
      <c r="I197" s="382" t="s">
        <v>1322</v>
      </c>
      <c r="J197" s="382" t="s">
        <v>1321</v>
      </c>
      <c r="K197" s="382" t="s">
        <v>1321</v>
      </c>
      <c r="L197" s="382"/>
      <c r="M197" s="382" t="s">
        <v>1645</v>
      </c>
      <c r="N197" s="382" t="s">
        <v>1589</v>
      </c>
      <c r="O197" s="382" t="s">
        <v>1296</v>
      </c>
      <c r="P197" s="382" t="s">
        <v>1647</v>
      </c>
      <c r="Q197" s="382" t="s">
        <v>1648</v>
      </c>
      <c r="R197" s="382" t="s">
        <v>1303</v>
      </c>
      <c r="S197" s="382" t="s">
        <v>153</v>
      </c>
      <c r="T197" s="382"/>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row>
    <row r="198" spans="1:97">
      <c r="A198" s="382" t="s">
        <v>1283</v>
      </c>
      <c r="B198" s="382" t="s">
        <v>1284</v>
      </c>
      <c r="C198" s="382" t="s">
        <v>1285</v>
      </c>
      <c r="D198" s="382" t="s">
        <v>1327</v>
      </c>
      <c r="E198" s="382" t="s">
        <v>1038</v>
      </c>
      <c r="F198" s="382" t="s">
        <v>1643</v>
      </c>
      <c r="G198" s="565" t="s">
        <v>1535</v>
      </c>
      <c r="H198" s="382"/>
      <c r="I198" s="382" t="s">
        <v>1317</v>
      </c>
      <c r="J198" s="382" t="s">
        <v>1316</v>
      </c>
      <c r="K198" s="382" t="s">
        <v>1644</v>
      </c>
      <c r="L198" s="382"/>
      <c r="M198" s="382" t="s">
        <v>1645</v>
      </c>
      <c r="N198" s="382" t="s">
        <v>1651</v>
      </c>
      <c r="O198" s="382" t="s">
        <v>1296</v>
      </c>
      <c r="P198" s="382" t="s">
        <v>1647</v>
      </c>
      <c r="Q198" s="382" t="s">
        <v>1648</v>
      </c>
      <c r="R198" s="382" t="s">
        <v>1303</v>
      </c>
      <c r="S198" s="382" t="s">
        <v>153</v>
      </c>
      <c r="T198" s="382"/>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row>
    <row r="199" spans="1:97">
      <c r="A199" s="382" t="s">
        <v>1283</v>
      </c>
      <c r="B199" s="382" t="s">
        <v>1284</v>
      </c>
      <c r="C199" s="382" t="s">
        <v>1285</v>
      </c>
      <c r="D199" s="382" t="s">
        <v>1327</v>
      </c>
      <c r="E199" s="382" t="s">
        <v>1038</v>
      </c>
      <c r="F199" s="382" t="s">
        <v>1643</v>
      </c>
      <c r="G199" s="565" t="s">
        <v>1535</v>
      </c>
      <c r="H199" s="382"/>
      <c r="I199" s="382" t="s">
        <v>1313</v>
      </c>
      <c r="J199" s="382" t="s">
        <v>1312</v>
      </c>
      <c r="K199" s="382" t="s">
        <v>1644</v>
      </c>
      <c r="L199" s="382"/>
      <c r="M199" s="382" t="s">
        <v>1645</v>
      </c>
      <c r="N199" s="382" t="s">
        <v>1601</v>
      </c>
      <c r="O199" s="382" t="s">
        <v>1296</v>
      </c>
      <c r="P199" s="382" t="s">
        <v>1647</v>
      </c>
      <c r="Q199" s="382" t="s">
        <v>1648</v>
      </c>
      <c r="R199" s="382" t="s">
        <v>1303</v>
      </c>
      <c r="S199" s="382" t="s">
        <v>153</v>
      </c>
      <c r="T199" s="382"/>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row>
    <row r="200" spans="1:97">
      <c r="A200" s="382" t="s">
        <v>1283</v>
      </c>
      <c r="B200" s="382" t="s">
        <v>1284</v>
      </c>
      <c r="C200" s="382" t="s">
        <v>1328</v>
      </c>
      <c r="D200" s="382" t="s">
        <v>1329</v>
      </c>
      <c r="E200" s="382" t="s">
        <v>1038</v>
      </c>
      <c r="F200" s="382" t="s">
        <v>1643</v>
      </c>
      <c r="G200" s="565" t="s">
        <v>1535</v>
      </c>
      <c r="H200" s="382"/>
      <c r="I200" s="382" t="s">
        <v>1322</v>
      </c>
      <c r="J200" s="382" t="s">
        <v>1321</v>
      </c>
      <c r="K200" s="382" t="s">
        <v>1321</v>
      </c>
      <c r="L200" s="382"/>
      <c r="M200" s="382" t="s">
        <v>1645</v>
      </c>
      <c r="N200" s="382" t="s">
        <v>1601</v>
      </c>
      <c r="O200" s="382" t="s">
        <v>1296</v>
      </c>
      <c r="P200" s="382" t="s">
        <v>1647</v>
      </c>
      <c r="Q200" s="382" t="s">
        <v>1648</v>
      </c>
      <c r="R200" s="382" t="s">
        <v>1303</v>
      </c>
      <c r="S200" s="382" t="s">
        <v>153</v>
      </c>
      <c r="T200" s="382"/>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row>
    <row r="201" spans="1:97">
      <c r="A201" s="382" t="s">
        <v>1283</v>
      </c>
      <c r="B201" s="382" t="s">
        <v>1284</v>
      </c>
      <c r="C201" s="382" t="s">
        <v>1328</v>
      </c>
      <c r="D201" s="382" t="s">
        <v>1330</v>
      </c>
      <c r="E201" s="382" t="s">
        <v>1287</v>
      </c>
      <c r="F201" s="382" t="s">
        <v>1643</v>
      </c>
      <c r="G201" s="565" t="s">
        <v>1535</v>
      </c>
      <c r="H201" s="382"/>
      <c r="I201" s="382" t="s">
        <v>1341</v>
      </c>
      <c r="J201" s="382" t="s">
        <v>1340</v>
      </c>
      <c r="K201" s="382" t="s">
        <v>1340</v>
      </c>
      <c r="L201" s="382"/>
      <c r="M201" s="382" t="s">
        <v>1645</v>
      </c>
      <c r="N201" s="382" t="s">
        <v>1652</v>
      </c>
      <c r="O201" s="382" t="s">
        <v>1296</v>
      </c>
      <c r="P201" s="382" t="s">
        <v>1647</v>
      </c>
      <c r="Q201" s="382" t="s">
        <v>1648</v>
      </c>
      <c r="R201" s="382" t="s">
        <v>1303</v>
      </c>
      <c r="S201" s="382" t="s">
        <v>153</v>
      </c>
      <c r="T201" s="382"/>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row>
    <row r="202" spans="1:97">
      <c r="A202" s="382" t="s">
        <v>1283</v>
      </c>
      <c r="B202" s="382" t="s">
        <v>1284</v>
      </c>
      <c r="C202" s="382" t="s">
        <v>1328</v>
      </c>
      <c r="D202" s="382" t="s">
        <v>1330</v>
      </c>
      <c r="E202" s="382" t="s">
        <v>1038</v>
      </c>
      <c r="F202" s="382" t="s">
        <v>1643</v>
      </c>
      <c r="G202" s="565" t="s">
        <v>1535</v>
      </c>
      <c r="H202" s="382"/>
      <c r="I202" s="382" t="s">
        <v>1341</v>
      </c>
      <c r="J202" s="382" t="s">
        <v>1340</v>
      </c>
      <c r="K202" s="382" t="s">
        <v>1340</v>
      </c>
      <c r="L202" s="382"/>
      <c r="M202" s="382" t="s">
        <v>1645</v>
      </c>
      <c r="N202" s="382" t="s">
        <v>1653</v>
      </c>
      <c r="O202" s="382" t="s">
        <v>1296</v>
      </c>
      <c r="P202" s="382" t="s">
        <v>1647</v>
      </c>
      <c r="Q202" s="382" t="s">
        <v>1648</v>
      </c>
      <c r="R202" s="382" t="s">
        <v>1303</v>
      </c>
      <c r="S202" s="382" t="s">
        <v>153</v>
      </c>
      <c r="T202" s="382"/>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row>
    <row r="203" spans="1:97">
      <c r="A203" s="382" t="s">
        <v>1283</v>
      </c>
      <c r="B203" s="382" t="s">
        <v>1284</v>
      </c>
      <c r="C203" s="382" t="s">
        <v>1328</v>
      </c>
      <c r="D203" s="382" t="s">
        <v>1330</v>
      </c>
      <c r="E203" s="382" t="s">
        <v>1032</v>
      </c>
      <c r="F203" s="382" t="s">
        <v>1643</v>
      </c>
      <c r="G203" s="565" t="s">
        <v>1535</v>
      </c>
      <c r="H203" s="382"/>
      <c r="I203" s="382" t="s">
        <v>1341</v>
      </c>
      <c r="J203" s="382" t="s">
        <v>1340</v>
      </c>
      <c r="K203" s="382" t="s">
        <v>1340</v>
      </c>
      <c r="L203" s="382"/>
      <c r="M203" s="382" t="s">
        <v>1645</v>
      </c>
      <c r="N203" s="382" t="s">
        <v>1634</v>
      </c>
      <c r="O203" s="382" t="s">
        <v>1296</v>
      </c>
      <c r="P203" s="382" t="s">
        <v>1647</v>
      </c>
      <c r="Q203" s="382" t="s">
        <v>1648</v>
      </c>
      <c r="R203" s="382" t="s">
        <v>1303</v>
      </c>
      <c r="S203" s="382" t="s">
        <v>153</v>
      </c>
      <c r="T203" s="382"/>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row>
    <row r="204" spans="1:97">
      <c r="A204" s="382" t="s">
        <v>1283</v>
      </c>
      <c r="B204" s="382" t="s">
        <v>1284</v>
      </c>
      <c r="C204" s="382" t="s">
        <v>1328</v>
      </c>
      <c r="D204" s="382" t="s">
        <v>1330</v>
      </c>
      <c r="E204" s="382" t="s">
        <v>1032</v>
      </c>
      <c r="F204" s="382" t="s">
        <v>1643</v>
      </c>
      <c r="G204" s="565" t="s">
        <v>1535</v>
      </c>
      <c r="H204" s="382"/>
      <c r="I204" s="382" t="s">
        <v>1332</v>
      </c>
      <c r="J204" s="382" t="s">
        <v>1331</v>
      </c>
      <c r="K204" s="382" t="s">
        <v>1331</v>
      </c>
      <c r="L204" s="382"/>
      <c r="M204" s="382" t="s">
        <v>1645</v>
      </c>
      <c r="N204" s="382" t="s">
        <v>1654</v>
      </c>
      <c r="O204" s="382" t="s">
        <v>1296</v>
      </c>
      <c r="P204" s="382" t="s">
        <v>1647</v>
      </c>
      <c r="Q204" s="382" t="s">
        <v>1648</v>
      </c>
      <c r="R204" s="382" t="s">
        <v>1303</v>
      </c>
      <c r="S204" s="382" t="s">
        <v>153</v>
      </c>
      <c r="T204" s="382"/>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row>
    <row r="205" spans="1:97">
      <c r="A205" s="33" t="s">
        <v>1283</v>
      </c>
      <c r="B205" s="33" t="s">
        <v>1284</v>
      </c>
      <c r="C205" s="33" t="s">
        <v>1328</v>
      </c>
      <c r="D205" s="33" t="s">
        <v>1344</v>
      </c>
      <c r="E205" s="33" t="s">
        <v>1038</v>
      </c>
      <c r="F205" s="33" t="s">
        <v>1643</v>
      </c>
      <c r="G205" s="563" t="s">
        <v>1535</v>
      </c>
      <c r="H205" s="33"/>
      <c r="I205" s="33" t="s">
        <v>1322</v>
      </c>
      <c r="J205" s="33" t="s">
        <v>1321</v>
      </c>
      <c r="K205" s="33" t="s">
        <v>1321</v>
      </c>
      <c r="L205" s="33"/>
      <c r="M205" s="33" t="s">
        <v>1645</v>
      </c>
      <c r="N205" s="33" t="s">
        <v>1627</v>
      </c>
      <c r="O205" s="33" t="s">
        <v>1296</v>
      </c>
      <c r="P205" s="33" t="s">
        <v>1647</v>
      </c>
      <c r="Q205" s="33" t="s">
        <v>1648</v>
      </c>
      <c r="R205" s="33" t="s">
        <v>1303</v>
      </c>
      <c r="S205" s="33" t="s">
        <v>153</v>
      </c>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row>
    <row r="206" spans="1:97">
      <c r="A206" s="33"/>
      <c r="B206" s="33"/>
      <c r="C206" s="33"/>
      <c r="D206" s="33"/>
      <c r="E206" s="33"/>
      <c r="F206" s="33"/>
      <c r="G206" s="56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row>
    <row r="207" spans="1:97">
      <c r="A207" s="32" t="s">
        <v>1655</v>
      </c>
      <c r="B207" s="33"/>
      <c r="C207" s="33"/>
      <c r="D207" s="33"/>
      <c r="E207" s="33"/>
      <c r="F207" s="33"/>
      <c r="G207" s="56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row>
    <row r="208" spans="1:97">
      <c r="A208" s="326" t="s">
        <v>1223</v>
      </c>
    </row>
    <row r="209" spans="1:63">
      <c r="A209" s="326" t="s">
        <v>1224</v>
      </c>
    </row>
    <row r="210" spans="1:63">
      <c r="A210" s="450" t="s">
        <v>1225</v>
      </c>
    </row>
    <row r="211" spans="1:63">
      <c r="A211" s="450" t="s">
        <v>1226</v>
      </c>
    </row>
    <row r="212" spans="1:63">
      <c r="A212" s="450" t="s">
        <v>1227</v>
      </c>
    </row>
    <row r="213" spans="1:63">
      <c r="A213" s="450" t="s">
        <v>1228</v>
      </c>
    </row>
    <row r="214" spans="1:63">
      <c r="A214" s="450" t="s">
        <v>1350</v>
      </c>
    </row>
    <row r="215" spans="1:63">
      <c r="A215" s="450" t="s">
        <v>1351</v>
      </c>
    </row>
    <row r="216" spans="1:63">
      <c r="A216" s="450" t="s">
        <v>1352</v>
      </c>
    </row>
    <row r="217" spans="1:63">
      <c r="A217" s="450" t="s">
        <v>1353</v>
      </c>
    </row>
    <row r="218" spans="1:63">
      <c r="A218" s="326" t="s">
        <v>1438</v>
      </c>
      <c r="B218" s="34" t="s">
        <v>1439</v>
      </c>
    </row>
    <row r="219" spans="1:63">
      <c r="A219" s="326" t="s">
        <v>1355</v>
      </c>
    </row>
    <row r="221" spans="1:63">
      <c r="A221" s="383" t="s">
        <v>1234</v>
      </c>
      <c r="B221" s="383" t="s">
        <v>1235</v>
      </c>
      <c r="C221" s="383" t="s">
        <v>1236</v>
      </c>
      <c r="D221" s="383" t="s">
        <v>1237</v>
      </c>
      <c r="E221" s="383" t="s">
        <v>93</v>
      </c>
      <c r="F221" s="383" t="s">
        <v>1656</v>
      </c>
      <c r="G221" s="136" t="s">
        <v>1657</v>
      </c>
      <c r="H221" s="383" t="s">
        <v>1658</v>
      </c>
      <c r="I221" s="383" t="s">
        <v>1659</v>
      </c>
      <c r="J221" s="383" t="s">
        <v>1660</v>
      </c>
      <c r="K221" s="383" t="s">
        <v>1661</v>
      </c>
      <c r="L221" s="383" t="s">
        <v>1662</v>
      </c>
      <c r="M221" s="383" t="s">
        <v>1663</v>
      </c>
      <c r="N221" s="383" t="s">
        <v>1254</v>
      </c>
      <c r="O221" s="383" t="s">
        <v>1664</v>
      </c>
      <c r="P221" s="383" t="s">
        <v>1665</v>
      </c>
      <c r="Q221" s="383" t="s">
        <v>1250</v>
      </c>
      <c r="R221" s="383" t="s">
        <v>1666</v>
      </c>
      <c r="S221" s="383" t="s">
        <v>1667</v>
      </c>
      <c r="T221" s="383" t="s">
        <v>1668</v>
      </c>
      <c r="U221" s="383" t="s">
        <v>1669</v>
      </c>
      <c r="V221" s="383" t="s">
        <v>1670</v>
      </c>
      <c r="W221" s="383" t="s">
        <v>1671</v>
      </c>
      <c r="X221" s="383" t="s">
        <v>1672</v>
      </c>
      <c r="Y221" s="383" t="s">
        <v>1673</v>
      </c>
      <c r="Z221" s="383" t="s">
        <v>1674</v>
      </c>
      <c r="AA221" s="383" t="s">
        <v>1675</v>
      </c>
      <c r="AB221" s="383" t="s">
        <v>1676</v>
      </c>
      <c r="AC221" s="383" t="s">
        <v>1677</v>
      </c>
      <c r="AD221" s="383" t="s">
        <v>782</v>
      </c>
      <c r="AE221" s="383" t="s">
        <v>1255</v>
      </c>
      <c r="AF221" s="383" t="s">
        <v>1678</v>
      </c>
      <c r="AG221" s="383" t="s">
        <v>1251</v>
      </c>
      <c r="AH221" s="383" t="s">
        <v>1679</v>
      </c>
      <c r="AI221" s="383" t="s">
        <v>1680</v>
      </c>
      <c r="AJ221" s="383" t="s">
        <v>1681</v>
      </c>
      <c r="AK221" s="383" t="s">
        <v>1682</v>
      </c>
      <c r="AL221" s="383" t="s">
        <v>1683</v>
      </c>
      <c r="AM221" s="383" t="s">
        <v>1684</v>
      </c>
      <c r="AN221" s="383" t="s">
        <v>1269</v>
      </c>
      <c r="AO221" s="383" t="s">
        <v>1270</v>
      </c>
      <c r="AP221" s="383" t="s">
        <v>1685</v>
      </c>
      <c r="AQ221" s="383" t="s">
        <v>1686</v>
      </c>
      <c r="AR221" s="383" t="s">
        <v>1687</v>
      </c>
      <c r="AS221" s="383" t="s">
        <v>1688</v>
      </c>
      <c r="AT221" s="383" t="s">
        <v>1689</v>
      </c>
      <c r="AU221" s="383" t="s">
        <v>1690</v>
      </c>
      <c r="AV221" s="383" t="s">
        <v>1691</v>
      </c>
      <c r="AW221" s="383" t="s">
        <v>1692</v>
      </c>
      <c r="AX221" s="383" t="s">
        <v>1693</v>
      </c>
      <c r="AY221" s="383" t="s">
        <v>1694</v>
      </c>
      <c r="AZ221" s="383" t="s">
        <v>1695</v>
      </c>
      <c r="BA221" s="383" t="s">
        <v>1696</v>
      </c>
      <c r="BB221" s="383" t="s">
        <v>1697</v>
      </c>
      <c r="BC221" s="383" t="s">
        <v>1698</v>
      </c>
      <c r="BD221" s="383" t="s">
        <v>1699</v>
      </c>
      <c r="BE221" s="383" t="s">
        <v>1700</v>
      </c>
      <c r="BF221" s="383" t="s">
        <v>1701</v>
      </c>
      <c r="BG221" s="383" t="s">
        <v>135</v>
      </c>
      <c r="BH221" s="383" t="s">
        <v>845</v>
      </c>
      <c r="BI221" s="383" t="s">
        <v>140</v>
      </c>
      <c r="BJ221" s="383" t="s">
        <v>141</v>
      </c>
      <c r="BK221" s="383"/>
    </row>
    <row r="222" spans="1:63">
      <c r="A222" s="383" t="s">
        <v>1283</v>
      </c>
      <c r="B222" s="383" t="s">
        <v>1284</v>
      </c>
      <c r="C222" s="383" t="s">
        <v>1285</v>
      </c>
      <c r="D222" s="383" t="s">
        <v>1286</v>
      </c>
      <c r="E222" s="383" t="s">
        <v>1032</v>
      </c>
      <c r="F222" s="383"/>
      <c r="G222" s="136"/>
      <c r="H222" s="383"/>
      <c r="I222" s="383"/>
      <c r="J222" s="383"/>
      <c r="K222" s="383" t="s">
        <v>1368</v>
      </c>
      <c r="L222" s="383" t="s">
        <v>1369</v>
      </c>
      <c r="M222" s="383"/>
      <c r="N222" s="383"/>
      <c r="O222" s="383"/>
      <c r="P222" s="383"/>
      <c r="Q222" s="383" t="s">
        <v>1334</v>
      </c>
      <c r="R222" s="383" t="s">
        <v>935</v>
      </c>
      <c r="S222" s="383"/>
      <c r="T222" s="383" t="s">
        <v>1535</v>
      </c>
      <c r="U222" s="383"/>
      <c r="V222" s="383" t="s">
        <v>913</v>
      </c>
      <c r="W222" s="383" t="s">
        <v>1702</v>
      </c>
      <c r="X222" s="383" t="s">
        <v>913</v>
      </c>
      <c r="Y222" s="383"/>
      <c r="Z222" s="383" t="s">
        <v>1295</v>
      </c>
      <c r="AA222" s="383" t="s">
        <v>1295</v>
      </c>
      <c r="AB222" s="383" t="s">
        <v>1295</v>
      </c>
      <c r="AC222" s="383"/>
      <c r="AD222" s="383" t="s">
        <v>1396</v>
      </c>
      <c r="AE222" s="383" t="s">
        <v>1335</v>
      </c>
      <c r="AF222" s="383" t="s">
        <v>1539</v>
      </c>
      <c r="AG222" s="383"/>
      <c r="AH222" s="383" t="s">
        <v>1703</v>
      </c>
      <c r="AI222" s="383" t="s">
        <v>1704</v>
      </c>
      <c r="AJ222" s="383" t="s">
        <v>1703</v>
      </c>
      <c r="AK222" s="383" t="s">
        <v>1703</v>
      </c>
      <c r="AL222" s="383" t="s">
        <v>1703</v>
      </c>
      <c r="AM222" s="383" t="s">
        <v>1704</v>
      </c>
      <c r="AN222" s="383" t="s">
        <v>1703</v>
      </c>
      <c r="AO222" s="383" t="s">
        <v>1703</v>
      </c>
      <c r="AP222" s="383" t="s">
        <v>1703</v>
      </c>
      <c r="AQ222" s="383" t="s">
        <v>1703</v>
      </c>
      <c r="AR222" s="383" t="s">
        <v>1705</v>
      </c>
      <c r="AS222" s="383" t="s">
        <v>1703</v>
      </c>
      <c r="AT222" s="383" t="s">
        <v>1703</v>
      </c>
      <c r="AU222" s="383" t="s">
        <v>1703</v>
      </c>
      <c r="AV222" s="383" t="s">
        <v>1705</v>
      </c>
      <c r="AW222" s="383" t="s">
        <v>1703</v>
      </c>
      <c r="AX222" s="383" t="s">
        <v>1703</v>
      </c>
      <c r="AY222" s="383" t="s">
        <v>1703</v>
      </c>
      <c r="AZ222" s="383" t="s">
        <v>1706</v>
      </c>
      <c r="BA222" s="383" t="s">
        <v>1703</v>
      </c>
      <c r="BB222" s="383" t="s">
        <v>1703</v>
      </c>
      <c r="BC222" s="383" t="s">
        <v>1703</v>
      </c>
      <c r="BD222" s="383" t="s">
        <v>1706</v>
      </c>
      <c r="BE222" s="383" t="s">
        <v>1703</v>
      </c>
      <c r="BF222" s="383" t="s">
        <v>1703</v>
      </c>
      <c r="BG222" s="383" t="s">
        <v>1647</v>
      </c>
      <c r="BH222" s="383" t="s">
        <v>1707</v>
      </c>
      <c r="BI222" s="383" t="s">
        <v>1303</v>
      </c>
      <c r="BJ222" s="383" t="s">
        <v>153</v>
      </c>
      <c r="BK222" s="383"/>
    </row>
    <row r="223" spans="1:63">
      <c r="A223" s="383" t="s">
        <v>1283</v>
      </c>
      <c r="B223" s="383" t="s">
        <v>1284</v>
      </c>
      <c r="C223" s="383" t="s">
        <v>1285</v>
      </c>
      <c r="D223" s="383" t="s">
        <v>1311</v>
      </c>
      <c r="E223" s="383" t="s">
        <v>1032</v>
      </c>
      <c r="F223" s="383"/>
      <c r="G223" s="136"/>
      <c r="H223" s="383"/>
      <c r="I223" s="383"/>
      <c r="J223" s="383"/>
      <c r="K223" s="383" t="s">
        <v>1371</v>
      </c>
      <c r="L223" s="383" t="s">
        <v>1372</v>
      </c>
      <c r="M223" s="383"/>
      <c r="N223" s="383"/>
      <c r="O223" s="383"/>
      <c r="P223" s="383"/>
      <c r="Q223" s="383" t="s">
        <v>1334</v>
      </c>
      <c r="R223" s="383" t="s">
        <v>935</v>
      </c>
      <c r="S223" s="383"/>
      <c r="T223" s="383" t="s">
        <v>1535</v>
      </c>
      <c r="U223" s="383"/>
      <c r="V223" s="383" t="s">
        <v>913</v>
      </c>
      <c r="W223" s="383" t="s">
        <v>1334</v>
      </c>
      <c r="X223" s="383" t="s">
        <v>913</v>
      </c>
      <c r="Y223" s="383"/>
      <c r="Z223" s="383" t="s">
        <v>1295</v>
      </c>
      <c r="AA223" s="383" t="s">
        <v>1295</v>
      </c>
      <c r="AB223" s="383" t="s">
        <v>1295</v>
      </c>
      <c r="AC223" s="383"/>
      <c r="AD223" s="383" t="s">
        <v>1400</v>
      </c>
      <c r="AE223" s="383" t="s">
        <v>1335</v>
      </c>
      <c r="AF223" s="383" t="s">
        <v>1567</v>
      </c>
      <c r="AG223" s="383"/>
      <c r="AH223" s="383" t="s">
        <v>1703</v>
      </c>
      <c r="AI223" s="383" t="s">
        <v>1708</v>
      </c>
      <c r="AJ223" s="383" t="s">
        <v>1703</v>
      </c>
      <c r="AK223" s="383" t="s">
        <v>1703</v>
      </c>
      <c r="AL223" s="383" t="s">
        <v>1703</v>
      </c>
      <c r="AM223" s="383" t="s">
        <v>1708</v>
      </c>
      <c r="AN223" s="383" t="s">
        <v>1703</v>
      </c>
      <c r="AO223" s="383" t="s">
        <v>1703</v>
      </c>
      <c r="AP223" s="383" t="s">
        <v>1703</v>
      </c>
      <c r="AQ223" s="383" t="s">
        <v>1703</v>
      </c>
      <c r="AR223" s="383" t="s">
        <v>1709</v>
      </c>
      <c r="AS223" s="383" t="s">
        <v>1703</v>
      </c>
      <c r="AT223" s="383" t="s">
        <v>1703</v>
      </c>
      <c r="AU223" s="383" t="s">
        <v>1703</v>
      </c>
      <c r="AV223" s="383" t="s">
        <v>1709</v>
      </c>
      <c r="AW223" s="383" t="s">
        <v>1703</v>
      </c>
      <c r="AX223" s="383" t="s">
        <v>1703</v>
      </c>
      <c r="AY223" s="383" t="s">
        <v>1703</v>
      </c>
      <c r="AZ223" s="383" t="s">
        <v>1710</v>
      </c>
      <c r="BA223" s="383" t="s">
        <v>1703</v>
      </c>
      <c r="BB223" s="383" t="s">
        <v>1703</v>
      </c>
      <c r="BC223" s="383" t="s">
        <v>1703</v>
      </c>
      <c r="BD223" s="383" t="s">
        <v>1710</v>
      </c>
      <c r="BE223" s="383" t="s">
        <v>1703</v>
      </c>
      <c r="BF223" s="383" t="s">
        <v>1703</v>
      </c>
      <c r="BG223" s="383" t="s">
        <v>1647</v>
      </c>
      <c r="BH223" s="383" t="s">
        <v>1707</v>
      </c>
      <c r="BI223" s="383" t="s">
        <v>1303</v>
      </c>
      <c r="BJ223" s="383" t="s">
        <v>153</v>
      </c>
      <c r="BK223" s="383"/>
    </row>
    <row r="224" spans="1:63">
      <c r="A224" s="383" t="s">
        <v>1283</v>
      </c>
      <c r="B224" s="383" t="s">
        <v>1284</v>
      </c>
      <c r="C224" s="383" t="s">
        <v>1285</v>
      </c>
      <c r="D224" s="383" t="s">
        <v>1319</v>
      </c>
      <c r="E224" s="383" t="s">
        <v>1032</v>
      </c>
      <c r="F224" s="383"/>
      <c r="G224" s="136"/>
      <c r="H224" s="383"/>
      <c r="I224" s="383"/>
      <c r="J224" s="383"/>
      <c r="K224" s="383" t="s">
        <v>1373</v>
      </c>
      <c r="L224" s="383" t="s">
        <v>1374</v>
      </c>
      <c r="M224" s="383"/>
      <c r="N224" s="383"/>
      <c r="O224" s="383"/>
      <c r="P224" s="383"/>
      <c r="Q224" s="383" t="s">
        <v>1334</v>
      </c>
      <c r="R224" s="383" t="s">
        <v>935</v>
      </c>
      <c r="S224" s="383"/>
      <c r="T224" s="383" t="s">
        <v>1535</v>
      </c>
      <c r="U224" s="383"/>
      <c r="V224" s="383" t="s">
        <v>913</v>
      </c>
      <c r="W224" s="383" t="s">
        <v>1702</v>
      </c>
      <c r="X224" s="383" t="s">
        <v>913</v>
      </c>
      <c r="Y224" s="383"/>
      <c r="Z224" s="383" t="s">
        <v>1295</v>
      </c>
      <c r="AA224" s="383" t="s">
        <v>1295</v>
      </c>
      <c r="AB224" s="383" t="s">
        <v>1295</v>
      </c>
      <c r="AC224" s="383"/>
      <c r="AD224" s="383" t="s">
        <v>1402</v>
      </c>
      <c r="AE224" s="383" t="s">
        <v>1335</v>
      </c>
      <c r="AF224" s="383" t="s">
        <v>1567</v>
      </c>
      <c r="AG224" s="383"/>
      <c r="AH224" s="383" t="s">
        <v>1703</v>
      </c>
      <c r="AI224" s="383" t="s">
        <v>1711</v>
      </c>
      <c r="AJ224" s="383" t="s">
        <v>1703</v>
      </c>
      <c r="AK224" s="383" t="s">
        <v>1703</v>
      </c>
      <c r="AL224" s="383" t="s">
        <v>1703</v>
      </c>
      <c r="AM224" s="383" t="s">
        <v>1711</v>
      </c>
      <c r="AN224" s="383" t="s">
        <v>1703</v>
      </c>
      <c r="AO224" s="383" t="s">
        <v>1703</v>
      </c>
      <c r="AP224" s="383" t="s">
        <v>1703</v>
      </c>
      <c r="AQ224" s="383" t="s">
        <v>1703</v>
      </c>
      <c r="AR224" s="383" t="s">
        <v>1712</v>
      </c>
      <c r="AS224" s="383" t="s">
        <v>1703</v>
      </c>
      <c r="AT224" s="383" t="s">
        <v>1703</v>
      </c>
      <c r="AU224" s="383" t="s">
        <v>1703</v>
      </c>
      <c r="AV224" s="383" t="s">
        <v>1712</v>
      </c>
      <c r="AW224" s="383" t="s">
        <v>1703</v>
      </c>
      <c r="AX224" s="383" t="s">
        <v>1703</v>
      </c>
      <c r="AY224" s="383" t="s">
        <v>1703</v>
      </c>
      <c r="AZ224" s="383" t="s">
        <v>1713</v>
      </c>
      <c r="BA224" s="383" t="s">
        <v>1703</v>
      </c>
      <c r="BB224" s="383" t="s">
        <v>1703</v>
      </c>
      <c r="BC224" s="383" t="s">
        <v>1703</v>
      </c>
      <c r="BD224" s="383" t="s">
        <v>1713</v>
      </c>
      <c r="BE224" s="383" t="s">
        <v>1703</v>
      </c>
      <c r="BF224" s="383" t="s">
        <v>1703</v>
      </c>
      <c r="BG224" s="383" t="s">
        <v>1647</v>
      </c>
      <c r="BH224" s="383" t="s">
        <v>1707</v>
      </c>
      <c r="BI224" s="383" t="s">
        <v>1303</v>
      </c>
      <c r="BJ224" s="383" t="s">
        <v>153</v>
      </c>
      <c r="BK224" s="383"/>
    </row>
    <row r="225" spans="1:63">
      <c r="A225" s="383" t="s">
        <v>1283</v>
      </c>
      <c r="B225" s="383" t="s">
        <v>1284</v>
      </c>
      <c r="C225" s="383" t="s">
        <v>1285</v>
      </c>
      <c r="D225" s="383" t="s">
        <v>1320</v>
      </c>
      <c r="E225" s="383" t="s">
        <v>1032</v>
      </c>
      <c r="F225" s="383"/>
      <c r="G225" s="136"/>
      <c r="H225" s="383"/>
      <c r="I225" s="383"/>
      <c r="J225" s="383"/>
      <c r="K225" s="383" t="s">
        <v>1375</v>
      </c>
      <c r="L225" s="383" t="s">
        <v>1714</v>
      </c>
      <c r="M225" s="383"/>
      <c r="N225" s="383"/>
      <c r="O225" s="383"/>
      <c r="P225" s="383"/>
      <c r="Q225" s="383" t="s">
        <v>1334</v>
      </c>
      <c r="R225" s="383" t="s">
        <v>935</v>
      </c>
      <c r="S225" s="383"/>
      <c r="T225" s="383" t="s">
        <v>1535</v>
      </c>
      <c r="U225" s="383"/>
      <c r="V225" s="383" t="s">
        <v>913</v>
      </c>
      <c r="W225" s="383" t="s">
        <v>1334</v>
      </c>
      <c r="X225" s="383" t="s">
        <v>913</v>
      </c>
      <c r="Y225" s="383"/>
      <c r="Z225" s="383" t="s">
        <v>1295</v>
      </c>
      <c r="AA225" s="383" t="s">
        <v>1295</v>
      </c>
      <c r="AB225" s="383" t="s">
        <v>1295</v>
      </c>
      <c r="AC225" s="383"/>
      <c r="AD225" s="383" t="s">
        <v>1376</v>
      </c>
      <c r="AE225" s="383" t="s">
        <v>1335</v>
      </c>
      <c r="AF225" s="383" t="s">
        <v>1587</v>
      </c>
      <c r="AG225" s="383"/>
      <c r="AH225" s="383" t="s">
        <v>1703</v>
      </c>
      <c r="AI225" s="383" t="s">
        <v>1703</v>
      </c>
      <c r="AJ225" s="383" t="s">
        <v>1703</v>
      </c>
      <c r="AK225" s="383" t="s">
        <v>1703</v>
      </c>
      <c r="AL225" s="383" t="s">
        <v>1703</v>
      </c>
      <c r="AM225" s="383" t="s">
        <v>1703</v>
      </c>
      <c r="AN225" s="383" t="s">
        <v>1703</v>
      </c>
      <c r="AO225" s="383" t="s">
        <v>1703</v>
      </c>
      <c r="AP225" s="383" t="s">
        <v>1703</v>
      </c>
      <c r="AQ225" s="383" t="s">
        <v>1703</v>
      </c>
      <c r="AR225" s="383" t="s">
        <v>1703</v>
      </c>
      <c r="AS225" s="383" t="s">
        <v>1703</v>
      </c>
      <c r="AT225" s="383" t="s">
        <v>1703</v>
      </c>
      <c r="AU225" s="383" t="s">
        <v>1703</v>
      </c>
      <c r="AV225" s="383" t="s">
        <v>1703</v>
      </c>
      <c r="AW225" s="383" t="s">
        <v>1703</v>
      </c>
      <c r="AX225" s="383" t="s">
        <v>1703</v>
      </c>
      <c r="AY225" s="383" t="s">
        <v>1703</v>
      </c>
      <c r="AZ225" s="383" t="s">
        <v>1703</v>
      </c>
      <c r="BA225" s="383" t="s">
        <v>1703</v>
      </c>
      <c r="BB225" s="383" t="s">
        <v>1703</v>
      </c>
      <c r="BC225" s="383" t="s">
        <v>1703</v>
      </c>
      <c r="BD225" s="383" t="s">
        <v>1703</v>
      </c>
      <c r="BE225" s="383" t="s">
        <v>1703</v>
      </c>
      <c r="BF225" s="383" t="s">
        <v>1703</v>
      </c>
      <c r="BG225" s="383" t="s">
        <v>1647</v>
      </c>
      <c r="BH225" s="383" t="s">
        <v>1707</v>
      </c>
      <c r="BI225" s="383" t="s">
        <v>1303</v>
      </c>
      <c r="BJ225" s="383" t="s">
        <v>153</v>
      </c>
      <c r="BK225" s="383"/>
    </row>
    <row r="226" spans="1:63">
      <c r="A226" s="383" t="s">
        <v>1283</v>
      </c>
      <c r="B226" s="383" t="s">
        <v>1284</v>
      </c>
      <c r="C226" s="383" t="s">
        <v>1285</v>
      </c>
      <c r="D226" s="383" t="s">
        <v>1327</v>
      </c>
      <c r="E226" s="383" t="s">
        <v>1032</v>
      </c>
      <c r="F226" s="383"/>
      <c r="G226" s="136"/>
      <c r="H226" s="383"/>
      <c r="I226" s="383"/>
      <c r="J226" s="383"/>
      <c r="K226" s="383" t="s">
        <v>1377</v>
      </c>
      <c r="L226" s="383" t="s">
        <v>1378</v>
      </c>
      <c r="M226" s="383"/>
      <c r="N226" s="383"/>
      <c r="O226" s="383"/>
      <c r="P226" s="383"/>
      <c r="Q226" s="383" t="s">
        <v>1334</v>
      </c>
      <c r="R226" s="383" t="s">
        <v>935</v>
      </c>
      <c r="S226" s="383"/>
      <c r="T226" s="383" t="s">
        <v>1535</v>
      </c>
      <c r="U226" s="383"/>
      <c r="V226" s="383" t="s">
        <v>913</v>
      </c>
      <c r="W226" s="383" t="s">
        <v>1334</v>
      </c>
      <c r="X226" s="383" t="s">
        <v>913</v>
      </c>
      <c r="Y226" s="383"/>
      <c r="Z226" s="383" t="s">
        <v>1295</v>
      </c>
      <c r="AA226" s="383" t="s">
        <v>1295</v>
      </c>
      <c r="AB226" s="383" t="s">
        <v>1295</v>
      </c>
      <c r="AC226" s="383"/>
      <c r="AD226" s="383" t="s">
        <v>1405</v>
      </c>
      <c r="AE226" s="383" t="s">
        <v>1335</v>
      </c>
      <c r="AF226" s="383" t="s">
        <v>1567</v>
      </c>
      <c r="AG226" s="383"/>
      <c r="AH226" s="383" t="s">
        <v>1703</v>
      </c>
      <c r="AI226" s="383" t="s">
        <v>1715</v>
      </c>
      <c r="AJ226" s="383" t="s">
        <v>1703</v>
      </c>
      <c r="AK226" s="383" t="s">
        <v>1703</v>
      </c>
      <c r="AL226" s="383" t="s">
        <v>1703</v>
      </c>
      <c r="AM226" s="383" t="s">
        <v>1715</v>
      </c>
      <c r="AN226" s="383" t="s">
        <v>1703</v>
      </c>
      <c r="AO226" s="383" t="s">
        <v>1703</v>
      </c>
      <c r="AP226" s="383" t="s">
        <v>1703</v>
      </c>
      <c r="AQ226" s="383" t="s">
        <v>1703</v>
      </c>
      <c r="AR226" s="383" t="s">
        <v>1716</v>
      </c>
      <c r="AS226" s="383" t="s">
        <v>1703</v>
      </c>
      <c r="AT226" s="383" t="s">
        <v>1703</v>
      </c>
      <c r="AU226" s="383" t="s">
        <v>1703</v>
      </c>
      <c r="AV226" s="383" t="s">
        <v>1716</v>
      </c>
      <c r="AW226" s="383" t="s">
        <v>1703</v>
      </c>
      <c r="AX226" s="383" t="s">
        <v>1703</v>
      </c>
      <c r="AY226" s="383" t="s">
        <v>1703</v>
      </c>
      <c r="AZ226" s="383" t="s">
        <v>1717</v>
      </c>
      <c r="BA226" s="383" t="s">
        <v>1703</v>
      </c>
      <c r="BB226" s="383" t="s">
        <v>1703</v>
      </c>
      <c r="BC226" s="383" t="s">
        <v>1703</v>
      </c>
      <c r="BD226" s="383" t="s">
        <v>1717</v>
      </c>
      <c r="BE226" s="383" t="s">
        <v>1703</v>
      </c>
      <c r="BF226" s="383" t="s">
        <v>1703</v>
      </c>
      <c r="BG226" s="383" t="s">
        <v>1647</v>
      </c>
      <c r="BH226" s="383" t="s">
        <v>1707</v>
      </c>
      <c r="BI226" s="383" t="s">
        <v>1303</v>
      </c>
      <c r="BJ226" s="383" t="s">
        <v>153</v>
      </c>
      <c r="BK226" s="383"/>
    </row>
    <row r="227" spans="1:63">
      <c r="A227" s="383" t="s">
        <v>1283</v>
      </c>
      <c r="B227" s="383" t="s">
        <v>1284</v>
      </c>
      <c r="C227" s="383" t="s">
        <v>1328</v>
      </c>
      <c r="D227" s="383" t="s">
        <v>1329</v>
      </c>
      <c r="E227" s="383" t="s">
        <v>1032</v>
      </c>
      <c r="F227" s="383"/>
      <c r="G227" s="136"/>
      <c r="H227" s="383"/>
      <c r="I227" s="383"/>
      <c r="J227" s="383"/>
      <c r="K227" s="383" t="s">
        <v>1379</v>
      </c>
      <c r="L227" s="383" t="s">
        <v>1380</v>
      </c>
      <c r="M227" s="383"/>
      <c r="N227" s="383"/>
      <c r="O227" s="383"/>
      <c r="P227" s="383"/>
      <c r="Q227" s="383" t="s">
        <v>1334</v>
      </c>
      <c r="R227" s="383" t="s">
        <v>935</v>
      </c>
      <c r="S227" s="383"/>
      <c r="T227" s="383" t="s">
        <v>1535</v>
      </c>
      <c r="U227" s="383"/>
      <c r="V227" s="383" t="s">
        <v>913</v>
      </c>
      <c r="W227" s="383" t="s">
        <v>1334</v>
      </c>
      <c r="X227" s="383" t="s">
        <v>913</v>
      </c>
      <c r="Y227" s="383"/>
      <c r="Z227" s="383" t="s">
        <v>1295</v>
      </c>
      <c r="AA227" s="383" t="s">
        <v>1295</v>
      </c>
      <c r="AB227" s="383" t="s">
        <v>1295</v>
      </c>
      <c r="AC227" s="383"/>
      <c r="AD227" s="383" t="s">
        <v>1381</v>
      </c>
      <c r="AE227" s="383" t="s">
        <v>1335</v>
      </c>
      <c r="AF227" s="383" t="s">
        <v>1587</v>
      </c>
      <c r="AG227" s="383"/>
      <c r="AH227" s="383" t="s">
        <v>1703</v>
      </c>
      <c r="AI227" s="383" t="s">
        <v>1703</v>
      </c>
      <c r="AJ227" s="383" t="s">
        <v>1703</v>
      </c>
      <c r="AK227" s="383" t="s">
        <v>1703</v>
      </c>
      <c r="AL227" s="383" t="s">
        <v>1703</v>
      </c>
      <c r="AM227" s="383" t="s">
        <v>1703</v>
      </c>
      <c r="AN227" s="383" t="s">
        <v>1703</v>
      </c>
      <c r="AO227" s="383" t="s">
        <v>1703</v>
      </c>
      <c r="AP227" s="383" t="s">
        <v>1703</v>
      </c>
      <c r="AQ227" s="383" t="s">
        <v>1703</v>
      </c>
      <c r="AR227" s="383" t="s">
        <v>1703</v>
      </c>
      <c r="AS227" s="383" t="s">
        <v>1703</v>
      </c>
      <c r="AT227" s="383" t="s">
        <v>1703</v>
      </c>
      <c r="AU227" s="383" t="s">
        <v>1703</v>
      </c>
      <c r="AV227" s="383" t="s">
        <v>1703</v>
      </c>
      <c r="AW227" s="383" t="s">
        <v>1703</v>
      </c>
      <c r="AX227" s="383" t="s">
        <v>1703</v>
      </c>
      <c r="AY227" s="383" t="s">
        <v>1703</v>
      </c>
      <c r="AZ227" s="383" t="s">
        <v>1703</v>
      </c>
      <c r="BA227" s="383" t="s">
        <v>1703</v>
      </c>
      <c r="BB227" s="383" t="s">
        <v>1703</v>
      </c>
      <c r="BC227" s="383" t="s">
        <v>1703</v>
      </c>
      <c r="BD227" s="383" t="s">
        <v>1703</v>
      </c>
      <c r="BE227" s="383" t="s">
        <v>1703</v>
      </c>
      <c r="BF227" s="383" t="s">
        <v>1703</v>
      </c>
      <c r="BG227" s="383" t="s">
        <v>1647</v>
      </c>
      <c r="BH227" s="383" t="s">
        <v>1707</v>
      </c>
      <c r="BI227" s="383" t="s">
        <v>1303</v>
      </c>
      <c r="BJ227" s="383" t="s">
        <v>153</v>
      </c>
      <c r="BK227" s="383"/>
    </row>
    <row r="228" spans="1:63">
      <c r="A228" s="383" t="s">
        <v>1283</v>
      </c>
      <c r="B228" s="383" t="s">
        <v>1284</v>
      </c>
      <c r="C228" s="383" t="s">
        <v>1328</v>
      </c>
      <c r="D228" s="383" t="s">
        <v>1330</v>
      </c>
      <c r="E228" s="383" t="s">
        <v>1032</v>
      </c>
      <c r="F228" s="383"/>
      <c r="G228" s="136"/>
      <c r="H228" s="383"/>
      <c r="I228" s="383"/>
      <c r="J228" s="383"/>
      <c r="K228" s="383" t="s">
        <v>1382</v>
      </c>
      <c r="L228" s="383" t="s">
        <v>1714</v>
      </c>
      <c r="M228" s="383"/>
      <c r="N228" s="383"/>
      <c r="O228" s="383"/>
      <c r="P228" s="383"/>
      <c r="Q228" s="383" t="s">
        <v>1334</v>
      </c>
      <c r="R228" s="383" t="s">
        <v>935</v>
      </c>
      <c r="S228" s="383"/>
      <c r="T228" s="383" t="s">
        <v>1535</v>
      </c>
      <c r="U228" s="383"/>
      <c r="V228" s="383" t="s">
        <v>913</v>
      </c>
      <c r="W228" s="383" t="s">
        <v>1334</v>
      </c>
      <c r="X228" s="383" t="s">
        <v>913</v>
      </c>
      <c r="Y228" s="383"/>
      <c r="Z228" s="383" t="s">
        <v>1295</v>
      </c>
      <c r="AA228" s="383" t="s">
        <v>1295</v>
      </c>
      <c r="AB228" s="383" t="s">
        <v>1295</v>
      </c>
      <c r="AC228" s="383"/>
      <c r="AD228" s="383" t="s">
        <v>1383</v>
      </c>
      <c r="AE228" s="383" t="s">
        <v>1335</v>
      </c>
      <c r="AF228" s="383" t="s">
        <v>1336</v>
      </c>
      <c r="AG228" s="383"/>
      <c r="AH228" s="383" t="s">
        <v>1703</v>
      </c>
      <c r="AI228" s="383" t="s">
        <v>1703</v>
      </c>
      <c r="AJ228" s="383" t="s">
        <v>1703</v>
      </c>
      <c r="AK228" s="383" t="s">
        <v>1703</v>
      </c>
      <c r="AL228" s="383" t="s">
        <v>1703</v>
      </c>
      <c r="AM228" s="383" t="s">
        <v>1703</v>
      </c>
      <c r="AN228" s="383" t="s">
        <v>1703</v>
      </c>
      <c r="AO228" s="383" t="s">
        <v>1703</v>
      </c>
      <c r="AP228" s="383" t="s">
        <v>1703</v>
      </c>
      <c r="AQ228" s="383" t="s">
        <v>1718</v>
      </c>
      <c r="AR228" s="383" t="s">
        <v>1703</v>
      </c>
      <c r="AS228" s="383" t="s">
        <v>1703</v>
      </c>
      <c r="AT228" s="383" t="s">
        <v>1703</v>
      </c>
      <c r="AU228" s="383" t="s">
        <v>1718</v>
      </c>
      <c r="AV228" s="383" t="s">
        <v>1703</v>
      </c>
      <c r="AW228" s="383" t="s">
        <v>1703</v>
      </c>
      <c r="AX228" s="383" t="s">
        <v>1703</v>
      </c>
      <c r="AY228" s="383" t="s">
        <v>1719</v>
      </c>
      <c r="AZ228" s="383" t="s">
        <v>1703</v>
      </c>
      <c r="BA228" s="383" t="s">
        <v>1703</v>
      </c>
      <c r="BB228" s="383" t="s">
        <v>1703</v>
      </c>
      <c r="BC228" s="383" t="s">
        <v>1719</v>
      </c>
      <c r="BD228" s="383" t="s">
        <v>1703</v>
      </c>
      <c r="BE228" s="383" t="s">
        <v>1703</v>
      </c>
      <c r="BF228" s="383" t="s">
        <v>1703</v>
      </c>
      <c r="BG228" s="383" t="s">
        <v>1647</v>
      </c>
      <c r="BH228" s="383" t="s">
        <v>1707</v>
      </c>
      <c r="BI228" s="383" t="s">
        <v>1303</v>
      </c>
      <c r="BJ228" s="383" t="s">
        <v>153</v>
      </c>
      <c r="BK228" s="383"/>
    </row>
    <row r="229" spans="1:63">
      <c r="A229" s="383" t="s">
        <v>1283</v>
      </c>
      <c r="B229" s="383" t="s">
        <v>1284</v>
      </c>
      <c r="C229" s="383" t="s">
        <v>1328</v>
      </c>
      <c r="D229" s="383" t="s">
        <v>1344</v>
      </c>
      <c r="E229" s="383" t="s">
        <v>1032</v>
      </c>
      <c r="F229" s="383"/>
      <c r="G229" s="136"/>
      <c r="H229" s="383"/>
      <c r="I229" s="383"/>
      <c r="J229" s="383"/>
      <c r="K229" s="383" t="s">
        <v>1384</v>
      </c>
      <c r="L229" s="383" t="s">
        <v>1385</v>
      </c>
      <c r="M229" s="383"/>
      <c r="N229" s="383"/>
      <c r="O229" s="383"/>
      <c r="P229" s="383"/>
      <c r="Q229" s="383" t="s">
        <v>1334</v>
      </c>
      <c r="R229" s="383" t="s">
        <v>935</v>
      </c>
      <c r="S229" s="383"/>
      <c r="T229" s="383" t="s">
        <v>1535</v>
      </c>
      <c r="U229" s="383"/>
      <c r="V229" s="383" t="s">
        <v>913</v>
      </c>
      <c r="W229" s="383" t="s">
        <v>1334</v>
      </c>
      <c r="X229" s="383" t="s">
        <v>913</v>
      </c>
      <c r="Y229" s="383"/>
      <c r="Z229" s="383" t="s">
        <v>1295</v>
      </c>
      <c r="AA229" s="383" t="s">
        <v>1295</v>
      </c>
      <c r="AB229" s="383" t="s">
        <v>1295</v>
      </c>
      <c r="AC229" s="383"/>
      <c r="AD229" s="383" t="s">
        <v>1386</v>
      </c>
      <c r="AE229" s="383" t="s">
        <v>1335</v>
      </c>
      <c r="AF229" s="383" t="s">
        <v>1567</v>
      </c>
      <c r="AG229" s="383"/>
      <c r="AH229" s="383" t="s">
        <v>1703</v>
      </c>
      <c r="AI229" s="383" t="s">
        <v>1703</v>
      </c>
      <c r="AJ229" s="383" t="s">
        <v>1703</v>
      </c>
      <c r="AK229" s="383" t="s">
        <v>1703</v>
      </c>
      <c r="AL229" s="383" t="s">
        <v>1703</v>
      </c>
      <c r="AM229" s="383" t="s">
        <v>1703</v>
      </c>
      <c r="AN229" s="383" t="s">
        <v>1703</v>
      </c>
      <c r="AO229" s="383" t="s">
        <v>1703</v>
      </c>
      <c r="AP229" s="383" t="s">
        <v>1703</v>
      </c>
      <c r="AQ229" s="383" t="s">
        <v>1703</v>
      </c>
      <c r="AR229" s="383" t="s">
        <v>1703</v>
      </c>
      <c r="AS229" s="383" t="s">
        <v>1703</v>
      </c>
      <c r="AT229" s="383" t="s">
        <v>1703</v>
      </c>
      <c r="AU229" s="383" t="s">
        <v>1703</v>
      </c>
      <c r="AV229" s="383" t="s">
        <v>1703</v>
      </c>
      <c r="AW229" s="383" t="s">
        <v>1703</v>
      </c>
      <c r="AX229" s="383" t="s">
        <v>1703</v>
      </c>
      <c r="AY229" s="383" t="s">
        <v>1703</v>
      </c>
      <c r="AZ229" s="383" t="s">
        <v>1703</v>
      </c>
      <c r="BA229" s="383" t="s">
        <v>1703</v>
      </c>
      <c r="BB229" s="383" t="s">
        <v>1703</v>
      </c>
      <c r="BC229" s="383" t="s">
        <v>1703</v>
      </c>
      <c r="BD229" s="383" t="s">
        <v>1703</v>
      </c>
      <c r="BE229" s="383" t="s">
        <v>1703</v>
      </c>
      <c r="BF229" s="383" t="s">
        <v>1703</v>
      </c>
      <c r="BG229" s="383" t="s">
        <v>1647</v>
      </c>
      <c r="BH229" s="383" t="s">
        <v>1707</v>
      </c>
      <c r="BI229" s="383" t="s">
        <v>1303</v>
      </c>
      <c r="BJ229" s="383" t="s">
        <v>153</v>
      </c>
      <c r="BK229" s="383"/>
    </row>
  </sheetData>
  <autoFilter ref="A31:NE46" xr:uid="{7C4E70E5-0586-4214-BF48-E6CC998FF64E}">
    <filterColumn colId="31">
      <filters>
        <filter val="1"/>
      </filters>
    </filterColumn>
  </autoFilter>
  <mergeCells count="2">
    <mergeCell ref="A79:J82"/>
    <mergeCell ref="A113:L11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2DF1-9D6F-439F-9865-7B48E8EF3509}">
  <dimension ref="A1:DA74"/>
  <sheetViews>
    <sheetView topLeftCell="A65" workbookViewId="0">
      <selection activeCell="C70" sqref="C70"/>
    </sheetView>
  </sheetViews>
  <sheetFormatPr defaultColWidth="9.140625" defaultRowHeight="16.5"/>
  <cols>
    <col min="1" max="1" width="41.42578125" style="34" customWidth="1"/>
    <col min="2" max="2" width="17.42578125" style="34" customWidth="1"/>
    <col min="3" max="3" width="16.42578125" style="34" customWidth="1"/>
    <col min="4" max="4" width="29.42578125" style="34" customWidth="1"/>
    <col min="5" max="5" width="16" style="34" bestFit="1" customWidth="1"/>
    <col min="6" max="6" width="10.5703125" style="34" bestFit="1" customWidth="1"/>
    <col min="7" max="7" width="7.5703125" style="34" bestFit="1" customWidth="1"/>
    <col min="8" max="8" width="8" style="34" bestFit="1" customWidth="1"/>
    <col min="9" max="9" width="12.140625" style="34" bestFit="1" customWidth="1"/>
    <col min="10" max="10" width="50.140625" style="34" bestFit="1" customWidth="1"/>
    <col min="11" max="11" width="17" style="34" bestFit="1" customWidth="1"/>
    <col min="12" max="12" width="23.85546875" style="34" bestFit="1" customWidth="1"/>
    <col min="13" max="14" width="11.5703125" style="34" bestFit="1" customWidth="1"/>
    <col min="15" max="15" width="8.140625" style="34" bestFit="1" customWidth="1"/>
    <col min="16" max="16" width="11" style="34" bestFit="1" customWidth="1"/>
    <col min="17" max="17" width="48.85546875" style="34" bestFit="1" customWidth="1"/>
    <col min="18" max="18" width="14.42578125" style="34" bestFit="1" customWidth="1"/>
    <col min="19" max="19" width="9.140625" style="34"/>
    <col min="20" max="21" width="9.42578125" style="34" bestFit="1" customWidth="1"/>
    <col min="22" max="22" width="18.42578125" style="34" bestFit="1" customWidth="1"/>
    <col min="23" max="23" width="11.85546875" style="34" bestFit="1" customWidth="1"/>
    <col min="24" max="24" width="14.42578125" style="34" bestFit="1" customWidth="1"/>
    <col min="25" max="25" width="13.5703125" style="34" bestFit="1" customWidth="1"/>
    <col min="26" max="26" width="11.5703125" style="34" bestFit="1" customWidth="1"/>
    <col min="27" max="27" width="13.5703125" style="34" bestFit="1" customWidth="1"/>
    <col min="28" max="28" width="12.42578125" style="34" bestFit="1" customWidth="1"/>
    <col min="29" max="29" width="16.85546875" style="34" bestFit="1" customWidth="1"/>
    <col min="30" max="30" width="13.85546875" style="34" bestFit="1" customWidth="1"/>
    <col min="31" max="31" width="21.5703125" style="34" bestFit="1" customWidth="1"/>
    <col min="32" max="32" width="16" style="34" bestFit="1" customWidth="1"/>
    <col min="33" max="33" width="11" style="34" bestFit="1" customWidth="1"/>
    <col min="34" max="34" width="18.85546875" style="34" bestFit="1" customWidth="1"/>
    <col min="35" max="35" width="14.42578125" style="34" bestFit="1" customWidth="1"/>
    <col min="36" max="36" width="15.42578125" style="34" bestFit="1" customWidth="1"/>
    <col min="37" max="37" width="19" style="34" bestFit="1" customWidth="1"/>
    <col min="38" max="38" width="35.140625" style="34" bestFit="1" customWidth="1"/>
    <col min="39" max="39" width="7.42578125" style="34" bestFit="1" customWidth="1"/>
    <col min="40" max="40" width="7" style="34" bestFit="1" customWidth="1"/>
    <col min="41" max="41" width="11.42578125" style="34" bestFit="1" customWidth="1"/>
    <col min="42" max="42" width="11.5703125" style="34" bestFit="1" customWidth="1"/>
    <col min="43" max="43" width="7.5703125" style="34" bestFit="1" customWidth="1"/>
    <col min="44" max="44" width="7.140625" style="34" bestFit="1" customWidth="1"/>
    <col min="45" max="45" width="12.42578125" style="34" bestFit="1" customWidth="1"/>
    <col min="46" max="46" width="11.85546875" style="34" bestFit="1" customWidth="1"/>
    <col min="47" max="47" width="10.42578125" style="34" bestFit="1" customWidth="1"/>
    <col min="48" max="48" width="14" style="34" bestFit="1" customWidth="1"/>
    <col min="49" max="49" width="18.5703125" style="34" bestFit="1" customWidth="1"/>
    <col min="50" max="50" width="18.42578125" style="34" bestFit="1" customWidth="1"/>
    <col min="51" max="51" width="14.85546875" style="34" bestFit="1" customWidth="1"/>
    <col min="52" max="52" width="10.42578125" style="34" bestFit="1" customWidth="1"/>
    <col min="53" max="53" width="19.42578125" style="34" bestFit="1" customWidth="1"/>
    <col min="54" max="54" width="14.85546875" style="34" bestFit="1" customWidth="1"/>
    <col min="55" max="55" width="15.42578125" style="34" bestFit="1" customWidth="1"/>
    <col min="56" max="56" width="9.85546875" style="34" bestFit="1" customWidth="1"/>
    <col min="57" max="57" width="13.5703125" style="34" bestFit="1" customWidth="1"/>
    <col min="58" max="58" width="9" style="34" bestFit="1" customWidth="1"/>
    <col min="59" max="59" width="22.85546875" style="34" bestFit="1" customWidth="1"/>
    <col min="60" max="60" width="18.42578125" style="34" bestFit="1" customWidth="1"/>
    <col min="61" max="61" width="21.42578125" style="34" bestFit="1" customWidth="1"/>
    <col min="62" max="62" width="16.5703125" style="34" bestFit="1" customWidth="1"/>
    <col min="63" max="63" width="11.5703125" style="34" bestFit="1" customWidth="1"/>
    <col min="64" max="64" width="23.140625" style="34" bestFit="1" customWidth="1"/>
    <col min="65" max="66" width="24.85546875" style="34" bestFit="1" customWidth="1"/>
    <col min="67" max="67" width="13.42578125" style="34" bestFit="1" customWidth="1"/>
    <col min="68" max="68" width="24.85546875" style="34" bestFit="1" customWidth="1"/>
    <col min="69" max="69" width="7.42578125" style="34" bestFit="1" customWidth="1"/>
    <col min="70" max="70" width="9.42578125" style="34" bestFit="1" customWidth="1"/>
    <col min="71" max="71" width="18.85546875" style="34" bestFit="1" customWidth="1"/>
    <col min="72" max="72" width="15.5703125" style="34" bestFit="1" customWidth="1"/>
    <col min="73" max="73" width="20.42578125" style="34" bestFit="1" customWidth="1"/>
    <col min="74" max="74" width="13.5703125" style="34" bestFit="1" customWidth="1"/>
    <col min="75" max="75" width="11.140625" style="34" bestFit="1" customWidth="1"/>
    <col min="76" max="76" width="7" style="34" bestFit="1" customWidth="1"/>
    <col min="77" max="77" width="11.140625" style="34" bestFit="1" customWidth="1"/>
    <col min="78" max="79" width="16.5703125" style="34" bestFit="1" customWidth="1"/>
    <col min="80" max="80" width="14.140625" style="34" bestFit="1" customWidth="1"/>
    <col min="81" max="81" width="12.85546875" style="34" bestFit="1" customWidth="1"/>
    <col min="82" max="82" width="7.5703125" style="34" bestFit="1" customWidth="1"/>
    <col min="83" max="83" width="12.5703125" style="34" bestFit="1" customWidth="1"/>
    <col min="84" max="84" width="12.42578125" style="34" bestFit="1" customWidth="1"/>
    <col min="85" max="85" width="15.5703125" style="34" bestFit="1" customWidth="1"/>
    <col min="86" max="86" width="9.42578125" style="34" bestFit="1" customWidth="1"/>
    <col min="87" max="87" width="12.140625" style="34" bestFit="1" customWidth="1"/>
    <col min="88" max="88" width="17.5703125" style="34" bestFit="1" customWidth="1"/>
    <col min="89" max="89" width="20.5703125" style="34" bestFit="1" customWidth="1"/>
    <col min="90" max="90" width="14.42578125" style="34" bestFit="1" customWidth="1"/>
    <col min="91" max="91" width="17.42578125" style="34" bestFit="1" customWidth="1"/>
    <col min="92" max="92" width="14.5703125" style="34" bestFit="1" customWidth="1"/>
    <col min="93" max="93" width="17.5703125" style="34" bestFit="1" customWidth="1"/>
    <col min="94" max="94" width="11.42578125" style="34" bestFit="1" customWidth="1"/>
    <col min="95" max="96" width="14.42578125" style="34" bestFit="1" customWidth="1"/>
    <col min="97" max="97" width="17.5703125" style="34" bestFit="1" customWidth="1"/>
    <col min="98" max="98" width="11.140625" style="34" bestFit="1" customWidth="1"/>
    <col min="99" max="99" width="14.42578125" style="34" bestFit="1" customWidth="1"/>
    <col min="100" max="100" width="12" style="34" bestFit="1" customWidth="1"/>
    <col min="101" max="101" width="8.5703125" style="34" bestFit="1" customWidth="1"/>
    <col min="102" max="102" width="9.140625" style="34"/>
    <col min="103" max="103" width="30.42578125" style="34" bestFit="1" customWidth="1"/>
    <col min="104" max="104" width="11.5703125" style="34" bestFit="1" customWidth="1"/>
    <col min="105" max="105" width="1.5703125" style="34" bestFit="1" customWidth="1"/>
    <col min="106" max="16384" width="9.140625" style="34"/>
  </cols>
  <sheetData>
    <row r="1" spans="1:105">
      <c r="A1" s="569" t="s">
        <v>1720</v>
      </c>
      <c r="B1" s="569"/>
      <c r="C1" s="569"/>
      <c r="D1" s="569"/>
      <c r="E1" s="569"/>
      <c r="F1" s="569"/>
      <c r="G1" s="569"/>
      <c r="H1" s="569"/>
      <c r="I1" s="569"/>
      <c r="J1" s="569"/>
      <c r="K1" s="569"/>
      <c r="L1" s="569"/>
      <c r="M1" s="569"/>
      <c r="N1" s="569"/>
      <c r="O1" s="569"/>
      <c r="P1" s="569"/>
      <c r="Q1" s="569"/>
      <c r="R1" s="569"/>
      <c r="S1" s="569"/>
      <c r="T1" s="569"/>
      <c r="U1" s="569"/>
      <c r="V1" s="569"/>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row>
    <row r="2" spans="1:105">
      <c r="A2" s="569" t="s">
        <v>1721</v>
      </c>
      <c r="B2" s="569"/>
      <c r="C2" s="569"/>
      <c r="D2" s="569"/>
      <c r="E2" s="569"/>
      <c r="F2" s="569"/>
      <c r="G2" s="569"/>
      <c r="H2" s="569"/>
      <c r="I2" s="569"/>
      <c r="J2" s="569"/>
      <c r="K2" s="569"/>
      <c r="L2" s="569"/>
      <c r="M2" s="569"/>
      <c r="N2" s="569"/>
      <c r="O2" s="569"/>
      <c r="P2" s="569"/>
      <c r="Q2" s="569"/>
      <c r="R2" s="569"/>
      <c r="S2" s="569"/>
      <c r="T2" s="569"/>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T2" s="569"/>
      <c r="AU2" s="569"/>
      <c r="AV2" s="569"/>
      <c r="AW2" s="569"/>
      <c r="AX2" s="569"/>
      <c r="AY2" s="569"/>
      <c r="AZ2" s="569"/>
      <c r="BA2" s="569"/>
      <c r="BB2" s="569"/>
      <c r="BC2" s="569"/>
      <c r="BD2" s="569"/>
      <c r="BE2" s="569"/>
      <c r="BF2" s="569"/>
      <c r="BG2" s="569"/>
      <c r="BH2" s="569"/>
      <c r="BI2" s="569"/>
      <c r="BJ2" s="569"/>
      <c r="BK2" s="569"/>
      <c r="BL2" s="569"/>
      <c r="BM2" s="569"/>
      <c r="BN2" s="569"/>
      <c r="BO2" s="569"/>
      <c r="BP2" s="569"/>
      <c r="BQ2" s="569"/>
      <c r="BR2" s="569"/>
      <c r="BS2" s="569"/>
      <c r="BT2" s="569"/>
      <c r="BU2" s="569"/>
      <c r="BV2" s="569"/>
      <c r="BW2" s="569"/>
      <c r="BX2" s="569"/>
      <c r="BY2" s="569"/>
      <c r="BZ2" s="569"/>
      <c r="CA2" s="569"/>
      <c r="CB2" s="569"/>
      <c r="CC2" s="569"/>
      <c r="CD2" s="569"/>
      <c r="CE2" s="569"/>
      <c r="CF2" s="569"/>
      <c r="CG2" s="569"/>
      <c r="CH2" s="569"/>
      <c r="CI2" s="569"/>
      <c r="CJ2" s="569"/>
      <c r="CK2" s="569"/>
      <c r="CL2" s="569"/>
      <c r="CM2" s="569"/>
      <c r="CN2" s="569"/>
      <c r="CO2" s="569"/>
      <c r="CP2" s="569"/>
      <c r="CQ2" s="569"/>
      <c r="CR2" s="569"/>
      <c r="CS2" s="569"/>
      <c r="CT2" s="569"/>
      <c r="CU2" s="569"/>
      <c r="CV2" s="569"/>
      <c r="CW2" s="569"/>
      <c r="CX2" s="569"/>
      <c r="CY2" s="569"/>
      <c r="CZ2" s="569"/>
      <c r="DA2" s="569"/>
    </row>
    <row r="3" spans="1:105">
      <c r="A3" s="569" t="s">
        <v>1224</v>
      </c>
      <c r="B3" s="569"/>
      <c r="C3" s="569"/>
      <c r="D3" s="569"/>
      <c r="E3" s="569"/>
      <c r="F3" s="569"/>
      <c r="G3" s="569"/>
      <c r="H3" s="569"/>
      <c r="I3" s="569"/>
      <c r="J3" s="569"/>
      <c r="K3" s="569"/>
      <c r="L3" s="569"/>
      <c r="M3" s="569"/>
      <c r="N3" s="569"/>
      <c r="O3" s="569"/>
      <c r="P3" s="569"/>
      <c r="Q3" s="569"/>
      <c r="R3" s="569"/>
      <c r="S3" s="569"/>
      <c r="T3" s="569"/>
      <c r="U3" s="569"/>
      <c r="V3" s="569"/>
      <c r="W3" s="569"/>
      <c r="X3" s="569"/>
      <c r="Y3" s="569"/>
      <c r="Z3" s="569"/>
      <c r="AA3" s="569"/>
      <c r="AB3" s="569"/>
      <c r="AC3" s="569"/>
      <c r="AD3" s="569"/>
      <c r="AE3" s="569"/>
      <c r="AF3" s="569"/>
      <c r="AG3" s="569"/>
      <c r="AH3" s="569"/>
      <c r="AI3" s="569"/>
      <c r="AJ3" s="569"/>
      <c r="AK3" s="569"/>
      <c r="AL3" s="569"/>
      <c r="AM3" s="569"/>
      <c r="AN3" s="569"/>
      <c r="AO3" s="569"/>
      <c r="AP3" s="569"/>
      <c r="AQ3" s="569"/>
      <c r="AR3" s="569"/>
      <c r="AS3" s="569"/>
      <c r="AT3" s="569"/>
      <c r="AU3" s="569"/>
      <c r="AV3" s="569"/>
      <c r="AW3" s="569"/>
      <c r="AX3" s="569"/>
      <c r="AY3" s="569"/>
      <c r="AZ3" s="569"/>
      <c r="BA3" s="569"/>
      <c r="BB3" s="569"/>
      <c r="BC3" s="569"/>
      <c r="BD3" s="569"/>
      <c r="BE3" s="569"/>
      <c r="BF3" s="569"/>
      <c r="BG3" s="569"/>
      <c r="BH3" s="569"/>
      <c r="BI3" s="569"/>
      <c r="BJ3" s="569"/>
      <c r="BK3" s="569"/>
      <c r="BL3" s="569"/>
      <c r="BM3" s="569"/>
      <c r="BN3" s="569"/>
      <c r="BO3" s="569"/>
      <c r="BP3" s="569"/>
      <c r="BQ3" s="569"/>
      <c r="BR3" s="569"/>
      <c r="BS3" s="569"/>
      <c r="BT3" s="569"/>
      <c r="BU3" s="569"/>
      <c r="BV3" s="569"/>
      <c r="BW3" s="569"/>
      <c r="BX3" s="569"/>
      <c r="BY3" s="569"/>
      <c r="BZ3" s="569"/>
      <c r="CA3" s="569"/>
      <c r="CB3" s="569"/>
      <c r="CC3" s="569"/>
      <c r="CD3" s="569"/>
      <c r="CE3" s="569"/>
      <c r="CF3" s="569"/>
      <c r="CG3" s="569"/>
      <c r="CH3" s="569"/>
      <c r="CI3" s="569"/>
      <c r="CJ3" s="569"/>
      <c r="CK3" s="569"/>
      <c r="CL3" s="569"/>
      <c r="CM3" s="569"/>
      <c r="CN3" s="569"/>
      <c r="CO3" s="569"/>
      <c r="CP3" s="569"/>
      <c r="CQ3" s="569"/>
      <c r="CR3" s="569"/>
      <c r="CS3" s="569"/>
      <c r="CT3" s="569"/>
      <c r="CU3" s="569"/>
      <c r="CV3" s="569"/>
      <c r="CW3" s="569"/>
      <c r="CX3" s="569"/>
      <c r="CY3" s="569"/>
      <c r="CZ3" s="569"/>
      <c r="DA3" s="569"/>
    </row>
    <row r="4" spans="1:105">
      <c r="A4" s="570" t="s">
        <v>1352</v>
      </c>
      <c r="B4" s="569"/>
      <c r="C4" s="569"/>
      <c r="D4" s="569"/>
      <c r="E4" s="569"/>
      <c r="F4" s="569"/>
      <c r="G4" s="569"/>
      <c r="H4" s="569"/>
      <c r="I4" s="569"/>
      <c r="J4" s="569"/>
      <c r="K4" s="569"/>
      <c r="L4" s="569"/>
      <c r="M4" s="569"/>
      <c r="N4" s="569"/>
      <c r="O4" s="569"/>
      <c r="P4" s="569"/>
      <c r="Q4" s="569"/>
      <c r="R4" s="569"/>
      <c r="S4" s="569"/>
      <c r="T4" s="569"/>
      <c r="U4" s="569"/>
      <c r="V4" s="569"/>
      <c r="W4" s="569"/>
      <c r="X4" s="569"/>
      <c r="Y4" s="569"/>
      <c r="Z4" s="569"/>
      <c r="AA4" s="569"/>
      <c r="AB4" s="569"/>
      <c r="AC4" s="569"/>
      <c r="AD4" s="569"/>
      <c r="AE4" s="569"/>
      <c r="AF4" s="569"/>
      <c r="AG4" s="569"/>
      <c r="AH4" s="569"/>
      <c r="AI4" s="569"/>
      <c r="AJ4" s="569"/>
      <c r="AK4" s="569"/>
      <c r="AL4" s="569"/>
      <c r="AM4" s="569"/>
      <c r="AN4" s="569"/>
      <c r="AO4" s="569"/>
      <c r="AP4" s="569"/>
      <c r="AQ4" s="569"/>
      <c r="AR4" s="569"/>
      <c r="AS4" s="569"/>
      <c r="AT4" s="569"/>
      <c r="AU4" s="569"/>
      <c r="AV4" s="569"/>
      <c r="AW4" s="569"/>
      <c r="AX4" s="569"/>
      <c r="AY4" s="569"/>
      <c r="AZ4" s="569"/>
      <c r="BA4" s="569"/>
      <c r="BB4" s="569"/>
      <c r="BC4" s="569"/>
      <c r="BD4" s="569"/>
      <c r="BE4" s="569"/>
      <c r="BF4" s="569"/>
      <c r="BG4" s="569"/>
      <c r="BH4" s="569"/>
      <c r="BI4" s="569"/>
      <c r="BJ4" s="569"/>
      <c r="BK4" s="569"/>
      <c r="BL4" s="569"/>
      <c r="BM4" s="569"/>
      <c r="BN4" s="569"/>
      <c r="BO4" s="569"/>
      <c r="BP4" s="569"/>
      <c r="BQ4" s="569"/>
      <c r="BR4" s="569"/>
      <c r="BS4" s="569"/>
      <c r="BT4" s="569"/>
      <c r="BU4" s="569"/>
      <c r="BV4" s="569"/>
      <c r="BW4" s="569"/>
      <c r="BX4" s="569"/>
      <c r="BY4" s="569"/>
      <c r="BZ4" s="569"/>
      <c r="CA4" s="569"/>
      <c r="CB4" s="569"/>
      <c r="CC4" s="569"/>
      <c r="CD4" s="569"/>
      <c r="CE4" s="569"/>
      <c r="CF4" s="569"/>
      <c r="CG4" s="569"/>
      <c r="CH4" s="569"/>
      <c r="CI4" s="569"/>
      <c r="CJ4" s="569"/>
      <c r="CK4" s="569"/>
      <c r="CL4" s="569"/>
      <c r="CM4" s="569"/>
      <c r="CN4" s="569"/>
      <c r="CO4" s="569"/>
      <c r="CP4" s="569"/>
      <c r="CQ4" s="569"/>
      <c r="CR4" s="569"/>
      <c r="CS4" s="569"/>
      <c r="CT4" s="569"/>
      <c r="CU4" s="569"/>
      <c r="CV4" s="569"/>
      <c r="CW4" s="569"/>
      <c r="CX4" s="569"/>
      <c r="CY4" s="569"/>
      <c r="CZ4" s="569"/>
      <c r="DA4" s="569"/>
    </row>
    <row r="5" spans="1:105">
      <c r="A5" s="570" t="s">
        <v>1350</v>
      </c>
      <c r="B5" s="569"/>
      <c r="C5" s="569"/>
      <c r="D5" s="569"/>
      <c r="E5" s="569"/>
      <c r="F5" s="569"/>
      <c r="G5" s="569"/>
      <c r="H5" s="569"/>
      <c r="I5" s="569"/>
      <c r="J5" s="569"/>
      <c r="K5" s="569"/>
      <c r="L5" s="569"/>
      <c r="M5" s="569"/>
      <c r="N5" s="569"/>
      <c r="O5" s="569"/>
      <c r="P5" s="569"/>
      <c r="Q5" s="569"/>
      <c r="R5" s="569"/>
      <c r="S5" s="569"/>
      <c r="T5" s="569"/>
      <c r="U5" s="569"/>
      <c r="V5" s="569"/>
      <c r="W5" s="569"/>
      <c r="X5" s="569"/>
      <c r="Y5" s="569"/>
      <c r="Z5" s="569"/>
      <c r="AA5" s="569"/>
      <c r="AB5" s="569"/>
      <c r="AC5" s="569"/>
      <c r="AD5" s="569"/>
      <c r="AE5" s="569"/>
      <c r="AF5" s="569"/>
      <c r="AG5" s="569"/>
      <c r="AH5" s="569"/>
      <c r="AI5" s="569"/>
      <c r="AJ5" s="569"/>
      <c r="AK5" s="569"/>
      <c r="AL5" s="569"/>
      <c r="AM5" s="569"/>
      <c r="AN5" s="569"/>
      <c r="AO5" s="569"/>
      <c r="AP5" s="569"/>
      <c r="AQ5" s="569"/>
      <c r="AR5" s="569"/>
      <c r="AS5" s="569"/>
      <c r="AT5" s="569"/>
      <c r="AU5" s="569"/>
      <c r="AV5" s="569"/>
      <c r="AW5" s="569"/>
      <c r="AX5" s="569"/>
      <c r="AY5" s="569"/>
      <c r="AZ5" s="569"/>
      <c r="BA5" s="569"/>
      <c r="BB5" s="569"/>
      <c r="BC5" s="569"/>
      <c r="BD5" s="569"/>
      <c r="BE5" s="569"/>
      <c r="BF5" s="569"/>
      <c r="BG5" s="569"/>
      <c r="BH5" s="569"/>
      <c r="BI5" s="569"/>
      <c r="BJ5" s="569"/>
      <c r="BK5" s="569"/>
      <c r="BL5" s="569"/>
      <c r="BM5" s="569"/>
      <c r="BN5" s="569"/>
      <c r="BO5" s="569"/>
      <c r="BP5" s="569"/>
      <c r="BQ5" s="569"/>
      <c r="BR5" s="569"/>
      <c r="BS5" s="569"/>
      <c r="BT5" s="569"/>
      <c r="BU5" s="569"/>
      <c r="BV5" s="569"/>
      <c r="BW5" s="569"/>
      <c r="BX5" s="569"/>
      <c r="BY5" s="569"/>
      <c r="BZ5" s="569"/>
      <c r="CA5" s="569"/>
      <c r="CB5" s="569"/>
      <c r="CC5" s="569"/>
      <c r="CD5" s="569"/>
      <c r="CE5" s="569"/>
      <c r="CF5" s="569"/>
      <c r="CG5" s="569"/>
      <c r="CH5" s="569"/>
      <c r="CI5" s="569"/>
      <c r="CJ5" s="569"/>
      <c r="CK5" s="569"/>
      <c r="CL5" s="569"/>
      <c r="CM5" s="569"/>
      <c r="CN5" s="569"/>
      <c r="CO5" s="569"/>
      <c r="CP5" s="569"/>
      <c r="CQ5" s="569"/>
      <c r="CR5" s="569"/>
      <c r="CS5" s="569"/>
      <c r="CT5" s="569"/>
      <c r="CU5" s="569"/>
      <c r="CV5" s="569"/>
      <c r="CW5" s="569"/>
      <c r="CX5" s="569"/>
      <c r="CY5" s="569"/>
      <c r="CZ5" s="569"/>
      <c r="DA5" s="569"/>
    </row>
    <row r="6" spans="1:105">
      <c r="A6" s="570" t="s">
        <v>1722</v>
      </c>
      <c r="B6" s="569"/>
      <c r="C6" s="569"/>
      <c r="D6" s="569"/>
      <c r="E6" s="569"/>
      <c r="F6" s="569"/>
      <c r="G6" s="569"/>
      <c r="H6" s="569"/>
      <c r="I6" s="569"/>
      <c r="J6" s="569"/>
      <c r="K6" s="569"/>
      <c r="L6" s="569"/>
      <c r="M6" s="569"/>
      <c r="N6" s="569"/>
      <c r="O6" s="569"/>
      <c r="P6" s="569"/>
      <c r="Q6" s="569"/>
      <c r="R6" s="569"/>
      <c r="S6" s="569"/>
      <c r="T6" s="569"/>
      <c r="U6" s="569"/>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69"/>
      <c r="AU6" s="569"/>
      <c r="AV6" s="569"/>
      <c r="AW6" s="569"/>
      <c r="AX6" s="569"/>
      <c r="AY6" s="569"/>
      <c r="AZ6" s="569"/>
      <c r="BA6" s="569"/>
      <c r="BB6" s="569"/>
      <c r="BC6" s="569"/>
      <c r="BD6" s="569"/>
      <c r="BE6" s="569"/>
      <c r="BF6" s="569"/>
      <c r="BG6" s="569"/>
      <c r="BH6" s="569"/>
      <c r="BI6" s="569"/>
      <c r="BJ6" s="569"/>
      <c r="BK6" s="569"/>
      <c r="BL6" s="569"/>
      <c r="BM6" s="569"/>
      <c r="BN6" s="569"/>
      <c r="BO6" s="569"/>
      <c r="BP6" s="569"/>
      <c r="BQ6" s="569"/>
      <c r="BR6" s="569"/>
      <c r="BS6" s="569"/>
      <c r="BT6" s="569"/>
      <c r="BU6" s="569"/>
      <c r="BV6" s="569"/>
      <c r="BW6" s="569"/>
      <c r="BX6" s="569"/>
      <c r="BY6" s="569"/>
      <c r="BZ6" s="569"/>
      <c r="CA6" s="569"/>
      <c r="CB6" s="569"/>
      <c r="CC6" s="569"/>
      <c r="CD6" s="569"/>
      <c r="CE6" s="569"/>
      <c r="CF6" s="569"/>
      <c r="CG6" s="569"/>
      <c r="CH6" s="569"/>
      <c r="CI6" s="569"/>
      <c r="CJ6" s="569"/>
      <c r="CK6" s="569"/>
      <c r="CL6" s="569"/>
      <c r="CM6" s="569"/>
      <c r="CN6" s="569"/>
      <c r="CO6" s="569"/>
      <c r="CP6" s="569"/>
      <c r="CQ6" s="569"/>
      <c r="CR6" s="569"/>
      <c r="CS6" s="569"/>
      <c r="CT6" s="569"/>
      <c r="CU6" s="569"/>
      <c r="CV6" s="569"/>
      <c r="CW6" s="569"/>
      <c r="CX6" s="569"/>
      <c r="CY6" s="569"/>
      <c r="CZ6" s="569"/>
      <c r="DA6" s="569"/>
    </row>
    <row r="7" spans="1:105">
      <c r="A7" s="570" t="s">
        <v>1225</v>
      </c>
      <c r="B7" s="569"/>
      <c r="C7" s="569"/>
      <c r="D7" s="569"/>
      <c r="E7" s="569"/>
      <c r="F7" s="569"/>
      <c r="G7" s="569"/>
      <c r="H7" s="569"/>
      <c r="I7" s="569"/>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c r="CX7" s="569"/>
      <c r="CY7" s="569"/>
      <c r="CZ7" s="569"/>
      <c r="DA7" s="569"/>
    </row>
    <row r="8" spans="1:105">
      <c r="A8" s="570" t="s">
        <v>1351</v>
      </c>
      <c r="B8" s="569"/>
      <c r="C8" s="569"/>
      <c r="D8" s="569"/>
      <c r="E8" s="569"/>
      <c r="F8" s="569"/>
      <c r="G8" s="569"/>
      <c r="H8" s="569"/>
      <c r="I8" s="569"/>
      <c r="J8" s="569"/>
      <c r="K8" s="569"/>
      <c r="L8" s="569"/>
      <c r="M8" s="569"/>
      <c r="N8" s="569"/>
      <c r="O8" s="569"/>
      <c r="P8" s="569"/>
      <c r="Q8" s="569"/>
      <c r="R8" s="569"/>
      <c r="S8" s="569"/>
      <c r="T8" s="569"/>
      <c r="U8" s="569"/>
      <c r="V8" s="569"/>
      <c r="W8" s="569"/>
      <c r="X8" s="569"/>
      <c r="Y8" s="569"/>
      <c r="Z8" s="569"/>
      <c r="AA8" s="569"/>
      <c r="AB8" s="569"/>
      <c r="AC8" s="569"/>
      <c r="AD8" s="569"/>
      <c r="AE8" s="569"/>
      <c r="AF8" s="569"/>
      <c r="AG8" s="569"/>
      <c r="AH8" s="569"/>
      <c r="AI8" s="569"/>
      <c r="AJ8" s="569"/>
      <c r="AK8" s="569"/>
      <c r="AL8" s="569"/>
      <c r="AM8" s="569"/>
      <c r="AN8" s="569"/>
      <c r="AO8" s="569"/>
      <c r="AP8" s="569"/>
      <c r="AQ8" s="569"/>
      <c r="AR8" s="569"/>
      <c r="AS8" s="569"/>
      <c r="AT8" s="569"/>
      <c r="AU8" s="569"/>
      <c r="AV8" s="569"/>
      <c r="AW8" s="569"/>
      <c r="AX8" s="569"/>
      <c r="AY8" s="569"/>
      <c r="AZ8" s="569"/>
      <c r="BA8" s="569"/>
      <c r="BB8" s="569"/>
      <c r="BC8" s="569"/>
      <c r="BD8" s="569"/>
      <c r="BE8" s="569"/>
      <c r="BF8" s="569"/>
      <c r="BG8" s="569"/>
      <c r="BH8" s="569"/>
      <c r="BI8" s="569"/>
      <c r="BJ8" s="569"/>
      <c r="BK8" s="569"/>
      <c r="BL8" s="569"/>
      <c r="BM8" s="569"/>
      <c r="BN8" s="569"/>
      <c r="BO8" s="569"/>
      <c r="BP8" s="569"/>
      <c r="BQ8" s="569"/>
      <c r="BR8" s="569"/>
      <c r="BS8" s="569"/>
      <c r="BT8" s="569"/>
      <c r="BU8" s="569"/>
      <c r="BV8" s="569"/>
      <c r="BW8" s="569"/>
      <c r="BX8" s="569"/>
      <c r="BY8" s="569"/>
      <c r="BZ8" s="569"/>
      <c r="CA8" s="569"/>
      <c r="CB8" s="569"/>
      <c r="CC8" s="569"/>
      <c r="CD8" s="569"/>
      <c r="CE8" s="569"/>
      <c r="CF8" s="569"/>
      <c r="CG8" s="569"/>
      <c r="CH8" s="569"/>
      <c r="CI8" s="569"/>
      <c r="CJ8" s="569"/>
      <c r="CK8" s="569"/>
      <c r="CL8" s="569"/>
      <c r="CM8" s="569"/>
      <c r="CN8" s="569"/>
      <c r="CO8" s="569"/>
      <c r="CP8" s="569"/>
      <c r="CQ8" s="569"/>
      <c r="CR8" s="569"/>
      <c r="CS8" s="569"/>
      <c r="CT8" s="569"/>
      <c r="CU8" s="569"/>
      <c r="CV8" s="569"/>
      <c r="CW8" s="569"/>
      <c r="CX8" s="569"/>
      <c r="CY8" s="569"/>
      <c r="CZ8" s="569"/>
      <c r="DA8" s="569"/>
    </row>
    <row r="9" spans="1:105">
      <c r="A9" s="570" t="s">
        <v>1226</v>
      </c>
      <c r="B9" s="569"/>
      <c r="C9" s="569"/>
      <c r="D9" s="569"/>
      <c r="E9" s="569"/>
      <c r="F9" s="569"/>
      <c r="G9" s="569"/>
      <c r="H9" s="569"/>
      <c r="I9" s="569"/>
      <c r="J9" s="569"/>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c r="CX9" s="569"/>
      <c r="CY9" s="569"/>
      <c r="CZ9" s="569"/>
      <c r="DA9" s="569"/>
    </row>
    <row r="10" spans="1:105">
      <c r="A10" s="570" t="s">
        <v>1228</v>
      </c>
      <c r="B10" s="569"/>
      <c r="C10" s="569"/>
      <c r="D10" s="569"/>
      <c r="E10" s="569"/>
      <c r="F10" s="569"/>
      <c r="G10" s="569"/>
      <c r="H10" s="569"/>
      <c r="I10" s="569"/>
      <c r="J10" s="569"/>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c r="CX10" s="569"/>
      <c r="CY10" s="569"/>
      <c r="CZ10" s="569"/>
      <c r="DA10" s="569"/>
    </row>
    <row r="11" spans="1:105">
      <c r="A11" s="570" t="s">
        <v>1723</v>
      </c>
      <c r="B11" s="569"/>
      <c r="C11" s="569"/>
      <c r="D11" s="569"/>
      <c r="E11" s="569"/>
      <c r="F11" s="569"/>
      <c r="G11" s="569"/>
      <c r="H11" s="569"/>
      <c r="I11" s="569"/>
      <c r="J11" s="569"/>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c r="CX11" s="569"/>
      <c r="CY11" s="569"/>
      <c r="CZ11" s="569"/>
      <c r="DA11" s="569"/>
    </row>
    <row r="12" spans="1:105">
      <c r="A12" s="569" t="s">
        <v>1424</v>
      </c>
      <c r="B12" s="569"/>
      <c r="C12" s="569"/>
      <c r="D12" s="569"/>
      <c r="E12" s="569"/>
      <c r="F12" s="569"/>
      <c r="G12" s="569"/>
      <c r="H12" s="569"/>
      <c r="I12" s="569"/>
      <c r="J12" s="569"/>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c r="CX12" s="569"/>
      <c r="CY12" s="569"/>
      <c r="CZ12" s="569"/>
      <c r="DA12" s="569"/>
    </row>
    <row r="13" spans="1:105">
      <c r="A13" s="569" t="s">
        <v>1724</v>
      </c>
      <c r="B13" s="569"/>
      <c r="C13" s="569"/>
      <c r="D13" s="569"/>
      <c r="E13" s="569"/>
      <c r="F13" s="569"/>
      <c r="G13" s="569"/>
      <c r="H13" s="569"/>
      <c r="I13" s="569"/>
      <c r="J13" s="569"/>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t="s">
        <v>1725</v>
      </c>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c r="CX13" s="569"/>
      <c r="CY13" s="569"/>
      <c r="CZ13" s="569"/>
      <c r="DA13" s="569"/>
    </row>
    <row r="14" spans="1:105">
      <c r="A14" s="571" t="s">
        <v>1234</v>
      </c>
      <c r="B14" s="572" t="s">
        <v>1235</v>
      </c>
      <c r="C14" s="572" t="s">
        <v>1236</v>
      </c>
      <c r="D14" s="572" t="s">
        <v>1237</v>
      </c>
      <c r="E14" s="572" t="s">
        <v>782</v>
      </c>
      <c r="F14" s="572" t="s">
        <v>1440</v>
      </c>
      <c r="G14" s="572" t="s">
        <v>1441</v>
      </c>
      <c r="H14" s="572" t="s">
        <v>1442</v>
      </c>
      <c r="I14" s="572" t="s">
        <v>1443</v>
      </c>
      <c r="J14" s="572" t="s">
        <v>1444</v>
      </c>
      <c r="K14" s="572" t="s">
        <v>1445</v>
      </c>
      <c r="L14" s="572" t="s">
        <v>1446</v>
      </c>
      <c r="M14" s="572" t="s">
        <v>1726</v>
      </c>
      <c r="N14" s="572" t="s">
        <v>1727</v>
      </c>
      <c r="O14" s="572" t="s">
        <v>1447</v>
      </c>
      <c r="P14" s="572" t="s">
        <v>1448</v>
      </c>
      <c r="Q14" s="572" t="s">
        <v>1449</v>
      </c>
      <c r="R14" s="572" t="s">
        <v>1450</v>
      </c>
      <c r="S14" s="572" t="s">
        <v>1255</v>
      </c>
      <c r="T14" s="572" t="s">
        <v>1451</v>
      </c>
      <c r="U14" s="572" t="s">
        <v>1452</v>
      </c>
      <c r="V14" s="572" t="s">
        <v>1453</v>
      </c>
      <c r="W14" s="572" t="s">
        <v>1454</v>
      </c>
      <c r="X14" s="572" t="s">
        <v>1455</v>
      </c>
      <c r="Y14" s="572" t="s">
        <v>1456</v>
      </c>
      <c r="Z14" s="572" t="s">
        <v>1457</v>
      </c>
      <c r="AA14" s="572" t="s">
        <v>1458</v>
      </c>
      <c r="AB14" s="572" t="s">
        <v>1459</v>
      </c>
      <c r="AC14" s="572" t="s">
        <v>1460</v>
      </c>
      <c r="AD14" s="572" t="s">
        <v>1461</v>
      </c>
      <c r="AE14" s="572" t="s">
        <v>1462</v>
      </c>
      <c r="AF14" s="572" t="s">
        <v>1463</v>
      </c>
      <c r="AG14" s="572" t="s">
        <v>1464</v>
      </c>
      <c r="AH14" s="572" t="s">
        <v>1465</v>
      </c>
      <c r="AI14" s="572" t="s">
        <v>1466</v>
      </c>
      <c r="AJ14" s="572" t="s">
        <v>1467</v>
      </c>
      <c r="AK14" s="572" t="s">
        <v>383</v>
      </c>
      <c r="AL14" s="572" t="s">
        <v>1468</v>
      </c>
      <c r="AM14" s="572" t="s">
        <v>1469</v>
      </c>
      <c r="AN14" s="572" t="s">
        <v>1470</v>
      </c>
      <c r="AO14" s="572" t="s">
        <v>1471</v>
      </c>
      <c r="AP14" s="572" t="s">
        <v>1472</v>
      </c>
      <c r="AQ14" s="572" t="s">
        <v>1473</v>
      </c>
      <c r="AR14" s="572" t="s">
        <v>1474</v>
      </c>
      <c r="AS14" s="572" t="s">
        <v>1475</v>
      </c>
      <c r="AT14" s="572" t="s">
        <v>1476</v>
      </c>
      <c r="AU14" s="572" t="s">
        <v>1477</v>
      </c>
      <c r="AV14" s="572" t="s">
        <v>1478</v>
      </c>
      <c r="AW14" s="572" t="s">
        <v>1479</v>
      </c>
      <c r="AX14" s="572" t="s">
        <v>1480</v>
      </c>
      <c r="AY14" s="572" t="s">
        <v>1481</v>
      </c>
      <c r="AZ14" s="572" t="s">
        <v>1482</v>
      </c>
      <c r="BA14" s="572" t="s">
        <v>1483</v>
      </c>
      <c r="BB14" s="572" t="s">
        <v>1484</v>
      </c>
      <c r="BC14" s="572" t="s">
        <v>1485</v>
      </c>
      <c r="BD14" s="572" t="s">
        <v>1486</v>
      </c>
      <c r="BE14" s="572" t="s">
        <v>1487</v>
      </c>
      <c r="BF14" s="572" t="s">
        <v>1488</v>
      </c>
      <c r="BG14" s="572" t="s">
        <v>1489</v>
      </c>
      <c r="BH14" s="572" t="s">
        <v>1490</v>
      </c>
      <c r="BI14" s="572" t="s">
        <v>1491</v>
      </c>
      <c r="BJ14" s="572" t="s">
        <v>1492</v>
      </c>
      <c r="BK14" s="572" t="s">
        <v>1493</v>
      </c>
      <c r="BL14" s="572" t="s">
        <v>1494</v>
      </c>
      <c r="BM14" s="572" t="s">
        <v>1495</v>
      </c>
      <c r="BN14" s="572" t="s">
        <v>1496</v>
      </c>
      <c r="BO14" s="572" t="s">
        <v>1497</v>
      </c>
      <c r="BP14" s="572" t="s">
        <v>1498</v>
      </c>
      <c r="BQ14" s="572" t="s">
        <v>1499</v>
      </c>
      <c r="BR14" s="572" t="s">
        <v>1500</v>
      </c>
      <c r="BS14" s="572" t="s">
        <v>1501</v>
      </c>
      <c r="BT14" s="572" t="s">
        <v>1502</v>
      </c>
      <c r="BU14" s="572" t="s">
        <v>1503</v>
      </c>
      <c r="BV14" s="572" t="s">
        <v>1504</v>
      </c>
      <c r="BW14" s="572" t="s">
        <v>1505</v>
      </c>
      <c r="BX14" s="572" t="s">
        <v>1506</v>
      </c>
      <c r="BY14" s="572" t="s">
        <v>1507</v>
      </c>
      <c r="BZ14" s="572" t="s">
        <v>1508</v>
      </c>
      <c r="CA14" s="572" t="s">
        <v>1509</v>
      </c>
      <c r="CB14" s="572" t="s">
        <v>1510</v>
      </c>
      <c r="CC14" s="572" t="s">
        <v>1511</v>
      </c>
      <c r="CD14" s="572" t="s">
        <v>1512</v>
      </c>
      <c r="CE14" s="572" t="s">
        <v>1513</v>
      </c>
      <c r="CF14" s="572" t="s">
        <v>1514</v>
      </c>
      <c r="CG14" s="572" t="s">
        <v>1515</v>
      </c>
      <c r="CH14" s="572" t="s">
        <v>1516</v>
      </c>
      <c r="CI14" s="572" t="s">
        <v>1517</v>
      </c>
      <c r="CJ14" s="572" t="s">
        <v>1518</v>
      </c>
      <c r="CK14" s="572" t="s">
        <v>1519</v>
      </c>
      <c r="CL14" s="572" t="s">
        <v>1520</v>
      </c>
      <c r="CM14" s="572" t="s">
        <v>1521</v>
      </c>
      <c r="CN14" s="572" t="s">
        <v>1522</v>
      </c>
      <c r="CO14" s="572" t="s">
        <v>1523</v>
      </c>
      <c r="CP14" s="572" t="s">
        <v>1524</v>
      </c>
      <c r="CQ14" s="572" t="s">
        <v>1525</v>
      </c>
      <c r="CR14" s="572" t="s">
        <v>1526</v>
      </c>
      <c r="CS14" s="572" t="s">
        <v>1527</v>
      </c>
      <c r="CT14" s="572" t="s">
        <v>1528</v>
      </c>
      <c r="CU14" s="572" t="s">
        <v>1529</v>
      </c>
      <c r="CV14" s="572" t="s">
        <v>1530</v>
      </c>
      <c r="CW14" s="572" t="s">
        <v>1531</v>
      </c>
      <c r="CX14" s="572" t="s">
        <v>1532</v>
      </c>
      <c r="CY14" s="572" t="s">
        <v>1533</v>
      </c>
      <c r="CZ14" s="572" t="s">
        <v>140</v>
      </c>
      <c r="DA14" s="572" t="s">
        <v>383</v>
      </c>
    </row>
    <row r="15" spans="1:105">
      <c r="A15" s="573">
        <v>31</v>
      </c>
      <c r="B15" s="574">
        <v>6416</v>
      </c>
      <c r="C15" s="574">
        <v>0</v>
      </c>
      <c r="D15" s="574" t="s">
        <v>1286</v>
      </c>
      <c r="E15" s="574" t="s">
        <v>1396</v>
      </c>
      <c r="F15" s="574" t="s">
        <v>1295</v>
      </c>
      <c r="G15" s="574" t="s">
        <v>1295</v>
      </c>
      <c r="H15" s="574" t="s">
        <v>1295</v>
      </c>
      <c r="I15" s="574" t="s">
        <v>1295</v>
      </c>
      <c r="J15" s="574" t="s">
        <v>1534</v>
      </c>
      <c r="K15" s="574">
        <v>5100011001</v>
      </c>
      <c r="L15" s="574">
        <v>0</v>
      </c>
      <c r="M15" s="575">
        <v>42641</v>
      </c>
      <c r="N15" s="575">
        <v>46301</v>
      </c>
      <c r="O15" s="574">
        <v>978</v>
      </c>
      <c r="P15" s="574" t="s">
        <v>1536</v>
      </c>
      <c r="Q15" s="574" t="s">
        <v>1537</v>
      </c>
      <c r="R15" s="574" t="s">
        <v>1538</v>
      </c>
      <c r="S15" s="574">
        <v>75</v>
      </c>
      <c r="T15" s="574">
        <v>48</v>
      </c>
      <c r="U15" s="574" t="s">
        <v>1540</v>
      </c>
      <c r="V15" s="574" t="s">
        <v>1541</v>
      </c>
      <c r="W15" s="574">
        <v>620</v>
      </c>
      <c r="X15" s="574" t="s">
        <v>1543</v>
      </c>
      <c r="Y15" s="574" t="s">
        <v>1295</v>
      </c>
      <c r="Z15" s="574" t="s">
        <v>1295</v>
      </c>
      <c r="AA15" s="574" t="s">
        <v>1295</v>
      </c>
      <c r="AB15" s="574" t="s">
        <v>1295</v>
      </c>
      <c r="AC15" s="574" t="s">
        <v>1295</v>
      </c>
      <c r="AD15" s="574" t="s">
        <v>1295</v>
      </c>
      <c r="AE15" s="576">
        <v>7599000000000</v>
      </c>
      <c r="AF15" s="576">
        <v>1000000000</v>
      </c>
      <c r="AG15" s="576">
        <v>10000000</v>
      </c>
      <c r="AH15" s="576">
        <v>10000000000000</v>
      </c>
      <c r="AI15" s="574">
        <v>7599000</v>
      </c>
      <c r="AJ15" s="574">
        <v>1000</v>
      </c>
      <c r="AK15" s="577">
        <v>7599</v>
      </c>
      <c r="AL15" s="576">
        <v>7599000000000</v>
      </c>
      <c r="AM15" s="574" t="s">
        <v>1548</v>
      </c>
      <c r="AN15" s="574" t="s">
        <v>1728</v>
      </c>
      <c r="AO15" s="574" t="s">
        <v>1295</v>
      </c>
      <c r="AP15" s="574" t="s">
        <v>1295</v>
      </c>
      <c r="AQ15" s="574" t="s">
        <v>1295</v>
      </c>
      <c r="AR15" s="574" t="s">
        <v>1295</v>
      </c>
      <c r="AS15" s="574" t="s">
        <v>1295</v>
      </c>
      <c r="AT15" s="574" t="s">
        <v>1295</v>
      </c>
      <c r="AU15" s="576">
        <v>750000</v>
      </c>
      <c r="AV15" s="575">
        <v>46301</v>
      </c>
      <c r="AW15" s="574" t="s">
        <v>1295</v>
      </c>
      <c r="AX15" s="574" t="s">
        <v>1295</v>
      </c>
      <c r="AY15" s="575">
        <v>43014</v>
      </c>
      <c r="AZ15" s="574" t="s">
        <v>1553</v>
      </c>
      <c r="BA15" s="574" t="s">
        <v>1295</v>
      </c>
      <c r="BB15" s="574" t="s">
        <v>1295</v>
      </c>
      <c r="BC15" s="574" t="s">
        <v>1554</v>
      </c>
      <c r="BD15" s="574" t="s">
        <v>1555</v>
      </c>
      <c r="BE15" s="575">
        <v>46301</v>
      </c>
      <c r="BF15" s="574" t="s">
        <v>1295</v>
      </c>
      <c r="BG15" s="574" t="s">
        <v>1295</v>
      </c>
      <c r="BH15" s="574" t="s">
        <v>1295</v>
      </c>
      <c r="BI15" s="574" t="s">
        <v>1295</v>
      </c>
      <c r="BJ15" s="574" t="s">
        <v>1295</v>
      </c>
      <c r="BK15" s="574" t="s">
        <v>1729</v>
      </c>
      <c r="BL15" s="574" t="s">
        <v>1557</v>
      </c>
      <c r="BM15" s="574" t="s">
        <v>1558</v>
      </c>
      <c r="BN15" s="574" t="s">
        <v>1558</v>
      </c>
      <c r="BO15" s="574" t="s">
        <v>1295</v>
      </c>
      <c r="BP15" s="574" t="s">
        <v>1558</v>
      </c>
      <c r="BQ15" s="574" t="s">
        <v>1295</v>
      </c>
      <c r="BR15" s="574" t="s">
        <v>1540</v>
      </c>
      <c r="BS15" s="574" t="s">
        <v>1561</v>
      </c>
      <c r="BT15" s="574" t="s">
        <v>1730</v>
      </c>
      <c r="BU15" s="574">
        <v>0</v>
      </c>
      <c r="BV15" s="574" t="s">
        <v>1295</v>
      </c>
      <c r="BW15" s="574" t="s">
        <v>1295</v>
      </c>
      <c r="BX15" s="574" t="s">
        <v>231</v>
      </c>
      <c r="BY15" s="574">
        <v>3</v>
      </c>
      <c r="BZ15" s="574" t="s">
        <v>1731</v>
      </c>
      <c r="CA15" s="574" t="s">
        <v>1540</v>
      </c>
      <c r="CB15" s="574">
        <v>0</v>
      </c>
      <c r="CC15" s="574" t="s">
        <v>1297</v>
      </c>
      <c r="CD15" s="574">
        <v>1</v>
      </c>
      <c r="CE15" s="574">
        <v>1</v>
      </c>
      <c r="CF15" s="574" t="s">
        <v>1295</v>
      </c>
      <c r="CG15" s="574" t="s">
        <v>1295</v>
      </c>
      <c r="CH15" s="574" t="s">
        <v>1295</v>
      </c>
      <c r="CI15" s="574" t="s">
        <v>1295</v>
      </c>
      <c r="CJ15" s="574" t="s">
        <v>1295</v>
      </c>
      <c r="CK15" s="574" t="s">
        <v>1295</v>
      </c>
      <c r="CL15" s="574" t="s">
        <v>1295</v>
      </c>
      <c r="CM15" s="574" t="s">
        <v>1295</v>
      </c>
      <c r="CN15" s="574" t="s">
        <v>1295</v>
      </c>
      <c r="CO15" s="574" t="s">
        <v>1295</v>
      </c>
      <c r="CP15" s="574" t="s">
        <v>1295</v>
      </c>
      <c r="CQ15" s="574" t="s">
        <v>1295</v>
      </c>
      <c r="CR15" s="574" t="s">
        <v>1295</v>
      </c>
      <c r="CS15" s="574" t="s">
        <v>1295</v>
      </c>
      <c r="CT15" s="574" t="s">
        <v>1295</v>
      </c>
      <c r="CU15" s="574" t="s">
        <v>1295</v>
      </c>
      <c r="CV15" s="574" t="s">
        <v>1295</v>
      </c>
      <c r="CW15" s="574">
        <v>1</v>
      </c>
      <c r="CX15" s="574" t="s">
        <v>1295</v>
      </c>
      <c r="CY15" s="574" t="s">
        <v>1732</v>
      </c>
      <c r="CZ15" s="575">
        <v>45900</v>
      </c>
      <c r="DA15" s="574" t="s">
        <v>383</v>
      </c>
    </row>
    <row r="16" spans="1:105">
      <c r="A16" s="573">
        <v>31</v>
      </c>
      <c r="B16" s="574">
        <v>6416</v>
      </c>
      <c r="C16" s="574">
        <v>0</v>
      </c>
      <c r="D16" s="574" t="s">
        <v>1311</v>
      </c>
      <c r="E16" s="574" t="s">
        <v>1400</v>
      </c>
      <c r="F16" s="574" t="s">
        <v>1295</v>
      </c>
      <c r="G16" s="574" t="s">
        <v>1295</v>
      </c>
      <c r="H16" s="574" t="s">
        <v>1295</v>
      </c>
      <c r="I16" s="574" t="s">
        <v>1295</v>
      </c>
      <c r="J16" s="574" t="s">
        <v>1733</v>
      </c>
      <c r="K16" s="574">
        <v>5100011001</v>
      </c>
      <c r="L16" s="574">
        <v>3686</v>
      </c>
      <c r="M16" s="575">
        <v>44713</v>
      </c>
      <c r="N16" s="575">
        <v>46541</v>
      </c>
      <c r="O16" s="574">
        <v>978</v>
      </c>
      <c r="P16" s="574" t="s">
        <v>1536</v>
      </c>
      <c r="Q16" s="574" t="s">
        <v>1566</v>
      </c>
      <c r="R16" s="574" t="s">
        <v>1538</v>
      </c>
      <c r="S16" s="574">
        <v>75</v>
      </c>
      <c r="T16" s="574">
        <v>22</v>
      </c>
      <c r="U16" s="574" t="s">
        <v>1540</v>
      </c>
      <c r="V16" s="574" t="s">
        <v>1541</v>
      </c>
      <c r="W16" s="574">
        <v>620</v>
      </c>
      <c r="X16" s="574" t="s">
        <v>1543</v>
      </c>
      <c r="Y16" s="574" t="s">
        <v>1295</v>
      </c>
      <c r="Z16" s="574" t="s">
        <v>1295</v>
      </c>
      <c r="AA16" s="574" t="s">
        <v>1295</v>
      </c>
      <c r="AB16" s="574" t="s">
        <v>1295</v>
      </c>
      <c r="AC16" s="574" t="s">
        <v>1295</v>
      </c>
      <c r="AD16" s="574" t="s">
        <v>1295</v>
      </c>
      <c r="AE16" s="576">
        <v>600000000000000</v>
      </c>
      <c r="AF16" s="576">
        <v>100000000000</v>
      </c>
      <c r="AG16" s="576">
        <v>10000000</v>
      </c>
      <c r="AH16" s="576">
        <v>10000000000000</v>
      </c>
      <c r="AI16" s="574">
        <v>600000000</v>
      </c>
      <c r="AJ16" s="574">
        <v>100000</v>
      </c>
      <c r="AK16" s="577">
        <v>6000</v>
      </c>
      <c r="AL16" s="574">
        <v>600000000</v>
      </c>
      <c r="AM16" s="574" t="s">
        <v>1548</v>
      </c>
      <c r="AN16" s="576">
        <v>3078</v>
      </c>
      <c r="AO16" s="574" t="s">
        <v>1295</v>
      </c>
      <c r="AP16" s="574" t="s">
        <v>1295</v>
      </c>
      <c r="AQ16" s="574" t="s">
        <v>1295</v>
      </c>
      <c r="AR16" s="574" t="s">
        <v>1295</v>
      </c>
      <c r="AS16" s="574" t="s">
        <v>1295</v>
      </c>
      <c r="AT16" s="574" t="s">
        <v>1295</v>
      </c>
      <c r="AU16" s="576">
        <v>307800</v>
      </c>
      <c r="AV16" s="575">
        <v>46541</v>
      </c>
      <c r="AW16" s="574" t="s">
        <v>1295</v>
      </c>
      <c r="AX16" s="574" t="s">
        <v>1295</v>
      </c>
      <c r="AY16" s="575">
        <v>45080</v>
      </c>
      <c r="AZ16" s="574" t="s">
        <v>1553</v>
      </c>
      <c r="BA16" s="574" t="s">
        <v>1295</v>
      </c>
      <c r="BB16" s="574" t="s">
        <v>1295</v>
      </c>
      <c r="BC16" s="574" t="s">
        <v>1575</v>
      </c>
      <c r="BD16" s="574" t="s">
        <v>1576</v>
      </c>
      <c r="BE16" s="575">
        <v>46541</v>
      </c>
      <c r="BF16" s="574" t="s">
        <v>1295</v>
      </c>
      <c r="BG16" s="575">
        <v>46541</v>
      </c>
      <c r="BH16" s="574" t="s">
        <v>1553</v>
      </c>
      <c r="BI16" s="575">
        <v>46541</v>
      </c>
      <c r="BJ16" s="574">
        <v>301</v>
      </c>
      <c r="BK16" s="574" t="s">
        <v>1295</v>
      </c>
      <c r="BL16" s="574" t="s">
        <v>1557</v>
      </c>
      <c r="BM16" s="574" t="s">
        <v>1558</v>
      </c>
      <c r="BN16" s="574" t="s">
        <v>1558</v>
      </c>
      <c r="BO16" s="574" t="s">
        <v>1295</v>
      </c>
      <c r="BP16" s="574" t="s">
        <v>1558</v>
      </c>
      <c r="BQ16" s="574" t="s">
        <v>1295</v>
      </c>
      <c r="BR16" s="574" t="s">
        <v>1540</v>
      </c>
      <c r="BS16" s="574" t="s">
        <v>1295</v>
      </c>
      <c r="BT16" s="574" t="s">
        <v>1731</v>
      </c>
      <c r="BU16" s="574">
        <v>0</v>
      </c>
      <c r="BV16" s="574" t="s">
        <v>1295</v>
      </c>
      <c r="BW16" s="574" t="s">
        <v>1295</v>
      </c>
      <c r="BX16" s="574" t="s">
        <v>231</v>
      </c>
      <c r="BY16" s="574">
        <v>8</v>
      </c>
      <c r="BZ16" s="574" t="s">
        <v>1295</v>
      </c>
      <c r="CA16" s="574" t="s">
        <v>1540</v>
      </c>
      <c r="CB16" s="574">
        <v>0</v>
      </c>
      <c r="CC16" s="574" t="s">
        <v>1297</v>
      </c>
      <c r="CD16" s="574">
        <v>1</v>
      </c>
      <c r="CE16" s="574">
        <v>1</v>
      </c>
      <c r="CF16" s="574" t="s">
        <v>1295</v>
      </c>
      <c r="CG16" s="574" t="s">
        <v>1295</v>
      </c>
      <c r="CH16" s="574" t="s">
        <v>1295</v>
      </c>
      <c r="CI16" s="574" t="s">
        <v>1295</v>
      </c>
      <c r="CJ16" s="574" t="s">
        <v>1295</v>
      </c>
      <c r="CK16" s="574" t="s">
        <v>1295</v>
      </c>
      <c r="CL16" s="574" t="s">
        <v>1295</v>
      </c>
      <c r="CM16" s="574" t="s">
        <v>1295</v>
      </c>
      <c r="CN16" s="574" t="s">
        <v>1295</v>
      </c>
      <c r="CO16" s="574" t="s">
        <v>1295</v>
      </c>
      <c r="CP16" s="574" t="s">
        <v>1295</v>
      </c>
      <c r="CQ16" s="574" t="s">
        <v>1295</v>
      </c>
      <c r="CR16" s="574" t="s">
        <v>1295</v>
      </c>
      <c r="CS16" s="574" t="s">
        <v>1295</v>
      </c>
      <c r="CT16" s="574" t="s">
        <v>1295</v>
      </c>
      <c r="CU16" s="574" t="s">
        <v>1295</v>
      </c>
      <c r="CV16" s="574" t="s">
        <v>1295</v>
      </c>
      <c r="CW16" s="574">
        <v>1</v>
      </c>
      <c r="CX16" s="574" t="s">
        <v>1295</v>
      </c>
      <c r="CY16" s="574" t="s">
        <v>1732</v>
      </c>
      <c r="CZ16" s="575">
        <v>45900</v>
      </c>
      <c r="DA16" s="574" t="s">
        <v>383</v>
      </c>
    </row>
    <row r="17" spans="1:105">
      <c r="A17" s="573">
        <v>31</v>
      </c>
      <c r="B17" s="574">
        <v>6416</v>
      </c>
      <c r="C17" s="574">
        <v>0</v>
      </c>
      <c r="D17" s="574" t="s">
        <v>1319</v>
      </c>
      <c r="E17" s="574" t="s">
        <v>1402</v>
      </c>
      <c r="F17" s="574" t="s">
        <v>1295</v>
      </c>
      <c r="G17" s="574" t="s">
        <v>1295</v>
      </c>
      <c r="H17" s="574" t="s">
        <v>1295</v>
      </c>
      <c r="I17" s="574" t="s">
        <v>1295</v>
      </c>
      <c r="J17" s="574" t="s">
        <v>1578</v>
      </c>
      <c r="K17" s="574">
        <v>5100011001</v>
      </c>
      <c r="L17" s="574">
        <v>3686</v>
      </c>
      <c r="M17" s="575">
        <v>44719</v>
      </c>
      <c r="N17" s="575">
        <v>46547</v>
      </c>
      <c r="O17" s="574">
        <v>978</v>
      </c>
      <c r="P17" s="574" t="s">
        <v>1536</v>
      </c>
      <c r="Q17" s="574" t="s">
        <v>1537</v>
      </c>
      <c r="R17" s="574" t="s">
        <v>1538</v>
      </c>
      <c r="S17" s="574">
        <v>75</v>
      </c>
      <c r="T17" s="574">
        <v>22</v>
      </c>
      <c r="U17" s="574" t="s">
        <v>1540</v>
      </c>
      <c r="V17" s="574" t="s">
        <v>1541</v>
      </c>
      <c r="W17" s="574">
        <v>620</v>
      </c>
      <c r="X17" s="574" t="s">
        <v>1543</v>
      </c>
      <c r="Y17" s="574" t="s">
        <v>1295</v>
      </c>
      <c r="Z17" s="574" t="s">
        <v>1295</v>
      </c>
      <c r="AA17" s="574" t="s">
        <v>1295</v>
      </c>
      <c r="AB17" s="574" t="s">
        <v>1295</v>
      </c>
      <c r="AC17" s="574" t="s">
        <v>1295</v>
      </c>
      <c r="AD17" s="574" t="s">
        <v>1295</v>
      </c>
      <c r="AE17" s="576">
        <v>200000000000000</v>
      </c>
      <c r="AF17" s="576">
        <v>100000000000</v>
      </c>
      <c r="AG17" s="576">
        <v>10000000</v>
      </c>
      <c r="AH17" s="576">
        <v>10000000000000</v>
      </c>
      <c r="AI17" s="574">
        <v>200000000</v>
      </c>
      <c r="AJ17" s="574">
        <v>100000</v>
      </c>
      <c r="AK17" s="577">
        <v>2000</v>
      </c>
      <c r="AL17" s="574">
        <v>200000000</v>
      </c>
      <c r="AM17" s="574" t="s">
        <v>1548</v>
      </c>
      <c r="AN17" s="576">
        <v>4714</v>
      </c>
      <c r="AO17" s="574" t="s">
        <v>1295</v>
      </c>
      <c r="AP17" s="574" t="s">
        <v>1295</v>
      </c>
      <c r="AQ17" s="574" t="s">
        <v>1295</v>
      </c>
      <c r="AR17" s="574" t="s">
        <v>1295</v>
      </c>
      <c r="AS17" s="574" t="s">
        <v>1295</v>
      </c>
      <c r="AT17" s="574" t="s">
        <v>1295</v>
      </c>
      <c r="AU17" s="576">
        <v>471400</v>
      </c>
      <c r="AV17" s="575">
        <v>46547</v>
      </c>
      <c r="AW17" s="574" t="s">
        <v>1295</v>
      </c>
      <c r="AX17" s="574" t="s">
        <v>1295</v>
      </c>
      <c r="AY17" s="575">
        <v>45086</v>
      </c>
      <c r="AZ17" s="574" t="s">
        <v>1553</v>
      </c>
      <c r="BA17" s="574" t="s">
        <v>1295</v>
      </c>
      <c r="BB17" s="574" t="s">
        <v>1295</v>
      </c>
      <c r="BC17" s="574" t="s">
        <v>1575</v>
      </c>
      <c r="BD17" s="574" t="s">
        <v>1576</v>
      </c>
      <c r="BE17" s="575">
        <v>46547</v>
      </c>
      <c r="BF17" s="574" t="s">
        <v>1295</v>
      </c>
      <c r="BG17" s="575">
        <v>46547</v>
      </c>
      <c r="BH17" s="574" t="s">
        <v>1553</v>
      </c>
      <c r="BI17" s="575">
        <v>46547</v>
      </c>
      <c r="BJ17" s="574">
        <v>301</v>
      </c>
      <c r="BK17" s="574" t="s">
        <v>1295</v>
      </c>
      <c r="BL17" s="574" t="s">
        <v>1557</v>
      </c>
      <c r="BM17" s="574" t="s">
        <v>1558</v>
      </c>
      <c r="BN17" s="574" t="s">
        <v>1558</v>
      </c>
      <c r="BO17" s="574" t="s">
        <v>1295</v>
      </c>
      <c r="BP17" s="574" t="s">
        <v>1558</v>
      </c>
      <c r="BQ17" s="574" t="s">
        <v>1295</v>
      </c>
      <c r="BR17" s="574" t="s">
        <v>1540</v>
      </c>
      <c r="BS17" s="574" t="s">
        <v>1561</v>
      </c>
      <c r="BT17" s="574" t="s">
        <v>1734</v>
      </c>
      <c r="BU17" s="574">
        <v>0</v>
      </c>
      <c r="BV17" s="574" t="s">
        <v>1295</v>
      </c>
      <c r="BW17" s="574" t="s">
        <v>1295</v>
      </c>
      <c r="BX17" s="574" t="s">
        <v>231</v>
      </c>
      <c r="BY17" s="574">
        <v>3</v>
      </c>
      <c r="BZ17" s="574" t="s">
        <v>1295</v>
      </c>
      <c r="CA17" s="574" t="s">
        <v>1540</v>
      </c>
      <c r="CB17" s="574">
        <v>0</v>
      </c>
      <c r="CC17" s="574" t="s">
        <v>1297</v>
      </c>
      <c r="CD17" s="574">
        <v>1</v>
      </c>
      <c r="CE17" s="574">
        <v>1</v>
      </c>
      <c r="CF17" s="574" t="s">
        <v>1295</v>
      </c>
      <c r="CG17" s="574" t="s">
        <v>1295</v>
      </c>
      <c r="CH17" s="574" t="s">
        <v>1295</v>
      </c>
      <c r="CI17" s="574" t="s">
        <v>1295</v>
      </c>
      <c r="CJ17" s="574" t="s">
        <v>1295</v>
      </c>
      <c r="CK17" s="574" t="s">
        <v>1295</v>
      </c>
      <c r="CL17" s="574" t="s">
        <v>1295</v>
      </c>
      <c r="CM17" s="574" t="s">
        <v>1295</v>
      </c>
      <c r="CN17" s="574" t="s">
        <v>1295</v>
      </c>
      <c r="CO17" s="574" t="s">
        <v>1295</v>
      </c>
      <c r="CP17" s="574" t="s">
        <v>1295</v>
      </c>
      <c r="CQ17" s="574" t="s">
        <v>1295</v>
      </c>
      <c r="CR17" s="574" t="s">
        <v>1295</v>
      </c>
      <c r="CS17" s="574" t="s">
        <v>1295</v>
      </c>
      <c r="CT17" s="574" t="s">
        <v>1295</v>
      </c>
      <c r="CU17" s="574" t="s">
        <v>1295</v>
      </c>
      <c r="CV17" s="574" t="s">
        <v>1295</v>
      </c>
      <c r="CW17" s="574">
        <v>1</v>
      </c>
      <c r="CX17" s="574" t="s">
        <v>1295</v>
      </c>
      <c r="CY17" s="574" t="s">
        <v>1732</v>
      </c>
      <c r="CZ17" s="575">
        <v>45900</v>
      </c>
      <c r="DA17" s="574" t="s">
        <v>383</v>
      </c>
    </row>
    <row r="18" spans="1:105">
      <c r="A18" s="578">
        <v>31</v>
      </c>
      <c r="B18" s="579">
        <v>6416</v>
      </c>
      <c r="C18" s="579">
        <v>0</v>
      </c>
      <c r="D18" s="579" t="s">
        <v>1320</v>
      </c>
      <c r="E18" s="579" t="s">
        <v>1376</v>
      </c>
      <c r="F18" s="579" t="s">
        <v>1586</v>
      </c>
      <c r="G18" s="579" t="s">
        <v>1295</v>
      </c>
      <c r="H18" s="579" t="s">
        <v>1295</v>
      </c>
      <c r="I18" s="579" t="s">
        <v>1295</v>
      </c>
      <c r="J18" s="579" t="s">
        <v>1587</v>
      </c>
      <c r="K18" s="579">
        <v>5100011001</v>
      </c>
      <c r="L18" s="579">
        <v>3686</v>
      </c>
      <c r="M18" s="580">
        <v>45344</v>
      </c>
      <c r="N18" s="580">
        <v>2958465</v>
      </c>
      <c r="O18" s="579">
        <v>978</v>
      </c>
      <c r="P18" s="579" t="s">
        <v>1536</v>
      </c>
      <c r="Q18" s="579" t="s">
        <v>1588</v>
      </c>
      <c r="R18" s="579" t="s">
        <v>1295</v>
      </c>
      <c r="S18" s="579">
        <v>75</v>
      </c>
      <c r="T18" s="579" t="s">
        <v>1587</v>
      </c>
      <c r="U18" s="579" t="s">
        <v>1540</v>
      </c>
      <c r="V18" s="579" t="s">
        <v>1541</v>
      </c>
      <c r="W18" s="579">
        <v>620</v>
      </c>
      <c r="X18" s="579" t="s">
        <v>1543</v>
      </c>
      <c r="Y18" s="579" t="s">
        <v>1295</v>
      </c>
      <c r="Z18" s="579" t="s">
        <v>1295</v>
      </c>
      <c r="AA18" s="579" t="s">
        <v>1295</v>
      </c>
      <c r="AB18" s="579" t="s">
        <v>1295</v>
      </c>
      <c r="AC18" s="579" t="s">
        <v>1295</v>
      </c>
      <c r="AD18" s="579" t="s">
        <v>1295</v>
      </c>
      <c r="AE18" s="581">
        <v>300000000000000</v>
      </c>
      <c r="AF18" s="581">
        <v>100000000000</v>
      </c>
      <c r="AG18" s="581">
        <v>10000000</v>
      </c>
      <c r="AH18" s="581">
        <v>10000000000000</v>
      </c>
      <c r="AI18" s="579">
        <v>300000000</v>
      </c>
      <c r="AJ18" s="579">
        <v>100000</v>
      </c>
      <c r="AK18" s="582">
        <v>3000</v>
      </c>
      <c r="AL18" s="581">
        <v>300000000000000</v>
      </c>
      <c r="AM18" s="579" t="s">
        <v>1548</v>
      </c>
      <c r="AN18" s="581">
        <v>8007</v>
      </c>
      <c r="AO18" s="579" t="s">
        <v>1295</v>
      </c>
      <c r="AP18" s="579" t="s">
        <v>1295</v>
      </c>
      <c r="AQ18" s="579" t="s">
        <v>1295</v>
      </c>
      <c r="AR18" s="579" t="s">
        <v>1295</v>
      </c>
      <c r="AS18" s="579" t="s">
        <v>1295</v>
      </c>
      <c r="AT18" s="579" t="s">
        <v>1295</v>
      </c>
      <c r="AU18" s="581">
        <v>800700</v>
      </c>
      <c r="AV18" s="580">
        <v>47260</v>
      </c>
      <c r="AW18" s="579" t="s">
        <v>1295</v>
      </c>
      <c r="AX18" s="579" t="s">
        <v>1295</v>
      </c>
      <c r="AY18" s="580">
        <v>45434</v>
      </c>
      <c r="AZ18" s="579" t="s">
        <v>1594</v>
      </c>
      <c r="BA18" s="579" t="s">
        <v>1295</v>
      </c>
      <c r="BB18" s="579" t="s">
        <v>1295</v>
      </c>
      <c r="BC18" s="579" t="s">
        <v>1295</v>
      </c>
      <c r="BD18" s="579" t="s">
        <v>1295</v>
      </c>
      <c r="BE18" s="579" t="s">
        <v>1295</v>
      </c>
      <c r="BF18" s="579" t="s">
        <v>1295</v>
      </c>
      <c r="BG18" s="579" t="s">
        <v>1295</v>
      </c>
      <c r="BH18" s="579" t="s">
        <v>1295</v>
      </c>
      <c r="BI18" s="580">
        <v>48713</v>
      </c>
      <c r="BJ18" s="579">
        <v>305</v>
      </c>
      <c r="BK18" s="579" t="s">
        <v>1729</v>
      </c>
      <c r="BL18" s="579" t="s">
        <v>1557</v>
      </c>
      <c r="BM18" s="579" t="s">
        <v>1558</v>
      </c>
      <c r="BN18" s="579" t="s">
        <v>1558</v>
      </c>
      <c r="BO18" s="579" t="s">
        <v>1295</v>
      </c>
      <c r="BP18" s="579" t="s">
        <v>1558</v>
      </c>
      <c r="BQ18" s="579" t="s">
        <v>1295</v>
      </c>
      <c r="BR18" s="579" t="s">
        <v>1540</v>
      </c>
      <c r="BS18" s="579" t="s">
        <v>1597</v>
      </c>
      <c r="BT18" s="579" t="s">
        <v>1735</v>
      </c>
      <c r="BU18" s="579">
        <v>0</v>
      </c>
      <c r="BV18" s="579" t="s">
        <v>1295</v>
      </c>
      <c r="BW18" s="579" t="s">
        <v>1295</v>
      </c>
      <c r="BX18" s="579" t="s">
        <v>231</v>
      </c>
      <c r="BY18" s="579">
        <v>2</v>
      </c>
      <c r="BZ18" s="579" t="s">
        <v>1295</v>
      </c>
      <c r="CA18" s="579" t="s">
        <v>1540</v>
      </c>
      <c r="CB18" s="579">
        <v>0</v>
      </c>
      <c r="CC18" s="579" t="s">
        <v>1297</v>
      </c>
      <c r="CD18" s="579">
        <v>1</v>
      </c>
      <c r="CE18" s="579">
        <v>1</v>
      </c>
      <c r="CF18" s="579" t="s">
        <v>1295</v>
      </c>
      <c r="CG18" s="579" t="s">
        <v>1295</v>
      </c>
      <c r="CH18" s="579" t="s">
        <v>1295</v>
      </c>
      <c r="CI18" s="579" t="s">
        <v>1295</v>
      </c>
      <c r="CJ18" s="579" t="s">
        <v>1295</v>
      </c>
      <c r="CK18" s="579" t="s">
        <v>1295</v>
      </c>
      <c r="CL18" s="579" t="s">
        <v>1295</v>
      </c>
      <c r="CM18" s="579" t="s">
        <v>1295</v>
      </c>
      <c r="CN18" s="579" t="s">
        <v>1295</v>
      </c>
      <c r="CO18" s="579" t="s">
        <v>1295</v>
      </c>
      <c r="CP18" s="579" t="s">
        <v>1295</v>
      </c>
      <c r="CQ18" s="579" t="s">
        <v>1295</v>
      </c>
      <c r="CR18" s="579" t="s">
        <v>1295</v>
      </c>
      <c r="CS18" s="579" t="s">
        <v>1295</v>
      </c>
      <c r="CT18" s="579" t="s">
        <v>1295</v>
      </c>
      <c r="CU18" s="579" t="s">
        <v>1295</v>
      </c>
      <c r="CV18" s="579" t="s">
        <v>1295</v>
      </c>
      <c r="CW18" s="579">
        <v>1</v>
      </c>
      <c r="CX18" s="579" t="s">
        <v>1295</v>
      </c>
      <c r="CY18" s="579" t="s">
        <v>1732</v>
      </c>
      <c r="CZ18" s="580">
        <v>45900</v>
      </c>
      <c r="DA18" s="579" t="s">
        <v>383</v>
      </c>
    </row>
    <row r="19" spans="1:105">
      <c r="A19" s="573">
        <v>31</v>
      </c>
      <c r="B19" s="574">
        <v>6416</v>
      </c>
      <c r="C19" s="574">
        <v>0</v>
      </c>
      <c r="D19" s="574" t="s">
        <v>1327</v>
      </c>
      <c r="E19" s="574" t="s">
        <v>1405</v>
      </c>
      <c r="F19" s="574" t="s">
        <v>1599</v>
      </c>
      <c r="G19" s="574" t="s">
        <v>1295</v>
      </c>
      <c r="H19" s="574" t="s">
        <v>1295</v>
      </c>
      <c r="I19" s="574" t="s">
        <v>1295</v>
      </c>
      <c r="J19" s="574" t="s">
        <v>1736</v>
      </c>
      <c r="K19" s="574">
        <v>5100011001</v>
      </c>
      <c r="L19" s="574">
        <v>3686</v>
      </c>
      <c r="M19" s="575">
        <v>45503</v>
      </c>
      <c r="N19" s="575">
        <v>47694</v>
      </c>
      <c r="O19" s="574">
        <v>978</v>
      </c>
      <c r="P19" s="574" t="s">
        <v>1536</v>
      </c>
      <c r="Q19" s="574" t="s">
        <v>1566</v>
      </c>
      <c r="R19" s="574" t="s">
        <v>1538</v>
      </c>
      <c r="S19" s="574">
        <v>75</v>
      </c>
      <c r="T19" s="574">
        <v>22</v>
      </c>
      <c r="U19" s="574" t="s">
        <v>1540</v>
      </c>
      <c r="V19" s="574" t="s">
        <v>1541</v>
      </c>
      <c r="W19" s="574">
        <v>620</v>
      </c>
      <c r="X19" s="574" t="s">
        <v>1543</v>
      </c>
      <c r="Y19" s="574" t="s">
        <v>1295</v>
      </c>
      <c r="Z19" s="574" t="s">
        <v>1295</v>
      </c>
      <c r="AA19" s="574" t="s">
        <v>1295</v>
      </c>
      <c r="AB19" s="574" t="s">
        <v>1295</v>
      </c>
      <c r="AC19" s="574" t="s">
        <v>1295</v>
      </c>
      <c r="AD19" s="574" t="s">
        <v>1295</v>
      </c>
      <c r="AE19" s="576">
        <v>500000000000000</v>
      </c>
      <c r="AF19" s="576">
        <v>100000000000</v>
      </c>
      <c r="AG19" s="576">
        <v>10000000</v>
      </c>
      <c r="AH19" s="576">
        <v>10000000000000</v>
      </c>
      <c r="AI19" s="574">
        <v>500000000</v>
      </c>
      <c r="AJ19" s="574">
        <v>100000</v>
      </c>
      <c r="AK19" s="577">
        <v>5000</v>
      </c>
      <c r="AL19" s="574">
        <v>500000000</v>
      </c>
      <c r="AM19" s="574" t="s">
        <v>1548</v>
      </c>
      <c r="AN19" s="576">
        <v>4063</v>
      </c>
      <c r="AO19" s="574" t="s">
        <v>1295</v>
      </c>
      <c r="AP19" s="574" t="s">
        <v>1295</v>
      </c>
      <c r="AQ19" s="574" t="s">
        <v>1295</v>
      </c>
      <c r="AR19" s="574" t="s">
        <v>1295</v>
      </c>
      <c r="AS19" s="574" t="s">
        <v>1295</v>
      </c>
      <c r="AT19" s="574" t="s">
        <v>1295</v>
      </c>
      <c r="AU19" s="576">
        <v>406300</v>
      </c>
      <c r="AV19" s="575">
        <v>47694</v>
      </c>
      <c r="AW19" s="574" t="s">
        <v>1295</v>
      </c>
      <c r="AX19" s="574" t="s">
        <v>1295</v>
      </c>
      <c r="AY19" s="575">
        <v>45868</v>
      </c>
      <c r="AZ19" s="574" t="s">
        <v>1553</v>
      </c>
      <c r="BA19" s="574" t="s">
        <v>1295</v>
      </c>
      <c r="BB19" s="574" t="s">
        <v>1295</v>
      </c>
      <c r="BC19" s="574" t="s">
        <v>1575</v>
      </c>
      <c r="BD19" s="574" t="s">
        <v>1576</v>
      </c>
      <c r="BE19" s="575">
        <v>47694</v>
      </c>
      <c r="BF19" s="574" t="s">
        <v>1295</v>
      </c>
      <c r="BG19" s="575">
        <v>45868</v>
      </c>
      <c r="BH19" s="574" t="s">
        <v>1553</v>
      </c>
      <c r="BI19" s="575">
        <v>47329</v>
      </c>
      <c r="BJ19" s="574">
        <v>301</v>
      </c>
      <c r="BK19" s="574" t="s">
        <v>1295</v>
      </c>
      <c r="BL19" s="574" t="s">
        <v>1557</v>
      </c>
      <c r="BM19" s="574" t="s">
        <v>1558</v>
      </c>
      <c r="BN19" s="574" t="s">
        <v>1558</v>
      </c>
      <c r="BO19" s="574" t="s">
        <v>1295</v>
      </c>
      <c r="BP19" s="574" t="s">
        <v>1558</v>
      </c>
      <c r="BQ19" s="574" t="s">
        <v>1295</v>
      </c>
      <c r="BR19" s="574" t="s">
        <v>1540</v>
      </c>
      <c r="BS19" s="574" t="s">
        <v>1295</v>
      </c>
      <c r="BT19" s="574" t="s">
        <v>1731</v>
      </c>
      <c r="BU19" s="574">
        <v>0</v>
      </c>
      <c r="BV19" s="574" t="s">
        <v>1295</v>
      </c>
      <c r="BW19" s="574" t="s">
        <v>1295</v>
      </c>
      <c r="BX19" s="574" t="s">
        <v>1295</v>
      </c>
      <c r="BY19" s="574">
        <v>8</v>
      </c>
      <c r="BZ19" s="574" t="s">
        <v>1295</v>
      </c>
      <c r="CA19" s="574" t="s">
        <v>1540</v>
      </c>
      <c r="CB19" s="574">
        <v>0</v>
      </c>
      <c r="CC19" s="574" t="s">
        <v>1297</v>
      </c>
      <c r="CD19" s="574">
        <v>1</v>
      </c>
      <c r="CE19" s="574">
        <v>1</v>
      </c>
      <c r="CF19" s="574" t="s">
        <v>1295</v>
      </c>
      <c r="CG19" s="574" t="s">
        <v>1295</v>
      </c>
      <c r="CH19" s="574" t="s">
        <v>1295</v>
      </c>
      <c r="CI19" s="574" t="s">
        <v>1295</v>
      </c>
      <c r="CJ19" s="574" t="s">
        <v>1295</v>
      </c>
      <c r="CK19" s="574" t="s">
        <v>1295</v>
      </c>
      <c r="CL19" s="574" t="s">
        <v>1295</v>
      </c>
      <c r="CM19" s="574" t="s">
        <v>1295</v>
      </c>
      <c r="CN19" s="574" t="s">
        <v>1295</v>
      </c>
      <c r="CO19" s="574" t="s">
        <v>1295</v>
      </c>
      <c r="CP19" s="574" t="s">
        <v>1295</v>
      </c>
      <c r="CQ19" s="574" t="s">
        <v>1295</v>
      </c>
      <c r="CR19" s="574" t="s">
        <v>1295</v>
      </c>
      <c r="CS19" s="574" t="s">
        <v>1295</v>
      </c>
      <c r="CT19" s="574" t="s">
        <v>1295</v>
      </c>
      <c r="CU19" s="574" t="s">
        <v>1295</v>
      </c>
      <c r="CV19" s="574" t="s">
        <v>1295</v>
      </c>
      <c r="CW19" s="574">
        <v>1</v>
      </c>
      <c r="CX19" s="574" t="s">
        <v>1295</v>
      </c>
      <c r="CY19" s="574" t="s">
        <v>1732</v>
      </c>
      <c r="CZ19" s="575">
        <v>45900</v>
      </c>
      <c r="DA19" s="574" t="s">
        <v>383</v>
      </c>
    </row>
    <row r="20" spans="1:105">
      <c r="A20" s="578">
        <v>31</v>
      </c>
      <c r="B20" s="579">
        <v>6416</v>
      </c>
      <c r="C20" s="579">
        <v>5800007</v>
      </c>
      <c r="D20" s="579" t="s">
        <v>1329</v>
      </c>
      <c r="E20" s="579" t="s">
        <v>1381</v>
      </c>
      <c r="F20" s="579" t="s">
        <v>1608</v>
      </c>
      <c r="G20" s="579" t="s">
        <v>1295</v>
      </c>
      <c r="H20" s="579" t="s">
        <v>1295</v>
      </c>
      <c r="I20" s="579" t="s">
        <v>1295</v>
      </c>
      <c r="J20" s="579" t="s">
        <v>1737</v>
      </c>
      <c r="K20" s="579">
        <v>5100011001</v>
      </c>
      <c r="L20" s="579">
        <v>3686</v>
      </c>
      <c r="M20" s="580">
        <v>45806</v>
      </c>
      <c r="N20" s="580">
        <v>2958465</v>
      </c>
      <c r="O20" s="579">
        <v>978</v>
      </c>
      <c r="P20" s="579" t="s">
        <v>1536</v>
      </c>
      <c r="Q20" s="579" t="s">
        <v>1588</v>
      </c>
      <c r="R20" s="579" t="s">
        <v>1295</v>
      </c>
      <c r="S20" s="579">
        <v>75</v>
      </c>
      <c r="T20" s="579" t="s">
        <v>1587</v>
      </c>
      <c r="U20" s="579" t="s">
        <v>1540</v>
      </c>
      <c r="V20" s="579" t="s">
        <v>1541</v>
      </c>
      <c r="W20" s="579">
        <v>620</v>
      </c>
      <c r="X20" s="579" t="s">
        <v>1543</v>
      </c>
      <c r="Y20" s="579" t="s">
        <v>1295</v>
      </c>
      <c r="Z20" s="579" t="s">
        <v>1295</v>
      </c>
      <c r="AA20" s="579" t="s">
        <v>1295</v>
      </c>
      <c r="AB20" s="579" t="s">
        <v>1295</v>
      </c>
      <c r="AC20" s="579" t="s">
        <v>1295</v>
      </c>
      <c r="AD20" s="579" t="s">
        <v>1295</v>
      </c>
      <c r="AE20" s="581">
        <v>500000000000000</v>
      </c>
      <c r="AF20" s="581">
        <v>100000000000</v>
      </c>
      <c r="AG20" s="581">
        <v>10000000</v>
      </c>
      <c r="AH20" s="581">
        <v>10000000000000</v>
      </c>
      <c r="AI20" s="579">
        <v>500000000</v>
      </c>
      <c r="AJ20" s="579">
        <v>100000</v>
      </c>
      <c r="AK20" s="582">
        <v>5000</v>
      </c>
      <c r="AL20" s="581">
        <v>500000000000000</v>
      </c>
      <c r="AM20" s="579" t="s">
        <v>1548</v>
      </c>
      <c r="AN20" s="581">
        <v>6562</v>
      </c>
      <c r="AO20" s="579" t="s">
        <v>1295</v>
      </c>
      <c r="AP20" s="579" t="s">
        <v>1295</v>
      </c>
      <c r="AQ20" s="579" t="s">
        <v>1295</v>
      </c>
      <c r="AR20" s="579" t="s">
        <v>1295</v>
      </c>
      <c r="AS20" s="579" t="s">
        <v>1295</v>
      </c>
      <c r="AT20" s="579" t="s">
        <v>1295</v>
      </c>
      <c r="AU20" s="581">
        <v>656200</v>
      </c>
      <c r="AV20" s="580">
        <v>73199</v>
      </c>
      <c r="AW20" s="579" t="s">
        <v>1295</v>
      </c>
      <c r="AX20" s="579" t="s">
        <v>1295</v>
      </c>
      <c r="AY20" s="580">
        <v>46171</v>
      </c>
      <c r="AZ20" s="579" t="s">
        <v>1553</v>
      </c>
      <c r="BA20" s="579" t="s">
        <v>1295</v>
      </c>
      <c r="BB20" s="579" t="s">
        <v>1295</v>
      </c>
      <c r="BC20" s="579" t="s">
        <v>1575</v>
      </c>
      <c r="BD20" s="579" t="s">
        <v>1576</v>
      </c>
      <c r="BE20" s="580">
        <v>2958465</v>
      </c>
      <c r="BF20" s="579" t="s">
        <v>1295</v>
      </c>
      <c r="BG20" s="579" t="s">
        <v>1295</v>
      </c>
      <c r="BH20" s="579" t="s">
        <v>1295</v>
      </c>
      <c r="BI20" s="580">
        <v>47632</v>
      </c>
      <c r="BJ20" s="579">
        <v>305</v>
      </c>
      <c r="BK20" s="579" t="s">
        <v>1295</v>
      </c>
      <c r="BL20" s="579" t="s">
        <v>1557</v>
      </c>
      <c r="BM20" s="579" t="s">
        <v>1558</v>
      </c>
      <c r="BN20" s="579" t="s">
        <v>1558</v>
      </c>
      <c r="BO20" s="579" t="s">
        <v>1295</v>
      </c>
      <c r="BP20" s="579" t="s">
        <v>1558</v>
      </c>
      <c r="BQ20" s="579" t="s">
        <v>1295</v>
      </c>
      <c r="BR20" s="579" t="s">
        <v>1540</v>
      </c>
      <c r="BS20" s="579" t="s">
        <v>1597</v>
      </c>
      <c r="BT20" s="579" t="s">
        <v>1738</v>
      </c>
      <c r="BU20" s="579">
        <v>0</v>
      </c>
      <c r="BV20" s="579" t="s">
        <v>1295</v>
      </c>
      <c r="BW20" s="579" t="s">
        <v>1295</v>
      </c>
      <c r="BX20" s="579" t="s">
        <v>231</v>
      </c>
      <c r="BY20" s="579">
        <v>2</v>
      </c>
      <c r="BZ20" s="579" t="s">
        <v>1295</v>
      </c>
      <c r="CA20" s="579" t="s">
        <v>1540</v>
      </c>
      <c r="CB20" s="579">
        <v>0</v>
      </c>
      <c r="CC20" s="579" t="s">
        <v>1297</v>
      </c>
      <c r="CD20" s="579">
        <v>1</v>
      </c>
      <c r="CE20" s="579">
        <v>1</v>
      </c>
      <c r="CF20" s="579" t="s">
        <v>1295</v>
      </c>
      <c r="CG20" s="579" t="s">
        <v>1295</v>
      </c>
      <c r="CH20" s="579" t="s">
        <v>1295</v>
      </c>
      <c r="CI20" s="579" t="s">
        <v>1295</v>
      </c>
      <c r="CJ20" s="579" t="s">
        <v>1295</v>
      </c>
      <c r="CK20" s="579" t="s">
        <v>1295</v>
      </c>
      <c r="CL20" s="579" t="s">
        <v>1295</v>
      </c>
      <c r="CM20" s="579" t="s">
        <v>1295</v>
      </c>
      <c r="CN20" s="579" t="s">
        <v>1295</v>
      </c>
      <c r="CO20" s="579" t="s">
        <v>1295</v>
      </c>
      <c r="CP20" s="579" t="s">
        <v>1295</v>
      </c>
      <c r="CQ20" s="579" t="s">
        <v>1295</v>
      </c>
      <c r="CR20" s="579" t="s">
        <v>1295</v>
      </c>
      <c r="CS20" s="579" t="s">
        <v>1295</v>
      </c>
      <c r="CT20" s="579" t="s">
        <v>1295</v>
      </c>
      <c r="CU20" s="579" t="s">
        <v>1295</v>
      </c>
      <c r="CV20" s="579" t="s">
        <v>1295</v>
      </c>
      <c r="CW20" s="579">
        <v>1</v>
      </c>
      <c r="CX20" s="579" t="s">
        <v>1295</v>
      </c>
      <c r="CY20" s="579" t="s">
        <v>1732</v>
      </c>
      <c r="CZ20" s="580">
        <v>45900</v>
      </c>
      <c r="DA20" s="579" t="s">
        <v>383</v>
      </c>
    </row>
    <row r="21" spans="1:105">
      <c r="A21" s="578">
        <v>31</v>
      </c>
      <c r="B21" s="579">
        <v>6416</v>
      </c>
      <c r="C21" s="579">
        <v>5800007</v>
      </c>
      <c r="D21" s="579" t="s">
        <v>1330</v>
      </c>
      <c r="E21" s="579" t="s">
        <v>1383</v>
      </c>
      <c r="F21" s="579" t="s">
        <v>1617</v>
      </c>
      <c r="G21" s="579" t="s">
        <v>1295</v>
      </c>
      <c r="H21" s="579" t="s">
        <v>1295</v>
      </c>
      <c r="I21" s="579" t="s">
        <v>1295</v>
      </c>
      <c r="J21" s="579" t="s">
        <v>1739</v>
      </c>
      <c r="K21" s="579">
        <v>5100011001</v>
      </c>
      <c r="L21" s="579" t="s">
        <v>1619</v>
      </c>
      <c r="M21" s="580">
        <v>33608</v>
      </c>
      <c r="N21" s="580">
        <v>2958465</v>
      </c>
      <c r="O21" s="579">
        <v>978</v>
      </c>
      <c r="P21" s="579" t="s">
        <v>1536</v>
      </c>
      <c r="Q21" s="579" t="s">
        <v>912</v>
      </c>
      <c r="R21" s="579" t="s">
        <v>1295</v>
      </c>
      <c r="S21" s="579">
        <v>75</v>
      </c>
      <c r="T21" s="579">
        <v>56</v>
      </c>
      <c r="U21" s="579" t="s">
        <v>1540</v>
      </c>
      <c r="V21" s="579" t="s">
        <v>1541</v>
      </c>
      <c r="W21" s="579">
        <v>620</v>
      </c>
      <c r="X21" s="579" t="s">
        <v>1543</v>
      </c>
      <c r="Y21" s="579" t="s">
        <v>1295</v>
      </c>
      <c r="Z21" s="579" t="s">
        <v>1295</v>
      </c>
      <c r="AA21" s="579" t="s">
        <v>1295</v>
      </c>
      <c r="AB21" s="579" t="s">
        <v>1295</v>
      </c>
      <c r="AC21" s="579" t="s">
        <v>1295</v>
      </c>
      <c r="AD21" s="579" t="s">
        <v>1295</v>
      </c>
      <c r="AE21" s="581">
        <v>1391779674000000</v>
      </c>
      <c r="AF21" s="581">
        <v>1000000</v>
      </c>
      <c r="AG21" s="581">
        <v>10000000</v>
      </c>
      <c r="AH21" s="581">
        <v>10000000000000</v>
      </c>
      <c r="AI21" s="579">
        <v>1391779674</v>
      </c>
      <c r="AJ21" s="579">
        <v>1</v>
      </c>
      <c r="AK21" s="582">
        <v>1391779674</v>
      </c>
      <c r="AL21" s="579" t="s">
        <v>1740</v>
      </c>
      <c r="AM21" s="579" t="s">
        <v>1295</v>
      </c>
      <c r="AN21" s="579" t="s">
        <v>1295</v>
      </c>
      <c r="AO21" s="579" t="s">
        <v>1295</v>
      </c>
      <c r="AP21" s="579" t="s">
        <v>1295</v>
      </c>
      <c r="AQ21" s="579" t="s">
        <v>1295</v>
      </c>
      <c r="AR21" s="579" t="s">
        <v>1295</v>
      </c>
      <c r="AS21" s="579" t="s">
        <v>1295</v>
      </c>
      <c r="AT21" s="579" t="s">
        <v>1295</v>
      </c>
      <c r="AU21" s="579" t="s">
        <v>1295</v>
      </c>
      <c r="AV21" s="579" t="s">
        <v>1295</v>
      </c>
      <c r="AW21" s="579" t="s">
        <v>1295</v>
      </c>
      <c r="AX21" s="579" t="s">
        <v>1295</v>
      </c>
      <c r="AY21" s="579" t="s">
        <v>1295</v>
      </c>
      <c r="AZ21" s="579" t="s">
        <v>1295</v>
      </c>
      <c r="BA21" s="579" t="s">
        <v>1295</v>
      </c>
      <c r="BB21" s="579" t="s">
        <v>1295</v>
      </c>
      <c r="BC21" s="579" t="s">
        <v>1295</v>
      </c>
      <c r="BD21" s="579" t="s">
        <v>1295</v>
      </c>
      <c r="BE21" s="579" t="s">
        <v>1295</v>
      </c>
      <c r="BF21" s="579" t="s">
        <v>1295</v>
      </c>
      <c r="BG21" s="579" t="s">
        <v>1295</v>
      </c>
      <c r="BH21" s="579" t="s">
        <v>1295</v>
      </c>
      <c r="BI21" s="579" t="s">
        <v>1295</v>
      </c>
      <c r="BJ21" s="579" t="s">
        <v>1295</v>
      </c>
      <c r="BK21" s="579" t="s">
        <v>1295</v>
      </c>
      <c r="BL21" s="579" t="s">
        <v>1557</v>
      </c>
      <c r="BM21" s="579" t="s">
        <v>1558</v>
      </c>
      <c r="BN21" s="579" t="s">
        <v>1558</v>
      </c>
      <c r="BO21" s="579" t="s">
        <v>1295</v>
      </c>
      <c r="BP21" s="579" t="s">
        <v>1558</v>
      </c>
      <c r="BQ21" s="579" t="s">
        <v>1295</v>
      </c>
      <c r="BR21" s="579" t="s">
        <v>1540</v>
      </c>
      <c r="BS21" s="579" t="s">
        <v>1623</v>
      </c>
      <c r="BT21" s="579" t="s">
        <v>1741</v>
      </c>
      <c r="BU21" s="579">
        <v>0</v>
      </c>
      <c r="BV21" s="579" t="s">
        <v>1295</v>
      </c>
      <c r="BW21" s="579" t="s">
        <v>1295</v>
      </c>
      <c r="BX21" s="579" t="s">
        <v>231</v>
      </c>
      <c r="BY21" s="579">
        <v>1</v>
      </c>
      <c r="BZ21" s="579" t="s">
        <v>1295</v>
      </c>
      <c r="CA21" s="579" t="s">
        <v>1540</v>
      </c>
      <c r="CB21" s="579">
        <v>0</v>
      </c>
      <c r="CC21" s="579" t="s">
        <v>1297</v>
      </c>
      <c r="CD21" s="579">
        <v>1</v>
      </c>
      <c r="CE21" s="579">
        <v>1</v>
      </c>
      <c r="CF21" s="579" t="s">
        <v>1295</v>
      </c>
      <c r="CG21" s="579" t="s">
        <v>1295</v>
      </c>
      <c r="CH21" s="579" t="s">
        <v>1295</v>
      </c>
      <c r="CI21" s="579" t="s">
        <v>1295</v>
      </c>
      <c r="CJ21" s="579" t="s">
        <v>1295</v>
      </c>
      <c r="CK21" s="579" t="s">
        <v>1295</v>
      </c>
      <c r="CL21" s="579" t="s">
        <v>1295</v>
      </c>
      <c r="CM21" s="579" t="s">
        <v>1295</v>
      </c>
      <c r="CN21" s="579" t="s">
        <v>1295</v>
      </c>
      <c r="CO21" s="579" t="s">
        <v>1295</v>
      </c>
      <c r="CP21" s="579" t="s">
        <v>1295</v>
      </c>
      <c r="CQ21" s="579" t="s">
        <v>1295</v>
      </c>
      <c r="CR21" s="579" t="s">
        <v>1295</v>
      </c>
      <c r="CS21" s="579" t="s">
        <v>1295</v>
      </c>
      <c r="CT21" s="579" t="s">
        <v>1295</v>
      </c>
      <c r="CU21" s="579" t="s">
        <v>1295</v>
      </c>
      <c r="CV21" s="579" t="s">
        <v>1295</v>
      </c>
      <c r="CW21" s="579">
        <v>1</v>
      </c>
      <c r="CX21" s="579" t="s">
        <v>1295</v>
      </c>
      <c r="CY21" s="579" t="s">
        <v>1732</v>
      </c>
      <c r="CZ21" s="580">
        <v>45900</v>
      </c>
      <c r="DA21" s="579" t="s">
        <v>383</v>
      </c>
    </row>
    <row r="22" spans="1:105">
      <c r="A22" s="578">
        <v>31</v>
      </c>
      <c r="B22" s="579">
        <v>6416</v>
      </c>
      <c r="C22" s="579">
        <v>5800007</v>
      </c>
      <c r="D22" s="579" t="s">
        <v>1344</v>
      </c>
      <c r="E22" s="579" t="s">
        <v>1386</v>
      </c>
      <c r="F22" s="579" t="s">
        <v>1625</v>
      </c>
      <c r="G22" s="579" t="s">
        <v>1295</v>
      </c>
      <c r="H22" s="579" t="s">
        <v>1295</v>
      </c>
      <c r="I22" s="579" t="s">
        <v>1295</v>
      </c>
      <c r="J22" s="579" t="s">
        <v>1626</v>
      </c>
      <c r="K22" s="579">
        <v>5100011001</v>
      </c>
      <c r="L22" s="579">
        <v>3686</v>
      </c>
      <c r="M22" s="580">
        <v>44210</v>
      </c>
      <c r="N22" s="580">
        <v>61742</v>
      </c>
      <c r="O22" s="579">
        <v>978</v>
      </c>
      <c r="P22" s="579" t="s">
        <v>1536</v>
      </c>
      <c r="Q22" s="579" t="s">
        <v>1588</v>
      </c>
      <c r="R22" s="579" t="s">
        <v>1538</v>
      </c>
      <c r="S22" s="579">
        <v>75</v>
      </c>
      <c r="T22" s="579">
        <v>22</v>
      </c>
      <c r="U22" s="579" t="s">
        <v>1540</v>
      </c>
      <c r="V22" s="579" t="s">
        <v>1541</v>
      </c>
      <c r="W22" s="579">
        <v>620</v>
      </c>
      <c r="X22" s="579" t="s">
        <v>1543</v>
      </c>
      <c r="Y22" s="579" t="s">
        <v>1295</v>
      </c>
      <c r="Z22" s="579" t="s">
        <v>1295</v>
      </c>
      <c r="AA22" s="579" t="s">
        <v>1295</v>
      </c>
      <c r="AB22" s="579" t="s">
        <v>1295</v>
      </c>
      <c r="AC22" s="579" t="s">
        <v>1295</v>
      </c>
      <c r="AD22" s="579" t="s">
        <v>1295</v>
      </c>
      <c r="AE22" s="581">
        <v>400000000000000</v>
      </c>
      <c r="AF22" s="581">
        <v>100000000000</v>
      </c>
      <c r="AG22" s="581">
        <v>10000000</v>
      </c>
      <c r="AH22" s="581">
        <v>10000000000000</v>
      </c>
      <c r="AI22" s="579">
        <v>400000000</v>
      </c>
      <c r="AJ22" s="579">
        <v>100000</v>
      </c>
      <c r="AK22" s="582">
        <v>4000</v>
      </c>
      <c r="AL22" s="581">
        <v>400000000000000</v>
      </c>
      <c r="AM22" s="579" t="s">
        <v>1548</v>
      </c>
      <c r="AN22" s="579" t="s">
        <v>1742</v>
      </c>
      <c r="AO22" s="579" t="s">
        <v>1295</v>
      </c>
      <c r="AP22" s="579" t="s">
        <v>1295</v>
      </c>
      <c r="AQ22" s="579" t="s">
        <v>1295</v>
      </c>
      <c r="AR22" s="579" t="s">
        <v>1295</v>
      </c>
      <c r="AS22" s="579" t="s">
        <v>1295</v>
      </c>
      <c r="AT22" s="579" t="s">
        <v>1295</v>
      </c>
      <c r="AU22" s="581">
        <v>490000</v>
      </c>
      <c r="AV22" s="580">
        <v>61742</v>
      </c>
      <c r="AW22" s="579" t="s">
        <v>1295</v>
      </c>
      <c r="AX22" s="579" t="s">
        <v>1295</v>
      </c>
      <c r="AY22" s="580">
        <v>44575</v>
      </c>
      <c r="AZ22" s="579" t="s">
        <v>1553</v>
      </c>
      <c r="BA22" s="579" t="s">
        <v>1295</v>
      </c>
      <c r="BB22" s="579" t="s">
        <v>1295</v>
      </c>
      <c r="BC22" s="579" t="s">
        <v>1575</v>
      </c>
      <c r="BD22" s="579" t="s">
        <v>1576</v>
      </c>
      <c r="BE22" s="580">
        <v>61742</v>
      </c>
      <c r="BF22" s="579" t="s">
        <v>1295</v>
      </c>
      <c r="BG22" s="579" t="s">
        <v>1295</v>
      </c>
      <c r="BH22" s="579" t="s">
        <v>1295</v>
      </c>
      <c r="BI22" s="580">
        <v>47862</v>
      </c>
      <c r="BJ22" s="579">
        <v>305</v>
      </c>
      <c r="BK22" s="579" t="s">
        <v>1295</v>
      </c>
      <c r="BL22" s="579" t="s">
        <v>1557</v>
      </c>
      <c r="BM22" s="579" t="s">
        <v>1558</v>
      </c>
      <c r="BN22" s="579" t="s">
        <v>1558</v>
      </c>
      <c r="BO22" s="579" t="s">
        <v>1295</v>
      </c>
      <c r="BP22" s="579" t="s">
        <v>1558</v>
      </c>
      <c r="BQ22" s="579" t="s">
        <v>1295</v>
      </c>
      <c r="BR22" s="579" t="s">
        <v>1540</v>
      </c>
      <c r="BS22" s="579" t="s">
        <v>1597</v>
      </c>
      <c r="BT22" s="579" t="s">
        <v>1743</v>
      </c>
      <c r="BU22" s="579">
        <v>0</v>
      </c>
      <c r="BV22" s="579" t="s">
        <v>1295</v>
      </c>
      <c r="BW22" s="579" t="s">
        <v>1295</v>
      </c>
      <c r="BX22" s="579" t="s">
        <v>231</v>
      </c>
      <c r="BY22" s="579">
        <v>2</v>
      </c>
      <c r="BZ22" s="579" t="s">
        <v>1295</v>
      </c>
      <c r="CA22" s="579" t="s">
        <v>1540</v>
      </c>
      <c r="CB22" s="579">
        <v>0</v>
      </c>
      <c r="CC22" s="579" t="s">
        <v>1297</v>
      </c>
      <c r="CD22" s="579">
        <v>1</v>
      </c>
      <c r="CE22" s="579">
        <v>1</v>
      </c>
      <c r="CF22" s="579" t="s">
        <v>1295</v>
      </c>
      <c r="CG22" s="579" t="s">
        <v>1295</v>
      </c>
      <c r="CH22" s="579" t="s">
        <v>1295</v>
      </c>
      <c r="CI22" s="579" t="s">
        <v>1295</v>
      </c>
      <c r="CJ22" s="579" t="s">
        <v>1295</v>
      </c>
      <c r="CK22" s="579" t="s">
        <v>1295</v>
      </c>
      <c r="CL22" s="579" t="s">
        <v>1295</v>
      </c>
      <c r="CM22" s="579" t="s">
        <v>1295</v>
      </c>
      <c r="CN22" s="579" t="s">
        <v>1295</v>
      </c>
      <c r="CO22" s="579" t="s">
        <v>1295</v>
      </c>
      <c r="CP22" s="579" t="s">
        <v>1295</v>
      </c>
      <c r="CQ22" s="579" t="s">
        <v>1295</v>
      </c>
      <c r="CR22" s="579" t="s">
        <v>1295</v>
      </c>
      <c r="CS22" s="579" t="s">
        <v>1295</v>
      </c>
      <c r="CT22" s="579" t="s">
        <v>1295</v>
      </c>
      <c r="CU22" s="579" t="s">
        <v>1295</v>
      </c>
      <c r="CV22" s="579" t="s">
        <v>1295</v>
      </c>
      <c r="CW22" s="579">
        <v>1</v>
      </c>
      <c r="CX22" s="579" t="s">
        <v>1295</v>
      </c>
      <c r="CY22" s="579" t="s">
        <v>1732</v>
      </c>
      <c r="CZ22" s="580">
        <v>45900</v>
      </c>
      <c r="DA22" s="579" t="s">
        <v>383</v>
      </c>
    </row>
    <row r="26" spans="1:105" ht="45">
      <c r="A26" s="726" t="s">
        <v>1744</v>
      </c>
      <c r="B26" s="569"/>
      <c r="C26" s="569"/>
      <c r="D26" s="569"/>
      <c r="E26" s="569"/>
      <c r="F26" s="569"/>
      <c r="G26" s="569"/>
      <c r="H26" s="569"/>
      <c r="I26" s="569"/>
      <c r="J26" s="569"/>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c r="CX26" s="569"/>
      <c r="CY26" s="569"/>
      <c r="CZ26" s="569"/>
      <c r="DA26" s="569"/>
    </row>
    <row r="27" spans="1:105">
      <c r="A27" s="569" t="s">
        <v>1745</v>
      </c>
      <c r="B27" s="569"/>
      <c r="C27" s="569"/>
      <c r="D27" s="569"/>
      <c r="E27" s="569"/>
      <c r="F27" s="569"/>
      <c r="G27" s="569"/>
      <c r="H27" s="569"/>
      <c r="I27" s="569"/>
      <c r="J27" s="569"/>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c r="CX27" s="569"/>
      <c r="CY27" s="569"/>
      <c r="CZ27" s="569"/>
      <c r="DA27" s="569"/>
    </row>
    <row r="28" spans="1:105">
      <c r="A28" s="569" t="s">
        <v>1224</v>
      </c>
      <c r="B28" s="569"/>
      <c r="C28" s="569"/>
      <c r="D28" s="569"/>
      <c r="E28" s="569"/>
      <c r="F28" s="569"/>
      <c r="G28" s="569"/>
      <c r="H28" s="569"/>
      <c r="I28" s="569"/>
      <c r="J28" s="569"/>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c r="CX28" s="569"/>
      <c r="CY28" s="569"/>
      <c r="CZ28" s="569"/>
      <c r="DA28" s="569"/>
    </row>
    <row r="29" spans="1:105">
      <c r="A29" s="569" t="s">
        <v>1746</v>
      </c>
      <c r="B29" s="569"/>
      <c r="C29" s="569"/>
      <c r="D29" s="569"/>
      <c r="E29" s="569"/>
      <c r="F29" s="569"/>
      <c r="G29" s="569"/>
      <c r="H29" s="569"/>
      <c r="I29" s="569"/>
      <c r="J29" s="569"/>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c r="CX29" s="569"/>
      <c r="CY29" s="569"/>
      <c r="CZ29" s="569"/>
      <c r="DA29" s="569"/>
    </row>
    <row r="30" spans="1:105">
      <c r="A30" s="569" t="s">
        <v>1721</v>
      </c>
      <c r="B30" s="569"/>
      <c r="C30" s="569"/>
      <c r="D30" s="569"/>
      <c r="E30" s="569"/>
      <c r="F30" s="569"/>
      <c r="G30" s="569"/>
      <c r="H30" s="569"/>
      <c r="I30" s="569"/>
      <c r="J30" s="569"/>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c r="CX30" s="569"/>
      <c r="CY30" s="569"/>
      <c r="CZ30" s="569"/>
      <c r="DA30" s="569"/>
    </row>
    <row r="31" spans="1:105">
      <c r="A31" s="569" t="s">
        <v>1224</v>
      </c>
      <c r="B31" s="569"/>
      <c r="C31" s="569"/>
      <c r="D31" s="569"/>
      <c r="E31" s="569"/>
      <c r="F31" s="569"/>
      <c r="G31" s="569"/>
      <c r="H31" s="569"/>
      <c r="I31" s="569"/>
      <c r="J31" s="569"/>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c r="CX31" s="569"/>
      <c r="CY31" s="569"/>
      <c r="CZ31" s="569"/>
      <c r="DA31" s="569"/>
    </row>
    <row r="32" spans="1:105">
      <c r="A32" s="570" t="s">
        <v>1352</v>
      </c>
      <c r="B32" s="569"/>
      <c r="C32" s="569"/>
      <c r="D32" s="569"/>
      <c r="E32" s="569"/>
      <c r="F32" s="569"/>
      <c r="G32" s="569"/>
      <c r="H32" s="569"/>
      <c r="I32" s="569"/>
      <c r="J32" s="569"/>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c r="CX32" s="569"/>
      <c r="CY32" s="569"/>
      <c r="CZ32" s="569"/>
      <c r="DA32" s="569"/>
    </row>
    <row r="33" spans="1:105">
      <c r="A33" s="570" t="s">
        <v>1350</v>
      </c>
      <c r="B33" s="569"/>
      <c r="C33" s="569"/>
      <c r="D33" s="569"/>
      <c r="E33" s="569"/>
      <c r="F33" s="569"/>
      <c r="G33" s="569"/>
      <c r="H33" s="569"/>
      <c r="I33" s="569"/>
      <c r="J33" s="569"/>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c r="CX33" s="569"/>
      <c r="CY33" s="569"/>
      <c r="CZ33" s="569"/>
      <c r="DA33" s="569"/>
    </row>
    <row r="34" spans="1:105">
      <c r="A34" s="570" t="s">
        <v>1722</v>
      </c>
      <c r="B34" s="569"/>
      <c r="C34" s="569"/>
      <c r="D34" s="569"/>
      <c r="E34" s="569"/>
      <c r="F34" s="569"/>
      <c r="G34" s="569"/>
      <c r="H34" s="569"/>
      <c r="I34" s="569"/>
      <c r="J34" s="569"/>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c r="CX34" s="569"/>
      <c r="CY34" s="569"/>
      <c r="CZ34" s="569"/>
      <c r="DA34" s="569"/>
    </row>
    <row r="35" spans="1:105">
      <c r="A35" s="570" t="s">
        <v>1225</v>
      </c>
      <c r="B35" s="569"/>
      <c r="C35" s="569"/>
      <c r="D35" s="569"/>
      <c r="E35" s="569"/>
      <c r="F35" s="569"/>
      <c r="G35" s="569"/>
      <c r="H35" s="569"/>
      <c r="I35" s="569"/>
      <c r="J35" s="569"/>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c r="CX35" s="569"/>
      <c r="CY35" s="569"/>
      <c r="CZ35" s="569"/>
      <c r="DA35" s="569"/>
    </row>
    <row r="36" spans="1:105">
      <c r="A36" s="570" t="s">
        <v>1351</v>
      </c>
      <c r="B36" s="569"/>
      <c r="C36" s="569"/>
      <c r="D36" s="569"/>
      <c r="E36" s="569"/>
      <c r="F36" s="569"/>
      <c r="G36" s="569"/>
      <c r="H36" s="569"/>
      <c r="I36" s="569"/>
      <c r="J36" s="569"/>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c r="CX36" s="569"/>
      <c r="CY36" s="569"/>
      <c r="CZ36" s="569"/>
      <c r="DA36" s="569"/>
    </row>
    <row r="37" spans="1:105">
      <c r="A37" s="570" t="s">
        <v>1226</v>
      </c>
      <c r="B37" s="569"/>
      <c r="C37" s="569"/>
      <c r="D37" s="569"/>
      <c r="E37" s="569"/>
      <c r="F37" s="569"/>
      <c r="G37" s="569"/>
      <c r="H37" s="569"/>
      <c r="I37" s="569"/>
      <c r="J37" s="569"/>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c r="CX37" s="569"/>
      <c r="CY37" s="569"/>
      <c r="CZ37" s="569"/>
      <c r="DA37" s="569"/>
    </row>
    <row r="38" spans="1:105">
      <c r="A38" s="570" t="s">
        <v>1228</v>
      </c>
      <c r="B38" s="569"/>
      <c r="C38" s="569"/>
      <c r="D38" s="569"/>
      <c r="E38" s="569"/>
      <c r="F38" s="569"/>
      <c r="G38" s="569"/>
      <c r="H38" s="569"/>
      <c r="I38" s="569"/>
      <c r="J38" s="569"/>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c r="CX38" s="569"/>
      <c r="CY38" s="569"/>
      <c r="CZ38" s="569"/>
      <c r="DA38" s="569"/>
    </row>
    <row r="39" spans="1:105">
      <c r="A39" s="570" t="s">
        <v>1723</v>
      </c>
      <c r="B39" s="569"/>
      <c r="C39" s="569"/>
      <c r="D39" s="569"/>
      <c r="E39" s="569"/>
      <c r="F39" s="569"/>
      <c r="G39" s="569"/>
      <c r="H39" s="569"/>
      <c r="I39" s="569"/>
      <c r="J39" s="569"/>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c r="CX39" s="569"/>
      <c r="CY39" s="569"/>
      <c r="CZ39" s="569"/>
      <c r="DA39" s="569"/>
    </row>
    <row r="40" spans="1:105">
      <c r="A40" s="569" t="s">
        <v>1424</v>
      </c>
      <c r="B40" s="569"/>
      <c r="C40" s="569"/>
      <c r="D40" s="569"/>
      <c r="E40" s="569"/>
      <c r="F40" s="569"/>
      <c r="G40" s="569"/>
      <c r="H40" s="569"/>
      <c r="I40" s="569"/>
      <c r="J40" s="569"/>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c r="CX40" s="569"/>
      <c r="CY40" s="569"/>
      <c r="CZ40" s="569"/>
      <c r="DA40" s="569"/>
    </row>
    <row r="41" spans="1:105">
      <c r="A41" s="569" t="s">
        <v>1747</v>
      </c>
      <c r="B41" s="569"/>
      <c r="C41" s="569"/>
      <c r="D41" s="569"/>
      <c r="E41" s="569"/>
      <c r="F41" s="569"/>
      <c r="G41" s="569"/>
      <c r="H41" s="569"/>
      <c r="I41" s="569"/>
      <c r="J41" s="569"/>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c r="CX41" s="569"/>
      <c r="CY41" s="569"/>
      <c r="CZ41" s="569"/>
      <c r="DA41" s="569"/>
    </row>
    <row r="42" spans="1:105">
      <c r="A42" s="569"/>
      <c r="B42" s="569"/>
      <c r="C42" s="569"/>
      <c r="D42" s="569"/>
      <c r="E42" s="569"/>
      <c r="F42" s="569"/>
      <c r="G42" s="569"/>
      <c r="H42" s="569"/>
      <c r="I42" s="569"/>
      <c r="J42" s="569"/>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c r="CX42" s="569"/>
      <c r="CY42" s="569"/>
      <c r="CZ42" s="569"/>
      <c r="DA42" s="569"/>
    </row>
    <row r="43" spans="1:105">
      <c r="A43" s="569" t="s">
        <v>1748</v>
      </c>
      <c r="B43" s="569"/>
      <c r="C43" s="569"/>
      <c r="D43" s="569"/>
      <c r="E43" s="569"/>
      <c r="F43" s="569"/>
      <c r="G43" s="569"/>
      <c r="H43" s="569"/>
      <c r="I43" s="569"/>
      <c r="J43" s="569"/>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c r="CX43" s="569"/>
      <c r="CY43" s="569"/>
      <c r="CZ43" s="569"/>
      <c r="DA43" s="569"/>
    </row>
    <row r="44" spans="1:105">
      <c r="A44" s="569"/>
      <c r="B44" s="569"/>
      <c r="C44" s="569"/>
      <c r="D44" s="569"/>
      <c r="E44" s="569"/>
      <c r="F44" s="569"/>
      <c r="G44" s="569"/>
      <c r="H44" s="569"/>
      <c r="I44" s="569"/>
      <c r="J44" s="569"/>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c r="CX44" s="569"/>
      <c r="CY44" s="569"/>
      <c r="CZ44" s="569"/>
      <c r="DA44" s="569"/>
    </row>
    <row r="45" spans="1:105">
      <c r="A45" s="569" t="s">
        <v>1749</v>
      </c>
      <c r="B45" s="569"/>
      <c r="C45" s="569"/>
      <c r="D45" s="569"/>
      <c r="E45" s="569"/>
      <c r="F45" s="569"/>
      <c r="G45" s="569"/>
      <c r="H45" s="569"/>
      <c r="I45" s="569"/>
      <c r="J45" s="569"/>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c r="CX45" s="569"/>
      <c r="CY45" s="569"/>
      <c r="CZ45" s="569"/>
      <c r="DA45" s="569"/>
    </row>
    <row r="46" spans="1:105">
      <c r="A46" s="569"/>
      <c r="B46" s="569"/>
      <c r="C46" s="569"/>
      <c r="D46" s="569"/>
      <c r="E46" s="569"/>
      <c r="F46" s="569"/>
      <c r="G46" s="569"/>
      <c r="H46" s="569"/>
      <c r="I46" s="569"/>
      <c r="J46" s="569"/>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c r="CX46" s="569"/>
      <c r="CY46" s="569"/>
      <c r="CZ46" s="569"/>
      <c r="DA46" s="569"/>
    </row>
    <row r="47" spans="1:105">
      <c r="A47" s="569" t="s">
        <v>1750</v>
      </c>
      <c r="B47" s="569"/>
      <c r="C47" s="569"/>
      <c r="D47" s="569"/>
      <c r="E47" s="569"/>
      <c r="F47" s="569"/>
      <c r="G47" s="569"/>
      <c r="H47" s="569"/>
      <c r="I47" s="569"/>
      <c r="J47" s="569"/>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c r="CX47" s="569"/>
      <c r="CY47" s="569"/>
      <c r="CZ47" s="569"/>
      <c r="DA47" s="569"/>
    </row>
    <row r="48" spans="1:105">
      <c r="A48" s="569"/>
      <c r="B48" s="569"/>
      <c r="C48" s="569"/>
      <c r="D48" s="569"/>
      <c r="E48" s="569"/>
      <c r="F48" s="569"/>
      <c r="G48" s="569"/>
      <c r="H48" s="569"/>
      <c r="I48" s="569"/>
      <c r="J48" s="569"/>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c r="CX48" s="569"/>
      <c r="CY48" s="569"/>
      <c r="CZ48" s="569"/>
      <c r="DA48" s="569"/>
    </row>
    <row r="49" spans="1:105">
      <c r="A49" s="569" t="s">
        <v>1418</v>
      </c>
      <c r="B49" s="569"/>
      <c r="C49" s="569"/>
      <c r="D49" s="569"/>
      <c r="E49" s="569"/>
      <c r="F49" s="569"/>
      <c r="G49" s="569"/>
      <c r="H49" s="569"/>
      <c r="I49" s="569"/>
      <c r="J49" s="569"/>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c r="CX49" s="569"/>
      <c r="CY49" s="569"/>
      <c r="CZ49" s="569"/>
      <c r="DA49" s="569"/>
    </row>
    <row r="50" spans="1:105">
      <c r="A50" s="569" t="s">
        <v>1224</v>
      </c>
      <c r="B50" s="569"/>
      <c r="C50" s="569"/>
      <c r="D50" s="569"/>
      <c r="E50" s="569"/>
      <c r="F50" s="569"/>
      <c r="G50" s="569"/>
      <c r="H50" s="569"/>
      <c r="I50" s="569"/>
      <c r="J50" s="569"/>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c r="CX50" s="569"/>
      <c r="CY50" s="569"/>
      <c r="CZ50" s="569"/>
      <c r="DA50" s="569"/>
    </row>
    <row r="51" spans="1:105">
      <c r="A51" s="569" t="s">
        <v>1751</v>
      </c>
      <c r="B51" s="569"/>
      <c r="C51" s="569"/>
      <c r="D51" s="569"/>
      <c r="E51" s="569"/>
      <c r="F51" s="569"/>
      <c r="G51" s="569"/>
      <c r="H51" s="569"/>
      <c r="I51" s="569"/>
      <c r="J51" s="569"/>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c r="CX51" s="569"/>
      <c r="CY51" s="569"/>
      <c r="CZ51" s="569"/>
      <c r="DA51" s="569"/>
    </row>
    <row r="52" spans="1:105">
      <c r="A52" s="569" t="s">
        <v>1752</v>
      </c>
      <c r="B52" s="569"/>
      <c r="C52" s="569"/>
      <c r="D52" s="569"/>
      <c r="E52" s="569"/>
      <c r="F52" s="569"/>
      <c r="G52" s="569"/>
      <c r="H52" s="569"/>
      <c r="I52" s="569"/>
      <c r="J52" s="569"/>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c r="CX52" s="569"/>
      <c r="CY52" s="569"/>
      <c r="CZ52" s="569"/>
      <c r="DA52" s="569"/>
    </row>
    <row r="53" spans="1:105">
      <c r="A53" s="569" t="s">
        <v>1753</v>
      </c>
      <c r="B53" s="569"/>
      <c r="C53" s="569"/>
      <c r="D53" s="569"/>
      <c r="E53" s="569"/>
      <c r="F53" s="569"/>
      <c r="G53" s="569"/>
      <c r="H53" s="569"/>
      <c r="I53" s="569"/>
      <c r="J53" s="569"/>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c r="CX53" s="569"/>
      <c r="CY53" s="569"/>
      <c r="CZ53" s="569"/>
      <c r="DA53" s="569"/>
    </row>
    <row r="54" spans="1:105">
      <c r="A54" s="569" t="s">
        <v>1754</v>
      </c>
      <c r="B54" s="569"/>
      <c r="C54" s="569"/>
      <c r="D54" s="569"/>
      <c r="E54" s="569"/>
      <c r="F54" s="569"/>
      <c r="G54" s="569"/>
      <c r="H54" s="569"/>
      <c r="I54" s="569"/>
      <c r="J54" s="569"/>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c r="CX54" s="569"/>
      <c r="CY54" s="569"/>
      <c r="CZ54" s="569"/>
      <c r="DA54" s="569"/>
    </row>
    <row r="55" spans="1:105">
      <c r="A55" s="569" t="s">
        <v>1755</v>
      </c>
      <c r="B55" s="569"/>
      <c r="C55" s="569"/>
      <c r="D55" s="569"/>
      <c r="E55" s="569"/>
      <c r="F55" s="569"/>
      <c r="G55" s="569"/>
      <c r="H55" s="569"/>
      <c r="I55" s="569"/>
      <c r="J55" s="569"/>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c r="CX55" s="569"/>
      <c r="CY55" s="569"/>
      <c r="CZ55" s="569"/>
      <c r="DA55" s="569"/>
    </row>
    <row r="56" spans="1:105">
      <c r="A56" s="569" t="s">
        <v>1424</v>
      </c>
      <c r="B56" s="569"/>
      <c r="C56" s="569"/>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c r="CX56" s="569"/>
      <c r="CY56" s="569"/>
      <c r="CZ56" s="569"/>
      <c r="DA56" s="569"/>
    </row>
    <row r="57" spans="1:105">
      <c r="A57" s="569"/>
      <c r="B57" s="569"/>
      <c r="C57" s="569"/>
      <c r="D57" s="569"/>
      <c r="E57" s="569"/>
      <c r="F57" s="569"/>
      <c r="G57" s="569"/>
      <c r="H57" s="569"/>
      <c r="I57" s="569"/>
      <c r="J57" s="569"/>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c r="CX57" s="569"/>
      <c r="CY57" s="569"/>
      <c r="CZ57" s="569"/>
      <c r="DA57" s="569"/>
    </row>
    <row r="58" spans="1:105">
      <c r="A58" s="569" t="s">
        <v>1425</v>
      </c>
      <c r="B58" s="569"/>
      <c r="C58" s="569"/>
      <c r="D58" s="569"/>
      <c r="E58" s="569"/>
      <c r="F58" s="569"/>
      <c r="G58" s="569"/>
      <c r="H58" s="569"/>
      <c r="I58" s="569"/>
      <c r="J58" s="569"/>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c r="CX58" s="569"/>
      <c r="CY58" s="569"/>
      <c r="CZ58" s="569"/>
      <c r="DA58" s="569"/>
    </row>
    <row r="59" spans="1:105">
      <c r="A59" s="569"/>
      <c r="B59" s="569"/>
      <c r="C59" s="569"/>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c r="CX59" s="569"/>
      <c r="CY59" s="569"/>
      <c r="CZ59" s="569"/>
      <c r="DA59" s="569"/>
    </row>
    <row r="60" spans="1:105">
      <c r="A60" s="569" t="s">
        <v>1224</v>
      </c>
      <c r="B60" s="569"/>
      <c r="C60" s="569"/>
      <c r="D60" s="569"/>
      <c r="E60" s="569"/>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c r="CX60" s="569"/>
      <c r="CY60" s="569"/>
      <c r="CZ60" s="569"/>
      <c r="DA60" s="569"/>
    </row>
    <row r="61" spans="1:105">
      <c r="A61" s="569" t="s">
        <v>1751</v>
      </c>
      <c r="B61" s="569"/>
      <c r="C61" s="569"/>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c r="CX61" s="569"/>
      <c r="CY61" s="569"/>
      <c r="CZ61" s="569"/>
      <c r="DA61" s="569"/>
    </row>
    <row r="62" spans="1:105">
      <c r="A62" s="569" t="s">
        <v>1756</v>
      </c>
      <c r="B62" s="569"/>
      <c r="C62" s="569"/>
      <c r="D62" s="569"/>
      <c r="E62" s="569"/>
      <c r="F62" s="569"/>
      <c r="G62" s="569"/>
      <c r="H62" s="569"/>
      <c r="I62" s="569"/>
      <c r="J62" s="569"/>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c r="CX62" s="569"/>
      <c r="CY62" s="569"/>
      <c r="CZ62" s="569"/>
      <c r="DA62" s="569"/>
    </row>
    <row r="63" spans="1:105">
      <c r="A63" s="569" t="s">
        <v>1757</v>
      </c>
      <c r="B63" s="569"/>
      <c r="C63" s="569"/>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c r="CX63" s="569"/>
      <c r="CY63" s="569"/>
      <c r="CZ63" s="569"/>
      <c r="DA63" s="569"/>
    </row>
    <row r="64" spans="1:105">
      <c r="A64" s="569" t="s">
        <v>1758</v>
      </c>
      <c r="B64" s="569"/>
      <c r="C64" s="569"/>
      <c r="D64" s="569"/>
      <c r="E64" s="569"/>
      <c r="F64" s="569"/>
      <c r="G64" s="569"/>
      <c r="H64" s="569"/>
      <c r="I64" s="569"/>
      <c r="J64" s="569"/>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c r="CX64" s="569"/>
      <c r="CY64" s="569"/>
      <c r="CZ64" s="569"/>
      <c r="DA64" s="569"/>
    </row>
    <row r="65" spans="1:105">
      <c r="A65" s="569" t="s">
        <v>1429</v>
      </c>
      <c r="B65" s="569"/>
      <c r="C65" s="569"/>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c r="CX65" s="569"/>
      <c r="CY65" s="569"/>
      <c r="CZ65" s="569"/>
      <c r="DA65" s="569"/>
    </row>
    <row r="66" spans="1:105">
      <c r="A66" s="569"/>
      <c r="B66" s="569"/>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c r="CX66" s="569"/>
      <c r="CY66" s="569"/>
      <c r="CZ66" s="569"/>
      <c r="DA66" s="569"/>
    </row>
    <row r="67" spans="1:105">
      <c r="A67" s="569" t="s">
        <v>1759</v>
      </c>
      <c r="B67" s="569"/>
      <c r="C67" s="569"/>
      <c r="D67" s="569"/>
      <c r="E67" s="569"/>
      <c r="F67" s="569"/>
      <c r="G67" s="569"/>
      <c r="H67" s="569"/>
      <c r="I67" s="569"/>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c r="CX67" s="569"/>
      <c r="CY67" s="569"/>
      <c r="CZ67" s="569"/>
      <c r="DA67" s="569"/>
    </row>
    <row r="68" spans="1:105">
      <c r="A68" s="569" t="s">
        <v>1724</v>
      </c>
      <c r="B68" s="569"/>
      <c r="C68" s="569"/>
      <c r="D68" s="569"/>
      <c r="E68" s="569"/>
      <c r="F68" s="569"/>
      <c r="G68" s="569"/>
      <c r="H68" s="569"/>
      <c r="I68" s="569"/>
      <c r="J68" s="569"/>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c r="CX68" s="569"/>
      <c r="CY68" s="569"/>
      <c r="CZ68" s="569"/>
      <c r="DA68" s="569"/>
    </row>
    <row r="69" spans="1:105" s="591" customFormat="1">
      <c r="A69" s="715" t="s">
        <v>1760</v>
      </c>
      <c r="B69" s="717" t="s">
        <v>1761</v>
      </c>
      <c r="C69" s="718" t="s">
        <v>1762</v>
      </c>
      <c r="D69" s="717" t="s">
        <v>469</v>
      </c>
      <c r="E69" s="716"/>
      <c r="F69" s="716"/>
      <c r="G69" s="716"/>
      <c r="H69" s="716"/>
      <c r="I69" s="716"/>
      <c r="J69" s="716"/>
      <c r="K69" s="716"/>
      <c r="L69" s="716"/>
      <c r="M69" s="716"/>
      <c r="N69" s="716"/>
      <c r="O69" s="716"/>
      <c r="P69" s="716"/>
      <c r="Q69" s="716"/>
      <c r="R69" s="716"/>
      <c r="S69" s="716"/>
      <c r="T69" s="716"/>
      <c r="U69" s="716"/>
      <c r="V69" s="716"/>
      <c r="W69" s="716"/>
      <c r="X69" s="716"/>
      <c r="Y69" s="716"/>
      <c r="Z69" s="716"/>
      <c r="AA69" s="716"/>
      <c r="AB69" s="716"/>
      <c r="AC69" s="716"/>
      <c r="AD69" s="716"/>
      <c r="AE69" s="716"/>
      <c r="AF69" s="716"/>
      <c r="AG69" s="716"/>
      <c r="AH69" s="716"/>
      <c r="AI69" s="716"/>
      <c r="AJ69" s="716"/>
      <c r="AK69" s="716"/>
      <c r="AL69" s="716"/>
      <c r="AM69" s="716"/>
      <c r="AN69" s="716"/>
      <c r="AO69" s="716"/>
      <c r="AP69" s="716"/>
      <c r="AQ69" s="716"/>
      <c r="AR69" s="716"/>
      <c r="AS69" s="716"/>
      <c r="AT69" s="716"/>
      <c r="AU69" s="716"/>
      <c r="AV69" s="716"/>
      <c r="AW69" s="716"/>
      <c r="AX69" s="716"/>
      <c r="AY69" s="716"/>
      <c r="AZ69" s="716"/>
      <c r="BA69" s="716"/>
      <c r="BB69" s="716"/>
      <c r="BC69" s="716"/>
      <c r="BD69" s="716"/>
      <c r="BE69" s="716"/>
      <c r="BF69" s="716"/>
      <c r="BG69" s="716"/>
      <c r="BH69" s="716"/>
      <c r="BI69" s="716"/>
      <c r="BJ69" s="716"/>
      <c r="BK69" s="716"/>
      <c r="BL69" s="716"/>
      <c r="BM69" s="716"/>
      <c r="BN69" s="716"/>
      <c r="BO69" s="716"/>
      <c r="BP69" s="716"/>
      <c r="BQ69" s="716"/>
      <c r="BR69" s="716"/>
      <c r="BS69" s="716"/>
      <c r="BT69" s="716"/>
      <c r="BU69" s="716"/>
      <c r="BV69" s="716"/>
      <c r="BW69" s="716"/>
      <c r="BX69" s="716"/>
      <c r="BY69" s="716"/>
      <c r="BZ69" s="716"/>
      <c r="CA69" s="716"/>
      <c r="CB69" s="716"/>
      <c r="CC69" s="716"/>
      <c r="CD69" s="716"/>
      <c r="CE69" s="716"/>
      <c r="CF69" s="716"/>
      <c r="CG69" s="716"/>
      <c r="CH69" s="716"/>
      <c r="CI69" s="716"/>
      <c r="CJ69" s="716"/>
      <c r="CK69" s="716"/>
      <c r="CL69" s="716"/>
      <c r="CM69" s="716"/>
      <c r="CN69" s="716"/>
      <c r="CO69" s="716"/>
      <c r="CP69" s="716"/>
      <c r="CQ69" s="716"/>
      <c r="CR69" s="716"/>
      <c r="CS69" s="716"/>
      <c r="CT69" s="716"/>
      <c r="CU69" s="716"/>
      <c r="CV69" s="716"/>
      <c r="CW69" s="716"/>
      <c r="CX69" s="716"/>
      <c r="CY69" s="716"/>
      <c r="CZ69" s="716"/>
      <c r="DA69" s="716"/>
    </row>
    <row r="70" spans="1:105">
      <c r="A70" s="578" t="s">
        <v>1213</v>
      </c>
      <c r="B70" s="719" t="s">
        <v>1763</v>
      </c>
      <c r="C70" s="719"/>
      <c r="D70" s="719"/>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row>
    <row r="71" spans="1:105">
      <c r="A71" s="578" t="s">
        <v>1215</v>
      </c>
      <c r="B71" s="719" t="s">
        <v>1764</v>
      </c>
      <c r="C71" s="719"/>
      <c r="D71" s="719"/>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row>
    <row r="72" spans="1:105">
      <c r="A72" s="578" t="s">
        <v>1216</v>
      </c>
      <c r="B72" s="719" t="s">
        <v>1765</v>
      </c>
      <c r="C72" s="719"/>
      <c r="D72" s="719"/>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row>
    <row r="73" spans="1:105">
      <c r="A73" s="578" t="s">
        <v>1218</v>
      </c>
      <c r="B73" s="719" t="s">
        <v>1766</v>
      </c>
      <c r="C73" s="719"/>
      <c r="D73" s="719"/>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row>
    <row r="74" spans="1:10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31C9-FE59-48D6-8F06-56FE7EDCD480}">
  <dimension ref="A1:N10"/>
  <sheetViews>
    <sheetView workbookViewId="0">
      <selection activeCell="M21" sqref="M21"/>
    </sheetView>
  </sheetViews>
  <sheetFormatPr defaultColWidth="19.42578125" defaultRowHeight="16.5"/>
  <cols>
    <col min="1" max="3" width="7.85546875" bestFit="1" customWidth="1"/>
    <col min="4" max="4" width="2.42578125" bestFit="1" customWidth="1"/>
    <col min="5" max="5" width="9.5703125" bestFit="1" customWidth="1"/>
    <col min="6" max="6" width="8" bestFit="1" customWidth="1"/>
    <col min="7" max="7" width="7" bestFit="1" customWidth="1"/>
    <col min="8" max="8" width="14.140625" bestFit="1" customWidth="1"/>
    <col min="9" max="9" width="8.42578125" bestFit="1" customWidth="1"/>
    <col min="10" max="10" width="13.5703125" bestFit="1" customWidth="1"/>
    <col min="11" max="11" width="10.42578125" customWidth="1"/>
    <col min="12" max="12" width="19.85546875" customWidth="1"/>
    <col min="13" max="13" width="12.5703125" customWidth="1"/>
    <col min="14" max="14" width="18.5703125" customWidth="1"/>
  </cols>
  <sheetData>
    <row r="1" spans="1:14" ht="17.25" customHeight="1">
      <c r="A1" s="887" t="s">
        <v>1767</v>
      </c>
      <c r="B1" s="887"/>
      <c r="C1" s="887"/>
      <c r="D1" s="887"/>
      <c r="E1" s="887"/>
      <c r="F1" s="887"/>
      <c r="G1" s="887"/>
      <c r="H1" s="887"/>
      <c r="I1" s="887"/>
      <c r="J1" s="887"/>
      <c r="K1" s="887"/>
      <c r="L1" s="887"/>
      <c r="M1" s="887"/>
      <c r="N1" s="887"/>
    </row>
    <row r="2" spans="1:14" ht="26.1">
      <c r="A2" s="127" t="s">
        <v>1768</v>
      </c>
      <c r="B2" s="127" t="s">
        <v>1769</v>
      </c>
      <c r="C2" s="127" t="s">
        <v>1770</v>
      </c>
      <c r="D2" s="128" t="s">
        <v>1771</v>
      </c>
      <c r="E2" s="127" t="s">
        <v>1772</v>
      </c>
      <c r="F2" s="127" t="s">
        <v>135</v>
      </c>
      <c r="G2" s="127" t="s">
        <v>136</v>
      </c>
      <c r="H2" s="127" t="s">
        <v>1281</v>
      </c>
      <c r="I2" s="127" t="s">
        <v>1282</v>
      </c>
      <c r="J2" s="112" t="s">
        <v>882</v>
      </c>
      <c r="K2" s="112" t="s">
        <v>138</v>
      </c>
      <c r="L2" s="129" t="s">
        <v>139</v>
      </c>
      <c r="M2" s="127" t="s">
        <v>140</v>
      </c>
      <c r="N2" s="127" t="s">
        <v>141</v>
      </c>
    </row>
    <row r="3" spans="1:14" ht="18" customHeight="1">
      <c r="A3" s="98"/>
      <c r="B3" s="14"/>
      <c r="C3" s="14"/>
      <c r="D3" s="114" t="s">
        <v>1771</v>
      </c>
      <c r="E3" s="14"/>
      <c r="F3" s="14"/>
      <c r="G3" s="14"/>
      <c r="H3" s="14" t="s">
        <v>1773</v>
      </c>
      <c r="I3" s="97" t="s">
        <v>1307</v>
      </c>
      <c r="J3" s="97" t="s">
        <v>151</v>
      </c>
      <c r="K3" s="97"/>
      <c r="L3" s="97" t="s">
        <v>152</v>
      </c>
      <c r="M3" s="14"/>
      <c r="N3" s="14">
        <v>1</v>
      </c>
    </row>
    <row r="4" spans="1:14" ht="17.25" customHeight="1">
      <c r="A4" s="14"/>
      <c r="B4" s="14"/>
      <c r="C4" s="14"/>
      <c r="D4" s="114" t="s">
        <v>1771</v>
      </c>
      <c r="E4" s="14"/>
      <c r="F4" s="14"/>
      <c r="G4" s="14"/>
      <c r="H4" s="14" t="s">
        <v>1773</v>
      </c>
      <c r="I4" s="97" t="s">
        <v>1307</v>
      </c>
      <c r="J4" s="97" t="s">
        <v>151</v>
      </c>
      <c r="K4" s="97"/>
      <c r="L4" s="113" t="s">
        <v>1771</v>
      </c>
      <c r="M4" s="14"/>
      <c r="N4" s="14">
        <v>1</v>
      </c>
    </row>
    <row r="5" spans="1:14" ht="18.75" customHeight="1">
      <c r="A5" s="14"/>
      <c r="B5" s="14"/>
      <c r="C5" s="14"/>
      <c r="D5" s="114" t="s">
        <v>1771</v>
      </c>
      <c r="E5" s="14"/>
      <c r="F5" s="14"/>
      <c r="G5" s="14"/>
      <c r="H5" s="14" t="s">
        <v>1773</v>
      </c>
      <c r="I5" s="97" t="s">
        <v>1307</v>
      </c>
      <c r="J5" s="97" t="s">
        <v>151</v>
      </c>
      <c r="K5" s="97"/>
      <c r="L5" s="97" t="s">
        <v>161</v>
      </c>
      <c r="M5" s="14"/>
      <c r="N5" s="14">
        <v>1</v>
      </c>
    </row>
    <row r="6" spans="1:14" ht="18" customHeight="1">
      <c r="A6" s="14"/>
      <c r="B6" s="14"/>
      <c r="C6" s="14"/>
      <c r="D6" s="114" t="s">
        <v>1771</v>
      </c>
      <c r="E6" s="14"/>
      <c r="F6" s="14"/>
      <c r="G6" s="14"/>
      <c r="H6" s="14" t="s">
        <v>1773</v>
      </c>
      <c r="I6" s="97" t="s">
        <v>1307</v>
      </c>
      <c r="J6" s="97" t="s">
        <v>151</v>
      </c>
      <c r="K6" s="97"/>
      <c r="L6" s="113" t="s">
        <v>1771</v>
      </c>
      <c r="M6" s="14"/>
      <c r="N6" s="14">
        <v>1</v>
      </c>
    </row>
    <row r="7" spans="1:14">
      <c r="A7" s="14"/>
      <c r="B7" s="14"/>
      <c r="C7" s="14"/>
      <c r="D7" s="114" t="s">
        <v>1771</v>
      </c>
      <c r="E7" s="14"/>
      <c r="F7" s="14"/>
      <c r="G7" s="14"/>
      <c r="H7" s="14" t="s">
        <v>1773</v>
      </c>
      <c r="I7" s="97" t="s">
        <v>1307</v>
      </c>
      <c r="J7" s="97" t="s">
        <v>151</v>
      </c>
      <c r="K7" s="97"/>
      <c r="L7" s="97" t="s">
        <v>194</v>
      </c>
      <c r="M7" s="14"/>
      <c r="N7" s="14">
        <v>1</v>
      </c>
    </row>
    <row r="8" spans="1:14" ht="19.5" customHeight="1">
      <c r="A8" s="14"/>
      <c r="B8" s="14"/>
      <c r="C8" s="14"/>
      <c r="D8" s="114" t="s">
        <v>1771</v>
      </c>
      <c r="E8" s="14"/>
      <c r="F8" s="14"/>
      <c r="G8" s="14"/>
      <c r="H8" s="14" t="s">
        <v>1773</v>
      </c>
      <c r="I8" s="97" t="s">
        <v>1307</v>
      </c>
      <c r="J8" s="97" t="s">
        <v>151</v>
      </c>
      <c r="K8" s="97"/>
      <c r="L8" s="113" t="s">
        <v>1771</v>
      </c>
      <c r="M8" s="14"/>
      <c r="N8" s="14">
        <v>1</v>
      </c>
    </row>
    <row r="9" spans="1:14" ht="18" customHeight="1">
      <c r="A9" s="14"/>
      <c r="B9" s="14"/>
      <c r="C9" s="14"/>
      <c r="D9" s="114" t="s">
        <v>1771</v>
      </c>
      <c r="E9" s="14"/>
      <c r="F9" s="14"/>
      <c r="G9" s="14"/>
      <c r="H9" s="14" t="s">
        <v>1773</v>
      </c>
      <c r="I9" s="97" t="s">
        <v>1307</v>
      </c>
      <c r="J9" s="97" t="s">
        <v>151</v>
      </c>
      <c r="K9" s="97"/>
      <c r="L9" s="14" t="s">
        <v>195</v>
      </c>
      <c r="M9" s="14"/>
      <c r="N9" s="14">
        <v>1</v>
      </c>
    </row>
    <row r="10" spans="1:14" ht="15.75" customHeight="1">
      <c r="A10" s="14"/>
      <c r="B10" s="14"/>
      <c r="C10" s="82"/>
      <c r="D10" s="113" t="s">
        <v>1771</v>
      </c>
      <c r="E10" s="115"/>
      <c r="F10" s="14"/>
      <c r="G10" s="14"/>
      <c r="H10" s="14" t="s">
        <v>1773</v>
      </c>
      <c r="I10" s="97" t="s">
        <v>1307</v>
      </c>
      <c r="J10" s="97" t="s">
        <v>151</v>
      </c>
      <c r="K10" s="97"/>
      <c r="L10" s="113" t="s">
        <v>1771</v>
      </c>
      <c r="M10" s="14"/>
      <c r="N10" s="14">
        <v>1</v>
      </c>
    </row>
  </sheetData>
  <mergeCells count="1">
    <mergeCell ref="A1:N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7"/>
  <sheetViews>
    <sheetView topLeftCell="A10" workbookViewId="0">
      <selection activeCell="D3" sqref="D3"/>
    </sheetView>
  </sheetViews>
  <sheetFormatPr defaultColWidth="9.140625" defaultRowHeight="16.5"/>
  <cols>
    <col min="1" max="1" width="13.42578125" style="3" customWidth="1"/>
    <col min="2" max="2" width="12.42578125" style="3" bestFit="1" customWidth="1"/>
    <col min="3" max="3" width="6.5703125" style="3" bestFit="1" customWidth="1"/>
    <col min="4" max="4" width="11.42578125" style="3" bestFit="1" customWidth="1"/>
    <col min="5" max="5" width="86.42578125" style="2" customWidth="1"/>
    <col min="6" max="7" width="9.140625" style="3"/>
    <col min="8" max="8" width="13.85546875" style="3" customWidth="1"/>
    <col min="9" max="9" width="14.5703125" style="3" bestFit="1" customWidth="1"/>
    <col min="10" max="10" width="12.85546875" style="3" bestFit="1" customWidth="1"/>
    <col min="11" max="11" width="20.140625" style="3" customWidth="1"/>
    <col min="12" max="12" width="18.85546875" style="3" bestFit="1" customWidth="1"/>
    <col min="13" max="16384" width="9.140625" style="3"/>
  </cols>
  <sheetData>
    <row r="1" spans="1:12">
      <c r="A1" s="45" t="s">
        <v>1774</v>
      </c>
      <c r="G1" s="3" t="s">
        <v>1775</v>
      </c>
    </row>
    <row r="2" spans="1:12">
      <c r="A2" s="19" t="s">
        <v>1776</v>
      </c>
      <c r="B2" s="19" t="s">
        <v>1777</v>
      </c>
      <c r="C2" s="19" t="s">
        <v>906</v>
      </c>
      <c r="D2" s="19" t="s">
        <v>1361</v>
      </c>
      <c r="E2" s="18" t="s">
        <v>1444</v>
      </c>
      <c r="G2" s="19" t="s">
        <v>858</v>
      </c>
      <c r="H2" s="19" t="s">
        <v>859</v>
      </c>
      <c r="I2" s="19" t="s">
        <v>860</v>
      </c>
      <c r="J2" s="19" t="s">
        <v>861</v>
      </c>
      <c r="K2" s="19" t="s">
        <v>1778</v>
      </c>
      <c r="L2" s="19" t="s">
        <v>1779</v>
      </c>
    </row>
    <row r="3" spans="1:12" ht="165">
      <c r="A3" s="19" t="s">
        <v>1295</v>
      </c>
      <c r="B3" s="19">
        <v>110</v>
      </c>
      <c r="C3" s="19">
        <v>1</v>
      </c>
      <c r="D3" s="19">
        <v>1004</v>
      </c>
      <c r="E3" s="18" t="s">
        <v>1780</v>
      </c>
      <c r="H3" s="20" t="s">
        <v>1361</v>
      </c>
      <c r="J3" s="20">
        <v>1004</v>
      </c>
      <c r="K3" s="21" t="s">
        <v>1780</v>
      </c>
    </row>
    <row r="4" spans="1:12" ht="165">
      <c r="A4" s="19" t="s">
        <v>1295</v>
      </c>
      <c r="B4" s="19">
        <v>120</v>
      </c>
      <c r="C4" s="19">
        <v>1</v>
      </c>
      <c r="D4" s="19">
        <v>1004</v>
      </c>
      <c r="E4" s="18" t="s">
        <v>1780</v>
      </c>
      <c r="H4" s="20" t="s">
        <v>1361</v>
      </c>
      <c r="J4" s="3">
        <f>D4</f>
        <v>1004</v>
      </c>
      <c r="K4" s="21" t="s">
        <v>1780</v>
      </c>
    </row>
    <row r="5" spans="1:12" ht="165">
      <c r="A5" s="19" t="s">
        <v>1295</v>
      </c>
      <c r="B5" s="19">
        <v>130</v>
      </c>
      <c r="C5" s="19">
        <v>1</v>
      </c>
      <c r="D5" s="19">
        <v>1004</v>
      </c>
      <c r="E5" s="18" t="s">
        <v>1780</v>
      </c>
      <c r="H5" s="20" t="s">
        <v>1361</v>
      </c>
      <c r="J5" s="3">
        <f t="shared" ref="J5:J37" si="0">D5</f>
        <v>1004</v>
      </c>
      <c r="K5" s="21" t="s">
        <v>1780</v>
      </c>
    </row>
    <row r="6" spans="1:12" ht="165">
      <c r="A6" s="19" t="s">
        <v>1295</v>
      </c>
      <c r="B6" s="19">
        <v>140</v>
      </c>
      <c r="C6" s="19">
        <v>1</v>
      </c>
      <c r="D6" s="19">
        <v>1004</v>
      </c>
      <c r="E6" s="18" t="s">
        <v>1780</v>
      </c>
      <c r="H6" s="20" t="s">
        <v>1361</v>
      </c>
      <c r="J6" s="3">
        <f t="shared" si="0"/>
        <v>1004</v>
      </c>
      <c r="K6" s="21" t="s">
        <v>1780</v>
      </c>
    </row>
    <row r="7" spans="1:12" ht="165">
      <c r="A7" s="19" t="s">
        <v>1295</v>
      </c>
      <c r="B7" s="19">
        <v>150</v>
      </c>
      <c r="C7" s="19">
        <v>1</v>
      </c>
      <c r="D7" s="19">
        <v>1004</v>
      </c>
      <c r="E7" s="18" t="s">
        <v>1780</v>
      </c>
      <c r="H7" s="20" t="s">
        <v>1361</v>
      </c>
      <c r="J7" s="3">
        <f t="shared" si="0"/>
        <v>1004</v>
      </c>
      <c r="K7" s="21" t="s">
        <v>1780</v>
      </c>
    </row>
    <row r="8" spans="1:12" ht="165">
      <c r="A8" s="19" t="s">
        <v>1295</v>
      </c>
      <c r="B8" s="19">
        <v>160</v>
      </c>
      <c r="C8" s="19">
        <v>1</v>
      </c>
      <c r="D8" s="19">
        <v>1004</v>
      </c>
      <c r="E8" s="18" t="s">
        <v>1780</v>
      </c>
      <c r="H8" s="20" t="s">
        <v>1361</v>
      </c>
      <c r="J8" s="3">
        <f t="shared" si="0"/>
        <v>1004</v>
      </c>
      <c r="K8" s="21" t="s">
        <v>1780</v>
      </c>
    </row>
    <row r="9" spans="1:12" ht="165">
      <c r="A9" s="19" t="s">
        <v>1295</v>
      </c>
      <c r="B9" s="19">
        <v>170</v>
      </c>
      <c r="C9" s="19">
        <v>1</v>
      </c>
      <c r="D9" s="19">
        <v>1004</v>
      </c>
      <c r="E9" s="18" t="s">
        <v>1780</v>
      </c>
      <c r="H9" s="20" t="s">
        <v>1361</v>
      </c>
      <c r="J9" s="3">
        <f t="shared" si="0"/>
        <v>1004</v>
      </c>
      <c r="K9" s="21" t="s">
        <v>1780</v>
      </c>
    </row>
    <row r="10" spans="1:12" ht="165">
      <c r="A10" s="19" t="s">
        <v>1295</v>
      </c>
      <c r="B10" s="19">
        <v>180</v>
      </c>
      <c r="C10" s="19">
        <v>1</v>
      </c>
      <c r="D10" s="19">
        <v>1004</v>
      </c>
      <c r="E10" s="18" t="s">
        <v>1780</v>
      </c>
      <c r="H10" s="20" t="s">
        <v>1361</v>
      </c>
      <c r="J10" s="3">
        <f t="shared" si="0"/>
        <v>1004</v>
      </c>
      <c r="K10" s="21" t="s">
        <v>1780</v>
      </c>
    </row>
    <row r="11" spans="1:12" ht="165">
      <c r="A11" s="19" t="s">
        <v>1295</v>
      </c>
      <c r="B11" s="19">
        <v>200</v>
      </c>
      <c r="C11" s="19">
        <v>1</v>
      </c>
      <c r="D11" s="19">
        <v>1004</v>
      </c>
      <c r="E11" s="18" t="s">
        <v>1780</v>
      </c>
      <c r="H11" s="20" t="s">
        <v>1361</v>
      </c>
      <c r="J11" s="3">
        <f t="shared" si="0"/>
        <v>1004</v>
      </c>
      <c r="K11" s="21" t="s">
        <v>1780</v>
      </c>
    </row>
    <row r="12" spans="1:12" ht="165">
      <c r="A12" s="19" t="s">
        <v>1295</v>
      </c>
      <c r="B12" s="19">
        <v>1000</v>
      </c>
      <c r="C12" s="19">
        <v>1</v>
      </c>
      <c r="D12" s="19">
        <v>1004</v>
      </c>
      <c r="E12" s="18" t="s">
        <v>1780</v>
      </c>
      <c r="H12" s="20" t="s">
        <v>1361</v>
      </c>
      <c r="J12" s="3">
        <f t="shared" si="0"/>
        <v>1004</v>
      </c>
      <c r="K12" s="21" t="s">
        <v>1780</v>
      </c>
    </row>
    <row r="13" spans="1:12" ht="49.5">
      <c r="A13" s="19" t="s">
        <v>1295</v>
      </c>
      <c r="B13" s="19">
        <v>51</v>
      </c>
      <c r="C13" s="19">
        <v>1</v>
      </c>
      <c r="D13" s="19">
        <v>1001</v>
      </c>
      <c r="E13" s="18" t="s">
        <v>1781</v>
      </c>
      <c r="H13" s="20" t="s">
        <v>1361</v>
      </c>
      <c r="J13" s="3">
        <f t="shared" si="0"/>
        <v>1001</v>
      </c>
      <c r="K13" s="2" t="str">
        <f>E13</f>
        <v>Revolving credit other than overdrafts and credit card debt</v>
      </c>
    </row>
    <row r="14" spans="1:12" ht="49.5">
      <c r="A14" s="19" t="s">
        <v>1295</v>
      </c>
      <c r="B14" s="19">
        <v>52</v>
      </c>
      <c r="C14" s="19">
        <v>1</v>
      </c>
      <c r="D14" s="19">
        <v>1001</v>
      </c>
      <c r="E14" s="18" t="s">
        <v>1781</v>
      </c>
      <c r="H14" s="20" t="s">
        <v>1361</v>
      </c>
      <c r="J14" s="3">
        <f t="shared" si="0"/>
        <v>1001</v>
      </c>
      <c r="K14" s="2" t="str">
        <f t="shared" ref="K14:K37" si="1">E14</f>
        <v>Revolving credit other than overdrafts and credit card debt</v>
      </c>
    </row>
    <row r="15" spans="1:12" ht="33">
      <c r="A15" s="19" t="s">
        <v>1295</v>
      </c>
      <c r="B15" s="19">
        <v>60</v>
      </c>
      <c r="C15" s="19">
        <v>1</v>
      </c>
      <c r="D15" s="19">
        <v>1002</v>
      </c>
      <c r="E15" s="18" t="s">
        <v>1782</v>
      </c>
      <c r="H15" s="20" t="s">
        <v>1361</v>
      </c>
      <c r="J15" s="3">
        <f t="shared" si="0"/>
        <v>1002</v>
      </c>
      <c r="K15" s="2" t="str">
        <f t="shared" si="1"/>
        <v>Credit lines other than revolving credit</v>
      </c>
    </row>
    <row r="16" spans="1:12" ht="33">
      <c r="A16" s="19" t="s">
        <v>1295</v>
      </c>
      <c r="B16" s="19">
        <v>70</v>
      </c>
      <c r="C16" s="19">
        <v>1</v>
      </c>
      <c r="D16" s="19">
        <v>1003</v>
      </c>
      <c r="E16" s="18" t="s">
        <v>1783</v>
      </c>
      <c r="H16" s="20" t="s">
        <v>1361</v>
      </c>
      <c r="J16" s="3">
        <f t="shared" si="0"/>
        <v>1003</v>
      </c>
      <c r="K16" s="2" t="str">
        <f t="shared" si="1"/>
        <v>Reverse repurchase agreements</v>
      </c>
    </row>
    <row r="17" spans="1:11">
      <c r="A17" s="19" t="s">
        <v>1295</v>
      </c>
      <c r="B17" s="19">
        <v>81</v>
      </c>
      <c r="C17" s="19">
        <v>1</v>
      </c>
      <c r="D17" s="19">
        <v>71</v>
      </c>
      <c r="E17" s="18" t="s">
        <v>1784</v>
      </c>
      <c r="H17" s="20" t="s">
        <v>1361</v>
      </c>
      <c r="J17" s="3">
        <f t="shared" si="0"/>
        <v>71</v>
      </c>
      <c r="K17" s="2" t="str">
        <f t="shared" si="1"/>
        <v>Trade receivables</v>
      </c>
    </row>
    <row r="18" spans="1:11">
      <c r="A18" s="19" t="s">
        <v>1295</v>
      </c>
      <c r="B18" s="19">
        <v>30</v>
      </c>
      <c r="C18" s="19">
        <v>1</v>
      </c>
      <c r="D18" s="19">
        <v>20</v>
      </c>
      <c r="E18" s="18" t="s">
        <v>1785</v>
      </c>
      <c r="H18" s="20" t="s">
        <v>1361</v>
      </c>
      <c r="J18" s="3">
        <f t="shared" si="0"/>
        <v>20</v>
      </c>
      <c r="K18" s="2" t="str">
        <f t="shared" si="1"/>
        <v>Overdrafts</v>
      </c>
    </row>
    <row r="19" spans="1:11">
      <c r="A19" s="19" t="s">
        <v>1295</v>
      </c>
      <c r="B19" s="19">
        <v>31</v>
      </c>
      <c r="C19" s="19">
        <v>1</v>
      </c>
      <c r="D19" s="19">
        <v>20</v>
      </c>
      <c r="E19" s="18" t="s">
        <v>1785</v>
      </c>
      <c r="H19" s="20" t="s">
        <v>1361</v>
      </c>
      <c r="J19" s="3">
        <f t="shared" si="0"/>
        <v>20</v>
      </c>
      <c r="K19" s="2" t="str">
        <f t="shared" si="1"/>
        <v>Overdrafts</v>
      </c>
    </row>
    <row r="20" spans="1:11">
      <c r="A20" s="19" t="s">
        <v>1295</v>
      </c>
      <c r="B20" s="19">
        <v>32</v>
      </c>
      <c r="C20" s="19">
        <v>1</v>
      </c>
      <c r="D20" s="19">
        <v>20</v>
      </c>
      <c r="E20" s="18" t="s">
        <v>1785</v>
      </c>
      <c r="H20" s="20" t="s">
        <v>1361</v>
      </c>
      <c r="J20" s="3">
        <f t="shared" si="0"/>
        <v>20</v>
      </c>
      <c r="K20" s="2" t="str">
        <f t="shared" si="1"/>
        <v>Overdrafts</v>
      </c>
    </row>
    <row r="21" spans="1:11">
      <c r="A21" s="19" t="s">
        <v>1295</v>
      </c>
      <c r="B21" s="19">
        <v>33</v>
      </c>
      <c r="C21" s="19">
        <v>1</v>
      </c>
      <c r="D21" s="19">
        <v>20</v>
      </c>
      <c r="E21" s="18" t="s">
        <v>1785</v>
      </c>
      <c r="H21" s="20" t="s">
        <v>1361</v>
      </c>
      <c r="J21" s="3">
        <f t="shared" si="0"/>
        <v>20</v>
      </c>
      <c r="K21" s="2" t="str">
        <f t="shared" si="1"/>
        <v>Overdrafts</v>
      </c>
    </row>
    <row r="22" spans="1:11">
      <c r="A22" s="19" t="s">
        <v>1295</v>
      </c>
      <c r="B22" s="19">
        <v>34</v>
      </c>
      <c r="C22" s="19">
        <v>1</v>
      </c>
      <c r="D22" s="19">
        <v>20</v>
      </c>
      <c r="E22" s="18" t="s">
        <v>1785</v>
      </c>
      <c r="H22" s="20" t="s">
        <v>1361</v>
      </c>
      <c r="J22" s="3">
        <f t="shared" si="0"/>
        <v>20</v>
      </c>
      <c r="K22" s="2" t="str">
        <f t="shared" si="1"/>
        <v>Overdrafts</v>
      </c>
    </row>
    <row r="23" spans="1:11">
      <c r="A23" s="19" t="s">
        <v>1295</v>
      </c>
      <c r="B23" s="19">
        <v>40</v>
      </c>
      <c r="C23" s="19">
        <v>1</v>
      </c>
      <c r="D23" s="19">
        <v>51</v>
      </c>
      <c r="E23" s="18" t="s">
        <v>1786</v>
      </c>
      <c r="H23" s="20" t="s">
        <v>1361</v>
      </c>
      <c r="J23" s="3">
        <f t="shared" si="0"/>
        <v>51</v>
      </c>
      <c r="K23" s="2" t="str">
        <f t="shared" si="1"/>
        <v>Credit card debt</v>
      </c>
    </row>
    <row r="24" spans="1:11">
      <c r="A24" s="19" t="s">
        <v>1295</v>
      </c>
      <c r="B24" s="19">
        <v>41</v>
      </c>
      <c r="C24" s="19">
        <v>1</v>
      </c>
      <c r="D24" s="19">
        <v>51</v>
      </c>
      <c r="E24" s="18" t="s">
        <v>1786</v>
      </c>
      <c r="H24" s="20" t="s">
        <v>1361</v>
      </c>
      <c r="J24" s="3">
        <f t="shared" si="0"/>
        <v>51</v>
      </c>
      <c r="K24" s="2" t="str">
        <f t="shared" si="1"/>
        <v>Credit card debt</v>
      </c>
    </row>
    <row r="25" spans="1:11">
      <c r="A25" s="19" t="s">
        <v>1295</v>
      </c>
      <c r="B25" s="19">
        <v>42</v>
      </c>
      <c r="C25" s="19">
        <v>1</v>
      </c>
      <c r="D25" s="19">
        <v>51</v>
      </c>
      <c r="E25" s="18" t="s">
        <v>1786</v>
      </c>
      <c r="H25" s="20" t="s">
        <v>1361</v>
      </c>
      <c r="J25" s="3">
        <f t="shared" si="0"/>
        <v>51</v>
      </c>
      <c r="K25" s="2" t="str">
        <f t="shared" si="1"/>
        <v>Credit card debt</v>
      </c>
    </row>
    <row r="26" spans="1:11">
      <c r="A26" s="19" t="s">
        <v>1295</v>
      </c>
      <c r="B26" s="19">
        <v>43</v>
      </c>
      <c r="C26" s="19">
        <v>1</v>
      </c>
      <c r="D26" s="19">
        <v>51</v>
      </c>
      <c r="E26" s="18" t="s">
        <v>1786</v>
      </c>
      <c r="H26" s="20" t="s">
        <v>1361</v>
      </c>
      <c r="J26" s="3">
        <f t="shared" si="0"/>
        <v>51</v>
      </c>
      <c r="K26" s="2" t="str">
        <f t="shared" si="1"/>
        <v>Credit card debt</v>
      </c>
    </row>
    <row r="27" spans="1:11" ht="49.5">
      <c r="A27" s="19" t="s">
        <v>1295</v>
      </c>
      <c r="B27" s="19">
        <v>50</v>
      </c>
      <c r="C27" s="19">
        <v>1</v>
      </c>
      <c r="D27" s="19">
        <v>1001</v>
      </c>
      <c r="E27" s="18" t="s">
        <v>1781</v>
      </c>
      <c r="H27" s="20" t="s">
        <v>1361</v>
      </c>
      <c r="J27" s="3">
        <f t="shared" si="0"/>
        <v>1001</v>
      </c>
      <c r="K27" s="2" t="str">
        <f t="shared" si="1"/>
        <v>Revolving credit other than overdrafts and credit card debt</v>
      </c>
    </row>
    <row r="28" spans="1:11">
      <c r="A28" s="19" t="s">
        <v>1295</v>
      </c>
      <c r="B28" s="19">
        <v>82</v>
      </c>
      <c r="C28" s="19">
        <v>1</v>
      </c>
      <c r="D28" s="19">
        <v>71</v>
      </c>
      <c r="E28" s="18" t="s">
        <v>1784</v>
      </c>
      <c r="H28" s="20" t="s">
        <v>1361</v>
      </c>
      <c r="J28" s="3">
        <f t="shared" si="0"/>
        <v>71</v>
      </c>
      <c r="K28" s="2" t="str">
        <f t="shared" si="1"/>
        <v>Trade receivables</v>
      </c>
    </row>
    <row r="29" spans="1:11">
      <c r="A29" s="19" t="s">
        <v>1295</v>
      </c>
      <c r="B29" s="19">
        <v>83</v>
      </c>
      <c r="C29" s="19">
        <v>1</v>
      </c>
      <c r="D29" s="19">
        <v>71</v>
      </c>
      <c r="E29" s="18" t="s">
        <v>1784</v>
      </c>
      <c r="H29" s="20" t="s">
        <v>1361</v>
      </c>
      <c r="J29" s="3">
        <f t="shared" si="0"/>
        <v>71</v>
      </c>
      <c r="K29" s="2" t="str">
        <f t="shared" si="1"/>
        <v>Trade receivables</v>
      </c>
    </row>
    <row r="30" spans="1:11">
      <c r="A30" s="19" t="s">
        <v>1295</v>
      </c>
      <c r="B30" s="19">
        <v>91</v>
      </c>
      <c r="C30" s="19">
        <v>1</v>
      </c>
      <c r="D30" s="19">
        <v>80</v>
      </c>
      <c r="E30" s="18" t="s">
        <v>1787</v>
      </c>
      <c r="H30" s="20" t="s">
        <v>1361</v>
      </c>
      <c r="J30" s="3">
        <f t="shared" si="0"/>
        <v>80</v>
      </c>
      <c r="K30" s="2" t="str">
        <f t="shared" si="1"/>
        <v>Financial leases</v>
      </c>
    </row>
    <row r="31" spans="1:11">
      <c r="A31" s="19" t="s">
        <v>1295</v>
      </c>
      <c r="B31" s="19">
        <v>92</v>
      </c>
      <c r="C31" s="19">
        <v>1</v>
      </c>
      <c r="D31" s="19">
        <v>80</v>
      </c>
      <c r="E31" s="18" t="s">
        <v>1787</v>
      </c>
      <c r="H31" s="20" t="s">
        <v>1361</v>
      </c>
      <c r="J31" s="3">
        <f t="shared" si="0"/>
        <v>80</v>
      </c>
      <c r="K31" s="2" t="str">
        <f t="shared" si="1"/>
        <v>Financial leases</v>
      </c>
    </row>
    <row r="32" spans="1:11" ht="165">
      <c r="A32" s="19" t="s">
        <v>1295</v>
      </c>
      <c r="B32" s="19">
        <v>100</v>
      </c>
      <c r="C32" s="19">
        <v>1</v>
      </c>
      <c r="D32" s="19">
        <v>1004</v>
      </c>
      <c r="E32" s="18" t="s">
        <v>1780</v>
      </c>
      <c r="H32" s="20" t="s">
        <v>1361</v>
      </c>
      <c r="J32" s="3">
        <f t="shared" si="0"/>
        <v>1004</v>
      </c>
      <c r="K32" s="2" t="str">
        <f t="shared" si="1"/>
        <v>Loans other than overdrafts, convenience credit, extended credit, credit card credit, revolving credit other than credit card credit, reverse repurchase agreements, trade receivables and financial leases</v>
      </c>
    </row>
    <row r="33" spans="1:11">
      <c r="A33" s="19" t="s">
        <v>1788</v>
      </c>
      <c r="B33" s="19" t="s">
        <v>1295</v>
      </c>
      <c r="C33" s="19">
        <v>2</v>
      </c>
      <c r="D33" s="19">
        <v>1005</v>
      </c>
      <c r="E33" s="18" t="s">
        <v>1789</v>
      </c>
      <c r="H33" s="20" t="s">
        <v>1361</v>
      </c>
      <c r="J33" s="3">
        <f t="shared" si="0"/>
        <v>1005</v>
      </c>
      <c r="K33" s="2" t="str">
        <f t="shared" si="1"/>
        <v>Debt securities</v>
      </c>
    </row>
    <row r="34" spans="1:11">
      <c r="A34" s="19" t="s">
        <v>1788</v>
      </c>
      <c r="B34" s="19" t="s">
        <v>1295</v>
      </c>
      <c r="C34" s="19">
        <v>2</v>
      </c>
      <c r="D34" s="19">
        <v>1005</v>
      </c>
      <c r="E34" s="18" t="s">
        <v>1789</v>
      </c>
      <c r="H34" s="20" t="s">
        <v>1361</v>
      </c>
      <c r="J34" s="3">
        <f t="shared" si="0"/>
        <v>1005</v>
      </c>
      <c r="K34" s="2" t="str">
        <f t="shared" si="1"/>
        <v>Debt securities</v>
      </c>
    </row>
    <row r="35" spans="1:11">
      <c r="A35" s="19" t="s">
        <v>1788</v>
      </c>
      <c r="B35" s="19" t="s">
        <v>1790</v>
      </c>
      <c r="C35" s="19">
        <v>2</v>
      </c>
      <c r="D35" s="19">
        <v>1005</v>
      </c>
      <c r="E35" s="18" t="s">
        <v>1789</v>
      </c>
      <c r="H35" s="20" t="s">
        <v>1361</v>
      </c>
      <c r="J35" s="3">
        <f t="shared" si="0"/>
        <v>1005</v>
      </c>
      <c r="K35" s="2" t="str">
        <f t="shared" si="1"/>
        <v>Debt securities</v>
      </c>
    </row>
    <row r="36" spans="1:11" ht="49.5">
      <c r="A36" s="19" t="s">
        <v>1295</v>
      </c>
      <c r="B36" s="19">
        <v>10</v>
      </c>
      <c r="C36" s="19">
        <v>1</v>
      </c>
      <c r="D36" s="19">
        <v>1000</v>
      </c>
      <c r="E36" s="18" t="s">
        <v>1791</v>
      </c>
      <c r="H36" s="20" t="s">
        <v>1361</v>
      </c>
      <c r="J36" s="3">
        <f t="shared" si="0"/>
        <v>1000</v>
      </c>
      <c r="K36" s="2" t="str">
        <f t="shared" si="1"/>
        <v>Deposits other than reverse repurchase agreements</v>
      </c>
    </row>
    <row r="37" spans="1:11">
      <c r="A37" s="19" t="s">
        <v>1295</v>
      </c>
      <c r="B37" s="19">
        <v>20</v>
      </c>
      <c r="C37" s="19">
        <v>1</v>
      </c>
      <c r="D37" s="19">
        <v>20</v>
      </c>
      <c r="E37" s="18" t="s">
        <v>1785</v>
      </c>
      <c r="H37" s="20" t="s">
        <v>1361</v>
      </c>
      <c r="J37" s="3">
        <f t="shared" si="0"/>
        <v>20</v>
      </c>
      <c r="K37" s="2" t="str">
        <f t="shared" si="1"/>
        <v>Overdrafts</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54"/>
  <sheetViews>
    <sheetView topLeftCell="N1" workbookViewId="0">
      <selection activeCell="R3" sqref="R3:R9"/>
    </sheetView>
  </sheetViews>
  <sheetFormatPr defaultRowHeight="16.5"/>
  <cols>
    <col min="1" max="1" width="21.140625" bestFit="1" customWidth="1"/>
    <col min="2" max="2" width="21.42578125" bestFit="1" customWidth="1"/>
    <col min="12" max="12" width="16" customWidth="1"/>
    <col min="13" max="13" width="17" customWidth="1"/>
    <col min="14" max="14" width="23.5703125" customWidth="1"/>
    <col min="15" max="15" width="18.85546875" customWidth="1"/>
    <col min="16" max="16" width="18.5703125" customWidth="1"/>
    <col min="18" max="18" width="17.5703125" customWidth="1"/>
    <col min="19" max="19" width="19.5703125" customWidth="1"/>
  </cols>
  <sheetData>
    <row r="1" spans="1:19">
      <c r="A1" s="22"/>
      <c r="B1" s="22"/>
      <c r="L1" s="27" t="s">
        <v>1792</v>
      </c>
      <c r="M1" s="28" t="s">
        <v>1793</v>
      </c>
      <c r="N1" s="28" t="s">
        <v>1794</v>
      </c>
      <c r="O1" s="28" t="s">
        <v>1795</v>
      </c>
      <c r="P1" s="29" t="s">
        <v>1796</v>
      </c>
      <c r="R1" s="30" t="s">
        <v>1792</v>
      </c>
      <c r="S1" s="31" t="s">
        <v>1793</v>
      </c>
    </row>
    <row r="2" spans="1:19">
      <c r="A2" s="22"/>
      <c r="B2" s="22"/>
      <c r="L2" s="46" t="s">
        <v>1797</v>
      </c>
      <c r="M2" s="47" t="s">
        <v>1798</v>
      </c>
      <c r="N2" s="47" t="s">
        <v>1799</v>
      </c>
      <c r="O2" s="47" t="s">
        <v>1800</v>
      </c>
      <c r="P2" s="48" t="s">
        <v>1801</v>
      </c>
      <c r="R2" s="49" t="s">
        <v>1802</v>
      </c>
      <c r="S2" s="50" t="s">
        <v>1803</v>
      </c>
    </row>
    <row r="3" spans="1:19">
      <c r="A3" s="22"/>
      <c r="B3" s="22"/>
      <c r="L3" s="51"/>
      <c r="M3" s="52" t="s">
        <v>1295</v>
      </c>
      <c r="N3" s="52" t="s">
        <v>1295</v>
      </c>
      <c r="O3" s="52" t="s">
        <v>1295</v>
      </c>
      <c r="P3" s="53" t="s">
        <v>1295</v>
      </c>
      <c r="R3" s="54">
        <v>212</v>
      </c>
      <c r="S3" s="55" t="s">
        <v>1804</v>
      </c>
    </row>
    <row r="4" spans="1:19">
      <c r="A4" s="22"/>
      <c r="B4" s="22"/>
      <c r="L4" s="46" t="s">
        <v>1805</v>
      </c>
      <c r="M4" s="47" t="s">
        <v>1295</v>
      </c>
      <c r="N4" s="47" t="s">
        <v>1295</v>
      </c>
      <c r="O4" s="47" t="s">
        <v>1295</v>
      </c>
      <c r="P4" s="48" t="s">
        <v>1806</v>
      </c>
      <c r="R4" s="49">
        <v>202</v>
      </c>
      <c r="S4" s="50" t="s">
        <v>1807</v>
      </c>
    </row>
    <row r="5" spans="1:19">
      <c r="A5" s="22"/>
      <c r="B5" s="22"/>
      <c r="L5" s="51">
        <v>200</v>
      </c>
      <c r="M5" s="52" t="s">
        <v>1295</v>
      </c>
      <c r="N5" s="52" t="s">
        <v>1295</v>
      </c>
      <c r="O5" s="52" t="s">
        <v>1295</v>
      </c>
      <c r="P5" s="53" t="s">
        <v>1295</v>
      </c>
      <c r="R5" s="54">
        <v>206</v>
      </c>
      <c r="S5" s="55" t="s">
        <v>1808</v>
      </c>
    </row>
    <row r="6" spans="1:19">
      <c r="A6" s="22"/>
      <c r="B6" s="22"/>
      <c r="L6" s="46" t="s">
        <v>77</v>
      </c>
      <c r="M6" s="47" t="s">
        <v>1295</v>
      </c>
      <c r="N6" s="47" t="s">
        <v>1295</v>
      </c>
      <c r="O6" s="47" t="s">
        <v>1295</v>
      </c>
      <c r="P6" s="48" t="s">
        <v>1295</v>
      </c>
      <c r="R6" s="49">
        <v>101</v>
      </c>
      <c r="S6" s="50" t="s">
        <v>1809</v>
      </c>
    </row>
    <row r="7" spans="1:19">
      <c r="A7" s="22"/>
      <c r="B7" s="22"/>
      <c r="L7" s="51" t="s">
        <v>1810</v>
      </c>
      <c r="M7" s="52" t="s">
        <v>1295</v>
      </c>
      <c r="N7" s="52" t="s">
        <v>1295</v>
      </c>
      <c r="O7" s="52" t="s">
        <v>1295</v>
      </c>
      <c r="P7" s="53" t="s">
        <v>1295</v>
      </c>
      <c r="R7" s="54">
        <v>201</v>
      </c>
      <c r="S7" s="55" t="s">
        <v>1811</v>
      </c>
    </row>
    <row r="8" spans="1:19">
      <c r="A8" s="22"/>
      <c r="B8" s="22"/>
      <c r="L8" s="46">
        <v>401</v>
      </c>
      <c r="M8" s="47" t="s">
        <v>1295</v>
      </c>
      <c r="N8" s="47" t="s">
        <v>1295</v>
      </c>
      <c r="O8" s="47" t="s">
        <v>1295</v>
      </c>
      <c r="P8" s="48" t="s">
        <v>1295</v>
      </c>
      <c r="R8" s="49">
        <v>203</v>
      </c>
      <c r="S8" s="50" t="s">
        <v>1812</v>
      </c>
    </row>
    <row r="9" spans="1:19">
      <c r="A9" t="s">
        <v>1813</v>
      </c>
      <c r="L9" s="51" t="s">
        <v>1814</v>
      </c>
      <c r="M9" s="52" t="s">
        <v>1295</v>
      </c>
      <c r="N9" s="52" t="s">
        <v>1295</v>
      </c>
      <c r="O9" s="52" t="s">
        <v>1295</v>
      </c>
      <c r="P9" s="53" t="s">
        <v>1295</v>
      </c>
      <c r="R9" s="54">
        <v>301</v>
      </c>
      <c r="S9" s="55" t="s">
        <v>1804</v>
      </c>
    </row>
    <row r="10" spans="1:19">
      <c r="A10" t="s">
        <v>1815</v>
      </c>
      <c r="L10" s="56">
        <v>45335</v>
      </c>
      <c r="M10" s="47" t="s">
        <v>1295</v>
      </c>
      <c r="N10" s="47" t="s">
        <v>1295</v>
      </c>
      <c r="O10" s="47" t="s">
        <v>1295</v>
      </c>
      <c r="P10" s="48" t="s">
        <v>1295</v>
      </c>
    </row>
    <row r="11" spans="1:19">
      <c r="A11" t="s">
        <v>1816</v>
      </c>
      <c r="L11" s="51" t="s">
        <v>1817</v>
      </c>
      <c r="M11" s="52" t="s">
        <v>1295</v>
      </c>
      <c r="N11" s="52" t="s">
        <v>1295</v>
      </c>
      <c r="O11" s="52" t="s">
        <v>1295</v>
      </c>
      <c r="P11" s="53" t="s">
        <v>1818</v>
      </c>
    </row>
    <row r="12" spans="1:19">
      <c r="A12" t="s">
        <v>1819</v>
      </c>
      <c r="L12" s="46">
        <v>208</v>
      </c>
      <c r="M12" s="47" t="s">
        <v>1295</v>
      </c>
      <c r="N12" s="47" t="s">
        <v>1295</v>
      </c>
      <c r="O12" s="47" t="s">
        <v>1820</v>
      </c>
      <c r="P12" s="48" t="s">
        <v>1295</v>
      </c>
    </row>
    <row r="13" spans="1:19">
      <c r="A13" t="s">
        <v>1821</v>
      </c>
      <c r="L13" s="51" t="s">
        <v>1822</v>
      </c>
      <c r="M13" s="52" t="s">
        <v>1295</v>
      </c>
      <c r="N13" s="52" t="s">
        <v>1295</v>
      </c>
      <c r="O13" s="52" t="s">
        <v>1295</v>
      </c>
      <c r="P13" s="53" t="s">
        <v>1823</v>
      </c>
      <c r="R13" t="s">
        <v>1824</v>
      </c>
    </row>
    <row r="14" spans="1:19">
      <c r="A14" s="22" t="s">
        <v>1802</v>
      </c>
      <c r="B14" s="22" t="s">
        <v>1803</v>
      </c>
      <c r="L14" s="46">
        <v>312</v>
      </c>
      <c r="M14" s="47" t="s">
        <v>1295</v>
      </c>
      <c r="N14" s="47" t="s">
        <v>1295</v>
      </c>
      <c r="O14" s="47" t="s">
        <v>1295</v>
      </c>
      <c r="P14" s="48" t="s">
        <v>1295</v>
      </c>
      <c r="R14" t="s">
        <v>1825</v>
      </c>
    </row>
    <row r="15" spans="1:19">
      <c r="A15" s="23">
        <v>212</v>
      </c>
      <c r="B15" s="24" t="s">
        <v>1804</v>
      </c>
      <c r="L15" s="51" t="s">
        <v>1295</v>
      </c>
      <c r="M15" s="52" t="s">
        <v>1295</v>
      </c>
      <c r="N15" s="52" t="s">
        <v>1295</v>
      </c>
      <c r="O15" s="52" t="s">
        <v>1295</v>
      </c>
      <c r="P15" s="53" t="s">
        <v>1295</v>
      </c>
      <c r="R15" t="s">
        <v>1826</v>
      </c>
    </row>
    <row r="16" spans="1:19">
      <c r="A16" s="23">
        <v>202</v>
      </c>
      <c r="B16" s="24" t="s">
        <v>1807</v>
      </c>
      <c r="L16" s="46" t="s">
        <v>1827</v>
      </c>
      <c r="M16" s="47" t="s">
        <v>1295</v>
      </c>
      <c r="N16" s="47" t="s">
        <v>1295</v>
      </c>
      <c r="O16" s="47" t="s">
        <v>1295</v>
      </c>
      <c r="P16" s="48" t="s">
        <v>1295</v>
      </c>
      <c r="R16" t="s">
        <v>1828</v>
      </c>
    </row>
    <row r="17" spans="1:18">
      <c r="A17" s="23">
        <v>203</v>
      </c>
      <c r="B17" s="24" t="s">
        <v>1812</v>
      </c>
      <c r="L17" s="51" t="s">
        <v>1829</v>
      </c>
      <c r="M17" s="52" t="s">
        <v>1295</v>
      </c>
      <c r="N17" s="52" t="s">
        <v>1295</v>
      </c>
      <c r="O17" s="52" t="s">
        <v>1295</v>
      </c>
      <c r="P17" s="53" t="s">
        <v>1830</v>
      </c>
      <c r="R17" t="s">
        <v>1831</v>
      </c>
    </row>
    <row r="18" spans="1:18">
      <c r="A18" s="23">
        <v>301</v>
      </c>
      <c r="B18" s="24" t="s">
        <v>1804</v>
      </c>
      <c r="L18" s="46" t="s">
        <v>1832</v>
      </c>
      <c r="M18" s="47" t="s">
        <v>1295</v>
      </c>
      <c r="N18" s="47" t="s">
        <v>1295</v>
      </c>
      <c r="O18" s="47" t="s">
        <v>1295</v>
      </c>
      <c r="P18" s="48" t="s">
        <v>1833</v>
      </c>
    </row>
    <row r="19" spans="1:18">
      <c r="A19" s="23">
        <v>201</v>
      </c>
      <c r="B19" s="24" t="s">
        <v>1811</v>
      </c>
      <c r="L19" s="51" t="s">
        <v>1834</v>
      </c>
      <c r="M19" s="52" t="s">
        <v>1295</v>
      </c>
      <c r="N19" s="52" t="s">
        <v>1295</v>
      </c>
      <c r="O19" s="52" t="s">
        <v>1295</v>
      </c>
      <c r="P19" s="53" t="s">
        <v>1835</v>
      </c>
    </row>
    <row r="20" spans="1:18">
      <c r="A20" s="23">
        <v>101</v>
      </c>
      <c r="B20" s="24" t="s">
        <v>1809</v>
      </c>
      <c r="L20" s="46">
        <v>303</v>
      </c>
      <c r="M20" s="47" t="s">
        <v>1295</v>
      </c>
      <c r="N20" s="47" t="s">
        <v>1836</v>
      </c>
      <c r="O20" s="47" t="s">
        <v>1837</v>
      </c>
      <c r="P20" s="48" t="s">
        <v>1295</v>
      </c>
    </row>
    <row r="21" spans="1:18">
      <c r="A21" s="25">
        <v>206</v>
      </c>
      <c r="B21" s="26" t="s">
        <v>1808</v>
      </c>
      <c r="L21" s="51" t="s">
        <v>1838</v>
      </c>
      <c r="M21" s="52" t="s">
        <v>1295</v>
      </c>
      <c r="N21" s="52" t="s">
        <v>1295</v>
      </c>
      <c r="O21" s="52" t="s">
        <v>1295</v>
      </c>
      <c r="P21" s="53" t="s">
        <v>1839</v>
      </c>
    </row>
    <row r="22" spans="1:18">
      <c r="L22" s="46">
        <v>248</v>
      </c>
      <c r="M22" s="47" t="s">
        <v>1295</v>
      </c>
      <c r="N22" s="47" t="s">
        <v>1295</v>
      </c>
      <c r="O22" s="47" t="s">
        <v>1840</v>
      </c>
      <c r="P22" s="48" t="s">
        <v>1295</v>
      </c>
    </row>
    <row r="23" spans="1:18">
      <c r="L23" s="51" t="s">
        <v>1841</v>
      </c>
      <c r="M23" s="52" t="s">
        <v>1295</v>
      </c>
      <c r="N23" s="52" t="s">
        <v>1295</v>
      </c>
      <c r="O23" s="52" t="s">
        <v>1295</v>
      </c>
      <c r="P23" s="53" t="s">
        <v>1842</v>
      </c>
    </row>
    <row r="24" spans="1:18">
      <c r="L24" s="46" t="s">
        <v>1843</v>
      </c>
      <c r="M24" s="47" t="s">
        <v>1295</v>
      </c>
      <c r="N24" s="47" t="s">
        <v>1295</v>
      </c>
      <c r="O24" s="47" t="s">
        <v>1295</v>
      </c>
      <c r="P24" s="48" t="s">
        <v>1844</v>
      </c>
    </row>
    <row r="25" spans="1:18">
      <c r="L25" s="57">
        <v>45344</v>
      </c>
      <c r="M25" s="52" t="s">
        <v>1295</v>
      </c>
      <c r="N25" s="52" t="s">
        <v>1295</v>
      </c>
      <c r="O25" s="52" t="s">
        <v>1295</v>
      </c>
      <c r="P25" s="53" t="s">
        <v>1295</v>
      </c>
    </row>
    <row r="26" spans="1:18">
      <c r="L26" s="46" t="s">
        <v>1845</v>
      </c>
      <c r="M26" s="47" t="s">
        <v>1295</v>
      </c>
      <c r="N26" s="47" t="s">
        <v>1295</v>
      </c>
      <c r="O26" s="47" t="s">
        <v>1295</v>
      </c>
      <c r="P26" s="48" t="s">
        <v>1846</v>
      </c>
    </row>
    <row r="27" spans="1:18">
      <c r="L27" s="51" t="s">
        <v>1847</v>
      </c>
      <c r="M27" s="52" t="s">
        <v>1295</v>
      </c>
      <c r="N27" s="52" t="s">
        <v>1295</v>
      </c>
      <c r="O27" s="52" t="s">
        <v>1295</v>
      </c>
      <c r="P27" s="53" t="s">
        <v>1848</v>
      </c>
    </row>
    <row r="28" spans="1:18">
      <c r="L28" s="56">
        <v>45425</v>
      </c>
      <c r="M28" s="47" t="s">
        <v>1295</v>
      </c>
      <c r="N28" s="47" t="s">
        <v>1295</v>
      </c>
      <c r="O28" s="47" t="s">
        <v>1295</v>
      </c>
      <c r="P28" s="48" t="s">
        <v>1295</v>
      </c>
    </row>
    <row r="29" spans="1:18">
      <c r="L29" s="51">
        <v>215</v>
      </c>
      <c r="M29" s="52" t="s">
        <v>1295</v>
      </c>
      <c r="N29" s="52" t="s">
        <v>1295</v>
      </c>
      <c r="O29" s="52" t="s">
        <v>1849</v>
      </c>
      <c r="P29" s="53" t="s">
        <v>1295</v>
      </c>
    </row>
    <row r="30" spans="1:18">
      <c r="L30" s="46" t="s">
        <v>1850</v>
      </c>
      <c r="M30" s="47" t="s">
        <v>1295</v>
      </c>
      <c r="N30" s="47" t="s">
        <v>1295</v>
      </c>
      <c r="O30" s="47" t="s">
        <v>1295</v>
      </c>
      <c r="P30" s="48" t="s">
        <v>1295</v>
      </c>
    </row>
    <row r="31" spans="1:18">
      <c r="L31" s="51" t="s">
        <v>1851</v>
      </c>
      <c r="M31" s="52" t="s">
        <v>1295</v>
      </c>
      <c r="N31" s="52" t="s">
        <v>1295</v>
      </c>
      <c r="O31" s="52" t="s">
        <v>1295</v>
      </c>
      <c r="P31" s="53" t="s">
        <v>1852</v>
      </c>
    </row>
    <row r="32" spans="1:18">
      <c r="L32" s="46">
        <v>206</v>
      </c>
      <c r="M32" s="47" t="s">
        <v>1295</v>
      </c>
      <c r="N32" s="47" t="s">
        <v>1848</v>
      </c>
      <c r="O32" s="47" t="s">
        <v>1808</v>
      </c>
      <c r="P32" s="48" t="s">
        <v>1295</v>
      </c>
    </row>
    <row r="33" spans="12:16">
      <c r="L33" s="51" t="s">
        <v>1853</v>
      </c>
      <c r="M33" s="52" t="s">
        <v>1295</v>
      </c>
      <c r="N33" s="52" t="s">
        <v>1295</v>
      </c>
      <c r="O33" s="52" t="s">
        <v>1295</v>
      </c>
      <c r="P33" s="53" t="s">
        <v>1820</v>
      </c>
    </row>
    <row r="34" spans="12:16">
      <c r="L34" s="46" t="s">
        <v>1854</v>
      </c>
      <c r="M34" s="47" t="s">
        <v>1295</v>
      </c>
      <c r="N34" s="47" t="s">
        <v>1295</v>
      </c>
      <c r="O34" s="47" t="s">
        <v>1295</v>
      </c>
      <c r="P34" s="48" t="s">
        <v>1295</v>
      </c>
    </row>
    <row r="35" spans="12:16">
      <c r="L35" s="51">
        <v>309</v>
      </c>
      <c r="M35" s="52" t="s">
        <v>1295</v>
      </c>
      <c r="N35" s="52" t="s">
        <v>1295</v>
      </c>
      <c r="O35" s="52" t="s">
        <v>1295</v>
      </c>
      <c r="P35" s="53" t="s">
        <v>1295</v>
      </c>
    </row>
    <row r="36" spans="12:16">
      <c r="L36" s="46" t="s">
        <v>1855</v>
      </c>
      <c r="M36" s="47" t="s">
        <v>1295</v>
      </c>
      <c r="N36" s="47" t="s">
        <v>1295</v>
      </c>
      <c r="O36" s="47" t="s">
        <v>1295</v>
      </c>
      <c r="P36" s="48" t="s">
        <v>1856</v>
      </c>
    </row>
    <row r="37" spans="12:16">
      <c r="L37" s="51" t="s">
        <v>1594</v>
      </c>
      <c r="M37" s="52" t="s">
        <v>1295</v>
      </c>
      <c r="N37" s="52" t="s">
        <v>1295</v>
      </c>
      <c r="O37" s="52" t="s">
        <v>1295</v>
      </c>
      <c r="P37" s="53" t="s">
        <v>1857</v>
      </c>
    </row>
    <row r="38" spans="12:16">
      <c r="L38" s="56">
        <v>45440</v>
      </c>
      <c r="M38" s="47" t="s">
        <v>1295</v>
      </c>
      <c r="N38" s="47" t="s">
        <v>1295</v>
      </c>
      <c r="O38" s="47" t="s">
        <v>1295</v>
      </c>
      <c r="P38" s="48" t="s">
        <v>1295</v>
      </c>
    </row>
    <row r="39" spans="12:16">
      <c r="L39" s="51" t="s">
        <v>1858</v>
      </c>
      <c r="M39" s="52" t="s">
        <v>1295</v>
      </c>
      <c r="N39" s="52" t="s">
        <v>1295</v>
      </c>
      <c r="O39" s="52" t="s">
        <v>1295</v>
      </c>
      <c r="P39" s="53" t="s">
        <v>1295</v>
      </c>
    </row>
    <row r="40" spans="12:16">
      <c r="L40" s="46">
        <v>204</v>
      </c>
      <c r="M40" s="47" t="s">
        <v>1295</v>
      </c>
      <c r="N40" s="47" t="s">
        <v>1295</v>
      </c>
      <c r="O40" s="47" t="s">
        <v>1859</v>
      </c>
      <c r="P40" s="48" t="s">
        <v>1295</v>
      </c>
    </row>
    <row r="41" spans="12:16">
      <c r="L41" s="57">
        <v>45323</v>
      </c>
      <c r="M41" s="52" t="s">
        <v>1295</v>
      </c>
      <c r="N41" s="52" t="s">
        <v>1295</v>
      </c>
      <c r="O41" s="52" t="s">
        <v>1295</v>
      </c>
      <c r="P41" s="53" t="s">
        <v>1295</v>
      </c>
    </row>
    <row r="42" spans="12:16">
      <c r="L42" s="46" t="s">
        <v>1860</v>
      </c>
      <c r="M42" s="47" t="s">
        <v>1295</v>
      </c>
      <c r="N42" s="47" t="s">
        <v>1295</v>
      </c>
      <c r="O42" s="47" t="s">
        <v>1295</v>
      </c>
      <c r="P42" s="48" t="s">
        <v>1861</v>
      </c>
    </row>
    <row r="43" spans="12:16">
      <c r="L43" s="51">
        <v>237</v>
      </c>
      <c r="M43" s="52" t="s">
        <v>1295</v>
      </c>
      <c r="N43" s="52" t="s">
        <v>1295</v>
      </c>
      <c r="O43" s="52" t="s">
        <v>1862</v>
      </c>
      <c r="P43" s="53" t="s">
        <v>1295</v>
      </c>
    </row>
    <row r="44" spans="12:16">
      <c r="L44" s="46" t="s">
        <v>1863</v>
      </c>
      <c r="M44" s="47" t="s">
        <v>1295</v>
      </c>
      <c r="N44" s="47" t="s">
        <v>1295</v>
      </c>
      <c r="O44" s="47" t="s">
        <v>1295</v>
      </c>
      <c r="P44" s="48" t="s">
        <v>1859</v>
      </c>
    </row>
    <row r="45" spans="12:16">
      <c r="L45" s="51">
        <v>101</v>
      </c>
      <c r="M45" s="52" t="s">
        <v>1295</v>
      </c>
      <c r="N45" s="52" t="s">
        <v>1809</v>
      </c>
      <c r="O45" s="52" t="s">
        <v>1809</v>
      </c>
      <c r="P45" s="53" t="s">
        <v>1295</v>
      </c>
    </row>
    <row r="46" spans="12:16">
      <c r="L46" s="46">
        <v>304</v>
      </c>
      <c r="M46" s="47" t="s">
        <v>1295</v>
      </c>
      <c r="N46" s="47" t="s">
        <v>1864</v>
      </c>
      <c r="O46" s="47" t="s">
        <v>1295</v>
      </c>
      <c r="P46" s="48" t="s">
        <v>1295</v>
      </c>
    </row>
    <row r="47" spans="12:16">
      <c r="L47" s="51" t="s">
        <v>1865</v>
      </c>
      <c r="M47" s="52" t="s">
        <v>1295</v>
      </c>
      <c r="N47" s="52" t="s">
        <v>1295</v>
      </c>
      <c r="O47" s="52" t="s">
        <v>1295</v>
      </c>
      <c r="P47" s="53" t="s">
        <v>1295</v>
      </c>
    </row>
    <row r="48" spans="12:16">
      <c r="L48" s="46" t="s">
        <v>1866</v>
      </c>
      <c r="M48" s="47" t="s">
        <v>1295</v>
      </c>
      <c r="N48" s="47" t="s">
        <v>1295</v>
      </c>
      <c r="O48" s="47" t="s">
        <v>1295</v>
      </c>
      <c r="P48" s="48" t="s">
        <v>1867</v>
      </c>
    </row>
    <row r="49" spans="12:16">
      <c r="L49" s="51" t="s">
        <v>1868</v>
      </c>
      <c r="M49" s="52" t="s">
        <v>1295</v>
      </c>
      <c r="N49" s="52" t="s">
        <v>1295</v>
      </c>
      <c r="O49" s="52" t="s">
        <v>1295</v>
      </c>
      <c r="P49" s="53" t="s">
        <v>1295</v>
      </c>
    </row>
    <row r="50" spans="12:16">
      <c r="L50" s="46" t="s">
        <v>1869</v>
      </c>
      <c r="M50" s="47" t="s">
        <v>1295</v>
      </c>
      <c r="N50" s="47" t="s">
        <v>1295</v>
      </c>
      <c r="O50" s="47" t="s">
        <v>1295</v>
      </c>
      <c r="P50" s="48" t="s">
        <v>1870</v>
      </c>
    </row>
    <row r="51" spans="12:16">
      <c r="L51" s="51">
        <v>201</v>
      </c>
      <c r="M51" s="52" t="s">
        <v>1295</v>
      </c>
      <c r="N51" s="52" t="s">
        <v>1811</v>
      </c>
      <c r="O51" s="52" t="s">
        <v>1811</v>
      </c>
      <c r="P51" s="53" t="s">
        <v>1295</v>
      </c>
    </row>
    <row r="52" spans="12:16">
      <c r="L52" s="46">
        <v>212</v>
      </c>
      <c r="M52" s="47" t="s">
        <v>1295</v>
      </c>
      <c r="N52" s="47" t="s">
        <v>1804</v>
      </c>
      <c r="O52" s="47" t="s">
        <v>1804</v>
      </c>
      <c r="P52" s="48" t="s">
        <v>1295</v>
      </c>
    </row>
    <row r="53" spans="12:16">
      <c r="L53" s="51">
        <v>310</v>
      </c>
      <c r="M53" s="52" t="s">
        <v>1295</v>
      </c>
      <c r="N53" s="52" t="s">
        <v>1295</v>
      </c>
      <c r="O53" s="52" t="s">
        <v>1295</v>
      </c>
      <c r="P53" s="53" t="s">
        <v>1295</v>
      </c>
    </row>
    <row r="54" spans="12:16">
      <c r="L54" s="46" t="s">
        <v>1871</v>
      </c>
      <c r="M54" s="47" t="s">
        <v>1295</v>
      </c>
      <c r="N54" s="47" t="s">
        <v>1295</v>
      </c>
      <c r="O54" s="47" t="s">
        <v>1295</v>
      </c>
      <c r="P54" s="48" t="s">
        <v>1295</v>
      </c>
    </row>
    <row r="55" spans="12:16">
      <c r="L55" s="51">
        <v>296</v>
      </c>
      <c r="M55" s="52" t="s">
        <v>1295</v>
      </c>
      <c r="N55" s="52" t="s">
        <v>1295</v>
      </c>
      <c r="O55" s="52" t="s">
        <v>1872</v>
      </c>
      <c r="P55" s="53" t="s">
        <v>1295</v>
      </c>
    </row>
    <row r="56" spans="12:16">
      <c r="L56" s="46">
        <v>272</v>
      </c>
      <c r="M56" s="47" t="s">
        <v>1295</v>
      </c>
      <c r="N56" s="47" t="s">
        <v>1295</v>
      </c>
      <c r="O56" s="47" t="s">
        <v>1873</v>
      </c>
      <c r="P56" s="48" t="s">
        <v>1295</v>
      </c>
    </row>
    <row r="57" spans="12:16">
      <c r="L57" s="57">
        <v>45350</v>
      </c>
      <c r="M57" s="52" t="s">
        <v>1295</v>
      </c>
      <c r="N57" s="52" t="s">
        <v>1295</v>
      </c>
      <c r="O57" s="52" t="s">
        <v>1295</v>
      </c>
      <c r="P57" s="53" t="s">
        <v>1295</v>
      </c>
    </row>
    <row r="58" spans="12:16">
      <c r="L58" s="46" t="s">
        <v>1553</v>
      </c>
      <c r="M58" s="47" t="s">
        <v>1295</v>
      </c>
      <c r="N58" s="47" t="s">
        <v>1295</v>
      </c>
      <c r="O58" s="47" t="s">
        <v>1295</v>
      </c>
      <c r="P58" s="48" t="s">
        <v>1295</v>
      </c>
    </row>
    <row r="59" spans="12:16">
      <c r="L59" s="51" t="s">
        <v>1874</v>
      </c>
      <c r="M59" s="52" t="s">
        <v>1295</v>
      </c>
      <c r="N59" s="52" t="s">
        <v>1295</v>
      </c>
      <c r="O59" s="52" t="s">
        <v>1295</v>
      </c>
      <c r="P59" s="53" t="s">
        <v>1875</v>
      </c>
    </row>
    <row r="60" spans="12:16">
      <c r="L60" s="56">
        <v>45434</v>
      </c>
      <c r="M60" s="47" t="s">
        <v>1295</v>
      </c>
      <c r="N60" s="47" t="s">
        <v>1295</v>
      </c>
      <c r="O60" s="47" t="s">
        <v>1295</v>
      </c>
      <c r="P60" s="48" t="s">
        <v>1295</v>
      </c>
    </row>
    <row r="61" spans="12:16">
      <c r="L61" s="51" t="s">
        <v>1876</v>
      </c>
      <c r="M61" s="52" t="s">
        <v>1295</v>
      </c>
      <c r="N61" s="52" t="s">
        <v>1295</v>
      </c>
      <c r="O61" s="52" t="s">
        <v>1295</v>
      </c>
      <c r="P61" s="53" t="s">
        <v>1295</v>
      </c>
    </row>
    <row r="62" spans="12:16">
      <c r="L62" s="56">
        <v>45415</v>
      </c>
      <c r="M62" s="47" t="s">
        <v>1295</v>
      </c>
      <c r="N62" s="47" t="s">
        <v>1295</v>
      </c>
      <c r="O62" s="47" t="s">
        <v>1295</v>
      </c>
      <c r="P62" s="48" t="s">
        <v>1295</v>
      </c>
    </row>
    <row r="63" spans="12:16">
      <c r="L63" s="51">
        <v>203</v>
      </c>
      <c r="M63" s="52" t="s">
        <v>1295</v>
      </c>
      <c r="N63" s="52" t="s">
        <v>1812</v>
      </c>
      <c r="O63" s="52" t="s">
        <v>1812</v>
      </c>
      <c r="P63" s="53" t="s">
        <v>1295</v>
      </c>
    </row>
    <row r="64" spans="12:16">
      <c r="L64" s="46" t="s">
        <v>1877</v>
      </c>
      <c r="M64" s="47" t="s">
        <v>1295</v>
      </c>
      <c r="N64" s="47" t="s">
        <v>1295</v>
      </c>
      <c r="O64" s="47" t="s">
        <v>1295</v>
      </c>
      <c r="P64" s="48" t="s">
        <v>1295</v>
      </c>
    </row>
    <row r="65" spans="12:16">
      <c r="L65" s="51" t="s">
        <v>1878</v>
      </c>
      <c r="M65" s="52" t="s">
        <v>1295</v>
      </c>
      <c r="N65" s="52" t="s">
        <v>1295</v>
      </c>
      <c r="O65" s="52" t="s">
        <v>1295</v>
      </c>
      <c r="P65" s="53" t="s">
        <v>1879</v>
      </c>
    </row>
    <row r="66" spans="12:16">
      <c r="L66" s="56">
        <v>45378</v>
      </c>
      <c r="M66" s="47" t="s">
        <v>1295</v>
      </c>
      <c r="N66" s="47" t="s">
        <v>1295</v>
      </c>
      <c r="O66" s="47" t="s">
        <v>1295</v>
      </c>
      <c r="P66" s="48" t="s">
        <v>1295</v>
      </c>
    </row>
    <row r="67" spans="12:16">
      <c r="L67" s="51">
        <v>236</v>
      </c>
      <c r="M67" s="52" t="s">
        <v>1295</v>
      </c>
      <c r="N67" s="52" t="s">
        <v>1295</v>
      </c>
      <c r="O67" s="52" t="s">
        <v>1844</v>
      </c>
      <c r="P67" s="53" t="s">
        <v>1295</v>
      </c>
    </row>
    <row r="68" spans="12:16">
      <c r="L68" s="46">
        <v>284</v>
      </c>
      <c r="M68" s="47" t="s">
        <v>1295</v>
      </c>
      <c r="N68" s="47" t="s">
        <v>1295</v>
      </c>
      <c r="O68" s="47" t="s">
        <v>1880</v>
      </c>
      <c r="P68" s="48" t="s">
        <v>1295</v>
      </c>
    </row>
    <row r="69" spans="12:16">
      <c r="L69" s="51" t="s">
        <v>1881</v>
      </c>
      <c r="M69" s="52" t="s">
        <v>1295</v>
      </c>
      <c r="N69" s="52" t="s">
        <v>1295</v>
      </c>
      <c r="O69" s="52" t="s">
        <v>1295</v>
      </c>
      <c r="P69" s="53" t="s">
        <v>1882</v>
      </c>
    </row>
    <row r="70" spans="12:16">
      <c r="L70" s="46" t="s">
        <v>1883</v>
      </c>
      <c r="M70" s="47" t="s">
        <v>1295</v>
      </c>
      <c r="N70" s="47" t="s">
        <v>1295</v>
      </c>
      <c r="O70" s="47" t="s">
        <v>1295</v>
      </c>
      <c r="P70" s="48" t="s">
        <v>1884</v>
      </c>
    </row>
    <row r="71" spans="12:16">
      <c r="L71" s="51" t="s">
        <v>1885</v>
      </c>
      <c r="M71" s="52" t="s">
        <v>1295</v>
      </c>
      <c r="N71" s="52" t="s">
        <v>1295</v>
      </c>
      <c r="O71" s="52" t="s">
        <v>1295</v>
      </c>
      <c r="P71" s="53" t="s">
        <v>1295</v>
      </c>
    </row>
    <row r="72" spans="12:16">
      <c r="L72" s="46" t="s">
        <v>1886</v>
      </c>
      <c r="M72" s="47" t="s">
        <v>1295</v>
      </c>
      <c r="N72" s="47" t="s">
        <v>1295</v>
      </c>
      <c r="O72" s="47" t="s">
        <v>1295</v>
      </c>
      <c r="P72" s="48" t="s">
        <v>1295</v>
      </c>
    </row>
    <row r="73" spans="12:16">
      <c r="L73" s="51">
        <v>218</v>
      </c>
      <c r="M73" s="52" t="s">
        <v>1295</v>
      </c>
      <c r="N73" s="52" t="s">
        <v>1830</v>
      </c>
      <c r="O73" s="52" t="s">
        <v>1830</v>
      </c>
      <c r="P73" s="53" t="s">
        <v>1295</v>
      </c>
    </row>
    <row r="74" spans="12:16">
      <c r="L74" s="46" t="s">
        <v>1887</v>
      </c>
      <c r="M74" s="47" t="s">
        <v>1295</v>
      </c>
      <c r="N74" s="47" t="s">
        <v>1295</v>
      </c>
      <c r="O74" s="47" t="s">
        <v>1295</v>
      </c>
      <c r="P74" s="48" t="s">
        <v>1888</v>
      </c>
    </row>
    <row r="75" spans="12:16">
      <c r="L75" s="51" t="s">
        <v>299</v>
      </c>
      <c r="M75" s="52" t="s">
        <v>1295</v>
      </c>
      <c r="N75" s="52" t="s">
        <v>1295</v>
      </c>
      <c r="O75" s="52" t="s">
        <v>1295</v>
      </c>
      <c r="P75" s="53" t="s">
        <v>1295</v>
      </c>
    </row>
    <row r="76" spans="12:16">
      <c r="L76" s="46" t="s">
        <v>1889</v>
      </c>
      <c r="M76" s="47" t="s">
        <v>1295</v>
      </c>
      <c r="N76" s="47" t="s">
        <v>1295</v>
      </c>
      <c r="O76" s="47" t="s">
        <v>1295</v>
      </c>
      <c r="P76" s="48" t="s">
        <v>1890</v>
      </c>
    </row>
    <row r="77" spans="12:16">
      <c r="L77" s="51" t="s">
        <v>1891</v>
      </c>
      <c r="M77" s="52" t="s">
        <v>1295</v>
      </c>
      <c r="N77" s="52" t="s">
        <v>1295</v>
      </c>
      <c r="O77" s="52" t="s">
        <v>1295</v>
      </c>
      <c r="P77" s="53" t="s">
        <v>1892</v>
      </c>
    </row>
    <row r="78" spans="12:16">
      <c r="L78" s="46" t="s">
        <v>1893</v>
      </c>
      <c r="M78" s="47" t="s">
        <v>1295</v>
      </c>
      <c r="N78" s="47" t="s">
        <v>1295</v>
      </c>
      <c r="O78" s="47" t="s">
        <v>1295</v>
      </c>
      <c r="P78" s="48" t="s">
        <v>1295</v>
      </c>
    </row>
    <row r="79" spans="12:16">
      <c r="L79" s="51" t="s">
        <v>1894</v>
      </c>
      <c r="M79" s="52" t="s">
        <v>1295</v>
      </c>
      <c r="N79" s="52" t="s">
        <v>1295</v>
      </c>
      <c r="O79" s="52" t="s">
        <v>1295</v>
      </c>
      <c r="P79" s="53" t="s">
        <v>1895</v>
      </c>
    </row>
    <row r="80" spans="12:16">
      <c r="L80" s="46" t="s">
        <v>1896</v>
      </c>
      <c r="M80" s="47" t="s">
        <v>1295</v>
      </c>
      <c r="N80" s="47" t="s">
        <v>1295</v>
      </c>
      <c r="O80" s="47" t="s">
        <v>1295</v>
      </c>
      <c r="P80" s="48" t="s">
        <v>1849</v>
      </c>
    </row>
    <row r="81" spans="12:16">
      <c r="L81" s="51" t="s">
        <v>1897</v>
      </c>
      <c r="M81" s="52" t="s">
        <v>1295</v>
      </c>
      <c r="N81" s="52" t="s">
        <v>1295</v>
      </c>
      <c r="O81" s="52" t="s">
        <v>1295</v>
      </c>
      <c r="P81" s="53" t="s">
        <v>1295</v>
      </c>
    </row>
    <row r="82" spans="12:16">
      <c r="L82" s="46">
        <v>224</v>
      </c>
      <c r="M82" s="47" t="s">
        <v>1295</v>
      </c>
      <c r="N82" s="47" t="s">
        <v>1898</v>
      </c>
      <c r="O82" s="47" t="s">
        <v>1884</v>
      </c>
      <c r="P82" s="48" t="s">
        <v>1295</v>
      </c>
    </row>
    <row r="83" spans="12:16">
      <c r="L83" s="51">
        <v>301</v>
      </c>
      <c r="M83" s="52" t="s">
        <v>1295</v>
      </c>
      <c r="N83" s="52" t="s">
        <v>1804</v>
      </c>
      <c r="O83" s="52" t="s">
        <v>1804</v>
      </c>
      <c r="P83" s="53" t="s">
        <v>1295</v>
      </c>
    </row>
    <row r="84" spans="12:16">
      <c r="L84" s="46">
        <v>305</v>
      </c>
      <c r="M84" s="47" t="s">
        <v>1295</v>
      </c>
      <c r="N84" s="47" t="s">
        <v>1823</v>
      </c>
      <c r="O84" s="47" t="s">
        <v>1823</v>
      </c>
      <c r="P84" s="48" t="s">
        <v>1295</v>
      </c>
    </row>
    <row r="85" spans="12:16">
      <c r="L85" s="51" t="s">
        <v>1899</v>
      </c>
      <c r="M85" s="52" t="s">
        <v>1295</v>
      </c>
      <c r="N85" s="52" t="s">
        <v>1295</v>
      </c>
      <c r="O85" s="52" t="s">
        <v>1295</v>
      </c>
      <c r="P85" s="53" t="s">
        <v>1900</v>
      </c>
    </row>
    <row r="86" spans="12:16">
      <c r="L86" s="46" t="s">
        <v>1901</v>
      </c>
      <c r="M86" s="47" t="s">
        <v>1295</v>
      </c>
      <c r="N86" s="47" t="s">
        <v>1295</v>
      </c>
      <c r="O86" s="47" t="s">
        <v>1295</v>
      </c>
      <c r="P86" s="48" t="s">
        <v>1295</v>
      </c>
    </row>
    <row r="87" spans="12:16">
      <c r="L87" s="51" t="s">
        <v>1902</v>
      </c>
      <c r="M87" s="52" t="s">
        <v>1295</v>
      </c>
      <c r="N87" s="52" t="s">
        <v>1295</v>
      </c>
      <c r="O87" s="52" t="s">
        <v>1295</v>
      </c>
      <c r="P87" s="53" t="s">
        <v>1903</v>
      </c>
    </row>
    <row r="88" spans="12:16">
      <c r="L88" s="56">
        <v>45471</v>
      </c>
      <c r="M88" s="47" t="s">
        <v>1295</v>
      </c>
      <c r="N88" s="47" t="s">
        <v>1295</v>
      </c>
      <c r="O88" s="47" t="s">
        <v>1295</v>
      </c>
      <c r="P88" s="48" t="s">
        <v>1295</v>
      </c>
    </row>
    <row r="89" spans="12:16">
      <c r="L89" s="51" t="s">
        <v>1904</v>
      </c>
      <c r="M89" s="52" t="s">
        <v>1295</v>
      </c>
      <c r="N89" s="52" t="s">
        <v>1295</v>
      </c>
      <c r="O89" s="52" t="s">
        <v>1295</v>
      </c>
      <c r="P89" s="53" t="s">
        <v>1295</v>
      </c>
    </row>
    <row r="90" spans="12:16">
      <c r="L90" s="46">
        <v>260</v>
      </c>
      <c r="M90" s="47" t="s">
        <v>1295</v>
      </c>
      <c r="N90" s="47" t="s">
        <v>1295</v>
      </c>
      <c r="O90" s="47" t="s">
        <v>1905</v>
      </c>
      <c r="P90" s="48" t="s">
        <v>1295</v>
      </c>
    </row>
    <row r="91" spans="12:16">
      <c r="L91" s="57">
        <v>45473</v>
      </c>
      <c r="M91" s="52" t="s">
        <v>1295</v>
      </c>
      <c r="N91" s="52" t="s">
        <v>1295</v>
      </c>
      <c r="O91" s="52" t="s">
        <v>1295</v>
      </c>
      <c r="P91" s="53" t="s">
        <v>1295</v>
      </c>
    </row>
    <row r="92" spans="12:16">
      <c r="L92" s="46">
        <v>308</v>
      </c>
      <c r="M92" s="47" t="s">
        <v>1295</v>
      </c>
      <c r="N92" s="47" t="s">
        <v>1295</v>
      </c>
      <c r="O92" s="47" t="s">
        <v>1295</v>
      </c>
      <c r="P92" s="48" t="s">
        <v>1295</v>
      </c>
    </row>
    <row r="95" spans="12:16">
      <c r="L95" t="s">
        <v>1906</v>
      </c>
    </row>
    <row r="96" spans="12:16">
      <c r="L96" t="s">
        <v>1907</v>
      </c>
    </row>
    <row r="97" spans="12:12">
      <c r="L97" t="s">
        <v>1908</v>
      </c>
    </row>
    <row r="98" spans="12:12">
      <c r="L98" t="s">
        <v>1224</v>
      </c>
    </row>
    <row r="99" spans="12:12">
      <c r="L99" t="s">
        <v>1909</v>
      </c>
    </row>
    <row r="100" spans="12:12">
      <c r="L100" t="s">
        <v>1910</v>
      </c>
    </row>
    <row r="101" spans="12:12">
      <c r="L101" t="s">
        <v>1911</v>
      </c>
    </row>
    <row r="102" spans="12:12">
      <c r="L102" t="s">
        <v>1912</v>
      </c>
    </row>
    <row r="103" spans="12:12">
      <c r="L103" t="s">
        <v>1913</v>
      </c>
    </row>
    <row r="104" spans="12:12">
      <c r="L104" t="s">
        <v>1910</v>
      </c>
    </row>
    <row r="105" spans="12:12">
      <c r="L105" t="s">
        <v>1911</v>
      </c>
    </row>
    <row r="106" spans="12:12">
      <c r="L106" t="s">
        <v>1912</v>
      </c>
    </row>
    <row r="107" spans="12:12">
      <c r="L107" t="s">
        <v>1914</v>
      </c>
    </row>
    <row r="108" spans="12:12">
      <c r="L108" t="s">
        <v>1910</v>
      </c>
    </row>
    <row r="109" spans="12:12">
      <c r="L109" t="s">
        <v>1915</v>
      </c>
    </row>
    <row r="110" spans="12:12">
      <c r="L110" t="s">
        <v>1912</v>
      </c>
    </row>
    <row r="111" spans="12:12">
      <c r="L111" t="s">
        <v>1916</v>
      </c>
    </row>
    <row r="112" spans="12:12">
      <c r="L112" t="s">
        <v>1917</v>
      </c>
    </row>
    <row r="113" spans="12:12">
      <c r="L113" t="s">
        <v>1911</v>
      </c>
    </row>
    <row r="114" spans="12:12">
      <c r="L114" t="s">
        <v>1912</v>
      </c>
    </row>
    <row r="115" spans="12:12">
      <c r="L115" t="s">
        <v>1918</v>
      </c>
    </row>
    <row r="116" spans="12:12">
      <c r="L116" t="s">
        <v>1917</v>
      </c>
    </row>
    <row r="117" spans="12:12">
      <c r="L117" t="s">
        <v>1911</v>
      </c>
    </row>
    <row r="118" spans="12:12">
      <c r="L118" t="s">
        <v>1912</v>
      </c>
    </row>
    <row r="119" spans="12:12">
      <c r="L119" t="s">
        <v>1919</v>
      </c>
    </row>
    <row r="120" spans="12:12">
      <c r="L120" t="s">
        <v>1917</v>
      </c>
    </row>
    <row r="121" spans="12:12">
      <c r="L121" t="s">
        <v>1915</v>
      </c>
    </row>
    <row r="122" spans="12:12">
      <c r="L122" t="s">
        <v>1920</v>
      </c>
    </row>
    <row r="123" spans="12:12">
      <c r="L123" t="s">
        <v>1921</v>
      </c>
    </row>
    <row r="124" spans="12:12">
      <c r="L124" t="s">
        <v>1224</v>
      </c>
    </row>
    <row r="125" spans="12:12">
      <c r="L125" t="s">
        <v>1922</v>
      </c>
    </row>
    <row r="126" spans="12:12">
      <c r="L126" t="s">
        <v>1923</v>
      </c>
    </row>
    <row r="127" spans="12:12">
      <c r="L127" t="s">
        <v>1924</v>
      </c>
    </row>
    <row r="128" spans="12:12">
      <c r="L128" t="s">
        <v>1925</v>
      </c>
    </row>
    <row r="129" spans="12:12">
      <c r="L129" t="s">
        <v>1926</v>
      </c>
    </row>
    <row r="130" spans="12:12">
      <c r="L130" t="s">
        <v>1927</v>
      </c>
    </row>
    <row r="131" spans="12:12">
      <c r="L131" t="s">
        <v>1921</v>
      </c>
    </row>
    <row r="132" spans="12:12">
      <c r="L132" t="s">
        <v>1224</v>
      </c>
    </row>
    <row r="133" spans="12:12">
      <c r="L133" t="s">
        <v>1928</v>
      </c>
    </row>
    <row r="134" spans="12:12">
      <c r="L134" t="s">
        <v>1923</v>
      </c>
    </row>
    <row r="135" spans="12:12">
      <c r="L135" t="s">
        <v>1924</v>
      </c>
    </row>
    <row r="136" spans="12:12">
      <c r="L136" t="s">
        <v>1929</v>
      </c>
    </row>
    <row r="137" spans="12:12">
      <c r="L137" t="s">
        <v>1930</v>
      </c>
    </row>
    <row r="138" spans="12:12">
      <c r="L138" t="s">
        <v>1931</v>
      </c>
    </row>
    <row r="139" spans="12:12">
      <c r="L139" t="s">
        <v>1921</v>
      </c>
    </row>
    <row r="140" spans="12:12">
      <c r="L140" t="s">
        <v>1224</v>
      </c>
    </row>
    <row r="141" spans="12:12">
      <c r="L141" t="s">
        <v>1932</v>
      </c>
    </row>
    <row r="142" spans="12:12">
      <c r="L142" t="s">
        <v>1933</v>
      </c>
    </row>
    <row r="143" spans="12:12">
      <c r="L143" t="s">
        <v>1924</v>
      </c>
    </row>
    <row r="144" spans="12:12">
      <c r="L144" t="s">
        <v>1934</v>
      </c>
    </row>
    <row r="145" spans="12:12">
      <c r="L145" t="s">
        <v>1935</v>
      </c>
    </row>
    <row r="146" spans="12:12">
      <c r="L146" t="s">
        <v>1936</v>
      </c>
    </row>
    <row r="147" spans="12:12">
      <c r="L147" t="s">
        <v>1921</v>
      </c>
    </row>
    <row r="148" spans="12:12">
      <c r="L148" t="s">
        <v>1224</v>
      </c>
    </row>
    <row r="149" spans="12:12">
      <c r="L149" t="s">
        <v>1937</v>
      </c>
    </row>
    <row r="150" spans="12:12">
      <c r="L150" t="s">
        <v>1933</v>
      </c>
    </row>
    <row r="151" spans="12:12">
      <c r="L151" t="s">
        <v>1938</v>
      </c>
    </row>
    <row r="152" spans="12:12">
      <c r="L152" t="s">
        <v>1939</v>
      </c>
    </row>
    <row r="153" spans="12:12">
      <c r="L153" t="s">
        <v>1940</v>
      </c>
    </row>
    <row r="154" spans="12:12">
      <c r="L154" t="s">
        <v>1941</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zoomScale="85" zoomScaleNormal="85" workbookViewId="0">
      <selection activeCell="C4" sqref="C4"/>
    </sheetView>
  </sheetViews>
  <sheetFormatPr defaultColWidth="9.140625" defaultRowHeight="14.45"/>
  <cols>
    <col min="1" max="1" width="9.5703125" style="84" customWidth="1"/>
    <col min="2" max="2" width="19.85546875" style="84" bestFit="1" customWidth="1"/>
    <col min="3" max="3" width="53.85546875" style="84" customWidth="1"/>
    <col min="4" max="4" width="15.140625" style="84" bestFit="1" customWidth="1"/>
    <col min="5" max="5" width="28.42578125" style="84" bestFit="1" customWidth="1"/>
    <col min="6" max="6" width="14.85546875" style="86" bestFit="1" customWidth="1"/>
    <col min="7" max="7" width="23" style="84" bestFit="1" customWidth="1"/>
    <col min="8" max="8" width="11.85546875" style="84" bestFit="1" customWidth="1"/>
    <col min="9" max="9" width="9.140625" style="83"/>
    <col min="10" max="10" width="10.42578125" style="84" customWidth="1"/>
    <col min="11" max="11" width="22" style="84" bestFit="1" customWidth="1"/>
    <col min="12" max="12" width="21.5703125" style="84" customWidth="1"/>
    <col min="13" max="13" width="78.42578125" style="84" customWidth="1"/>
    <col min="14" max="14" width="94.5703125" style="84" bestFit="1" customWidth="1"/>
    <col min="15" max="35" width="9.140625" style="84"/>
    <col min="36" max="16384" width="9.140625" style="83"/>
  </cols>
  <sheetData>
    <row r="1" spans="1:35" ht="91.5">
      <c r="A1" s="96" t="s">
        <v>1942</v>
      </c>
      <c r="C1" s="85" t="s">
        <v>1943</v>
      </c>
      <c r="J1" s="101" t="s">
        <v>1944</v>
      </c>
    </row>
    <row r="2" spans="1:35" s="87" customFormat="1">
      <c r="A2" s="88" t="s">
        <v>882</v>
      </c>
      <c r="B2" s="88" t="s">
        <v>139</v>
      </c>
      <c r="C2" s="89" t="s">
        <v>1945</v>
      </c>
      <c r="D2" s="88" t="s">
        <v>130</v>
      </c>
      <c r="E2" s="88" t="s">
        <v>131</v>
      </c>
      <c r="F2" s="89" t="s">
        <v>132</v>
      </c>
      <c r="G2" s="88" t="s">
        <v>133</v>
      </c>
      <c r="H2" s="88" t="s">
        <v>134</v>
      </c>
      <c r="I2" s="90"/>
      <c r="J2" s="88" t="s">
        <v>882</v>
      </c>
      <c r="K2" s="88" t="s">
        <v>139</v>
      </c>
      <c r="L2" s="88" t="s">
        <v>1946</v>
      </c>
      <c r="M2" s="786" t="s">
        <v>1947</v>
      </c>
      <c r="O2" s="91"/>
      <c r="P2" s="91"/>
      <c r="Q2" s="91"/>
      <c r="R2" s="91"/>
      <c r="S2" s="91"/>
      <c r="T2" s="91"/>
      <c r="U2" s="91"/>
      <c r="V2" s="91"/>
      <c r="W2" s="91"/>
      <c r="X2" s="91"/>
      <c r="Y2" s="91"/>
      <c r="Z2" s="91"/>
      <c r="AA2" s="91"/>
      <c r="AB2" s="91"/>
      <c r="AC2" s="91"/>
      <c r="AD2" s="91"/>
      <c r="AE2" s="91"/>
      <c r="AF2" s="91"/>
      <c r="AG2" s="91"/>
      <c r="AH2" s="91"/>
      <c r="AI2" s="91"/>
    </row>
    <row r="3" spans="1:35" ht="16.5">
      <c r="A3" s="92" t="s">
        <v>884</v>
      </c>
      <c r="B3" s="97" t="s">
        <v>161</v>
      </c>
      <c r="C3" s="92"/>
      <c r="D3" s="92"/>
      <c r="E3" s="92" t="s">
        <v>1948</v>
      </c>
      <c r="F3" s="93">
        <v>1</v>
      </c>
      <c r="G3" s="92" t="s">
        <v>1949</v>
      </c>
      <c r="H3" s="92" t="s">
        <v>150</v>
      </c>
      <c r="J3" s="92" t="s">
        <v>884</v>
      </c>
      <c r="K3" s="92" t="s">
        <v>1950</v>
      </c>
      <c r="L3" s="92" t="s">
        <v>1951</v>
      </c>
      <c r="M3" s="92" t="s">
        <v>1952</v>
      </c>
    </row>
    <row r="4" spans="1:35" ht="16.5">
      <c r="A4" s="92" t="s">
        <v>884</v>
      </c>
      <c r="B4" s="97" t="s">
        <v>161</v>
      </c>
      <c r="C4" s="94" t="s">
        <v>1953</v>
      </c>
      <c r="D4" s="92" t="s">
        <v>159</v>
      </c>
      <c r="E4" s="95" t="s">
        <v>1954</v>
      </c>
      <c r="F4" s="93">
        <v>2</v>
      </c>
      <c r="G4" s="94" t="s">
        <v>1702</v>
      </c>
      <c r="H4" s="92" t="s">
        <v>164</v>
      </c>
      <c r="J4" s="92" t="s">
        <v>884</v>
      </c>
      <c r="K4" s="92" t="s">
        <v>1955</v>
      </c>
      <c r="L4" s="92" t="s">
        <v>1951</v>
      </c>
      <c r="M4" s="92" t="s">
        <v>1952</v>
      </c>
    </row>
    <row r="5" spans="1:35" ht="16.5">
      <c r="A5" s="92" t="s">
        <v>884</v>
      </c>
      <c r="B5" s="97" t="s">
        <v>161</v>
      </c>
      <c r="C5" s="94" t="s">
        <v>1956</v>
      </c>
      <c r="D5" s="92" t="s">
        <v>159</v>
      </c>
      <c r="E5" s="95" t="s">
        <v>1957</v>
      </c>
      <c r="F5" s="93">
        <v>2</v>
      </c>
      <c r="G5" s="94" t="s">
        <v>1702</v>
      </c>
      <c r="H5" s="92" t="s">
        <v>164</v>
      </c>
      <c r="J5" s="92" t="s">
        <v>884</v>
      </c>
      <c r="K5" s="92" t="s">
        <v>1958</v>
      </c>
      <c r="L5" s="92"/>
      <c r="M5" s="92"/>
    </row>
    <row r="6" spans="1:35" ht="16.5">
      <c r="A6" s="92" t="s">
        <v>884</v>
      </c>
      <c r="B6" s="97" t="s">
        <v>161</v>
      </c>
      <c r="C6" s="92"/>
      <c r="D6" s="92" t="s">
        <v>159</v>
      </c>
      <c r="E6" s="92" t="s">
        <v>1959</v>
      </c>
      <c r="F6" s="93">
        <v>3</v>
      </c>
      <c r="G6" s="92" t="s">
        <v>1960</v>
      </c>
      <c r="H6" s="92" t="s">
        <v>164</v>
      </c>
      <c r="J6" s="92" t="s">
        <v>884</v>
      </c>
      <c r="K6" s="92" t="s">
        <v>1961</v>
      </c>
      <c r="L6" s="92" t="s">
        <v>1962</v>
      </c>
      <c r="M6" s="92" t="s">
        <v>1963</v>
      </c>
    </row>
    <row r="7" spans="1:35" ht="16.5">
      <c r="A7" s="92" t="s">
        <v>884</v>
      </c>
      <c r="B7" s="97" t="s">
        <v>161</v>
      </c>
      <c r="C7" s="92"/>
      <c r="D7" s="92" t="s">
        <v>159</v>
      </c>
      <c r="E7" s="92" t="s">
        <v>1964</v>
      </c>
      <c r="F7" s="93">
        <v>4</v>
      </c>
      <c r="G7" s="92" t="s">
        <v>96</v>
      </c>
      <c r="H7" s="92" t="s">
        <v>186</v>
      </c>
    </row>
    <row r="8" spans="1:35" ht="16.5">
      <c r="A8" s="92" t="s">
        <v>884</v>
      </c>
      <c r="B8" s="97" t="s">
        <v>161</v>
      </c>
      <c r="C8" s="92"/>
      <c r="D8" s="92" t="s">
        <v>159</v>
      </c>
      <c r="E8" s="92" t="s">
        <v>1965</v>
      </c>
      <c r="F8" s="93">
        <v>5</v>
      </c>
      <c r="G8" s="92" t="s">
        <v>97</v>
      </c>
      <c r="H8" s="92" t="s">
        <v>186</v>
      </c>
      <c r="J8" s="96"/>
      <c r="K8" s="96"/>
      <c r="L8" s="96"/>
      <c r="M8" s="96"/>
    </row>
    <row r="9" spans="1:35" ht="16.5">
      <c r="A9" s="92" t="s">
        <v>884</v>
      </c>
      <c r="B9" s="97" t="s">
        <v>161</v>
      </c>
      <c r="C9" s="94" t="s">
        <v>1953</v>
      </c>
      <c r="D9" s="92" t="s">
        <v>159</v>
      </c>
      <c r="E9" s="92" t="s">
        <v>1447</v>
      </c>
      <c r="F9" s="93">
        <v>6</v>
      </c>
      <c r="G9" s="92" t="s">
        <v>1966</v>
      </c>
      <c r="H9" s="92" t="s">
        <v>164</v>
      </c>
    </row>
    <row r="10" spans="1:35" ht="16.5">
      <c r="A10" s="92" t="s">
        <v>884</v>
      </c>
      <c r="B10" s="97" t="s">
        <v>161</v>
      </c>
      <c r="C10" s="94" t="s">
        <v>1956</v>
      </c>
      <c r="D10" s="92" t="s">
        <v>159</v>
      </c>
      <c r="E10" s="92" t="s">
        <v>1967</v>
      </c>
      <c r="F10" s="93">
        <v>6</v>
      </c>
      <c r="G10" s="92" t="s">
        <v>1966</v>
      </c>
      <c r="H10" s="92" t="s">
        <v>164</v>
      </c>
      <c r="J10" s="96"/>
      <c r="K10" s="96"/>
      <c r="L10" s="96"/>
    </row>
    <row r="11" spans="1:35" ht="16.5">
      <c r="A11" s="92" t="s">
        <v>884</v>
      </c>
      <c r="B11" s="97" t="s">
        <v>161</v>
      </c>
      <c r="C11" s="94" t="s">
        <v>1953</v>
      </c>
      <c r="D11" s="92" t="s">
        <v>159</v>
      </c>
      <c r="E11" s="92" t="s">
        <v>1968</v>
      </c>
      <c r="F11" s="93">
        <v>7</v>
      </c>
      <c r="G11" s="92" t="s">
        <v>1969</v>
      </c>
      <c r="H11" s="92" t="s">
        <v>164</v>
      </c>
      <c r="J11" s="96"/>
      <c r="K11" s="96"/>
      <c r="L11" s="96"/>
    </row>
    <row r="12" spans="1:35" ht="16.5">
      <c r="A12" s="92" t="s">
        <v>884</v>
      </c>
      <c r="B12" s="97" t="s">
        <v>161</v>
      </c>
      <c r="C12" s="94" t="s">
        <v>1956</v>
      </c>
      <c r="D12" s="92" t="s">
        <v>159</v>
      </c>
      <c r="E12" s="92" t="s">
        <v>1970</v>
      </c>
      <c r="F12" s="93">
        <v>7</v>
      </c>
      <c r="G12" s="92" t="s">
        <v>1969</v>
      </c>
      <c r="H12" s="92" t="s">
        <v>164</v>
      </c>
      <c r="J12" s="100"/>
      <c r="K12" s="100"/>
      <c r="L12" s="100"/>
      <c r="M12" s="100"/>
    </row>
    <row r="13" spans="1:35">
      <c r="A13" s="92"/>
      <c r="B13" s="92"/>
      <c r="C13" s="92"/>
      <c r="D13" s="92" t="s">
        <v>789</v>
      </c>
      <c r="E13" s="92" t="s">
        <v>1971</v>
      </c>
      <c r="F13" s="93"/>
      <c r="G13" s="92"/>
      <c r="H13" s="92"/>
    </row>
    <row r="14" spans="1:35">
      <c r="A14" s="92"/>
      <c r="B14" s="92"/>
      <c r="C14" s="92"/>
      <c r="D14" s="92"/>
      <c r="E14" s="92"/>
      <c r="F14" s="93"/>
      <c r="G14" s="92"/>
      <c r="H14" s="92"/>
      <c r="J14" s="100"/>
    </row>
    <row r="15" spans="1:35">
      <c r="A15" s="92" t="s">
        <v>884</v>
      </c>
      <c r="B15" s="93" t="s">
        <v>195</v>
      </c>
      <c r="C15" s="92"/>
      <c r="D15" s="92"/>
      <c r="E15" s="92" t="s">
        <v>1948</v>
      </c>
      <c r="F15" s="93">
        <v>1</v>
      </c>
      <c r="G15" s="92" t="s">
        <v>1949</v>
      </c>
      <c r="H15" s="92" t="s">
        <v>150</v>
      </c>
      <c r="J15" s="100"/>
      <c r="K15" s="100"/>
      <c r="L15" s="100"/>
      <c r="M15" s="100"/>
    </row>
    <row r="16" spans="1:35" ht="16.5">
      <c r="A16" s="92" t="s">
        <v>884</v>
      </c>
      <c r="B16" s="93" t="s">
        <v>195</v>
      </c>
      <c r="C16" s="94" t="s">
        <v>1953</v>
      </c>
      <c r="D16" s="768" t="s">
        <v>183</v>
      </c>
      <c r="E16" s="95" t="s">
        <v>1954</v>
      </c>
      <c r="F16" s="93">
        <v>2</v>
      </c>
      <c r="G16" s="94" t="s">
        <v>1702</v>
      </c>
      <c r="H16" s="92" t="s">
        <v>164</v>
      </c>
      <c r="J16" s="100"/>
      <c r="K16" s="100"/>
      <c r="L16" s="100"/>
      <c r="M16" s="100"/>
    </row>
    <row r="17" spans="1:10" ht="16.5">
      <c r="A17" s="92" t="s">
        <v>884</v>
      </c>
      <c r="B17" s="93" t="s">
        <v>195</v>
      </c>
      <c r="C17" s="94" t="s">
        <v>1956</v>
      </c>
      <c r="D17" s="768" t="s">
        <v>183</v>
      </c>
      <c r="E17" s="95" t="s">
        <v>1957</v>
      </c>
      <c r="F17" s="93">
        <v>2</v>
      </c>
      <c r="G17" s="94" t="s">
        <v>1702</v>
      </c>
      <c r="H17" s="92" t="s">
        <v>164</v>
      </c>
    </row>
    <row r="18" spans="1:10" ht="16.5">
      <c r="A18" s="92" t="s">
        <v>884</v>
      </c>
      <c r="B18" s="93" t="s">
        <v>195</v>
      </c>
      <c r="C18" s="92"/>
      <c r="D18" s="768" t="s">
        <v>183</v>
      </c>
      <c r="E18" s="92" t="s">
        <v>1972</v>
      </c>
      <c r="F18" s="93">
        <v>3</v>
      </c>
      <c r="G18" s="92" t="s">
        <v>1960</v>
      </c>
      <c r="H18" s="92" t="s">
        <v>164</v>
      </c>
      <c r="J18" s="96"/>
    </row>
    <row r="19" spans="1:10">
      <c r="A19" s="92" t="s">
        <v>884</v>
      </c>
      <c r="B19" s="93" t="s">
        <v>195</v>
      </c>
      <c r="C19" s="92"/>
      <c r="D19" s="93" t="s">
        <v>789</v>
      </c>
      <c r="E19" s="92" t="s">
        <v>1973</v>
      </c>
      <c r="F19" s="93">
        <v>4</v>
      </c>
      <c r="G19" s="92" t="s">
        <v>96</v>
      </c>
      <c r="H19" s="92" t="s">
        <v>164</v>
      </c>
    </row>
    <row r="20" spans="1:10" ht="16.5">
      <c r="A20" s="92" t="s">
        <v>884</v>
      </c>
      <c r="B20" s="93" t="s">
        <v>195</v>
      </c>
      <c r="C20" s="92"/>
      <c r="D20" s="768" t="s">
        <v>183</v>
      </c>
      <c r="E20" s="92" t="s">
        <v>177</v>
      </c>
      <c r="F20" s="93">
        <v>5</v>
      </c>
      <c r="G20" s="92" t="s">
        <v>1555</v>
      </c>
      <c r="H20" s="92" t="s">
        <v>186</v>
      </c>
    </row>
    <row r="21" spans="1:10">
      <c r="A21" s="92" t="s">
        <v>884</v>
      </c>
      <c r="B21" s="93" t="s">
        <v>195</v>
      </c>
      <c r="C21" s="92"/>
      <c r="D21" s="93" t="s">
        <v>159</v>
      </c>
      <c r="E21" s="92" t="s">
        <v>1974</v>
      </c>
      <c r="F21" s="93"/>
      <c r="G21" s="92"/>
      <c r="H21" s="92"/>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3BF5-C1BC-4DBE-BCFE-D6B208C9F2FF}">
  <dimension ref="A1:A88"/>
  <sheetViews>
    <sheetView workbookViewId="0">
      <selection activeCell="O6" sqref="O6"/>
    </sheetView>
  </sheetViews>
  <sheetFormatPr defaultRowHeight="16.5"/>
  <sheetData>
    <row r="1" spans="1:1">
      <c r="A1" s="43" t="s">
        <v>1975</v>
      </c>
    </row>
    <row r="3" spans="1:1">
      <c r="A3" t="s">
        <v>383</v>
      </c>
    </row>
    <row r="5" spans="1:1">
      <c r="A5" t="s">
        <v>383</v>
      </c>
    </row>
    <row r="37" spans="1:1">
      <c r="A37" s="43" t="s">
        <v>1976</v>
      </c>
    </row>
    <row r="88" spans="1:1">
      <c r="A88" s="43" t="s">
        <v>1977</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A736-A1E4-4A8F-A186-3E6688CDFDC1}">
  <dimension ref="A1:AC52"/>
  <sheetViews>
    <sheetView topLeftCell="D1" workbookViewId="0">
      <selection activeCell="J5" sqref="J5"/>
    </sheetView>
  </sheetViews>
  <sheetFormatPr defaultColWidth="9.140625" defaultRowHeight="16.5"/>
  <cols>
    <col min="1" max="1" width="2.5703125" style="148" customWidth="1"/>
    <col min="2" max="2" width="9" style="148" bestFit="1" customWidth="1"/>
    <col min="3" max="3" width="7.42578125" style="148" bestFit="1" customWidth="1"/>
    <col min="4" max="4" width="14.5703125" style="148" customWidth="1"/>
    <col min="5" max="5" width="18.140625" style="148" bestFit="1" customWidth="1"/>
    <col min="6" max="6" width="11.85546875" style="148" bestFit="1" customWidth="1"/>
    <col min="7" max="7" width="9.5703125" style="148" bestFit="1" customWidth="1"/>
    <col min="8" max="8" width="10.140625" style="148" bestFit="1" customWidth="1"/>
    <col min="9" max="9" width="15.5703125" style="148" bestFit="1" customWidth="1"/>
    <col min="10" max="10" width="23.42578125" style="148" bestFit="1" customWidth="1"/>
    <col min="11" max="11" width="20.85546875" style="148" bestFit="1" customWidth="1"/>
    <col min="12" max="12" width="9" style="148" bestFit="1" customWidth="1"/>
    <col min="13" max="13" width="7.42578125" style="148" bestFit="1" customWidth="1"/>
    <col min="14" max="14" width="12.140625" style="148" bestFit="1" customWidth="1"/>
    <col min="15" max="15" width="25" style="148" bestFit="1" customWidth="1"/>
    <col min="16" max="16" width="15.140625" style="148" bestFit="1" customWidth="1"/>
    <col min="17" max="17" width="9.85546875" style="148" bestFit="1" customWidth="1"/>
    <col min="18" max="18" width="13.42578125" style="148" bestFit="1" customWidth="1"/>
    <col min="19" max="19" width="13" style="148" bestFit="1" customWidth="1"/>
    <col min="20" max="20" width="10.85546875" style="148" bestFit="1" customWidth="1"/>
    <col min="21" max="21" width="11.5703125" style="148" bestFit="1" customWidth="1"/>
    <col min="22" max="22" width="12.140625" style="148" bestFit="1" customWidth="1"/>
    <col min="23" max="23" width="11.85546875" style="148" bestFit="1" customWidth="1"/>
    <col min="24" max="24" width="8.5703125" style="148" bestFit="1" customWidth="1"/>
    <col min="25" max="25" width="8.85546875" style="148" bestFit="1" customWidth="1"/>
    <col min="26" max="26" width="9.85546875" style="148" bestFit="1" customWidth="1"/>
    <col min="27" max="27" width="21.85546875" style="148" bestFit="1" customWidth="1"/>
    <col min="28" max="28" width="10.5703125" style="148" bestFit="1" customWidth="1"/>
    <col min="29" max="29" width="7" style="148" bestFit="1" customWidth="1"/>
    <col min="30" max="16384" width="9.140625" style="148"/>
  </cols>
  <sheetData>
    <row r="1" spans="1:29">
      <c r="B1" s="167" t="s">
        <v>1978</v>
      </c>
    </row>
    <row r="2" spans="1:29" s="141" customFormat="1">
      <c r="B2" s="889" t="s">
        <v>1979</v>
      </c>
      <c r="C2" s="888"/>
      <c r="D2" s="888"/>
      <c r="E2" s="888"/>
      <c r="F2" s="888"/>
      <c r="G2" s="138" t="s">
        <v>1980</v>
      </c>
      <c r="H2" s="888" t="s">
        <v>1981</v>
      </c>
      <c r="I2" s="888"/>
      <c r="J2" s="888"/>
      <c r="K2" s="139" t="s">
        <v>1979</v>
      </c>
      <c r="L2" s="137" t="s">
        <v>1982</v>
      </c>
      <c r="M2" s="137"/>
      <c r="N2" s="137"/>
      <c r="O2" s="137"/>
      <c r="P2" s="137"/>
      <c r="Q2" s="137"/>
      <c r="R2" s="137"/>
      <c r="S2" s="137"/>
      <c r="T2" s="137"/>
      <c r="U2" s="137"/>
      <c r="V2" s="137"/>
      <c r="W2" s="137"/>
      <c r="X2" s="137"/>
      <c r="Y2" s="137"/>
      <c r="Z2" s="137"/>
      <c r="AA2" s="137"/>
      <c r="AB2" s="137"/>
      <c r="AC2" s="140"/>
    </row>
    <row r="3" spans="1:29">
      <c r="B3" s="142" t="s">
        <v>1234</v>
      </c>
      <c r="C3" s="136" t="s">
        <v>1235</v>
      </c>
      <c r="D3" s="136" t="s">
        <v>1236</v>
      </c>
      <c r="E3" s="136" t="s">
        <v>1237</v>
      </c>
      <c r="F3" s="143" t="s">
        <v>93</v>
      </c>
      <c r="G3" s="144" t="s">
        <v>1246</v>
      </c>
      <c r="H3" s="145" t="s">
        <v>1507</v>
      </c>
      <c r="I3" s="146" t="s">
        <v>1445</v>
      </c>
      <c r="J3" s="143" t="s">
        <v>1446</v>
      </c>
      <c r="K3" s="144" t="s">
        <v>1983</v>
      </c>
      <c r="L3" s="145" t="s">
        <v>1234</v>
      </c>
      <c r="M3" s="136" t="s">
        <v>1235</v>
      </c>
      <c r="N3" s="136" t="s">
        <v>1236</v>
      </c>
      <c r="O3" s="136" t="s">
        <v>1237</v>
      </c>
      <c r="P3" s="136" t="s">
        <v>93</v>
      </c>
      <c r="Q3" s="136" t="s">
        <v>1984</v>
      </c>
      <c r="R3" s="136" t="s">
        <v>1985</v>
      </c>
      <c r="S3" s="136" t="s">
        <v>1986</v>
      </c>
      <c r="T3" s="136" t="s">
        <v>1987</v>
      </c>
      <c r="U3" s="136" t="s">
        <v>1988</v>
      </c>
      <c r="V3" s="136" t="s">
        <v>1638</v>
      </c>
      <c r="W3" s="136" t="s">
        <v>1989</v>
      </c>
      <c r="X3" s="136" t="s">
        <v>1255</v>
      </c>
      <c r="Y3" s="136" t="s">
        <v>1451</v>
      </c>
      <c r="Z3" s="136" t="s">
        <v>135</v>
      </c>
      <c r="AA3" s="136" t="s">
        <v>845</v>
      </c>
      <c r="AB3" s="136" t="s">
        <v>140</v>
      </c>
      <c r="AC3" s="147" t="s">
        <v>1642</v>
      </c>
    </row>
    <row r="4" spans="1:29" s="164" customFormat="1">
      <c r="B4" s="157" t="s">
        <v>1283</v>
      </c>
      <c r="C4" s="158" t="s">
        <v>1284</v>
      </c>
      <c r="D4" s="158" t="s">
        <v>1285</v>
      </c>
      <c r="E4" s="158" t="s">
        <v>1286</v>
      </c>
      <c r="F4" s="159" t="s">
        <v>1287</v>
      </c>
      <c r="G4" s="160" t="s">
        <v>1293</v>
      </c>
      <c r="H4" s="161" t="s">
        <v>170</v>
      </c>
      <c r="I4" s="162" t="s">
        <v>1032</v>
      </c>
      <c r="J4" s="159" t="s">
        <v>1287</v>
      </c>
      <c r="K4" s="160" t="s">
        <v>1990</v>
      </c>
      <c r="L4" s="161" t="s">
        <v>1295</v>
      </c>
      <c r="M4" s="158" t="s">
        <v>1295</v>
      </c>
      <c r="N4" s="158" t="s">
        <v>1295</v>
      </c>
      <c r="O4" s="158" t="s">
        <v>1295</v>
      </c>
      <c r="P4" s="158" t="s">
        <v>1295</v>
      </c>
      <c r="Q4" s="158" t="s">
        <v>1295</v>
      </c>
      <c r="R4" s="158" t="s">
        <v>1295</v>
      </c>
      <c r="S4" s="158" t="s">
        <v>1295</v>
      </c>
      <c r="T4" s="158" t="s">
        <v>1295</v>
      </c>
      <c r="U4" s="158" t="s">
        <v>1295</v>
      </c>
      <c r="V4" s="158" t="s">
        <v>1295</v>
      </c>
      <c r="W4" s="158" t="s">
        <v>1295</v>
      </c>
      <c r="X4" s="158" t="s">
        <v>1295</v>
      </c>
      <c r="Y4" s="158" t="s">
        <v>1295</v>
      </c>
      <c r="Z4" s="158" t="s">
        <v>1295</v>
      </c>
      <c r="AA4" s="158" t="s">
        <v>1295</v>
      </c>
      <c r="AB4" s="158" t="s">
        <v>1295</v>
      </c>
      <c r="AC4" s="163" t="s">
        <v>1295</v>
      </c>
    </row>
    <row r="5" spans="1:29">
      <c r="B5" s="149" t="s">
        <v>1283</v>
      </c>
      <c r="C5" s="150" t="s">
        <v>1284</v>
      </c>
      <c r="D5" s="150" t="s">
        <v>1328</v>
      </c>
      <c r="E5" s="150" t="s">
        <v>1330</v>
      </c>
      <c r="F5" s="151" t="s">
        <v>1032</v>
      </c>
      <c r="G5" s="152" t="s">
        <v>98</v>
      </c>
      <c r="H5" s="153" t="s">
        <v>153</v>
      </c>
      <c r="I5" s="154" t="s">
        <v>1032</v>
      </c>
      <c r="J5" s="151" t="s">
        <v>1619</v>
      </c>
      <c r="K5" s="152" t="s">
        <v>1991</v>
      </c>
      <c r="L5" s="153" t="s">
        <v>1283</v>
      </c>
      <c r="M5" s="150" t="s">
        <v>1284</v>
      </c>
      <c r="N5" s="150" t="s">
        <v>1328</v>
      </c>
      <c r="O5" s="150" t="s">
        <v>1330</v>
      </c>
      <c r="P5" s="150" t="s">
        <v>1032</v>
      </c>
      <c r="Q5" s="150"/>
      <c r="R5" s="150" t="s">
        <v>153</v>
      </c>
      <c r="S5" s="150" t="s">
        <v>1992</v>
      </c>
      <c r="T5" s="150" t="s">
        <v>1382</v>
      </c>
      <c r="U5" s="150" t="s">
        <v>1714</v>
      </c>
      <c r="V5" s="150" t="s">
        <v>1993</v>
      </c>
      <c r="W5" s="150"/>
      <c r="X5" s="150" t="s">
        <v>1335</v>
      </c>
      <c r="Y5" s="150" t="s">
        <v>1336</v>
      </c>
      <c r="Z5" s="150" t="s">
        <v>1994</v>
      </c>
      <c r="AA5" s="150" t="s">
        <v>1995</v>
      </c>
      <c r="AB5" s="150" t="s">
        <v>1996</v>
      </c>
      <c r="AC5" s="155" t="s">
        <v>1993</v>
      </c>
    </row>
    <row r="6" spans="1:29" s="164" customFormat="1">
      <c r="B6" s="149" t="s">
        <v>1283</v>
      </c>
      <c r="C6" s="150" t="s">
        <v>1284</v>
      </c>
      <c r="D6" s="150" t="s">
        <v>1328</v>
      </c>
      <c r="E6" s="150" t="s">
        <v>1330</v>
      </c>
      <c r="F6" s="151" t="s">
        <v>1287</v>
      </c>
      <c r="G6" s="152" t="s">
        <v>98</v>
      </c>
      <c r="H6" s="153" t="s">
        <v>153</v>
      </c>
      <c r="I6" s="154" t="s">
        <v>1032</v>
      </c>
      <c r="J6" s="151" t="s">
        <v>1619</v>
      </c>
      <c r="K6" s="152" t="s">
        <v>1997</v>
      </c>
      <c r="L6" s="153" t="s">
        <v>1283</v>
      </c>
      <c r="M6" s="150" t="s">
        <v>1284</v>
      </c>
      <c r="N6" s="150" t="s">
        <v>1328</v>
      </c>
      <c r="O6" s="150" t="s">
        <v>1330</v>
      </c>
      <c r="P6" s="150" t="s">
        <v>1032</v>
      </c>
      <c r="Q6" s="150"/>
      <c r="R6" s="150" t="s">
        <v>153</v>
      </c>
      <c r="S6" s="150" t="s">
        <v>1992</v>
      </c>
      <c r="T6" s="150" t="s">
        <v>1382</v>
      </c>
      <c r="U6" s="150" t="s">
        <v>1714</v>
      </c>
      <c r="V6" s="150" t="s">
        <v>1993</v>
      </c>
      <c r="W6" s="150"/>
      <c r="X6" s="150" t="s">
        <v>1335</v>
      </c>
      <c r="Y6" s="150" t="s">
        <v>1336</v>
      </c>
      <c r="Z6" s="150" t="s">
        <v>1994</v>
      </c>
      <c r="AA6" s="150" t="s">
        <v>1995</v>
      </c>
      <c r="AB6" s="150" t="s">
        <v>1996</v>
      </c>
      <c r="AC6" s="155" t="s">
        <v>1993</v>
      </c>
    </row>
    <row r="7" spans="1:29" s="164" customFormat="1">
      <c r="B7" s="149" t="s">
        <v>1283</v>
      </c>
      <c r="C7" s="150" t="s">
        <v>1284</v>
      </c>
      <c r="D7" s="150" t="s">
        <v>1328</v>
      </c>
      <c r="E7" s="150" t="s">
        <v>1330</v>
      </c>
      <c r="F7" s="151" t="s">
        <v>1038</v>
      </c>
      <c r="G7" s="152" t="s">
        <v>98</v>
      </c>
      <c r="H7" s="153" t="s">
        <v>153</v>
      </c>
      <c r="I7" s="154" t="s">
        <v>1032</v>
      </c>
      <c r="J7" s="151" t="s">
        <v>1619</v>
      </c>
      <c r="K7" s="152" t="s">
        <v>1998</v>
      </c>
      <c r="L7" s="153" t="s">
        <v>1283</v>
      </c>
      <c r="M7" s="150" t="s">
        <v>1284</v>
      </c>
      <c r="N7" s="150" t="s">
        <v>1328</v>
      </c>
      <c r="O7" s="150" t="s">
        <v>1330</v>
      </c>
      <c r="P7" s="150" t="s">
        <v>1032</v>
      </c>
      <c r="Q7" s="150"/>
      <c r="R7" s="150" t="s">
        <v>153</v>
      </c>
      <c r="S7" s="150" t="s">
        <v>1992</v>
      </c>
      <c r="T7" s="150" t="s">
        <v>1382</v>
      </c>
      <c r="U7" s="150" t="s">
        <v>1714</v>
      </c>
      <c r="V7" s="150" t="s">
        <v>1993</v>
      </c>
      <c r="W7" s="150"/>
      <c r="X7" s="150" t="s">
        <v>1335</v>
      </c>
      <c r="Y7" s="150" t="s">
        <v>1336</v>
      </c>
      <c r="Z7" s="150" t="s">
        <v>1994</v>
      </c>
      <c r="AA7" s="150" t="s">
        <v>1995</v>
      </c>
      <c r="AB7" s="150" t="s">
        <v>1996</v>
      </c>
      <c r="AC7" s="155" t="s">
        <v>1993</v>
      </c>
    </row>
    <row r="8" spans="1:29" s="164" customFormat="1">
      <c r="B8" s="157" t="s">
        <v>1283</v>
      </c>
      <c r="C8" s="158" t="s">
        <v>1284</v>
      </c>
      <c r="D8" s="158" t="s">
        <v>1328</v>
      </c>
      <c r="E8" s="158" t="s">
        <v>1344</v>
      </c>
      <c r="F8" s="159" t="s">
        <v>1038</v>
      </c>
      <c r="G8" s="160" t="s">
        <v>98</v>
      </c>
      <c r="H8" s="161" t="s">
        <v>163</v>
      </c>
      <c r="I8" s="162" t="s">
        <v>1032</v>
      </c>
      <c r="J8" s="159" t="s">
        <v>1038</v>
      </c>
      <c r="K8" s="160" t="s">
        <v>1999</v>
      </c>
      <c r="L8" s="161" t="s">
        <v>1295</v>
      </c>
      <c r="M8" s="158" t="s">
        <v>1295</v>
      </c>
      <c r="N8" s="158" t="s">
        <v>1295</v>
      </c>
      <c r="O8" s="158" t="s">
        <v>1295</v>
      </c>
      <c r="P8" s="158" t="s">
        <v>1295</v>
      </c>
      <c r="Q8" s="158" t="s">
        <v>1295</v>
      </c>
      <c r="R8" s="158" t="s">
        <v>1295</v>
      </c>
      <c r="S8" s="158" t="s">
        <v>1295</v>
      </c>
      <c r="T8" s="158" t="s">
        <v>1295</v>
      </c>
      <c r="U8" s="158" t="s">
        <v>1295</v>
      </c>
      <c r="V8" s="158" t="s">
        <v>1295</v>
      </c>
      <c r="W8" s="158" t="s">
        <v>1295</v>
      </c>
      <c r="X8" s="158" t="s">
        <v>1295</v>
      </c>
      <c r="Y8" s="158" t="s">
        <v>1295</v>
      </c>
      <c r="Z8" s="158" t="s">
        <v>1295</v>
      </c>
      <c r="AA8" s="158" t="s">
        <v>1295</v>
      </c>
      <c r="AB8" s="158" t="s">
        <v>1295</v>
      </c>
      <c r="AC8" s="163" t="s">
        <v>1295</v>
      </c>
    </row>
    <row r="9" spans="1:29" s="164" customFormat="1">
      <c r="B9" s="157" t="s">
        <v>1283</v>
      </c>
      <c r="C9" s="158" t="s">
        <v>1284</v>
      </c>
      <c r="D9" s="158" t="s">
        <v>1285</v>
      </c>
      <c r="E9" s="158" t="s">
        <v>1311</v>
      </c>
      <c r="F9" s="159" t="s">
        <v>1038</v>
      </c>
      <c r="G9" s="160" t="s">
        <v>1293</v>
      </c>
      <c r="H9" s="161" t="s">
        <v>721</v>
      </c>
      <c r="I9" s="162" t="s">
        <v>1032</v>
      </c>
      <c r="J9" s="159" t="s">
        <v>1038</v>
      </c>
      <c r="K9" s="160" t="s">
        <v>2000</v>
      </c>
      <c r="L9" s="161" t="s">
        <v>1295</v>
      </c>
      <c r="M9" s="158" t="s">
        <v>1295</v>
      </c>
      <c r="N9" s="158" t="s">
        <v>1295</v>
      </c>
      <c r="O9" s="158" t="s">
        <v>1295</v>
      </c>
      <c r="P9" s="158" t="s">
        <v>1295</v>
      </c>
      <c r="Q9" s="158" t="s">
        <v>1295</v>
      </c>
      <c r="R9" s="158" t="s">
        <v>1295</v>
      </c>
      <c r="S9" s="158" t="s">
        <v>1295</v>
      </c>
      <c r="T9" s="158" t="s">
        <v>1295</v>
      </c>
      <c r="U9" s="158" t="s">
        <v>1295</v>
      </c>
      <c r="V9" s="158" t="s">
        <v>1295</v>
      </c>
      <c r="W9" s="158" t="s">
        <v>1295</v>
      </c>
      <c r="X9" s="158" t="s">
        <v>1295</v>
      </c>
      <c r="Y9" s="158" t="s">
        <v>1295</v>
      </c>
      <c r="Z9" s="158" t="s">
        <v>1295</v>
      </c>
      <c r="AA9" s="158" t="s">
        <v>1295</v>
      </c>
      <c r="AB9" s="158" t="s">
        <v>1295</v>
      </c>
      <c r="AC9" s="163" t="s">
        <v>1295</v>
      </c>
    </row>
    <row r="10" spans="1:29" s="156" customFormat="1">
      <c r="A10" s="164"/>
      <c r="B10" s="157" t="s">
        <v>1283</v>
      </c>
      <c r="C10" s="158" t="s">
        <v>1284</v>
      </c>
      <c r="D10" s="158" t="s">
        <v>1285</v>
      </c>
      <c r="E10" s="158" t="s">
        <v>1319</v>
      </c>
      <c r="F10" s="159" t="s">
        <v>1038</v>
      </c>
      <c r="G10" s="160" t="s">
        <v>1293</v>
      </c>
      <c r="H10" s="161" t="s">
        <v>170</v>
      </c>
      <c r="I10" s="162" t="s">
        <v>1032</v>
      </c>
      <c r="J10" s="159" t="s">
        <v>1038</v>
      </c>
      <c r="K10" s="160" t="s">
        <v>2001</v>
      </c>
      <c r="L10" s="161" t="s">
        <v>1295</v>
      </c>
      <c r="M10" s="158" t="s">
        <v>1295</v>
      </c>
      <c r="N10" s="158" t="s">
        <v>1295</v>
      </c>
      <c r="O10" s="158" t="s">
        <v>1295</v>
      </c>
      <c r="P10" s="158" t="s">
        <v>1295</v>
      </c>
      <c r="Q10" s="158" t="s">
        <v>1295</v>
      </c>
      <c r="R10" s="158" t="s">
        <v>1295</v>
      </c>
      <c r="S10" s="158" t="s">
        <v>1295</v>
      </c>
      <c r="T10" s="158" t="s">
        <v>1295</v>
      </c>
      <c r="U10" s="158" t="s">
        <v>1295</v>
      </c>
      <c r="V10" s="158" t="s">
        <v>1295</v>
      </c>
      <c r="W10" s="158" t="s">
        <v>1295</v>
      </c>
      <c r="X10" s="158" t="s">
        <v>1295</v>
      </c>
      <c r="Y10" s="158" t="s">
        <v>1295</v>
      </c>
      <c r="Z10" s="158" t="s">
        <v>1295</v>
      </c>
      <c r="AA10" s="158" t="s">
        <v>1295</v>
      </c>
      <c r="AB10" s="158" t="s">
        <v>1295</v>
      </c>
      <c r="AC10" s="163" t="s">
        <v>1295</v>
      </c>
    </row>
    <row r="11" spans="1:29" s="156" customFormat="1">
      <c r="A11" s="164"/>
      <c r="B11" s="157" t="s">
        <v>1283</v>
      </c>
      <c r="C11" s="158" t="s">
        <v>1284</v>
      </c>
      <c r="D11" s="158" t="s">
        <v>1285</v>
      </c>
      <c r="E11" s="158" t="s">
        <v>1320</v>
      </c>
      <c r="F11" s="159" t="s">
        <v>1038</v>
      </c>
      <c r="G11" s="160" t="s">
        <v>98</v>
      </c>
      <c r="H11" s="161" t="s">
        <v>163</v>
      </c>
      <c r="I11" s="162" t="s">
        <v>1032</v>
      </c>
      <c r="J11" s="159" t="s">
        <v>1038</v>
      </c>
      <c r="K11" s="160" t="s">
        <v>2002</v>
      </c>
      <c r="L11" s="161" t="s">
        <v>1295</v>
      </c>
      <c r="M11" s="158" t="s">
        <v>1295</v>
      </c>
      <c r="N11" s="158" t="s">
        <v>1295</v>
      </c>
      <c r="O11" s="158" t="s">
        <v>1295</v>
      </c>
      <c r="P11" s="158" t="s">
        <v>1295</v>
      </c>
      <c r="Q11" s="158" t="s">
        <v>1295</v>
      </c>
      <c r="R11" s="158" t="s">
        <v>1295</v>
      </c>
      <c r="S11" s="158" t="s">
        <v>1295</v>
      </c>
      <c r="T11" s="158" t="s">
        <v>1295</v>
      </c>
      <c r="U11" s="158" t="s">
        <v>1295</v>
      </c>
      <c r="V11" s="158" t="s">
        <v>1295</v>
      </c>
      <c r="W11" s="158" t="s">
        <v>1295</v>
      </c>
      <c r="X11" s="158" t="s">
        <v>1295</v>
      </c>
      <c r="Y11" s="158" t="s">
        <v>1295</v>
      </c>
      <c r="Z11" s="158" t="s">
        <v>1295</v>
      </c>
      <c r="AA11" s="158" t="s">
        <v>1295</v>
      </c>
      <c r="AB11" s="158" t="s">
        <v>1295</v>
      </c>
      <c r="AC11" s="163" t="s">
        <v>1295</v>
      </c>
    </row>
    <row r="12" spans="1:29" s="165" customFormat="1">
      <c r="A12" s="164"/>
      <c r="B12" s="189" t="s">
        <v>1283</v>
      </c>
      <c r="C12" s="190" t="s">
        <v>1284</v>
      </c>
      <c r="D12" s="190" t="s">
        <v>1285</v>
      </c>
      <c r="E12" s="190" t="s">
        <v>1327</v>
      </c>
      <c r="F12" s="191" t="s">
        <v>1038</v>
      </c>
      <c r="G12" s="192" t="s">
        <v>1293</v>
      </c>
      <c r="H12" s="193" t="s">
        <v>721</v>
      </c>
      <c r="I12" s="194" t="s">
        <v>1032</v>
      </c>
      <c r="J12" s="191" t="s">
        <v>1038</v>
      </c>
      <c r="K12" s="192" t="s">
        <v>2003</v>
      </c>
      <c r="L12" s="193" t="s">
        <v>1295</v>
      </c>
      <c r="M12" s="190" t="s">
        <v>1295</v>
      </c>
      <c r="N12" s="190" t="s">
        <v>1295</v>
      </c>
      <c r="O12" s="190" t="s">
        <v>1295</v>
      </c>
      <c r="P12" s="190" t="s">
        <v>1295</v>
      </c>
      <c r="Q12" s="190" t="s">
        <v>1295</v>
      </c>
      <c r="R12" s="190" t="s">
        <v>1295</v>
      </c>
      <c r="S12" s="190" t="s">
        <v>1295</v>
      </c>
      <c r="T12" s="190" t="s">
        <v>1295</v>
      </c>
      <c r="U12" s="190" t="s">
        <v>1295</v>
      </c>
      <c r="V12" s="190" t="s">
        <v>1295</v>
      </c>
      <c r="W12" s="190" t="s">
        <v>1295</v>
      </c>
      <c r="X12" s="190" t="s">
        <v>1295</v>
      </c>
      <c r="Y12" s="190" t="s">
        <v>1295</v>
      </c>
      <c r="Z12" s="190" t="s">
        <v>1295</v>
      </c>
      <c r="AA12" s="190" t="s">
        <v>1295</v>
      </c>
      <c r="AB12" s="190" t="s">
        <v>1295</v>
      </c>
      <c r="AC12" s="195" t="s">
        <v>1295</v>
      </c>
    </row>
    <row r="14" spans="1:29">
      <c r="B14" s="167" t="s">
        <v>2004</v>
      </c>
    </row>
    <row r="15" spans="1:29">
      <c r="B15" s="168" t="s">
        <v>2005</v>
      </c>
      <c r="C15" s="169"/>
      <c r="D15" s="169"/>
      <c r="E15" s="169"/>
      <c r="F15" s="169"/>
      <c r="G15" s="169"/>
      <c r="H15" s="169"/>
      <c r="I15" s="169"/>
      <c r="J15" s="170"/>
      <c r="K15" s="171"/>
      <c r="N15" s="167" t="s">
        <v>2006</v>
      </c>
    </row>
    <row r="16" spans="1:29">
      <c r="B16" s="172" t="s">
        <v>1745</v>
      </c>
      <c r="C16" s="173"/>
      <c r="D16" s="173"/>
      <c r="E16" s="173"/>
      <c r="F16" s="173"/>
      <c r="G16" s="173"/>
      <c r="H16" s="173"/>
      <c r="I16" s="173"/>
      <c r="J16" s="174"/>
      <c r="K16" s="175"/>
      <c r="N16" s="168" t="s">
        <v>2007</v>
      </c>
      <c r="O16" s="170"/>
      <c r="P16" s="170"/>
      <c r="Q16" s="170"/>
      <c r="R16" s="170"/>
      <c r="S16" s="170"/>
      <c r="T16" s="171"/>
      <c r="U16" s="174"/>
    </row>
    <row r="17" spans="2:21">
      <c r="B17" s="172" t="s">
        <v>1224</v>
      </c>
      <c r="C17" s="173"/>
      <c r="D17" s="173"/>
      <c r="E17" s="173"/>
      <c r="F17" s="173"/>
      <c r="G17" s="173"/>
      <c r="H17" s="173"/>
      <c r="I17" s="173"/>
      <c r="J17" s="174"/>
      <c r="K17" s="175"/>
      <c r="N17" s="176" t="s">
        <v>2008</v>
      </c>
      <c r="O17" s="178"/>
      <c r="P17" s="178"/>
      <c r="Q17" s="178"/>
      <c r="R17" s="178"/>
      <c r="S17" s="178"/>
      <c r="T17" s="179"/>
      <c r="U17" s="174"/>
    </row>
    <row r="18" spans="2:21">
      <c r="B18" s="172" t="s">
        <v>1906</v>
      </c>
      <c r="C18" s="173"/>
      <c r="D18" s="173"/>
      <c r="E18" s="173"/>
      <c r="F18" s="173"/>
      <c r="G18" s="173"/>
      <c r="H18" s="173"/>
      <c r="I18" s="173"/>
      <c r="J18" s="174"/>
      <c r="K18" s="175"/>
      <c r="N18" s="183"/>
    </row>
    <row r="19" spans="2:21">
      <c r="B19" s="172" t="s">
        <v>2009</v>
      </c>
      <c r="C19" s="173"/>
      <c r="D19" s="173"/>
      <c r="E19" s="173"/>
      <c r="F19" s="173"/>
      <c r="G19" s="173"/>
      <c r="H19" s="173"/>
      <c r="I19" s="173"/>
      <c r="J19" s="174"/>
      <c r="K19" s="175"/>
      <c r="N19" s="167" t="s">
        <v>2010</v>
      </c>
    </row>
    <row r="20" spans="2:21">
      <c r="B20" s="172" t="s">
        <v>1983</v>
      </c>
      <c r="C20" s="173"/>
      <c r="D20" s="173"/>
      <c r="E20" s="173"/>
      <c r="F20" s="173"/>
      <c r="G20" s="173"/>
      <c r="H20" s="173"/>
      <c r="I20" s="173"/>
      <c r="J20" s="174"/>
      <c r="K20" s="175"/>
      <c r="N20" s="184" t="s">
        <v>818</v>
      </c>
      <c r="O20" s="136" t="s">
        <v>1973</v>
      </c>
      <c r="P20" s="136" t="s">
        <v>882</v>
      </c>
    </row>
    <row r="21" spans="2:21">
      <c r="B21" s="172" t="s">
        <v>1908</v>
      </c>
      <c r="C21" s="173"/>
      <c r="D21" s="173"/>
      <c r="E21" s="173"/>
      <c r="F21" s="173"/>
      <c r="G21" s="173"/>
      <c r="H21" s="173"/>
      <c r="I21" s="173"/>
      <c r="J21" s="174"/>
      <c r="K21" s="175"/>
      <c r="N21" s="184" t="s">
        <v>1038</v>
      </c>
      <c r="O21" s="136" t="s">
        <v>1297</v>
      </c>
      <c r="P21" s="136" t="s">
        <v>1304</v>
      </c>
    </row>
    <row r="22" spans="2:21">
      <c r="B22" s="172" t="s">
        <v>2011</v>
      </c>
      <c r="C22" s="173"/>
      <c r="D22" s="173"/>
      <c r="E22" s="173"/>
      <c r="F22" s="173"/>
      <c r="G22" s="173"/>
      <c r="H22" s="173"/>
      <c r="I22" s="173"/>
      <c r="J22" s="174"/>
      <c r="K22" s="175"/>
      <c r="N22" s="184" t="s">
        <v>1038</v>
      </c>
      <c r="O22" s="136" t="s">
        <v>2012</v>
      </c>
      <c r="P22" s="136" t="s">
        <v>2013</v>
      </c>
    </row>
    <row r="23" spans="2:21">
      <c r="B23" s="172" t="s">
        <v>2014</v>
      </c>
      <c r="C23" s="173"/>
      <c r="D23" s="173"/>
      <c r="E23" s="173"/>
      <c r="F23" s="173"/>
      <c r="G23" s="173"/>
      <c r="H23" s="173"/>
      <c r="I23" s="173"/>
      <c r="J23" s="174"/>
      <c r="K23" s="175"/>
      <c r="N23" s="184" t="s">
        <v>1287</v>
      </c>
      <c r="O23" s="136" t="s">
        <v>1297</v>
      </c>
      <c r="P23" s="136" t="s">
        <v>1304</v>
      </c>
    </row>
    <row r="24" spans="2:21">
      <c r="B24" s="172" t="s">
        <v>2015</v>
      </c>
      <c r="C24" s="173"/>
      <c r="D24" s="173"/>
      <c r="E24" s="173"/>
      <c r="F24" s="173"/>
      <c r="G24" s="173"/>
      <c r="H24" s="173"/>
      <c r="I24" s="173"/>
      <c r="J24" s="174"/>
      <c r="K24" s="175"/>
      <c r="N24" s="184" t="s">
        <v>1287</v>
      </c>
      <c r="O24" s="136" t="s">
        <v>1297</v>
      </c>
      <c r="P24" s="136" t="s">
        <v>2013</v>
      </c>
    </row>
    <row r="25" spans="2:21">
      <c r="B25" s="172" t="s">
        <v>2016</v>
      </c>
      <c r="C25" s="173"/>
      <c r="D25" s="173"/>
      <c r="E25" s="173"/>
      <c r="F25" s="173"/>
      <c r="G25" s="173"/>
      <c r="H25" s="173"/>
      <c r="I25" s="173"/>
      <c r="J25" s="174"/>
      <c r="K25" s="175"/>
      <c r="N25" s="183"/>
    </row>
    <row r="26" spans="2:21">
      <c r="B26" s="172" t="s">
        <v>299</v>
      </c>
      <c r="C26" s="173"/>
      <c r="D26" s="173"/>
      <c r="E26" s="173"/>
      <c r="F26" s="173"/>
      <c r="G26" s="173"/>
      <c r="H26" s="173"/>
      <c r="I26" s="173"/>
      <c r="J26" s="174"/>
      <c r="K26" s="175"/>
      <c r="N26" s="167" t="s">
        <v>2017</v>
      </c>
    </row>
    <row r="27" spans="2:21">
      <c r="B27" s="172" t="s">
        <v>2018</v>
      </c>
      <c r="C27" s="173"/>
      <c r="D27" s="173"/>
      <c r="E27" s="173"/>
      <c r="F27" s="173"/>
      <c r="G27" s="173"/>
      <c r="H27" s="173"/>
      <c r="I27" s="173"/>
      <c r="J27" s="174"/>
      <c r="K27" s="175"/>
      <c r="N27" s="185" t="s">
        <v>2019</v>
      </c>
      <c r="O27" s="186"/>
      <c r="P27" s="186"/>
      <c r="Q27" s="186"/>
      <c r="R27" s="186"/>
      <c r="S27" s="186"/>
      <c r="T27" s="187"/>
    </row>
    <row r="28" spans="2:21">
      <c r="B28" s="172" t="s">
        <v>299</v>
      </c>
      <c r="C28" s="173"/>
      <c r="D28" s="173"/>
      <c r="E28" s="173"/>
      <c r="F28" s="173"/>
      <c r="G28" s="173"/>
      <c r="H28" s="173"/>
      <c r="I28" s="173"/>
      <c r="J28" s="174"/>
      <c r="K28" s="175"/>
      <c r="N28" s="180" t="s">
        <v>2008</v>
      </c>
      <c r="O28" s="181"/>
      <c r="P28" s="181"/>
      <c r="Q28" s="181"/>
      <c r="R28" s="181"/>
      <c r="S28" s="181"/>
      <c r="T28" s="182"/>
    </row>
    <row r="29" spans="2:21">
      <c r="B29" s="172" t="s">
        <v>2020</v>
      </c>
      <c r="C29" s="173" t="s">
        <v>2021</v>
      </c>
      <c r="D29" s="173"/>
      <c r="E29" s="173"/>
      <c r="F29" s="173"/>
      <c r="G29" s="173"/>
      <c r="H29" s="173"/>
      <c r="I29" s="173"/>
      <c r="J29" s="174"/>
      <c r="K29" s="175"/>
      <c r="N29" s="183"/>
    </row>
    <row r="30" spans="2:21">
      <c r="B30" s="172" t="s">
        <v>2022</v>
      </c>
      <c r="C30" s="173"/>
      <c r="D30" s="173"/>
      <c r="E30" s="173"/>
      <c r="F30" s="173"/>
      <c r="G30" s="173"/>
      <c r="H30" s="173"/>
      <c r="I30" s="173"/>
      <c r="J30" s="174"/>
      <c r="K30" s="175"/>
      <c r="N30" s="167" t="s">
        <v>2010</v>
      </c>
    </row>
    <row r="31" spans="2:21">
      <c r="B31" s="172"/>
      <c r="C31" s="173"/>
      <c r="D31" s="173"/>
      <c r="E31" s="173"/>
      <c r="F31" s="173"/>
      <c r="G31" s="173"/>
      <c r="H31" s="173"/>
      <c r="I31" s="173"/>
      <c r="J31" s="174"/>
      <c r="K31" s="175"/>
      <c r="N31" s="188" t="s">
        <v>93</v>
      </c>
      <c r="O31" s="136" t="s">
        <v>2023</v>
      </c>
    </row>
    <row r="32" spans="2:21">
      <c r="B32" s="172" t="s">
        <v>2018</v>
      </c>
      <c r="C32" s="173"/>
      <c r="D32" s="173"/>
      <c r="E32" s="173"/>
      <c r="F32" s="173"/>
      <c r="G32" s="173"/>
      <c r="H32" s="173"/>
      <c r="I32" s="173"/>
      <c r="J32" s="174"/>
      <c r="K32" s="175"/>
      <c r="N32" s="184" t="s">
        <v>1038</v>
      </c>
      <c r="O32" s="136" t="s">
        <v>2012</v>
      </c>
    </row>
    <row r="33" spans="2:15">
      <c r="B33" s="172" t="s">
        <v>299</v>
      </c>
      <c r="C33" s="173"/>
      <c r="D33" s="173"/>
      <c r="E33" s="173"/>
      <c r="F33" s="173"/>
      <c r="G33" s="173"/>
      <c r="H33" s="173"/>
      <c r="I33" s="173"/>
      <c r="J33" s="174"/>
      <c r="K33" s="175"/>
      <c r="N33" s="188" t="s">
        <v>1032</v>
      </c>
      <c r="O33" s="136" t="s">
        <v>1557</v>
      </c>
    </row>
    <row r="34" spans="2:15">
      <c r="B34" s="172" t="s">
        <v>2024</v>
      </c>
      <c r="C34" s="173"/>
      <c r="D34" s="173"/>
      <c r="E34" s="173"/>
      <c r="F34" s="173"/>
      <c r="G34" s="173"/>
      <c r="H34" s="173"/>
      <c r="I34" s="173"/>
      <c r="J34" s="174"/>
      <c r="K34" s="175"/>
      <c r="N34" s="183"/>
    </row>
    <row r="35" spans="2:15">
      <c r="B35" s="172" t="s">
        <v>2025</v>
      </c>
      <c r="C35" s="173"/>
      <c r="D35" s="173"/>
      <c r="E35" s="173"/>
      <c r="F35" s="173"/>
      <c r="G35" s="173"/>
      <c r="H35" s="173"/>
      <c r="I35" s="173"/>
      <c r="J35" s="174"/>
      <c r="K35" s="175"/>
      <c r="N35" s="166"/>
    </row>
    <row r="36" spans="2:15">
      <c r="B36" s="172" t="s">
        <v>299</v>
      </c>
      <c r="C36" s="173"/>
      <c r="D36" s="173"/>
      <c r="E36" s="173"/>
      <c r="F36" s="173"/>
      <c r="G36" s="173"/>
      <c r="H36" s="173"/>
      <c r="I36" s="173"/>
      <c r="J36" s="174"/>
      <c r="K36" s="175"/>
    </row>
    <row r="37" spans="2:15">
      <c r="B37" s="172" t="s">
        <v>2026</v>
      </c>
      <c r="C37" s="173"/>
      <c r="D37" s="173"/>
      <c r="E37" s="173"/>
      <c r="F37" s="173"/>
      <c r="G37" s="173"/>
      <c r="H37" s="173"/>
      <c r="I37" s="173"/>
      <c r="J37" s="174"/>
      <c r="K37" s="175"/>
    </row>
    <row r="38" spans="2:15">
      <c r="B38" s="172" t="s">
        <v>2027</v>
      </c>
      <c r="C38" s="173"/>
      <c r="D38" s="173"/>
      <c r="E38" s="173"/>
      <c r="F38" s="173"/>
      <c r="G38" s="173"/>
      <c r="H38" s="173"/>
      <c r="I38" s="173"/>
      <c r="J38" s="174"/>
      <c r="K38" s="175"/>
    </row>
    <row r="39" spans="2:15">
      <c r="B39" s="172" t="s">
        <v>2028</v>
      </c>
      <c r="C39" s="173"/>
      <c r="D39" s="173"/>
      <c r="E39" s="173"/>
      <c r="F39" s="173"/>
      <c r="G39" s="173"/>
      <c r="H39" s="173"/>
      <c r="I39" s="173"/>
      <c r="J39" s="174"/>
      <c r="K39" s="175"/>
    </row>
    <row r="40" spans="2:15">
      <c r="B40" s="172"/>
      <c r="C40" s="173"/>
      <c r="D40" s="173"/>
      <c r="E40" s="173"/>
      <c r="F40" s="173"/>
      <c r="G40" s="173"/>
      <c r="H40" s="173"/>
      <c r="I40" s="173"/>
      <c r="J40" s="174"/>
      <c r="K40" s="175"/>
    </row>
    <row r="41" spans="2:15">
      <c r="B41" s="172" t="s">
        <v>2029</v>
      </c>
      <c r="C41" s="173"/>
      <c r="D41" s="173"/>
      <c r="E41" s="173"/>
      <c r="F41" s="173"/>
      <c r="G41" s="173"/>
      <c r="H41" s="173"/>
      <c r="I41" s="173"/>
      <c r="J41" s="174"/>
      <c r="K41" s="175"/>
    </row>
    <row r="42" spans="2:15">
      <c r="B42" s="172"/>
      <c r="C42" s="173"/>
      <c r="D42" s="173"/>
      <c r="E42" s="173"/>
      <c r="F42" s="173"/>
      <c r="G42" s="173"/>
      <c r="H42" s="173"/>
      <c r="I42" s="173"/>
      <c r="J42" s="174"/>
      <c r="K42" s="175"/>
    </row>
    <row r="43" spans="2:15">
      <c r="B43" s="172" t="s">
        <v>2030</v>
      </c>
      <c r="C43" s="173"/>
      <c r="D43" s="173"/>
      <c r="E43" s="173"/>
      <c r="F43" s="173"/>
      <c r="G43" s="173"/>
      <c r="H43" s="173"/>
      <c r="I43" s="173"/>
      <c r="J43" s="174"/>
      <c r="K43" s="175"/>
    </row>
    <row r="44" spans="2:15">
      <c r="B44" s="172" t="s">
        <v>2031</v>
      </c>
      <c r="C44" s="173"/>
      <c r="D44" s="173"/>
      <c r="E44" s="173"/>
      <c r="F44" s="173"/>
      <c r="G44" s="173"/>
      <c r="H44" s="173"/>
      <c r="I44" s="173"/>
      <c r="J44" s="174"/>
      <c r="K44" s="175"/>
    </row>
    <row r="45" spans="2:15">
      <c r="B45" s="172" t="s">
        <v>2032</v>
      </c>
      <c r="C45" s="173"/>
      <c r="D45" s="173"/>
      <c r="E45" s="173"/>
      <c r="F45" s="173"/>
      <c r="G45" s="173"/>
      <c r="H45" s="173"/>
      <c r="I45" s="173"/>
      <c r="J45" s="174"/>
      <c r="K45" s="175"/>
    </row>
    <row r="46" spans="2:15">
      <c r="B46" s="172"/>
      <c r="C46" s="173"/>
      <c r="D46" s="173"/>
      <c r="E46" s="173"/>
      <c r="F46" s="173"/>
      <c r="G46" s="173"/>
      <c r="H46" s="173"/>
      <c r="I46" s="173"/>
      <c r="J46" s="174"/>
      <c r="K46" s="175"/>
    </row>
    <row r="47" spans="2:15">
      <c r="B47" s="172"/>
      <c r="C47" s="173"/>
      <c r="D47" s="173"/>
      <c r="E47" s="173"/>
      <c r="F47" s="173"/>
      <c r="G47" s="173"/>
      <c r="H47" s="173"/>
      <c r="I47" s="173"/>
      <c r="J47" s="174"/>
      <c r="K47" s="175"/>
    </row>
    <row r="48" spans="2:15">
      <c r="B48" s="172" t="s">
        <v>2033</v>
      </c>
      <c r="C48" s="173"/>
      <c r="D48" s="173"/>
      <c r="E48" s="173"/>
      <c r="F48" s="173"/>
      <c r="G48" s="173"/>
      <c r="H48" s="173"/>
      <c r="I48" s="173"/>
      <c r="J48" s="174"/>
      <c r="K48" s="175"/>
    </row>
    <row r="49" spans="2:11">
      <c r="B49" s="172"/>
      <c r="C49" s="173"/>
      <c r="D49" s="173"/>
      <c r="E49" s="173"/>
      <c r="F49" s="173"/>
      <c r="G49" s="173"/>
      <c r="H49" s="173"/>
      <c r="I49" s="173"/>
      <c r="J49" s="174"/>
      <c r="K49" s="175"/>
    </row>
    <row r="50" spans="2:11">
      <c r="B50" s="172" t="s">
        <v>2034</v>
      </c>
      <c r="C50" s="173"/>
      <c r="D50" s="173"/>
      <c r="E50" s="173"/>
      <c r="F50" s="173"/>
      <c r="G50" s="173"/>
      <c r="H50" s="173"/>
      <c r="I50" s="173"/>
      <c r="J50" s="174"/>
      <c r="K50" s="175"/>
    </row>
    <row r="51" spans="2:11">
      <c r="B51" s="176" t="s">
        <v>2035</v>
      </c>
      <c r="C51" s="177"/>
      <c r="D51" s="177"/>
      <c r="E51" s="177"/>
      <c r="F51" s="177"/>
      <c r="G51" s="177"/>
      <c r="H51" s="177"/>
      <c r="I51" s="177"/>
      <c r="J51" s="178"/>
      <c r="K51" s="179"/>
    </row>
    <row r="52" spans="2:11">
      <c r="B52" s="166" t="s">
        <v>1355</v>
      </c>
      <c r="C52" s="166"/>
      <c r="D52" s="166"/>
      <c r="E52" s="166"/>
      <c r="F52" s="166"/>
      <c r="G52" s="166"/>
      <c r="H52" s="166"/>
      <c r="I52" s="166"/>
    </row>
  </sheetData>
  <autoFilter ref="A3:AC3" xr:uid="{317EA736-A1E4-4A8F-A186-3E6688CDFDC1}">
    <sortState xmlns:xlrd2="http://schemas.microsoft.com/office/spreadsheetml/2017/richdata2" ref="A4:AC12">
      <sortCondition ref="E3"/>
    </sortState>
  </autoFilter>
  <mergeCells count="2">
    <mergeCell ref="H2:J2"/>
    <mergeCell ref="B2:F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FFBB-9F7F-4D7A-BEC4-2620B0D40EAC}">
  <dimension ref="A1:AK134"/>
  <sheetViews>
    <sheetView topLeftCell="G1" workbookViewId="0">
      <selection activeCell="J14" sqref="J14"/>
    </sheetView>
  </sheetViews>
  <sheetFormatPr defaultRowHeight="16.5"/>
  <cols>
    <col min="1" max="1" width="8.5703125" style="3" customWidth="1"/>
    <col min="2" max="2" width="48.42578125" style="419" customWidth="1"/>
    <col min="3" max="3" width="2.5703125" customWidth="1"/>
    <col min="4" max="4" width="30.42578125" style="4" customWidth="1"/>
    <col min="5" max="5" width="29.42578125" style="4" customWidth="1"/>
    <col min="6" max="6" width="24.85546875" style="4" customWidth="1"/>
    <col min="7" max="7" width="2.5703125" customWidth="1"/>
    <col min="8" max="8" width="32.42578125" style="6" customWidth="1"/>
    <col min="9" max="9" width="5.5703125" customWidth="1"/>
    <col min="10" max="10" width="19" customWidth="1"/>
    <col min="11" max="11" width="23.5703125" bestFit="1" customWidth="1"/>
    <col min="12" max="12" width="20.5703125" bestFit="1" customWidth="1"/>
    <col min="13" max="13" width="18.42578125" bestFit="1" customWidth="1"/>
    <col min="14" max="14" width="16" bestFit="1" customWidth="1"/>
    <col min="15" max="15" width="16.140625" bestFit="1" customWidth="1"/>
    <col min="16" max="16" width="13.5703125" bestFit="1" customWidth="1"/>
    <col min="17" max="17" width="16.140625" bestFit="1" customWidth="1"/>
    <col min="18" max="18" width="13.5703125" bestFit="1" customWidth="1"/>
    <col min="19" max="19" width="16.140625" bestFit="1" customWidth="1"/>
    <col min="20" max="20" width="13.5703125" bestFit="1" customWidth="1"/>
    <col min="21" max="21" width="16.140625" bestFit="1" customWidth="1"/>
    <col min="22" max="22" width="13.5703125" bestFit="1" customWidth="1"/>
    <col min="23" max="23" width="16.140625" bestFit="1" customWidth="1"/>
    <col min="24" max="24" width="13.5703125" bestFit="1" customWidth="1"/>
    <col min="25" max="25" width="16.140625" bestFit="1" customWidth="1"/>
    <col min="26" max="26" width="13.5703125" bestFit="1" customWidth="1"/>
    <col min="27" max="27" width="16.140625" bestFit="1" customWidth="1"/>
    <col min="28" max="28" width="13.5703125" bestFit="1" customWidth="1"/>
    <col min="29" max="29" width="16.140625" bestFit="1" customWidth="1"/>
    <col min="30" max="30" width="13.5703125" bestFit="1" customWidth="1"/>
    <col min="31" max="31" width="17.140625" bestFit="1" customWidth="1"/>
    <col min="32" max="32" width="14.5703125" bestFit="1" customWidth="1"/>
    <col min="33" max="33" width="6.5703125" bestFit="1" customWidth="1"/>
    <col min="34" max="34" width="8.85546875" bestFit="1" customWidth="1"/>
    <col min="35" max="35" width="21.85546875" bestFit="1" customWidth="1"/>
    <col min="36" max="36" width="10.5703125" bestFit="1" customWidth="1"/>
  </cols>
  <sheetData>
    <row r="1" spans="1:37" ht="9" customHeight="1"/>
    <row r="2" spans="1:37" ht="13.5" customHeight="1">
      <c r="A2" s="3" t="s">
        <v>2036</v>
      </c>
      <c r="D2" s="892" t="s">
        <v>2037</v>
      </c>
      <c r="E2" s="893"/>
      <c r="F2" s="894"/>
      <c r="G2" s="43"/>
      <c r="H2" s="437" t="s">
        <v>2038</v>
      </c>
      <c r="K2" t="s">
        <v>2039</v>
      </c>
    </row>
    <row r="3" spans="1:37" ht="20.100000000000001">
      <c r="A3" s="443" t="s">
        <v>2040</v>
      </c>
      <c r="B3" s="444" t="s">
        <v>7</v>
      </c>
      <c r="D3" s="428" t="s">
        <v>2041</v>
      </c>
      <c r="E3" s="427" t="s">
        <v>2042</v>
      </c>
      <c r="F3" s="429" t="s">
        <v>2043</v>
      </c>
      <c r="G3" s="423"/>
      <c r="H3" s="434" t="s">
        <v>2044</v>
      </c>
      <c r="I3" s="423"/>
      <c r="J3" s="425" t="s">
        <v>885</v>
      </c>
      <c r="K3" s="425" t="s">
        <v>859</v>
      </c>
      <c r="L3" s="425" t="s">
        <v>862</v>
      </c>
      <c r="M3" s="425" t="s">
        <v>886</v>
      </c>
      <c r="N3" s="425" t="s">
        <v>887</v>
      </c>
      <c r="O3" s="425" t="s">
        <v>888</v>
      </c>
      <c r="P3" s="425" t="s">
        <v>889</v>
      </c>
      <c r="Q3" s="425" t="s">
        <v>890</v>
      </c>
      <c r="R3" s="425" t="s">
        <v>891</v>
      </c>
      <c r="S3" s="425" t="s">
        <v>892</v>
      </c>
      <c r="T3" s="425" t="s">
        <v>893</v>
      </c>
      <c r="U3" s="425" t="s">
        <v>894</v>
      </c>
      <c r="V3" s="425" t="s">
        <v>895</v>
      </c>
      <c r="W3" s="425" t="s">
        <v>896</v>
      </c>
      <c r="X3" s="425" t="s">
        <v>897</v>
      </c>
      <c r="Y3" s="425" t="s">
        <v>898</v>
      </c>
      <c r="Z3" s="425" t="s">
        <v>899</v>
      </c>
      <c r="AA3" s="425" t="s">
        <v>900</v>
      </c>
      <c r="AB3" s="425" t="s">
        <v>901</v>
      </c>
      <c r="AC3" s="425" t="s">
        <v>902</v>
      </c>
      <c r="AD3" s="425" t="s">
        <v>903</v>
      </c>
      <c r="AE3" s="425" t="s">
        <v>904</v>
      </c>
      <c r="AF3" s="425" t="s">
        <v>905</v>
      </c>
      <c r="AG3" s="425" t="s">
        <v>906</v>
      </c>
      <c r="AH3" s="425" t="s">
        <v>135</v>
      </c>
      <c r="AI3" s="425" t="s">
        <v>845</v>
      </c>
      <c r="AJ3" s="425" t="s">
        <v>140</v>
      </c>
      <c r="AK3" s="425" t="s">
        <v>141</v>
      </c>
    </row>
    <row r="4" spans="1:37">
      <c r="A4" s="445">
        <v>20</v>
      </c>
      <c r="B4" s="446" t="s">
        <v>1785</v>
      </c>
      <c r="D4" s="430">
        <f>VLOOKUP(A4,$E$35:$E$61,1,FALSE)</f>
        <v>20</v>
      </c>
      <c r="E4" s="890" t="s">
        <v>2045</v>
      </c>
      <c r="F4" s="431">
        <f>VLOOKUP(A4,$E$64:$E$90,1,FALSE)</f>
        <v>20</v>
      </c>
      <c r="H4" s="438">
        <f>VLOOKUP(A4,$E$94:$E$96,1,FALSE)</f>
        <v>20</v>
      </c>
      <c r="J4" s="97" t="s">
        <v>864</v>
      </c>
      <c r="K4" s="425" t="s">
        <v>951</v>
      </c>
      <c r="L4" s="425" t="s">
        <v>2046</v>
      </c>
      <c r="M4" s="425" t="s">
        <v>1361</v>
      </c>
      <c r="N4" s="384">
        <v>51</v>
      </c>
      <c r="O4" s="425"/>
      <c r="P4" s="425"/>
      <c r="Q4" s="425"/>
      <c r="R4" s="425"/>
      <c r="S4" s="425"/>
      <c r="T4" s="425"/>
      <c r="U4" s="425"/>
      <c r="V4" s="425"/>
      <c r="W4" s="425"/>
      <c r="X4" s="425"/>
      <c r="Y4" s="425"/>
      <c r="Z4" s="425"/>
      <c r="AA4" s="425"/>
      <c r="AB4" s="425"/>
      <c r="AC4" s="425"/>
      <c r="AD4" s="425"/>
      <c r="AE4" s="425"/>
      <c r="AF4" s="425"/>
      <c r="AG4" s="425">
        <v>1</v>
      </c>
      <c r="AH4" s="425"/>
      <c r="AI4" s="425"/>
      <c r="AJ4" s="426">
        <v>45838</v>
      </c>
      <c r="AK4" s="425">
        <v>1</v>
      </c>
    </row>
    <row r="5" spans="1:37">
      <c r="A5" s="445">
        <v>51</v>
      </c>
      <c r="B5" s="446" t="s">
        <v>1786</v>
      </c>
      <c r="D5" s="430">
        <f t="shared" ref="D5:D32" si="0">VLOOKUP(A5,$E$35:$E$61,1,FALSE)</f>
        <v>51</v>
      </c>
      <c r="E5" s="890"/>
      <c r="F5" s="431">
        <f t="shared" ref="F5:F32" si="1">VLOOKUP(A5,$E$64:$E$90,1,FALSE)</f>
        <v>51</v>
      </c>
      <c r="H5" s="438">
        <f t="shared" ref="H5:H32" si="2">VLOOKUP(A5,$E$94:$E$96,1,FALSE)</f>
        <v>51</v>
      </c>
      <c r="J5" s="97" t="s">
        <v>864</v>
      </c>
      <c r="K5" s="425" t="s">
        <v>951</v>
      </c>
      <c r="L5" s="425" t="s">
        <v>2046</v>
      </c>
      <c r="M5" s="425" t="s">
        <v>1361</v>
      </c>
      <c r="N5" s="384">
        <v>20</v>
      </c>
      <c r="O5" s="425"/>
      <c r="P5" s="425"/>
      <c r="Q5" s="425"/>
      <c r="R5" s="425"/>
      <c r="S5" s="425"/>
      <c r="T5" s="425"/>
      <c r="U5" s="425"/>
      <c r="V5" s="425"/>
      <c r="W5" s="425"/>
      <c r="X5" s="425"/>
      <c r="Y5" s="425"/>
      <c r="Z5" s="425"/>
      <c r="AA5" s="425"/>
      <c r="AB5" s="425"/>
      <c r="AC5" s="425"/>
      <c r="AD5" s="425"/>
      <c r="AE5" s="425"/>
      <c r="AF5" s="425"/>
      <c r="AG5" s="425">
        <v>1</v>
      </c>
      <c r="AH5" s="425"/>
      <c r="AI5" s="425"/>
      <c r="AJ5" s="426">
        <v>45838</v>
      </c>
      <c r="AK5" s="425">
        <v>1</v>
      </c>
    </row>
    <row r="6" spans="1:37">
      <c r="A6" s="445">
        <v>71</v>
      </c>
      <c r="B6" s="446" t="s">
        <v>1784</v>
      </c>
      <c r="D6" s="430">
        <f t="shared" si="0"/>
        <v>71</v>
      </c>
      <c r="E6" s="890"/>
      <c r="F6" s="431">
        <f t="shared" si="1"/>
        <v>71</v>
      </c>
      <c r="H6" s="442" t="e">
        <f t="shared" si="2"/>
        <v>#N/A</v>
      </c>
      <c r="J6" s="97" t="s">
        <v>864</v>
      </c>
      <c r="K6" s="425" t="s">
        <v>951</v>
      </c>
      <c r="L6" s="425" t="s">
        <v>2046</v>
      </c>
      <c r="M6" s="425" t="s">
        <v>1361</v>
      </c>
      <c r="N6" s="384">
        <v>2001</v>
      </c>
      <c r="O6" s="425"/>
      <c r="P6" s="425"/>
      <c r="Q6" s="425"/>
      <c r="R6" s="425"/>
      <c r="S6" s="425"/>
      <c r="T6" s="425"/>
      <c r="U6" s="425"/>
      <c r="V6" s="425"/>
      <c r="W6" s="425"/>
      <c r="X6" s="425"/>
      <c r="Y6" s="425"/>
      <c r="Z6" s="425"/>
      <c r="AA6" s="425"/>
      <c r="AB6" s="425"/>
      <c r="AC6" s="425"/>
      <c r="AD6" s="425"/>
      <c r="AE6" s="425"/>
      <c r="AF6" s="425"/>
      <c r="AG6" s="425">
        <v>1</v>
      </c>
      <c r="AH6" s="425"/>
      <c r="AI6" s="425"/>
      <c r="AJ6" s="426">
        <v>45838</v>
      </c>
      <c r="AK6" s="425">
        <v>1</v>
      </c>
    </row>
    <row r="7" spans="1:37">
      <c r="A7" s="445">
        <v>80</v>
      </c>
      <c r="B7" s="446" t="s">
        <v>2047</v>
      </c>
      <c r="D7" s="435" t="e">
        <f t="shared" si="0"/>
        <v>#N/A</v>
      </c>
      <c r="E7" s="890"/>
      <c r="F7" s="436" t="e">
        <f t="shared" si="1"/>
        <v>#N/A</v>
      </c>
      <c r="H7" s="442" t="e">
        <f t="shared" si="2"/>
        <v>#N/A</v>
      </c>
    </row>
    <row r="8" spans="1:37">
      <c r="A8" s="445">
        <v>1000</v>
      </c>
      <c r="B8" s="446" t="s">
        <v>1791</v>
      </c>
      <c r="D8" s="430">
        <f t="shared" si="0"/>
        <v>1000</v>
      </c>
      <c r="E8" s="890"/>
      <c r="F8" s="431">
        <f t="shared" si="1"/>
        <v>1000</v>
      </c>
      <c r="H8" s="442" t="e">
        <f t="shared" si="2"/>
        <v>#N/A</v>
      </c>
      <c r="J8" s="440" t="s">
        <v>864</v>
      </c>
      <c r="K8" s="425" t="s">
        <v>2048</v>
      </c>
      <c r="L8" s="441" t="s">
        <v>2046</v>
      </c>
      <c r="M8" s="425" t="s">
        <v>1361</v>
      </c>
      <c r="N8" s="439">
        <v>51</v>
      </c>
      <c r="O8" s="425"/>
      <c r="P8" s="425"/>
      <c r="Q8" s="425"/>
      <c r="R8" s="425"/>
      <c r="S8" s="425"/>
      <c r="T8" s="425"/>
      <c r="U8" s="425"/>
      <c r="V8" s="425"/>
      <c r="W8" s="425"/>
      <c r="X8" s="425"/>
      <c r="Y8" s="425"/>
      <c r="Z8" s="425"/>
      <c r="AA8" s="425"/>
      <c r="AB8" s="425"/>
      <c r="AC8" s="425"/>
      <c r="AD8" s="425"/>
      <c r="AE8" s="425"/>
      <c r="AF8" s="425"/>
      <c r="AG8" s="425">
        <v>1</v>
      </c>
      <c r="AH8" s="425"/>
      <c r="AI8" s="425"/>
      <c r="AJ8" s="426">
        <v>45838</v>
      </c>
      <c r="AK8" s="425">
        <v>1</v>
      </c>
    </row>
    <row r="9" spans="1:37">
      <c r="A9" s="445">
        <v>1001</v>
      </c>
      <c r="B9" s="446" t="s">
        <v>1781</v>
      </c>
      <c r="D9" s="430">
        <f t="shared" si="0"/>
        <v>1001</v>
      </c>
      <c r="E9" s="890"/>
      <c r="F9" s="431">
        <f t="shared" si="1"/>
        <v>1001</v>
      </c>
      <c r="H9" s="442" t="e">
        <f t="shared" si="2"/>
        <v>#N/A</v>
      </c>
      <c r="J9" s="440" t="s">
        <v>864</v>
      </c>
      <c r="K9" s="425" t="s">
        <v>2048</v>
      </c>
      <c r="L9" s="441" t="s">
        <v>2046</v>
      </c>
      <c r="M9" s="425" t="s">
        <v>1361</v>
      </c>
      <c r="N9" s="439">
        <v>20</v>
      </c>
      <c r="O9" s="425"/>
      <c r="P9" s="425"/>
      <c r="Q9" s="425"/>
      <c r="R9" s="425"/>
      <c r="S9" s="425"/>
      <c r="T9" s="425"/>
      <c r="U9" s="425"/>
      <c r="V9" s="425"/>
      <c r="W9" s="425"/>
      <c r="X9" s="425"/>
      <c r="Y9" s="425"/>
      <c r="Z9" s="425"/>
      <c r="AA9" s="425"/>
      <c r="AB9" s="425"/>
      <c r="AC9" s="425"/>
      <c r="AD9" s="425"/>
      <c r="AE9" s="425"/>
      <c r="AF9" s="425"/>
      <c r="AG9" s="425">
        <v>1</v>
      </c>
      <c r="AH9" s="425"/>
      <c r="AI9" s="425"/>
      <c r="AJ9" s="426">
        <v>45838</v>
      </c>
      <c r="AK9" s="425">
        <v>1</v>
      </c>
    </row>
    <row r="10" spans="1:37">
      <c r="A10" s="445">
        <v>1002</v>
      </c>
      <c r="B10" s="446" t="s">
        <v>1782</v>
      </c>
      <c r="D10" s="435" t="e">
        <f t="shared" si="0"/>
        <v>#N/A</v>
      </c>
      <c r="E10" s="890"/>
      <c r="F10" s="436" t="e">
        <f t="shared" si="1"/>
        <v>#N/A</v>
      </c>
      <c r="H10" s="442" t="e">
        <f t="shared" si="2"/>
        <v>#N/A</v>
      </c>
      <c r="J10" s="440" t="s">
        <v>864</v>
      </c>
      <c r="K10" s="425" t="s">
        <v>2048</v>
      </c>
      <c r="L10" s="441" t="s">
        <v>2046</v>
      </c>
      <c r="M10" s="425" t="s">
        <v>1361</v>
      </c>
      <c r="N10" s="439">
        <v>2001</v>
      </c>
      <c r="O10" s="425"/>
      <c r="P10" s="425"/>
      <c r="Q10" s="425"/>
      <c r="R10" s="425"/>
      <c r="S10" s="425"/>
      <c r="T10" s="425"/>
      <c r="U10" s="425"/>
      <c r="V10" s="425"/>
      <c r="W10" s="425"/>
      <c r="X10" s="425"/>
      <c r="Y10" s="425"/>
      <c r="Z10" s="425"/>
      <c r="AA10" s="425"/>
      <c r="AB10" s="425"/>
      <c r="AC10" s="425"/>
      <c r="AD10" s="425"/>
      <c r="AE10" s="425"/>
      <c r="AF10" s="425"/>
      <c r="AG10" s="425">
        <v>1</v>
      </c>
      <c r="AH10" s="425"/>
      <c r="AI10" s="425"/>
      <c r="AJ10" s="426">
        <v>45838</v>
      </c>
      <c r="AK10" s="425">
        <v>1</v>
      </c>
    </row>
    <row r="11" spans="1:37">
      <c r="A11" s="445">
        <v>1003</v>
      </c>
      <c r="B11" s="446" t="s">
        <v>1783</v>
      </c>
      <c r="D11" s="430">
        <f t="shared" si="0"/>
        <v>1003</v>
      </c>
      <c r="E11" s="890"/>
      <c r="F11" s="431">
        <f t="shared" si="1"/>
        <v>1003</v>
      </c>
      <c r="H11" s="442" t="e">
        <f t="shared" si="2"/>
        <v>#N/A</v>
      </c>
    </row>
    <row r="12" spans="1:37" ht="51.95">
      <c r="A12" s="445">
        <v>1004</v>
      </c>
      <c r="B12" s="446" t="s">
        <v>2049</v>
      </c>
      <c r="D12" s="435" t="e">
        <f t="shared" si="0"/>
        <v>#N/A</v>
      </c>
      <c r="E12" s="890"/>
      <c r="F12" s="436" t="e">
        <f t="shared" si="1"/>
        <v>#N/A</v>
      </c>
      <c r="H12" s="442" t="e">
        <f t="shared" si="2"/>
        <v>#N/A</v>
      </c>
      <c r="J12" s="436" t="e">
        <f t="shared" ref="J12" si="3">VLOOKUP(E12,$E$64:$E$90,1,FALSE)</f>
        <v>#N/A</v>
      </c>
      <c r="K12" t="s">
        <v>2050</v>
      </c>
    </row>
    <row r="13" spans="1:37">
      <c r="A13" s="445">
        <v>1005</v>
      </c>
      <c r="B13" s="446" t="s">
        <v>2051</v>
      </c>
      <c r="D13" s="435" t="e">
        <f t="shared" si="0"/>
        <v>#N/A</v>
      </c>
      <c r="E13" s="890"/>
      <c r="F13" s="436" t="e">
        <f t="shared" si="1"/>
        <v>#N/A</v>
      </c>
      <c r="H13" s="442" t="e">
        <f t="shared" si="2"/>
        <v>#N/A</v>
      </c>
    </row>
    <row r="14" spans="1:37">
      <c r="A14" s="445">
        <v>2001</v>
      </c>
      <c r="B14" s="447" t="s">
        <v>2052</v>
      </c>
      <c r="D14" s="430">
        <f t="shared" si="0"/>
        <v>2001</v>
      </c>
      <c r="E14" s="890"/>
      <c r="F14" s="431">
        <f t="shared" si="1"/>
        <v>2001</v>
      </c>
      <c r="H14" s="442" t="e">
        <f t="shared" si="2"/>
        <v>#N/A</v>
      </c>
    </row>
    <row r="15" spans="1:37">
      <c r="A15" s="445">
        <v>2003</v>
      </c>
      <c r="B15" s="446" t="s">
        <v>2053</v>
      </c>
      <c r="D15" s="430">
        <f t="shared" si="0"/>
        <v>2003</v>
      </c>
      <c r="E15" s="890"/>
      <c r="F15" s="431">
        <f t="shared" si="1"/>
        <v>2003</v>
      </c>
      <c r="H15" s="442" t="e">
        <f t="shared" si="2"/>
        <v>#N/A</v>
      </c>
    </row>
    <row r="16" spans="1:37">
      <c r="A16" s="445">
        <v>2002</v>
      </c>
      <c r="B16" s="446" t="s">
        <v>2054</v>
      </c>
      <c r="D16" s="430">
        <f t="shared" si="0"/>
        <v>2002</v>
      </c>
      <c r="E16" s="890"/>
      <c r="F16" s="431">
        <f t="shared" si="1"/>
        <v>2002</v>
      </c>
      <c r="H16" s="442" t="e">
        <f t="shared" si="2"/>
        <v>#N/A</v>
      </c>
    </row>
    <row r="17" spans="1:8">
      <c r="A17" s="445">
        <v>2006</v>
      </c>
      <c r="B17" s="446" t="s">
        <v>2055</v>
      </c>
      <c r="D17" s="430">
        <f t="shared" si="0"/>
        <v>2006</v>
      </c>
      <c r="E17" s="890"/>
      <c r="F17" s="431">
        <f t="shared" si="1"/>
        <v>2006</v>
      </c>
      <c r="H17" s="442" t="e">
        <f t="shared" si="2"/>
        <v>#N/A</v>
      </c>
    </row>
    <row r="18" spans="1:8">
      <c r="A18" s="445">
        <v>2007</v>
      </c>
      <c r="B18" s="446" t="s">
        <v>2056</v>
      </c>
      <c r="D18" s="430">
        <f t="shared" si="0"/>
        <v>2007</v>
      </c>
      <c r="E18" s="890"/>
      <c r="F18" s="431">
        <f t="shared" si="1"/>
        <v>2007</v>
      </c>
      <c r="H18" s="442" t="e">
        <f t="shared" si="2"/>
        <v>#N/A</v>
      </c>
    </row>
    <row r="19" spans="1:8">
      <c r="A19" s="445">
        <v>2008</v>
      </c>
      <c r="B19" s="446" t="s">
        <v>2057</v>
      </c>
      <c r="D19" s="430">
        <f t="shared" si="0"/>
        <v>2008</v>
      </c>
      <c r="E19" s="890"/>
      <c r="F19" s="431">
        <f t="shared" si="1"/>
        <v>2008</v>
      </c>
      <c r="H19" s="442" t="e">
        <f t="shared" si="2"/>
        <v>#N/A</v>
      </c>
    </row>
    <row r="20" spans="1:8">
      <c r="A20" s="445">
        <v>2004</v>
      </c>
      <c r="B20" s="446" t="s">
        <v>2058</v>
      </c>
      <c r="D20" s="430">
        <f t="shared" si="0"/>
        <v>2004</v>
      </c>
      <c r="E20" s="890"/>
      <c r="F20" s="431">
        <f t="shared" si="1"/>
        <v>2004</v>
      </c>
      <c r="H20" s="442" t="e">
        <f t="shared" si="2"/>
        <v>#N/A</v>
      </c>
    </row>
    <row r="21" spans="1:8">
      <c r="A21" s="445">
        <v>2009</v>
      </c>
      <c r="B21" s="446" t="s">
        <v>2059</v>
      </c>
      <c r="D21" s="430">
        <f t="shared" si="0"/>
        <v>2009</v>
      </c>
      <c r="E21" s="890"/>
      <c r="F21" s="431">
        <f t="shared" si="1"/>
        <v>2009</v>
      </c>
      <c r="H21" s="442" t="e">
        <f t="shared" si="2"/>
        <v>#N/A</v>
      </c>
    </row>
    <row r="22" spans="1:8">
      <c r="A22" s="445">
        <v>2005</v>
      </c>
      <c r="B22" s="446" t="s">
        <v>2060</v>
      </c>
      <c r="D22" s="430">
        <f t="shared" si="0"/>
        <v>2005</v>
      </c>
      <c r="E22" s="890"/>
      <c r="F22" s="431">
        <f t="shared" si="1"/>
        <v>2005</v>
      </c>
      <c r="H22" s="442" t="e">
        <f t="shared" si="2"/>
        <v>#N/A</v>
      </c>
    </row>
    <row r="23" spans="1:8">
      <c r="A23" s="445">
        <v>2011</v>
      </c>
      <c r="B23" s="446" t="s">
        <v>2061</v>
      </c>
      <c r="D23" s="430">
        <f t="shared" si="0"/>
        <v>2011</v>
      </c>
      <c r="E23" s="890"/>
      <c r="F23" s="431">
        <f t="shared" si="1"/>
        <v>2011</v>
      </c>
      <c r="H23" s="442" t="e">
        <f t="shared" si="2"/>
        <v>#N/A</v>
      </c>
    </row>
    <row r="24" spans="1:8">
      <c r="A24" s="445">
        <v>2012</v>
      </c>
      <c r="B24" s="446" t="s">
        <v>2062</v>
      </c>
      <c r="D24" s="430">
        <f t="shared" si="0"/>
        <v>2012</v>
      </c>
      <c r="E24" s="890"/>
      <c r="F24" s="431">
        <f t="shared" si="1"/>
        <v>2012</v>
      </c>
      <c r="H24" s="442" t="e">
        <f t="shared" si="2"/>
        <v>#N/A</v>
      </c>
    </row>
    <row r="25" spans="1:8">
      <c r="A25" s="445">
        <v>2013</v>
      </c>
      <c r="B25" s="446" t="s">
        <v>2063</v>
      </c>
      <c r="D25" s="430">
        <f t="shared" si="0"/>
        <v>2013</v>
      </c>
      <c r="E25" s="890"/>
      <c r="F25" s="431">
        <f t="shared" si="1"/>
        <v>2013</v>
      </c>
      <c r="H25" s="442" t="e">
        <f t="shared" si="2"/>
        <v>#N/A</v>
      </c>
    </row>
    <row r="26" spans="1:8">
      <c r="A26" s="445">
        <v>2014</v>
      </c>
      <c r="B26" s="446" t="s">
        <v>2064</v>
      </c>
      <c r="D26" s="430">
        <f t="shared" si="0"/>
        <v>2014</v>
      </c>
      <c r="E26" s="890"/>
      <c r="F26" s="431">
        <f t="shared" si="1"/>
        <v>2014</v>
      </c>
      <c r="H26" s="442" t="e">
        <f t="shared" si="2"/>
        <v>#N/A</v>
      </c>
    </row>
    <row r="27" spans="1:8">
      <c r="A27" s="445">
        <v>2015</v>
      </c>
      <c r="B27" s="446" t="s">
        <v>722</v>
      </c>
      <c r="D27" s="430">
        <f t="shared" si="0"/>
        <v>2015</v>
      </c>
      <c r="E27" s="890"/>
      <c r="F27" s="431">
        <f t="shared" si="1"/>
        <v>2015</v>
      </c>
      <c r="H27" s="442" t="e">
        <f t="shared" si="2"/>
        <v>#N/A</v>
      </c>
    </row>
    <row r="28" spans="1:8">
      <c r="A28" s="445">
        <v>2016</v>
      </c>
      <c r="B28" s="446" t="s">
        <v>2065</v>
      </c>
      <c r="D28" s="430">
        <f t="shared" si="0"/>
        <v>2016</v>
      </c>
      <c r="E28" s="890"/>
      <c r="F28" s="431">
        <f t="shared" si="1"/>
        <v>2016</v>
      </c>
      <c r="H28" s="442" t="e">
        <f t="shared" si="2"/>
        <v>#N/A</v>
      </c>
    </row>
    <row r="29" spans="1:8">
      <c r="A29" s="445">
        <v>2017</v>
      </c>
      <c r="B29" s="446" t="s">
        <v>2066</v>
      </c>
      <c r="D29" s="430">
        <f t="shared" si="0"/>
        <v>2017</v>
      </c>
      <c r="E29" s="890"/>
      <c r="F29" s="431">
        <f t="shared" si="1"/>
        <v>2017</v>
      </c>
      <c r="H29" s="442" t="e">
        <f t="shared" si="2"/>
        <v>#N/A</v>
      </c>
    </row>
    <row r="30" spans="1:8">
      <c r="A30" s="445">
        <v>2018</v>
      </c>
      <c r="B30" s="446" t="s">
        <v>2067</v>
      </c>
      <c r="D30" s="430">
        <f t="shared" si="0"/>
        <v>2018</v>
      </c>
      <c r="E30" s="890"/>
      <c r="F30" s="431">
        <f t="shared" si="1"/>
        <v>2018</v>
      </c>
      <c r="H30" s="442" t="e">
        <f t="shared" si="2"/>
        <v>#N/A</v>
      </c>
    </row>
    <row r="31" spans="1:8">
      <c r="A31" s="445">
        <v>2019</v>
      </c>
      <c r="B31" s="446" t="s">
        <v>2068</v>
      </c>
      <c r="D31" s="430">
        <f t="shared" si="0"/>
        <v>2019</v>
      </c>
      <c r="E31" s="890"/>
      <c r="F31" s="431">
        <f t="shared" si="1"/>
        <v>2019</v>
      </c>
      <c r="H31" s="442" t="e">
        <f t="shared" si="2"/>
        <v>#N/A</v>
      </c>
    </row>
    <row r="32" spans="1:8">
      <c r="A32" s="445">
        <v>2020</v>
      </c>
      <c r="B32" s="446" t="s">
        <v>2069</v>
      </c>
      <c r="D32" s="432">
        <f t="shared" si="0"/>
        <v>2020</v>
      </c>
      <c r="E32" s="891"/>
      <c r="F32" s="433">
        <f t="shared" si="1"/>
        <v>2020</v>
      </c>
      <c r="H32" s="442" t="e">
        <f t="shared" si="2"/>
        <v>#N/A</v>
      </c>
    </row>
    <row r="34" spans="4:13">
      <c r="D34" t="s">
        <v>2070</v>
      </c>
    </row>
    <row r="35" spans="4:13">
      <c r="D35" s="4" t="s">
        <v>841</v>
      </c>
      <c r="E35" s="148" t="s">
        <v>842</v>
      </c>
      <c r="F35" s="4" t="s">
        <v>843</v>
      </c>
      <c r="G35" t="s">
        <v>844</v>
      </c>
      <c r="J35" t="s">
        <v>135</v>
      </c>
      <c r="K35" t="s">
        <v>845</v>
      </c>
      <c r="L35" t="s">
        <v>140</v>
      </c>
      <c r="M35" t="s">
        <v>141</v>
      </c>
    </row>
    <row r="36" spans="4:13">
      <c r="D36" s="4" t="s">
        <v>2071</v>
      </c>
      <c r="E36" s="148">
        <v>71</v>
      </c>
      <c r="F36" s="4">
        <v>1</v>
      </c>
      <c r="G36" t="s">
        <v>2046</v>
      </c>
      <c r="J36" t="s">
        <v>1301</v>
      </c>
      <c r="K36" t="s">
        <v>2072</v>
      </c>
      <c r="L36" s="424">
        <v>45838</v>
      </c>
      <c r="M36">
        <v>1</v>
      </c>
    </row>
    <row r="37" spans="4:13">
      <c r="D37" s="4" t="s">
        <v>2071</v>
      </c>
      <c r="E37" s="148">
        <v>51</v>
      </c>
      <c r="F37" s="4">
        <v>1</v>
      </c>
      <c r="G37" t="s">
        <v>2046</v>
      </c>
      <c r="J37" t="s">
        <v>1301</v>
      </c>
      <c r="K37" t="s">
        <v>2072</v>
      </c>
      <c r="L37" s="424">
        <v>45838</v>
      </c>
      <c r="M37">
        <v>1</v>
      </c>
    </row>
    <row r="38" spans="4:13">
      <c r="D38" s="4" t="s">
        <v>2071</v>
      </c>
      <c r="E38" s="148">
        <v>2020</v>
      </c>
      <c r="F38" s="4">
        <v>1</v>
      </c>
      <c r="G38" t="s">
        <v>2046</v>
      </c>
      <c r="J38" t="s">
        <v>1301</v>
      </c>
      <c r="K38" t="s">
        <v>2072</v>
      </c>
      <c r="L38" s="424">
        <v>45838</v>
      </c>
      <c r="M38">
        <v>1</v>
      </c>
    </row>
    <row r="39" spans="4:13">
      <c r="D39" s="4" t="s">
        <v>2071</v>
      </c>
      <c r="E39" s="148">
        <v>2019</v>
      </c>
      <c r="F39" s="4">
        <v>1</v>
      </c>
      <c r="G39" t="s">
        <v>2046</v>
      </c>
      <c r="J39" t="s">
        <v>1301</v>
      </c>
      <c r="K39" t="s">
        <v>2072</v>
      </c>
      <c r="L39" s="424">
        <v>45838</v>
      </c>
      <c r="M39">
        <v>1</v>
      </c>
    </row>
    <row r="40" spans="4:13">
      <c r="D40" s="4" t="s">
        <v>2071</v>
      </c>
      <c r="E40" s="148">
        <v>2018</v>
      </c>
      <c r="F40" s="4">
        <v>1</v>
      </c>
      <c r="G40" t="s">
        <v>2046</v>
      </c>
      <c r="J40" t="s">
        <v>1301</v>
      </c>
      <c r="K40" t="s">
        <v>2072</v>
      </c>
      <c r="L40" s="424">
        <v>45838</v>
      </c>
      <c r="M40">
        <v>1</v>
      </c>
    </row>
    <row r="41" spans="4:13">
      <c r="D41" s="4" t="s">
        <v>2071</v>
      </c>
      <c r="E41" s="148">
        <v>2017</v>
      </c>
      <c r="F41" s="4">
        <v>1</v>
      </c>
      <c r="G41" t="s">
        <v>2046</v>
      </c>
      <c r="J41" t="s">
        <v>1301</v>
      </c>
      <c r="K41" t="s">
        <v>2072</v>
      </c>
      <c r="L41" s="424">
        <v>45838</v>
      </c>
      <c r="M41">
        <v>1</v>
      </c>
    </row>
    <row r="42" spans="4:13">
      <c r="D42" s="4" t="s">
        <v>2071</v>
      </c>
      <c r="E42" s="148">
        <v>2016</v>
      </c>
      <c r="F42" s="4">
        <v>1</v>
      </c>
      <c r="G42" t="s">
        <v>2046</v>
      </c>
      <c r="J42" t="s">
        <v>1301</v>
      </c>
      <c r="K42" t="s">
        <v>2072</v>
      </c>
      <c r="L42" s="424">
        <v>45838</v>
      </c>
      <c r="M42">
        <v>1</v>
      </c>
    </row>
    <row r="43" spans="4:13">
      <c r="D43" s="4" t="s">
        <v>2071</v>
      </c>
      <c r="E43" s="148">
        <v>2015</v>
      </c>
      <c r="F43" s="4">
        <v>1</v>
      </c>
      <c r="G43" t="s">
        <v>2046</v>
      </c>
      <c r="J43" t="s">
        <v>1301</v>
      </c>
      <c r="K43" t="s">
        <v>2072</v>
      </c>
      <c r="L43" s="424">
        <v>45838</v>
      </c>
      <c r="M43">
        <v>1</v>
      </c>
    </row>
    <row r="44" spans="4:13">
      <c r="D44" s="4" t="s">
        <v>2071</v>
      </c>
      <c r="E44" s="148">
        <v>2014</v>
      </c>
      <c r="F44" s="4">
        <v>1</v>
      </c>
      <c r="G44" t="s">
        <v>2046</v>
      </c>
      <c r="J44" t="s">
        <v>1301</v>
      </c>
      <c r="K44" t="s">
        <v>2072</v>
      </c>
      <c r="L44" s="424">
        <v>45838</v>
      </c>
      <c r="M44">
        <v>1</v>
      </c>
    </row>
    <row r="45" spans="4:13">
      <c r="D45" s="4" t="s">
        <v>2071</v>
      </c>
      <c r="E45" s="148">
        <v>2013</v>
      </c>
      <c r="F45" s="4">
        <v>1</v>
      </c>
      <c r="G45" t="s">
        <v>2046</v>
      </c>
      <c r="J45" t="s">
        <v>1301</v>
      </c>
      <c r="K45" t="s">
        <v>2072</v>
      </c>
      <c r="L45" s="424">
        <v>45838</v>
      </c>
      <c r="M45">
        <v>1</v>
      </c>
    </row>
    <row r="46" spans="4:13">
      <c r="D46" s="4" t="s">
        <v>2071</v>
      </c>
      <c r="E46" s="148">
        <v>2012</v>
      </c>
      <c r="F46" s="4">
        <v>1</v>
      </c>
      <c r="G46" t="s">
        <v>2046</v>
      </c>
      <c r="J46" t="s">
        <v>1301</v>
      </c>
      <c r="K46" t="s">
        <v>2072</v>
      </c>
      <c r="L46" s="424">
        <v>45838</v>
      </c>
      <c r="M46">
        <v>1</v>
      </c>
    </row>
    <row r="47" spans="4:13">
      <c r="D47" s="4" t="s">
        <v>2071</v>
      </c>
      <c r="E47" s="148">
        <v>2011</v>
      </c>
      <c r="F47" s="4">
        <v>1</v>
      </c>
      <c r="G47" t="s">
        <v>2046</v>
      </c>
      <c r="J47" t="s">
        <v>1301</v>
      </c>
      <c r="K47" t="s">
        <v>2072</v>
      </c>
      <c r="L47" s="424">
        <v>45838</v>
      </c>
      <c r="M47">
        <v>1</v>
      </c>
    </row>
    <row r="48" spans="4:13">
      <c r="D48" s="4" t="s">
        <v>2071</v>
      </c>
      <c r="E48" s="148">
        <v>2010</v>
      </c>
      <c r="F48" s="4">
        <v>1</v>
      </c>
      <c r="G48" t="s">
        <v>2046</v>
      </c>
      <c r="J48" t="s">
        <v>1301</v>
      </c>
      <c r="K48" t="s">
        <v>2072</v>
      </c>
      <c r="L48" s="424">
        <v>45838</v>
      </c>
      <c r="M48">
        <v>1</v>
      </c>
    </row>
    <row r="49" spans="4:13">
      <c r="D49" s="4" t="s">
        <v>2071</v>
      </c>
      <c r="E49" s="148">
        <v>2009</v>
      </c>
      <c r="F49" s="4">
        <v>1</v>
      </c>
      <c r="G49" t="s">
        <v>2046</v>
      </c>
      <c r="J49" t="s">
        <v>1301</v>
      </c>
      <c r="K49" t="s">
        <v>2072</v>
      </c>
      <c r="L49" s="424">
        <v>45838</v>
      </c>
      <c r="M49">
        <v>1</v>
      </c>
    </row>
    <row r="50" spans="4:13">
      <c r="D50" s="4" t="s">
        <v>2071</v>
      </c>
      <c r="E50" s="148">
        <v>2008</v>
      </c>
      <c r="F50" s="4">
        <v>1</v>
      </c>
      <c r="G50" t="s">
        <v>2046</v>
      </c>
      <c r="J50" t="s">
        <v>1301</v>
      </c>
      <c r="K50" t="s">
        <v>2072</v>
      </c>
      <c r="L50" s="424">
        <v>45838</v>
      </c>
      <c r="M50">
        <v>1</v>
      </c>
    </row>
    <row r="51" spans="4:13">
      <c r="D51" s="4" t="s">
        <v>2071</v>
      </c>
      <c r="E51" s="148">
        <v>2007</v>
      </c>
      <c r="F51" s="4">
        <v>1</v>
      </c>
      <c r="G51" t="s">
        <v>2046</v>
      </c>
      <c r="J51" t="s">
        <v>1301</v>
      </c>
      <c r="K51" t="s">
        <v>2072</v>
      </c>
      <c r="L51" s="424">
        <v>45838</v>
      </c>
      <c r="M51">
        <v>1</v>
      </c>
    </row>
    <row r="52" spans="4:13">
      <c r="D52" s="4" t="s">
        <v>2071</v>
      </c>
      <c r="E52" s="148">
        <v>2006</v>
      </c>
      <c r="F52" s="4">
        <v>1</v>
      </c>
      <c r="G52" t="s">
        <v>2046</v>
      </c>
      <c r="J52" t="s">
        <v>1301</v>
      </c>
      <c r="K52" t="s">
        <v>2072</v>
      </c>
      <c r="L52" s="424">
        <v>45838</v>
      </c>
      <c r="M52">
        <v>1</v>
      </c>
    </row>
    <row r="53" spans="4:13">
      <c r="D53" s="4" t="s">
        <v>2071</v>
      </c>
      <c r="E53" s="148">
        <v>2005</v>
      </c>
      <c r="F53" s="4">
        <v>1</v>
      </c>
      <c r="G53" t="s">
        <v>2046</v>
      </c>
      <c r="J53" t="s">
        <v>1301</v>
      </c>
      <c r="K53" t="s">
        <v>2072</v>
      </c>
      <c r="L53" s="424">
        <v>45838</v>
      </c>
      <c r="M53">
        <v>1</v>
      </c>
    </row>
    <row r="54" spans="4:13">
      <c r="D54" s="4" t="s">
        <v>2071</v>
      </c>
      <c r="E54" s="148">
        <v>2004</v>
      </c>
      <c r="F54" s="4">
        <v>1</v>
      </c>
      <c r="G54" t="s">
        <v>2046</v>
      </c>
      <c r="J54" t="s">
        <v>1301</v>
      </c>
      <c r="K54" t="s">
        <v>2072</v>
      </c>
      <c r="L54" s="424">
        <v>45838</v>
      </c>
      <c r="M54">
        <v>1</v>
      </c>
    </row>
    <row r="55" spans="4:13">
      <c r="D55" s="4" t="s">
        <v>2071</v>
      </c>
      <c r="E55" s="148">
        <v>2003</v>
      </c>
      <c r="F55" s="4">
        <v>1</v>
      </c>
      <c r="G55" t="s">
        <v>2046</v>
      </c>
      <c r="J55" t="s">
        <v>1301</v>
      </c>
      <c r="K55" t="s">
        <v>2072</v>
      </c>
      <c r="L55" s="424">
        <v>45838</v>
      </c>
      <c r="M55">
        <v>1</v>
      </c>
    </row>
    <row r="56" spans="4:13">
      <c r="D56" s="4" t="s">
        <v>2071</v>
      </c>
      <c r="E56" s="148">
        <v>2002</v>
      </c>
      <c r="F56" s="4">
        <v>1</v>
      </c>
      <c r="G56" t="s">
        <v>2046</v>
      </c>
      <c r="J56" t="s">
        <v>1301</v>
      </c>
      <c r="K56" t="s">
        <v>2072</v>
      </c>
      <c r="L56" s="424">
        <v>45838</v>
      </c>
      <c r="M56">
        <v>1</v>
      </c>
    </row>
    <row r="57" spans="4:13">
      <c r="D57" s="4" t="s">
        <v>2071</v>
      </c>
      <c r="E57" s="148">
        <v>2001</v>
      </c>
      <c r="F57" s="4">
        <v>1</v>
      </c>
      <c r="G57" t="s">
        <v>2046</v>
      </c>
      <c r="J57" t="s">
        <v>1301</v>
      </c>
      <c r="K57" t="s">
        <v>2072</v>
      </c>
      <c r="L57" s="424">
        <v>45838</v>
      </c>
      <c r="M57">
        <v>1</v>
      </c>
    </row>
    <row r="58" spans="4:13">
      <c r="D58" s="4" t="s">
        <v>2071</v>
      </c>
      <c r="E58" s="148">
        <v>20</v>
      </c>
      <c r="F58" s="4">
        <v>1</v>
      </c>
      <c r="G58" t="s">
        <v>2046</v>
      </c>
      <c r="J58" t="s">
        <v>1301</v>
      </c>
      <c r="K58" t="s">
        <v>2072</v>
      </c>
      <c r="L58" s="424">
        <v>45838</v>
      </c>
      <c r="M58">
        <v>1</v>
      </c>
    </row>
    <row r="59" spans="4:13">
      <c r="D59" s="4" t="s">
        <v>2071</v>
      </c>
      <c r="E59" s="148">
        <v>1003</v>
      </c>
      <c r="F59" s="4">
        <v>1</v>
      </c>
      <c r="G59" t="s">
        <v>2046</v>
      </c>
      <c r="J59" t="s">
        <v>1301</v>
      </c>
      <c r="K59" t="s">
        <v>2072</v>
      </c>
      <c r="L59" s="424">
        <v>45838</v>
      </c>
      <c r="M59">
        <v>1</v>
      </c>
    </row>
    <row r="60" spans="4:13">
      <c r="D60" s="4" t="s">
        <v>2071</v>
      </c>
      <c r="E60" s="148">
        <v>1001</v>
      </c>
      <c r="F60" s="4">
        <v>1</v>
      </c>
      <c r="G60" t="s">
        <v>2046</v>
      </c>
      <c r="J60" t="s">
        <v>1301</v>
      </c>
      <c r="K60" t="s">
        <v>2072</v>
      </c>
      <c r="L60" s="424">
        <v>45838</v>
      </c>
      <c r="M60">
        <v>1</v>
      </c>
    </row>
    <row r="61" spans="4:13">
      <c r="D61" s="4" t="s">
        <v>2071</v>
      </c>
      <c r="E61" s="148">
        <v>1000</v>
      </c>
      <c r="F61" s="4">
        <v>1</v>
      </c>
      <c r="G61" t="s">
        <v>2046</v>
      </c>
      <c r="J61" t="s">
        <v>1301</v>
      </c>
      <c r="K61" t="s">
        <v>2072</v>
      </c>
      <c r="L61" s="424">
        <v>45838</v>
      </c>
      <c r="M61">
        <v>1</v>
      </c>
    </row>
    <row r="63" spans="4:13">
      <c r="D63" t="s">
        <v>2073</v>
      </c>
    </row>
    <row r="64" spans="4:13">
      <c r="D64" s="4" t="s">
        <v>841</v>
      </c>
      <c r="E64" s="148" t="s">
        <v>842</v>
      </c>
      <c r="F64" s="4" t="s">
        <v>843</v>
      </c>
      <c r="G64" t="s">
        <v>844</v>
      </c>
      <c r="J64" t="s">
        <v>135</v>
      </c>
      <c r="K64" t="s">
        <v>845</v>
      </c>
      <c r="L64" t="s">
        <v>140</v>
      </c>
      <c r="M64" t="s">
        <v>141</v>
      </c>
    </row>
    <row r="65" spans="4:13">
      <c r="D65" s="4" t="s">
        <v>2074</v>
      </c>
      <c r="E65" s="148">
        <v>71</v>
      </c>
      <c r="F65" s="4">
        <v>1</v>
      </c>
      <c r="G65" t="s">
        <v>2046</v>
      </c>
      <c r="J65" t="s">
        <v>1301</v>
      </c>
      <c r="K65" t="s">
        <v>2072</v>
      </c>
      <c r="L65" s="424">
        <v>45838</v>
      </c>
      <c r="M65">
        <v>1</v>
      </c>
    </row>
    <row r="66" spans="4:13">
      <c r="D66" s="4" t="s">
        <v>2074</v>
      </c>
      <c r="E66" s="148">
        <v>51</v>
      </c>
      <c r="F66" s="4">
        <v>1</v>
      </c>
      <c r="G66" t="s">
        <v>2046</v>
      </c>
      <c r="J66" t="s">
        <v>1301</v>
      </c>
      <c r="K66" t="s">
        <v>2072</v>
      </c>
      <c r="L66" s="424">
        <v>45838</v>
      </c>
      <c r="M66">
        <v>1</v>
      </c>
    </row>
    <row r="67" spans="4:13">
      <c r="D67" s="4" t="s">
        <v>2074</v>
      </c>
      <c r="E67" s="148">
        <v>2020</v>
      </c>
      <c r="F67" s="4">
        <v>1</v>
      </c>
      <c r="G67" t="s">
        <v>2046</v>
      </c>
      <c r="J67" t="s">
        <v>1301</v>
      </c>
      <c r="K67" t="s">
        <v>2072</v>
      </c>
      <c r="L67" s="424">
        <v>45838</v>
      </c>
      <c r="M67">
        <v>1</v>
      </c>
    </row>
    <row r="68" spans="4:13">
      <c r="D68" s="4" t="s">
        <v>2074</v>
      </c>
      <c r="E68" s="148">
        <v>2019</v>
      </c>
      <c r="F68" s="4">
        <v>1</v>
      </c>
      <c r="G68" t="s">
        <v>2046</v>
      </c>
      <c r="J68" t="s">
        <v>1301</v>
      </c>
      <c r="K68" t="s">
        <v>2072</v>
      </c>
      <c r="L68" s="424">
        <v>45838</v>
      </c>
      <c r="M68">
        <v>1</v>
      </c>
    </row>
    <row r="69" spans="4:13">
      <c r="D69" s="4" t="s">
        <v>2074</v>
      </c>
      <c r="E69" s="148">
        <v>2018</v>
      </c>
      <c r="F69" s="4">
        <v>1</v>
      </c>
      <c r="G69" t="s">
        <v>2046</v>
      </c>
      <c r="J69" t="s">
        <v>1301</v>
      </c>
      <c r="K69" t="s">
        <v>2072</v>
      </c>
      <c r="L69" s="424">
        <v>45838</v>
      </c>
      <c r="M69">
        <v>1</v>
      </c>
    </row>
    <row r="70" spans="4:13">
      <c r="D70" s="4" t="s">
        <v>2074</v>
      </c>
      <c r="E70" s="148">
        <v>2017</v>
      </c>
      <c r="F70" s="4">
        <v>1</v>
      </c>
      <c r="G70" t="s">
        <v>2046</v>
      </c>
      <c r="J70" t="s">
        <v>1301</v>
      </c>
      <c r="K70" t="s">
        <v>2072</v>
      </c>
      <c r="L70" s="424">
        <v>45838</v>
      </c>
      <c r="M70">
        <v>1</v>
      </c>
    </row>
    <row r="71" spans="4:13">
      <c r="D71" s="4" t="s">
        <v>2074</v>
      </c>
      <c r="E71" s="148">
        <v>2016</v>
      </c>
      <c r="F71" s="4">
        <v>1</v>
      </c>
      <c r="G71" t="s">
        <v>2046</v>
      </c>
      <c r="J71" t="s">
        <v>1301</v>
      </c>
      <c r="K71" t="s">
        <v>2072</v>
      </c>
      <c r="L71" s="424">
        <v>45838</v>
      </c>
      <c r="M71">
        <v>1</v>
      </c>
    </row>
    <row r="72" spans="4:13">
      <c r="D72" s="4" t="s">
        <v>2074</v>
      </c>
      <c r="E72" s="148">
        <v>2015</v>
      </c>
      <c r="F72" s="4">
        <v>1</v>
      </c>
      <c r="G72" t="s">
        <v>2046</v>
      </c>
      <c r="J72" t="s">
        <v>1301</v>
      </c>
      <c r="K72" t="s">
        <v>2072</v>
      </c>
      <c r="L72" s="424">
        <v>45838</v>
      </c>
      <c r="M72">
        <v>1</v>
      </c>
    </row>
    <row r="73" spans="4:13">
      <c r="D73" s="4" t="s">
        <v>2074</v>
      </c>
      <c r="E73" s="148">
        <v>2014</v>
      </c>
      <c r="F73" s="4">
        <v>1</v>
      </c>
      <c r="G73" t="s">
        <v>2046</v>
      </c>
      <c r="J73" t="s">
        <v>1301</v>
      </c>
      <c r="K73" t="s">
        <v>2072</v>
      </c>
      <c r="L73" s="424">
        <v>45838</v>
      </c>
      <c r="M73">
        <v>1</v>
      </c>
    </row>
    <row r="74" spans="4:13">
      <c r="D74" s="4" t="s">
        <v>2074</v>
      </c>
      <c r="E74" s="148">
        <v>2013</v>
      </c>
      <c r="F74" s="4">
        <v>1</v>
      </c>
      <c r="G74" t="s">
        <v>2046</v>
      </c>
      <c r="J74" t="s">
        <v>1301</v>
      </c>
      <c r="K74" t="s">
        <v>2072</v>
      </c>
      <c r="L74" s="424">
        <v>45838</v>
      </c>
      <c r="M74">
        <v>1</v>
      </c>
    </row>
    <row r="75" spans="4:13">
      <c r="D75" s="4" t="s">
        <v>2074</v>
      </c>
      <c r="E75" s="148">
        <v>2012</v>
      </c>
      <c r="F75" s="4">
        <v>1</v>
      </c>
      <c r="G75" t="s">
        <v>2046</v>
      </c>
      <c r="J75" t="s">
        <v>1301</v>
      </c>
      <c r="K75" t="s">
        <v>2072</v>
      </c>
      <c r="L75" s="424">
        <v>45838</v>
      </c>
      <c r="M75">
        <v>1</v>
      </c>
    </row>
    <row r="76" spans="4:13">
      <c r="D76" s="4" t="s">
        <v>2074</v>
      </c>
      <c r="E76" s="148">
        <v>2011</v>
      </c>
      <c r="F76" s="4">
        <v>1</v>
      </c>
      <c r="G76" t="s">
        <v>2046</v>
      </c>
      <c r="J76" t="s">
        <v>1301</v>
      </c>
      <c r="K76" t="s">
        <v>2072</v>
      </c>
      <c r="L76" s="424">
        <v>45838</v>
      </c>
      <c r="M76">
        <v>1</v>
      </c>
    </row>
    <row r="77" spans="4:13">
      <c r="D77" s="4" t="s">
        <v>2074</v>
      </c>
      <c r="E77" s="148">
        <v>2010</v>
      </c>
      <c r="F77" s="4">
        <v>1</v>
      </c>
      <c r="G77" t="s">
        <v>2046</v>
      </c>
      <c r="J77" t="s">
        <v>1301</v>
      </c>
      <c r="K77" t="s">
        <v>2072</v>
      </c>
      <c r="L77" s="424">
        <v>45838</v>
      </c>
      <c r="M77">
        <v>1</v>
      </c>
    </row>
    <row r="78" spans="4:13">
      <c r="D78" s="4" t="s">
        <v>2074</v>
      </c>
      <c r="E78" s="148">
        <v>2009</v>
      </c>
      <c r="F78" s="4">
        <v>1</v>
      </c>
      <c r="G78" t="s">
        <v>2046</v>
      </c>
      <c r="J78" t="s">
        <v>1301</v>
      </c>
      <c r="K78" t="s">
        <v>2072</v>
      </c>
      <c r="L78" s="424">
        <v>45838</v>
      </c>
      <c r="M78">
        <v>1</v>
      </c>
    </row>
    <row r="79" spans="4:13">
      <c r="D79" s="4" t="s">
        <v>2074</v>
      </c>
      <c r="E79" s="148">
        <v>2008</v>
      </c>
      <c r="F79" s="4">
        <v>1</v>
      </c>
      <c r="G79" t="s">
        <v>2046</v>
      </c>
      <c r="J79" t="s">
        <v>1301</v>
      </c>
      <c r="K79" t="s">
        <v>2072</v>
      </c>
      <c r="L79" s="424">
        <v>45838</v>
      </c>
      <c r="M79">
        <v>1</v>
      </c>
    </row>
    <row r="80" spans="4:13">
      <c r="D80" s="4" t="s">
        <v>2074</v>
      </c>
      <c r="E80" s="148">
        <v>2007</v>
      </c>
      <c r="F80" s="4">
        <v>1</v>
      </c>
      <c r="G80" t="s">
        <v>2046</v>
      </c>
      <c r="J80" t="s">
        <v>1301</v>
      </c>
      <c r="K80" t="s">
        <v>2072</v>
      </c>
      <c r="L80" s="424">
        <v>45838</v>
      </c>
      <c r="M80">
        <v>1</v>
      </c>
    </row>
    <row r="81" spans="4:13">
      <c r="D81" s="4" t="s">
        <v>2074</v>
      </c>
      <c r="E81" s="148">
        <v>2006</v>
      </c>
      <c r="F81" s="4">
        <v>1</v>
      </c>
      <c r="G81" t="s">
        <v>2046</v>
      </c>
      <c r="J81" t="s">
        <v>1301</v>
      </c>
      <c r="K81" t="s">
        <v>2072</v>
      </c>
      <c r="L81" s="424">
        <v>45838</v>
      </c>
      <c r="M81">
        <v>1</v>
      </c>
    </row>
    <row r="82" spans="4:13">
      <c r="D82" s="4" t="s">
        <v>2074</v>
      </c>
      <c r="E82" s="148">
        <v>2005</v>
      </c>
      <c r="F82" s="4">
        <v>1</v>
      </c>
      <c r="G82" t="s">
        <v>2046</v>
      </c>
      <c r="J82" t="s">
        <v>1301</v>
      </c>
      <c r="K82" t="s">
        <v>2072</v>
      </c>
      <c r="L82" s="424">
        <v>45838</v>
      </c>
      <c r="M82">
        <v>1</v>
      </c>
    </row>
    <row r="83" spans="4:13">
      <c r="D83" s="4" t="s">
        <v>2074</v>
      </c>
      <c r="E83" s="148">
        <v>2004</v>
      </c>
      <c r="F83" s="4">
        <v>1</v>
      </c>
      <c r="G83" t="s">
        <v>2046</v>
      </c>
      <c r="J83" t="s">
        <v>1301</v>
      </c>
      <c r="K83" t="s">
        <v>2072</v>
      </c>
      <c r="L83" s="424">
        <v>45838</v>
      </c>
      <c r="M83">
        <v>1</v>
      </c>
    </row>
    <row r="84" spans="4:13">
      <c r="D84" s="4" t="s">
        <v>2074</v>
      </c>
      <c r="E84" s="148">
        <v>2003</v>
      </c>
      <c r="F84" s="4">
        <v>1</v>
      </c>
      <c r="G84" t="s">
        <v>2046</v>
      </c>
      <c r="J84" t="s">
        <v>1301</v>
      </c>
      <c r="K84" t="s">
        <v>2072</v>
      </c>
      <c r="L84" s="424">
        <v>45838</v>
      </c>
      <c r="M84">
        <v>1</v>
      </c>
    </row>
    <row r="85" spans="4:13">
      <c r="D85" s="4" t="s">
        <v>2074</v>
      </c>
      <c r="E85" s="148">
        <v>2002</v>
      </c>
      <c r="F85" s="4">
        <v>1</v>
      </c>
      <c r="G85" t="s">
        <v>2046</v>
      </c>
      <c r="J85" t="s">
        <v>1301</v>
      </c>
      <c r="K85" t="s">
        <v>2072</v>
      </c>
      <c r="L85" s="424">
        <v>45838</v>
      </c>
      <c r="M85">
        <v>1</v>
      </c>
    </row>
    <row r="86" spans="4:13">
      <c r="D86" s="4" t="s">
        <v>2074</v>
      </c>
      <c r="E86" s="148">
        <v>2001</v>
      </c>
      <c r="F86" s="4">
        <v>1</v>
      </c>
      <c r="G86" t="s">
        <v>2046</v>
      </c>
      <c r="J86" t="s">
        <v>1301</v>
      </c>
      <c r="K86" t="s">
        <v>2072</v>
      </c>
      <c r="L86" s="424">
        <v>45838</v>
      </c>
      <c r="M86">
        <v>1</v>
      </c>
    </row>
    <row r="87" spans="4:13">
      <c r="D87" s="4" t="s">
        <v>2074</v>
      </c>
      <c r="E87" s="148">
        <v>20</v>
      </c>
      <c r="F87" s="4">
        <v>1</v>
      </c>
      <c r="G87" t="s">
        <v>2046</v>
      </c>
      <c r="J87" t="s">
        <v>1301</v>
      </c>
      <c r="K87" t="s">
        <v>2072</v>
      </c>
      <c r="L87" s="424">
        <v>45838</v>
      </c>
      <c r="M87">
        <v>1</v>
      </c>
    </row>
    <row r="88" spans="4:13">
      <c r="D88" s="4" t="s">
        <v>2074</v>
      </c>
      <c r="E88" s="148">
        <v>1003</v>
      </c>
      <c r="F88" s="4">
        <v>1</v>
      </c>
      <c r="G88" t="s">
        <v>2046</v>
      </c>
      <c r="J88" t="s">
        <v>1301</v>
      </c>
      <c r="K88" t="s">
        <v>2072</v>
      </c>
      <c r="L88" s="424">
        <v>45838</v>
      </c>
      <c r="M88">
        <v>1</v>
      </c>
    </row>
    <row r="89" spans="4:13">
      <c r="D89" s="4" t="s">
        <v>2074</v>
      </c>
      <c r="E89" s="148">
        <v>1001</v>
      </c>
      <c r="F89" s="4">
        <v>1</v>
      </c>
      <c r="G89" t="s">
        <v>2046</v>
      </c>
      <c r="J89" t="s">
        <v>1301</v>
      </c>
      <c r="K89" t="s">
        <v>2072</v>
      </c>
      <c r="L89" s="424">
        <v>45838</v>
      </c>
      <c r="M89">
        <v>1</v>
      </c>
    </row>
    <row r="90" spans="4:13">
      <c r="D90" s="4" t="s">
        <v>2074</v>
      </c>
      <c r="E90" s="148">
        <v>1000</v>
      </c>
      <c r="F90" s="4">
        <v>1</v>
      </c>
      <c r="G90" t="s">
        <v>2046</v>
      </c>
      <c r="J90" t="s">
        <v>1301</v>
      </c>
      <c r="K90" t="s">
        <v>2072</v>
      </c>
      <c r="L90" s="424">
        <v>45838</v>
      </c>
      <c r="M90">
        <v>1</v>
      </c>
    </row>
    <row r="93" spans="4:13">
      <c r="D93" s="44" t="s">
        <v>2075</v>
      </c>
    </row>
    <row r="94" spans="4:13">
      <c r="D94" s="105" t="s">
        <v>841</v>
      </c>
      <c r="E94" s="136" t="s">
        <v>842</v>
      </c>
      <c r="F94" s="105" t="s">
        <v>843</v>
      </c>
      <c r="G94" s="425" t="s">
        <v>844</v>
      </c>
      <c r="H94" s="14" t="s">
        <v>135</v>
      </c>
      <c r="I94" s="425" t="s">
        <v>845</v>
      </c>
      <c r="J94" s="425" t="s">
        <v>140</v>
      </c>
      <c r="K94" s="425" t="s">
        <v>141</v>
      </c>
      <c r="L94" s="425"/>
    </row>
    <row r="95" spans="4:13">
      <c r="D95" s="105" t="s">
        <v>2076</v>
      </c>
      <c r="E95" s="136">
        <v>51</v>
      </c>
      <c r="F95" s="105">
        <v>1</v>
      </c>
      <c r="G95" s="425" t="s">
        <v>2046</v>
      </c>
      <c r="H95" s="14" t="s">
        <v>1301</v>
      </c>
      <c r="I95" s="425" t="s">
        <v>2072</v>
      </c>
      <c r="J95" s="426">
        <v>45838</v>
      </c>
      <c r="K95" s="425">
        <v>1</v>
      </c>
      <c r="L95" s="425"/>
    </row>
    <row r="96" spans="4:13">
      <c r="D96" s="105" t="s">
        <v>2076</v>
      </c>
      <c r="E96" s="136">
        <v>20</v>
      </c>
      <c r="F96" s="105">
        <v>1</v>
      </c>
      <c r="G96" s="425" t="s">
        <v>2046</v>
      </c>
      <c r="H96" s="14" t="s">
        <v>1301</v>
      </c>
      <c r="I96" s="425" t="s">
        <v>2072</v>
      </c>
      <c r="J96" s="426">
        <v>45838</v>
      </c>
      <c r="K96" s="425">
        <v>1</v>
      </c>
      <c r="L96" s="425"/>
    </row>
    <row r="97" spans="4:11">
      <c r="E97" s="148"/>
    </row>
    <row r="99" spans="4:11">
      <c r="D99" s="4" t="s">
        <v>841</v>
      </c>
      <c r="E99" s="4" t="s">
        <v>842</v>
      </c>
      <c r="F99" s="4" t="s">
        <v>843</v>
      </c>
      <c r="G99" t="s">
        <v>844</v>
      </c>
      <c r="H99" s="6" t="s">
        <v>135</v>
      </c>
      <c r="I99" t="s">
        <v>845</v>
      </c>
      <c r="J99" t="s">
        <v>140</v>
      </c>
      <c r="K99" t="s">
        <v>141</v>
      </c>
    </row>
    <row r="100" spans="4:11">
      <c r="D100" s="4" t="s">
        <v>2077</v>
      </c>
      <c r="E100" s="4">
        <v>1005</v>
      </c>
      <c r="F100" s="4">
        <v>1</v>
      </c>
      <c r="G100" t="s">
        <v>2046</v>
      </c>
      <c r="H100" s="6" t="s">
        <v>1301</v>
      </c>
      <c r="I100" t="s">
        <v>2072</v>
      </c>
      <c r="J100" s="424">
        <v>45838</v>
      </c>
      <c r="K100">
        <v>1</v>
      </c>
    </row>
    <row r="101" spans="4:11">
      <c r="D101" s="4" t="s">
        <v>2077</v>
      </c>
      <c r="E101" s="4">
        <v>1003</v>
      </c>
      <c r="F101" s="4">
        <v>1</v>
      </c>
      <c r="G101" t="s">
        <v>2046</v>
      </c>
      <c r="H101" s="6" t="s">
        <v>1301</v>
      </c>
      <c r="I101" t="s">
        <v>2072</v>
      </c>
      <c r="J101" s="424">
        <v>45838</v>
      </c>
      <c r="K101">
        <v>1</v>
      </c>
    </row>
    <row r="102" spans="4:11">
      <c r="D102" s="4" t="s">
        <v>2077</v>
      </c>
      <c r="E102" s="4">
        <v>1001</v>
      </c>
      <c r="F102" s="4">
        <v>1</v>
      </c>
      <c r="G102" t="s">
        <v>2046</v>
      </c>
      <c r="H102" s="6" t="s">
        <v>1301</v>
      </c>
      <c r="I102" t="s">
        <v>2072</v>
      </c>
      <c r="J102" s="424">
        <v>45838</v>
      </c>
      <c r="K102">
        <v>1</v>
      </c>
    </row>
    <row r="103" spans="4:11">
      <c r="D103" s="4" t="s">
        <v>2077</v>
      </c>
      <c r="E103" s="4">
        <v>1000</v>
      </c>
      <c r="F103" s="4">
        <v>1</v>
      </c>
      <c r="G103" t="s">
        <v>2046</v>
      </c>
      <c r="H103" s="6" t="s">
        <v>1301</v>
      </c>
      <c r="I103" t="s">
        <v>2072</v>
      </c>
      <c r="J103" s="424">
        <v>45838</v>
      </c>
      <c r="K103">
        <v>1</v>
      </c>
    </row>
    <row r="104" spans="4:11">
      <c r="D104" s="4" t="s">
        <v>2077</v>
      </c>
      <c r="E104" s="4">
        <v>71</v>
      </c>
      <c r="F104" s="4">
        <v>1</v>
      </c>
      <c r="G104" t="s">
        <v>2046</v>
      </c>
      <c r="H104" s="6" t="s">
        <v>1301</v>
      </c>
      <c r="I104" t="s">
        <v>2072</v>
      </c>
      <c r="J104" s="424">
        <v>45838</v>
      </c>
      <c r="K104">
        <v>1</v>
      </c>
    </row>
    <row r="105" spans="4:11">
      <c r="D105" s="4" t="s">
        <v>2077</v>
      </c>
      <c r="E105" s="4">
        <v>51</v>
      </c>
      <c r="F105" s="4">
        <v>1</v>
      </c>
      <c r="G105" t="s">
        <v>2046</v>
      </c>
      <c r="H105" s="6" t="s">
        <v>1301</v>
      </c>
      <c r="I105" t="s">
        <v>2072</v>
      </c>
      <c r="J105" s="424">
        <v>45838</v>
      </c>
      <c r="K105">
        <v>1</v>
      </c>
    </row>
    <row r="106" spans="4:11">
      <c r="D106" s="4" t="s">
        <v>2077</v>
      </c>
      <c r="E106" s="4">
        <v>2020</v>
      </c>
      <c r="F106" s="4">
        <v>1</v>
      </c>
      <c r="G106" t="s">
        <v>2046</v>
      </c>
      <c r="H106" s="6" t="s">
        <v>1301</v>
      </c>
      <c r="I106" t="s">
        <v>2072</v>
      </c>
      <c r="J106" s="424">
        <v>45838</v>
      </c>
      <c r="K106">
        <v>1</v>
      </c>
    </row>
    <row r="107" spans="4:11">
      <c r="D107" s="4" t="s">
        <v>2077</v>
      </c>
      <c r="E107" s="4">
        <v>2019</v>
      </c>
      <c r="F107" s="4">
        <v>1</v>
      </c>
      <c r="G107" t="s">
        <v>2046</v>
      </c>
      <c r="H107" s="6" t="s">
        <v>1301</v>
      </c>
      <c r="I107" t="s">
        <v>2072</v>
      </c>
      <c r="J107" s="424">
        <v>45838</v>
      </c>
      <c r="K107">
        <v>1</v>
      </c>
    </row>
    <row r="108" spans="4:11">
      <c r="D108" s="4" t="s">
        <v>2077</v>
      </c>
      <c r="E108" s="4">
        <v>2018</v>
      </c>
      <c r="F108" s="4">
        <v>1</v>
      </c>
      <c r="G108" t="s">
        <v>2046</v>
      </c>
      <c r="H108" s="6" t="s">
        <v>1301</v>
      </c>
      <c r="I108" t="s">
        <v>2072</v>
      </c>
      <c r="J108" s="424">
        <v>45838</v>
      </c>
      <c r="K108">
        <v>1</v>
      </c>
    </row>
    <row r="109" spans="4:11">
      <c r="D109" s="4" t="s">
        <v>2077</v>
      </c>
      <c r="E109" s="4">
        <v>2017</v>
      </c>
      <c r="F109" s="4">
        <v>1</v>
      </c>
      <c r="G109" t="s">
        <v>2046</v>
      </c>
      <c r="H109" s="6" t="s">
        <v>1301</v>
      </c>
      <c r="I109" t="s">
        <v>2072</v>
      </c>
      <c r="J109" s="424">
        <v>45838</v>
      </c>
      <c r="K109">
        <v>1</v>
      </c>
    </row>
    <row r="110" spans="4:11">
      <c r="D110" s="4" t="s">
        <v>2077</v>
      </c>
      <c r="E110" s="4">
        <v>2016</v>
      </c>
      <c r="F110" s="4">
        <v>1</v>
      </c>
      <c r="G110" t="s">
        <v>2046</v>
      </c>
      <c r="H110" s="6" t="s">
        <v>1301</v>
      </c>
      <c r="I110" t="s">
        <v>2072</v>
      </c>
      <c r="J110" s="424">
        <v>45838</v>
      </c>
      <c r="K110">
        <v>1</v>
      </c>
    </row>
    <row r="111" spans="4:11">
      <c r="D111" s="4" t="s">
        <v>2077</v>
      </c>
      <c r="E111" s="4">
        <v>2015</v>
      </c>
      <c r="F111" s="4">
        <v>1</v>
      </c>
      <c r="G111" t="s">
        <v>2046</v>
      </c>
      <c r="H111" s="6" t="s">
        <v>1301</v>
      </c>
      <c r="I111" t="s">
        <v>2072</v>
      </c>
      <c r="J111" s="424">
        <v>45838</v>
      </c>
      <c r="K111">
        <v>1</v>
      </c>
    </row>
    <row r="112" spans="4:11">
      <c r="D112" s="4" t="s">
        <v>2077</v>
      </c>
      <c r="E112" s="4">
        <v>2014</v>
      </c>
      <c r="F112" s="4">
        <v>1</v>
      </c>
      <c r="G112" t="s">
        <v>2046</v>
      </c>
      <c r="H112" s="6" t="s">
        <v>1301</v>
      </c>
      <c r="I112" t="s">
        <v>2072</v>
      </c>
      <c r="J112" s="424">
        <v>45838</v>
      </c>
      <c r="K112">
        <v>1</v>
      </c>
    </row>
    <row r="113" spans="4:11">
      <c r="D113" s="4" t="s">
        <v>2077</v>
      </c>
      <c r="E113" s="4">
        <v>2013</v>
      </c>
      <c r="F113" s="4">
        <v>1</v>
      </c>
      <c r="G113" t="s">
        <v>2046</v>
      </c>
      <c r="H113" s="6" t="s">
        <v>1301</v>
      </c>
      <c r="I113" t="s">
        <v>2072</v>
      </c>
      <c r="J113" s="424">
        <v>45838</v>
      </c>
      <c r="K113">
        <v>1</v>
      </c>
    </row>
    <row r="114" spans="4:11">
      <c r="D114" s="4" t="s">
        <v>2077</v>
      </c>
      <c r="E114" s="4">
        <v>2012</v>
      </c>
      <c r="F114" s="4">
        <v>1</v>
      </c>
      <c r="G114" t="s">
        <v>2046</v>
      </c>
      <c r="H114" s="6" t="s">
        <v>1301</v>
      </c>
      <c r="I114" t="s">
        <v>2072</v>
      </c>
      <c r="J114" s="424">
        <v>45838</v>
      </c>
      <c r="K114">
        <v>1</v>
      </c>
    </row>
    <row r="115" spans="4:11">
      <c r="D115" s="4" t="s">
        <v>2077</v>
      </c>
      <c r="E115" s="4">
        <v>2011</v>
      </c>
      <c r="F115" s="4">
        <v>1</v>
      </c>
      <c r="G115" t="s">
        <v>2046</v>
      </c>
      <c r="H115" s="6" t="s">
        <v>1301</v>
      </c>
      <c r="I115" t="s">
        <v>2072</v>
      </c>
      <c r="J115" s="424">
        <v>45838</v>
      </c>
      <c r="K115">
        <v>1</v>
      </c>
    </row>
    <row r="116" spans="4:11">
      <c r="D116" s="4" t="s">
        <v>2077</v>
      </c>
      <c r="E116" s="4">
        <v>2010</v>
      </c>
      <c r="F116" s="4">
        <v>1</v>
      </c>
      <c r="G116" t="s">
        <v>2046</v>
      </c>
      <c r="H116" s="6" t="s">
        <v>1301</v>
      </c>
      <c r="I116" t="s">
        <v>2072</v>
      </c>
      <c r="J116" s="424">
        <v>45838</v>
      </c>
      <c r="K116">
        <v>1</v>
      </c>
    </row>
    <row r="117" spans="4:11">
      <c r="D117" s="4" t="s">
        <v>2077</v>
      </c>
      <c r="E117" s="4">
        <v>2009</v>
      </c>
      <c r="F117" s="4">
        <v>1</v>
      </c>
      <c r="G117" t="s">
        <v>2046</v>
      </c>
      <c r="H117" s="6" t="s">
        <v>1301</v>
      </c>
      <c r="I117" t="s">
        <v>2072</v>
      </c>
      <c r="J117" s="424">
        <v>45838</v>
      </c>
      <c r="K117">
        <v>1</v>
      </c>
    </row>
    <row r="118" spans="4:11">
      <c r="D118" s="4" t="s">
        <v>2077</v>
      </c>
      <c r="E118" s="4">
        <v>2008</v>
      </c>
      <c r="F118" s="4">
        <v>1</v>
      </c>
      <c r="G118" t="s">
        <v>2046</v>
      </c>
      <c r="H118" s="6" t="s">
        <v>1301</v>
      </c>
      <c r="I118" t="s">
        <v>2072</v>
      </c>
      <c r="J118" s="424">
        <v>45838</v>
      </c>
      <c r="K118">
        <v>1</v>
      </c>
    </row>
    <row r="119" spans="4:11">
      <c r="D119" s="4" t="s">
        <v>2077</v>
      </c>
      <c r="E119" s="4">
        <v>2007</v>
      </c>
      <c r="F119" s="4">
        <v>1</v>
      </c>
      <c r="G119" t="s">
        <v>2046</v>
      </c>
      <c r="H119" s="6" t="s">
        <v>1301</v>
      </c>
      <c r="I119" t="s">
        <v>2072</v>
      </c>
      <c r="J119" s="424">
        <v>45838</v>
      </c>
      <c r="K119">
        <v>1</v>
      </c>
    </row>
    <row r="120" spans="4:11">
      <c r="D120" s="4" t="s">
        <v>2077</v>
      </c>
      <c r="E120" s="4">
        <v>2006</v>
      </c>
      <c r="F120" s="4">
        <v>1</v>
      </c>
      <c r="G120" t="s">
        <v>2046</v>
      </c>
      <c r="H120" s="6" t="s">
        <v>1301</v>
      </c>
      <c r="I120" t="s">
        <v>2072</v>
      </c>
      <c r="J120" s="424">
        <v>45838</v>
      </c>
      <c r="K120">
        <v>1</v>
      </c>
    </row>
    <row r="121" spans="4:11">
      <c r="D121" s="4" t="s">
        <v>2077</v>
      </c>
      <c r="E121" s="4">
        <v>2005</v>
      </c>
      <c r="F121" s="4">
        <v>1</v>
      </c>
      <c r="G121" t="s">
        <v>2046</v>
      </c>
      <c r="H121" s="6" t="s">
        <v>1301</v>
      </c>
      <c r="I121" t="s">
        <v>2072</v>
      </c>
      <c r="J121" s="424">
        <v>45838</v>
      </c>
      <c r="K121">
        <v>1</v>
      </c>
    </row>
    <row r="122" spans="4:11">
      <c r="D122" s="4" t="s">
        <v>2077</v>
      </c>
      <c r="E122" s="4">
        <v>2004</v>
      </c>
      <c r="F122" s="4">
        <v>1</v>
      </c>
      <c r="G122" t="s">
        <v>2046</v>
      </c>
      <c r="H122" s="6" t="s">
        <v>1301</v>
      </c>
      <c r="I122" t="s">
        <v>2072</v>
      </c>
      <c r="J122" s="424">
        <v>45838</v>
      </c>
      <c r="K122">
        <v>1</v>
      </c>
    </row>
    <row r="123" spans="4:11">
      <c r="D123" s="4" t="s">
        <v>2077</v>
      </c>
      <c r="E123" s="4">
        <v>2003</v>
      </c>
      <c r="F123" s="4">
        <v>1</v>
      </c>
      <c r="G123" t="s">
        <v>2046</v>
      </c>
      <c r="H123" s="6" t="s">
        <v>1301</v>
      </c>
      <c r="I123" t="s">
        <v>2072</v>
      </c>
      <c r="J123" s="424">
        <v>45838</v>
      </c>
      <c r="K123">
        <v>1</v>
      </c>
    </row>
    <row r="124" spans="4:11">
      <c r="D124" s="4" t="s">
        <v>2077</v>
      </c>
      <c r="E124" s="4">
        <v>2002</v>
      </c>
      <c r="F124" s="4">
        <v>1</v>
      </c>
      <c r="G124" t="s">
        <v>2046</v>
      </c>
      <c r="H124" s="6" t="s">
        <v>1301</v>
      </c>
      <c r="I124" t="s">
        <v>2072</v>
      </c>
      <c r="J124" s="424">
        <v>45838</v>
      </c>
      <c r="K124">
        <v>1</v>
      </c>
    </row>
    <row r="125" spans="4:11">
      <c r="D125" s="4" t="s">
        <v>2077</v>
      </c>
      <c r="E125" s="4">
        <v>2001</v>
      </c>
      <c r="F125" s="4">
        <v>1</v>
      </c>
      <c r="G125" t="s">
        <v>2046</v>
      </c>
      <c r="H125" s="6" t="s">
        <v>1301</v>
      </c>
      <c r="I125" t="s">
        <v>2072</v>
      </c>
      <c r="J125" s="424">
        <v>45838</v>
      </c>
      <c r="K125">
        <v>1</v>
      </c>
    </row>
    <row r="126" spans="4:11">
      <c r="D126" s="4" t="s">
        <v>2077</v>
      </c>
      <c r="E126" s="4">
        <v>20</v>
      </c>
      <c r="F126" s="4">
        <v>1</v>
      </c>
      <c r="G126" t="s">
        <v>2046</v>
      </c>
      <c r="H126" s="6" t="s">
        <v>1301</v>
      </c>
      <c r="I126" t="s">
        <v>2072</v>
      </c>
      <c r="J126" s="424">
        <v>45838</v>
      </c>
      <c r="K126">
        <v>1</v>
      </c>
    </row>
    <row r="134" spans="4:4">
      <c r="D134" t="s">
        <v>2078</v>
      </c>
    </row>
  </sheetData>
  <autoFilter ref="A3:N32" xr:uid="{2A92FFBB-9F7F-4D7A-BEC4-2620B0D40EAC}"/>
  <mergeCells count="2">
    <mergeCell ref="E4:E32"/>
    <mergeCell ref="D2:F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6"/>
  <sheetViews>
    <sheetView workbookViewId="0"/>
  </sheetViews>
  <sheetFormatPr defaultRowHeight="16.5"/>
  <cols>
    <col min="1" max="1" width="80.85546875" bestFit="1" customWidth="1"/>
    <col min="4" max="4" width="80.85546875" bestFit="1" customWidth="1"/>
  </cols>
  <sheetData>
    <row r="1" spans="1:4" ht="17.25" customHeight="1">
      <c r="A1" s="5" t="s">
        <v>2079</v>
      </c>
      <c r="D1" s="7" t="s">
        <v>2080</v>
      </c>
    </row>
    <row r="2" spans="1:4">
      <c r="D2" s="9" t="s">
        <v>210</v>
      </c>
    </row>
    <row r="3" spans="1:4" ht="15" customHeight="1">
      <c r="A3" s="10"/>
      <c r="D3" s="11" t="s">
        <v>149</v>
      </c>
    </row>
    <row r="4" spans="1:4">
      <c r="A4" s="8"/>
      <c r="D4" s="12"/>
    </row>
    <row r="5" spans="1:4">
      <c r="A5" s="10"/>
      <c r="D5" s="13"/>
    </row>
    <row r="6" spans="1:4">
      <c r="A6" s="8"/>
    </row>
    <row r="7" spans="1:4">
      <c r="A7" s="10"/>
    </row>
    <row r="8" spans="1:4">
      <c r="A8" s="8"/>
    </row>
    <row r="9" spans="1:4">
      <c r="A9" s="15" t="s">
        <v>69</v>
      </c>
    </row>
    <row r="10" spans="1:4">
      <c r="A10" s="290" t="s">
        <v>64</v>
      </c>
    </row>
    <row r="11" spans="1:4">
      <c r="A11" s="290" t="s">
        <v>65</v>
      </c>
    </row>
    <row r="12" spans="1:4">
      <c r="A12" s="290" t="s">
        <v>66</v>
      </c>
    </row>
    <row r="13" spans="1:4">
      <c r="A13" s="320" t="s">
        <v>67</v>
      </c>
    </row>
    <row r="14" spans="1:4">
      <c r="A14" s="8" t="s">
        <v>209</v>
      </c>
    </row>
    <row r="15" spans="1:4">
      <c r="A15" s="321" t="s">
        <v>70</v>
      </c>
    </row>
    <row r="16" spans="1:4">
      <c r="A16" t="s">
        <v>231</v>
      </c>
    </row>
    <row r="17" spans="1:1">
      <c r="A17" t="s">
        <v>146</v>
      </c>
    </row>
    <row r="18" spans="1:1">
      <c r="A18" t="s">
        <v>2081</v>
      </c>
    </row>
    <row r="19" spans="1:1">
      <c r="A19" t="s">
        <v>2082</v>
      </c>
    </row>
    <row r="20" spans="1:1">
      <c r="A20" t="s">
        <v>2083</v>
      </c>
    </row>
    <row r="21" spans="1:1">
      <c r="A21" t="s">
        <v>2084</v>
      </c>
    </row>
    <row r="22" spans="1:1">
      <c r="A22" t="s">
        <v>2085</v>
      </c>
    </row>
    <row r="23" spans="1:1">
      <c r="A23" t="s">
        <v>69</v>
      </c>
    </row>
    <row r="24" spans="1:1">
      <c r="A24" t="s">
        <v>210</v>
      </c>
    </row>
    <row r="25" spans="1:1">
      <c r="A25" t="s">
        <v>353</v>
      </c>
    </row>
    <row r="26" spans="1:1">
      <c r="A26" t="s">
        <v>2086</v>
      </c>
    </row>
    <row r="34" ht="84.75" customHeight="1"/>
    <row r="35" ht="82.5" customHeight="1"/>
    <row r="36" ht="98.25" customHeight="1"/>
  </sheetData>
  <dataValidations count="1">
    <dataValidation allowBlank="1" showInputMessage="1" showErrorMessage="1" sqref="A16:A19" xr:uid="{00000000-0002-0000-0C00-000000000000}"/>
  </dataValidation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40"/>
  <sheetViews>
    <sheetView workbookViewId="0">
      <selection activeCell="A35" sqref="A35"/>
    </sheetView>
  </sheetViews>
  <sheetFormatPr defaultColWidth="9.140625" defaultRowHeight="16.5"/>
  <cols>
    <col min="1" max="1" width="19.5703125" style="17" bestFit="1" customWidth="1"/>
    <col min="2" max="16384" width="9.140625" style="17"/>
  </cols>
  <sheetData>
    <row r="1" spans="1:2">
      <c r="A1" s="103" t="s">
        <v>2087</v>
      </c>
    </row>
    <row r="2" spans="1:2">
      <c r="A2" s="104" t="s">
        <v>1906</v>
      </c>
    </row>
    <row r="3" spans="1:2">
      <c r="A3" s="104" t="s">
        <v>2088</v>
      </c>
    </row>
    <row r="4" spans="1:2">
      <c r="A4" s="104" t="s">
        <v>1908</v>
      </c>
    </row>
    <row r="5" spans="1:2">
      <c r="A5" s="104" t="s">
        <v>2089</v>
      </c>
    </row>
    <row r="6" spans="1:2">
      <c r="A6" s="104" t="s">
        <v>2014</v>
      </c>
    </row>
    <row r="7" spans="1:2">
      <c r="A7" s="104" t="s">
        <v>2090</v>
      </c>
    </row>
    <row r="8" spans="1:2">
      <c r="A8" s="104" t="s">
        <v>2016</v>
      </c>
    </row>
    <row r="9" spans="1:2">
      <c r="A9" s="104" t="s">
        <v>299</v>
      </c>
    </row>
    <row r="10" spans="1:2">
      <c r="A10" s="104" t="s">
        <v>2018</v>
      </c>
    </row>
    <row r="11" spans="1:2">
      <c r="A11" s="104" t="s">
        <v>299</v>
      </c>
    </row>
    <row r="12" spans="1:2">
      <c r="A12" s="104" t="s">
        <v>2020</v>
      </c>
      <c r="B12" s="104" t="s">
        <v>2091</v>
      </c>
    </row>
    <row r="13" spans="1:2">
      <c r="A13" s="104" t="s">
        <v>2022</v>
      </c>
    </row>
    <row r="14" spans="1:2">
      <c r="A14" s="104"/>
    </row>
    <row r="15" spans="1:2">
      <c r="A15" s="104" t="s">
        <v>2018</v>
      </c>
    </row>
    <row r="16" spans="1:2">
      <c r="A16" s="104" t="s">
        <v>299</v>
      </c>
    </row>
    <row r="17" spans="1:1">
      <c r="A17" s="104" t="s">
        <v>2092</v>
      </c>
    </row>
    <row r="18" spans="1:1">
      <c r="A18" s="104" t="s">
        <v>2025</v>
      </c>
    </row>
    <row r="19" spans="1:1">
      <c r="A19" s="104" t="s">
        <v>299</v>
      </c>
    </row>
    <row r="20" spans="1:1">
      <c r="A20" s="104" t="s">
        <v>2093</v>
      </c>
    </row>
    <row r="23" spans="1:1">
      <c r="A23" s="103" t="s">
        <v>2094</v>
      </c>
    </row>
    <row r="24" spans="1:1">
      <c r="A24" s="17" t="s">
        <v>2095</v>
      </c>
    </row>
    <row r="25" spans="1:1">
      <c r="A25" s="17" t="s">
        <v>1908</v>
      </c>
    </row>
    <row r="26" spans="1:1">
      <c r="A26" s="17" t="s">
        <v>2096</v>
      </c>
    </row>
    <row r="27" spans="1:1">
      <c r="A27" s="17" t="s">
        <v>2014</v>
      </c>
    </row>
    <row r="28" spans="1:1">
      <c r="A28" s="17" t="s">
        <v>2097</v>
      </c>
    </row>
    <row r="29" spans="1:1">
      <c r="A29" s="17" t="s">
        <v>2018</v>
      </c>
    </row>
    <row r="30" spans="1:1">
      <c r="A30" s="17" t="s">
        <v>2098</v>
      </c>
    </row>
    <row r="31" spans="1:1">
      <c r="A31" s="17" t="s">
        <v>2099</v>
      </c>
    </row>
    <row r="32" spans="1:1">
      <c r="A32" s="17" t="s">
        <v>2100</v>
      </c>
    </row>
    <row r="33" spans="1:1">
      <c r="A33" s="17" t="s">
        <v>2101</v>
      </c>
    </row>
    <row r="34" spans="1:1">
      <c r="A34" s="17" t="s">
        <v>2018</v>
      </c>
    </row>
    <row r="35" spans="1:1">
      <c r="A35" s="17" t="s">
        <v>2102</v>
      </c>
    </row>
    <row r="36" spans="1:1">
      <c r="A36" s="17" t="s">
        <v>2103</v>
      </c>
    </row>
    <row r="37" spans="1:1">
      <c r="A37" s="17" t="s">
        <v>2104</v>
      </c>
    </row>
    <row r="38" spans="1:1">
      <c r="A38" s="17" t="s">
        <v>2105</v>
      </c>
    </row>
    <row r="39" spans="1:1">
      <c r="A39" s="17" t="s">
        <v>2106</v>
      </c>
    </row>
    <row r="40" spans="1:1">
      <c r="A40" s="17" t="s">
        <v>2018</v>
      </c>
    </row>
    <row r="41" spans="1:1">
      <c r="A41" s="17" t="s">
        <v>2020</v>
      </c>
    </row>
    <row r="42" spans="1:1">
      <c r="A42" s="17" t="s">
        <v>2107</v>
      </c>
    </row>
    <row r="43" spans="1:1">
      <c r="A43" s="17" t="s">
        <v>2108</v>
      </c>
    </row>
    <row r="44" spans="1:1">
      <c r="A44" s="17" t="s">
        <v>2018</v>
      </c>
    </row>
    <row r="45" spans="1:1">
      <c r="A45" s="17" t="s">
        <v>2020</v>
      </c>
    </row>
    <row r="46" spans="1:1">
      <c r="A46" s="17" t="s">
        <v>2109</v>
      </c>
    </row>
    <row r="47" spans="1:1">
      <c r="A47" s="17" t="s">
        <v>2110</v>
      </c>
    </row>
    <row r="48" spans="1:1">
      <c r="A48" s="17" t="s">
        <v>2111</v>
      </c>
    </row>
    <row r="49" spans="1:1">
      <c r="A49" s="17" t="s">
        <v>2112</v>
      </c>
    </row>
    <row r="50" spans="1:1">
      <c r="A50" s="17" t="s">
        <v>2113</v>
      </c>
    </row>
    <row r="51" spans="1:1">
      <c r="A51" s="17" t="s">
        <v>1355</v>
      </c>
    </row>
    <row r="52" spans="1:1">
      <c r="A52" s="17" t="s">
        <v>2114</v>
      </c>
    </row>
    <row r="53" spans="1:1">
      <c r="A53" s="17" t="s">
        <v>2115</v>
      </c>
    </row>
    <row r="54" spans="1:1">
      <c r="A54" s="17" t="s">
        <v>2116</v>
      </c>
    </row>
    <row r="55" spans="1:1">
      <c r="A55" s="17" t="s">
        <v>2117</v>
      </c>
    </row>
    <row r="58" spans="1:1">
      <c r="A58" s="103" t="s">
        <v>2118</v>
      </c>
    </row>
    <row r="59" spans="1:1">
      <c r="A59" s="17" t="s">
        <v>2119</v>
      </c>
    </row>
    <row r="60" spans="1:1">
      <c r="A60" s="17" t="s">
        <v>2020</v>
      </c>
    </row>
    <row r="61" spans="1:1">
      <c r="A61" s="17" t="s">
        <v>2120</v>
      </c>
    </row>
    <row r="62" spans="1:1">
      <c r="A62" s="17" t="s">
        <v>2121</v>
      </c>
    </row>
    <row r="63" spans="1:1">
      <c r="A63" s="17" t="s">
        <v>2122</v>
      </c>
    </row>
    <row r="64" spans="1:1">
      <c r="A64" s="17" t="s">
        <v>2123</v>
      </c>
    </row>
    <row r="65" spans="1:1">
      <c r="A65" s="17" t="s">
        <v>2124</v>
      </c>
    </row>
    <row r="67" spans="1:1">
      <c r="A67" s="519" t="s">
        <v>2125</v>
      </c>
    </row>
    <row r="68" spans="1:1">
      <c r="A68" s="17" t="s">
        <v>2018</v>
      </c>
    </row>
    <row r="69" spans="1:1">
      <c r="A69" s="17" t="s">
        <v>2020</v>
      </c>
    </row>
    <row r="70" spans="1:1">
      <c r="A70" s="17" t="s">
        <v>2107</v>
      </c>
    </row>
    <row r="71" spans="1:1">
      <c r="A71" s="17" t="s">
        <v>2126</v>
      </c>
    </row>
    <row r="72" spans="1:1">
      <c r="A72" s="17" t="s">
        <v>2018</v>
      </c>
    </row>
    <row r="73" spans="1:1">
      <c r="A73" s="17" t="s">
        <v>2020</v>
      </c>
    </row>
    <row r="74" spans="1:1">
      <c r="A74" s="17" t="s">
        <v>2109</v>
      </c>
    </row>
    <row r="75" spans="1:1">
      <c r="A75" s="17" t="s">
        <v>2110</v>
      </c>
    </row>
    <row r="76" spans="1:1">
      <c r="A76" s="17" t="s">
        <v>2111</v>
      </c>
    </row>
    <row r="77" spans="1:1">
      <c r="A77" s="17" t="s">
        <v>2112</v>
      </c>
    </row>
    <row r="78" spans="1:1">
      <c r="A78" s="17" t="s">
        <v>2127</v>
      </c>
    </row>
    <row r="101" spans="1:1">
      <c r="A101" s="103"/>
    </row>
    <row r="102" spans="1:1">
      <c r="A102" s="103" t="s">
        <v>2128</v>
      </c>
    </row>
    <row r="103" spans="1:1">
      <c r="A103" s="17" t="s">
        <v>2129</v>
      </c>
    </row>
    <row r="104" spans="1:1">
      <c r="A104" s="17" t="s">
        <v>2088</v>
      </c>
    </row>
    <row r="105" spans="1:1">
      <c r="A105" s="17" t="s">
        <v>1908</v>
      </c>
    </row>
    <row r="106" spans="1:1">
      <c r="A106" s="17" t="s">
        <v>2089</v>
      </c>
    </row>
    <row r="107" spans="1:1">
      <c r="A107" s="17" t="s">
        <v>2014</v>
      </c>
    </row>
    <row r="108" spans="1:1">
      <c r="A108" s="17" t="s">
        <v>2015</v>
      </c>
    </row>
    <row r="109" spans="1:1">
      <c r="A109" s="17" t="s">
        <v>2130</v>
      </c>
    </row>
    <row r="110" spans="1:1">
      <c r="A110" s="17" t="s">
        <v>2016</v>
      </c>
    </row>
    <row r="111" spans="1:1">
      <c r="A111" s="17" t="s">
        <v>2131</v>
      </c>
    </row>
    <row r="112" spans="1:1">
      <c r="A112" s="17" t="s">
        <v>2018</v>
      </c>
    </row>
    <row r="113" spans="1:2">
      <c r="A113" s="17" t="s">
        <v>2131</v>
      </c>
    </row>
    <row r="114" spans="1:2">
      <c r="A114" s="17" t="s">
        <v>2020</v>
      </c>
      <c r="B114" s="17" t="s">
        <v>2132</v>
      </c>
    </row>
    <row r="115" spans="1:2">
      <c r="A115" s="17" t="s">
        <v>2133</v>
      </c>
    </row>
    <row r="116" spans="1:2">
      <c r="A116" s="17" t="s">
        <v>2134</v>
      </c>
    </row>
    <row r="117" spans="1:2">
      <c r="A117" s="17" t="s">
        <v>2135</v>
      </c>
    </row>
    <row r="118" spans="1:2">
      <c r="A118" s="17" t="s">
        <v>2136</v>
      </c>
    </row>
    <row r="120" spans="1:2">
      <c r="A120" s="17" t="s">
        <v>2137</v>
      </c>
    </row>
    <row r="121" spans="1:2">
      <c r="A121" s="17" t="s">
        <v>78</v>
      </c>
    </row>
    <row r="122" spans="1:2">
      <c r="A122" s="17" t="s">
        <v>2138</v>
      </c>
    </row>
    <row r="123" spans="1:2">
      <c r="A123" s="17" t="s">
        <v>2139</v>
      </c>
    </row>
    <row r="124" spans="1:2">
      <c r="A124" s="17" t="s">
        <v>2140</v>
      </c>
    </row>
    <row r="125" spans="1:2">
      <c r="A125" s="17" t="s">
        <v>2141</v>
      </c>
    </row>
    <row r="126" spans="1:2">
      <c r="A126" s="17" t="s">
        <v>2142</v>
      </c>
    </row>
    <row r="127" spans="1:2">
      <c r="A127" s="17" t="s">
        <v>2143</v>
      </c>
    </row>
    <row r="128" spans="1:2">
      <c r="A128" s="17" t="s">
        <v>2141</v>
      </c>
    </row>
    <row r="129" spans="1:1">
      <c r="A129" s="17" t="s">
        <v>2144</v>
      </c>
    </row>
    <row r="130" spans="1:1">
      <c r="A130" s="17" t="s">
        <v>2145</v>
      </c>
    </row>
    <row r="131" spans="1:1">
      <c r="A131" s="17" t="s">
        <v>2146</v>
      </c>
    </row>
    <row r="132" spans="1:1">
      <c r="A132" s="17" t="s">
        <v>2147</v>
      </c>
    </row>
    <row r="133" spans="1:1">
      <c r="A133" s="17" t="s">
        <v>2022</v>
      </c>
    </row>
    <row r="135" spans="1:1">
      <c r="A135" s="17" t="s">
        <v>2018</v>
      </c>
    </row>
    <row r="136" spans="1:1">
      <c r="A136" s="17" t="s">
        <v>299</v>
      </c>
    </row>
    <row r="137" spans="1:1">
      <c r="A137" s="17" t="s">
        <v>2024</v>
      </c>
    </row>
    <row r="138" spans="1:1">
      <c r="A138" s="17" t="s">
        <v>2025</v>
      </c>
    </row>
    <row r="139" spans="1:1">
      <c r="A139" s="17" t="s">
        <v>299</v>
      </c>
    </row>
    <row r="140" spans="1:1">
      <c r="A140" s="17" t="s">
        <v>2093</v>
      </c>
    </row>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AE0CF-A1D1-43DB-B089-C354EE5FC516}">
  <dimension ref="B1:P110"/>
  <sheetViews>
    <sheetView zoomScale="80" zoomScaleNormal="80" workbookViewId="0">
      <selection activeCell="A38" sqref="A38"/>
    </sheetView>
  </sheetViews>
  <sheetFormatPr defaultRowHeight="16.5"/>
  <cols>
    <col min="1" max="1" width="1.140625" customWidth="1"/>
    <col min="2" max="2" width="35.5703125" customWidth="1"/>
    <col min="3" max="3" width="18.140625" customWidth="1"/>
    <col min="4" max="4" width="31.5703125" customWidth="1"/>
    <col min="5" max="5" width="29.42578125" customWidth="1"/>
    <col min="6" max="6" width="32.140625" bestFit="1" customWidth="1"/>
    <col min="7" max="7" width="22" bestFit="1" customWidth="1"/>
    <col min="8" max="8" width="17.42578125" customWidth="1"/>
    <col min="9" max="9" width="17.85546875" customWidth="1"/>
    <col min="10" max="10" width="18.5703125" customWidth="1"/>
    <col min="11" max="11" width="15.5703125" customWidth="1"/>
    <col min="12" max="12" width="10" customWidth="1"/>
    <col min="13" max="13" width="16" customWidth="1"/>
    <col min="14" max="14" width="19.85546875" customWidth="1"/>
    <col min="15" max="15" width="15.42578125" customWidth="1"/>
    <col min="16" max="16" width="14.5703125" customWidth="1"/>
  </cols>
  <sheetData>
    <row r="1" spans="2:15" s="107" customFormat="1" ht="17.25" customHeight="1">
      <c r="B1" s="895" t="s">
        <v>2148</v>
      </c>
      <c r="C1" s="895"/>
      <c r="D1" s="895"/>
      <c r="E1" s="895"/>
      <c r="F1" s="895"/>
      <c r="G1" s="895"/>
      <c r="H1" s="895"/>
      <c r="I1" s="895"/>
      <c r="J1" s="895"/>
      <c r="K1" s="895"/>
    </row>
    <row r="2" spans="2:15" s="107" customFormat="1" ht="195" customHeight="1">
      <c r="B2" s="902" t="s">
        <v>2149</v>
      </c>
      <c r="C2" s="903"/>
      <c r="D2" s="903"/>
      <c r="E2" s="903"/>
      <c r="F2" s="903"/>
      <c r="G2" s="903"/>
      <c r="H2" s="903"/>
      <c r="I2" s="903"/>
      <c r="J2" s="903"/>
      <c r="K2" s="903"/>
      <c r="L2" s="903"/>
      <c r="M2" s="903"/>
      <c r="N2" s="904"/>
      <c r="O2" s="588"/>
    </row>
    <row r="3" spans="2:15" s="107" customFormat="1">
      <c r="B3" s="905"/>
      <c r="C3" s="906"/>
      <c r="D3" s="906"/>
      <c r="E3" s="906"/>
      <c r="F3" s="906"/>
      <c r="G3" s="906"/>
      <c r="H3" s="906"/>
      <c r="I3" s="906"/>
      <c r="J3" s="906"/>
      <c r="K3" s="906"/>
      <c r="L3" s="906"/>
      <c r="M3" s="906"/>
      <c r="N3" s="907"/>
      <c r="O3" s="588"/>
    </row>
    <row r="4" spans="2:15" s="107" customFormat="1">
      <c r="B4" s="905"/>
      <c r="C4" s="906"/>
      <c r="D4" s="906"/>
      <c r="E4" s="906"/>
      <c r="F4" s="906"/>
      <c r="G4" s="906"/>
      <c r="H4" s="906"/>
      <c r="I4" s="906"/>
      <c r="J4" s="906"/>
      <c r="K4" s="906"/>
      <c r="L4" s="906"/>
      <c r="M4" s="906"/>
      <c r="N4" s="907"/>
      <c r="O4" s="588"/>
    </row>
    <row r="5" spans="2:15" s="107" customFormat="1">
      <c r="B5" s="905"/>
      <c r="C5" s="906"/>
      <c r="D5" s="906"/>
      <c r="E5" s="906"/>
      <c r="F5" s="906"/>
      <c r="G5" s="906"/>
      <c r="H5" s="906"/>
      <c r="I5" s="906"/>
      <c r="J5" s="906"/>
      <c r="K5" s="906"/>
      <c r="L5" s="906"/>
      <c r="M5" s="906"/>
      <c r="N5" s="907"/>
      <c r="O5" s="588"/>
    </row>
    <row r="6" spans="2:15" s="107" customFormat="1">
      <c r="B6" s="905"/>
      <c r="C6" s="906"/>
      <c r="D6" s="906"/>
      <c r="E6" s="906"/>
      <c r="F6" s="906"/>
      <c r="G6" s="906"/>
      <c r="H6" s="906"/>
      <c r="I6" s="906"/>
      <c r="J6" s="906"/>
      <c r="K6" s="906"/>
      <c r="L6" s="906"/>
      <c r="M6" s="906"/>
      <c r="N6" s="907"/>
      <c r="O6" s="588"/>
    </row>
    <row r="7" spans="2:15" s="107" customFormat="1">
      <c r="B7" s="905"/>
      <c r="C7" s="906"/>
      <c r="D7" s="906"/>
      <c r="E7" s="906"/>
      <c r="F7" s="906"/>
      <c r="G7" s="906"/>
      <c r="H7" s="906"/>
      <c r="I7" s="906"/>
      <c r="J7" s="906"/>
      <c r="K7" s="906"/>
      <c r="L7" s="906"/>
      <c r="M7" s="906"/>
      <c r="N7" s="907"/>
      <c r="O7" s="588"/>
    </row>
    <row r="8" spans="2:15" s="107" customFormat="1">
      <c r="B8" s="905"/>
      <c r="C8" s="906"/>
      <c r="D8" s="906"/>
      <c r="E8" s="906"/>
      <c r="F8" s="906"/>
      <c r="G8" s="906"/>
      <c r="H8" s="906"/>
      <c r="I8" s="906"/>
      <c r="J8" s="906"/>
      <c r="K8" s="906"/>
      <c r="L8" s="906"/>
      <c r="M8" s="906"/>
      <c r="N8" s="907"/>
      <c r="O8" s="588"/>
    </row>
    <row r="9" spans="2:15" s="107" customFormat="1" ht="12.75" customHeight="1">
      <c r="B9" s="908"/>
      <c r="C9" s="909"/>
      <c r="D9" s="909"/>
      <c r="E9" s="909"/>
      <c r="F9" s="909"/>
      <c r="G9" s="909"/>
      <c r="H9" s="909"/>
      <c r="I9" s="909"/>
      <c r="J9" s="909"/>
      <c r="K9" s="909"/>
      <c r="L9" s="909"/>
      <c r="M9" s="909"/>
      <c r="N9" s="910"/>
      <c r="O9" s="588"/>
    </row>
    <row r="10" spans="2:15" s="107" customFormat="1" ht="11.25" customHeight="1"/>
    <row r="11" spans="2:15" s="107" customFormat="1" ht="14.25" customHeight="1">
      <c r="B11" s="895" t="s">
        <v>2150</v>
      </c>
      <c r="C11" s="895"/>
      <c r="D11" s="895"/>
      <c r="E11" s="895"/>
      <c r="F11" s="895"/>
      <c r="G11" s="895"/>
      <c r="H11" s="895"/>
      <c r="I11" s="895"/>
      <c r="J11" s="895"/>
      <c r="K11" s="895"/>
    </row>
    <row r="12" spans="2:15" s="107" customFormat="1" ht="14.25" customHeight="1">
      <c r="B12" s="896" t="s">
        <v>2151</v>
      </c>
      <c r="C12" s="897"/>
      <c r="D12" s="897"/>
      <c r="E12" s="897"/>
      <c r="F12" s="897"/>
      <c r="G12" s="897"/>
      <c r="H12" s="897"/>
      <c r="I12" s="897"/>
      <c r="J12" s="897"/>
      <c r="K12" s="897"/>
      <c r="L12" s="897"/>
      <c r="M12" s="897"/>
      <c r="N12" s="898"/>
    </row>
    <row r="13" spans="2:15" s="107" customFormat="1" ht="14.25" customHeight="1">
      <c r="B13" s="899"/>
      <c r="C13" s="900"/>
      <c r="D13" s="900"/>
      <c r="E13" s="900"/>
      <c r="F13" s="900"/>
      <c r="G13" s="900"/>
      <c r="H13" s="900"/>
      <c r="I13" s="900"/>
      <c r="J13" s="900"/>
      <c r="K13" s="900"/>
      <c r="L13" s="900"/>
      <c r="M13" s="900"/>
      <c r="N13" s="901"/>
    </row>
    <row r="14" spans="2:15" s="107" customFormat="1" ht="14.25" customHeight="1">
      <c r="B14" s="584"/>
      <c r="C14" s="584"/>
      <c r="D14" s="584"/>
      <c r="E14" s="584"/>
      <c r="F14" s="584"/>
      <c r="G14" s="584"/>
      <c r="H14" s="584"/>
      <c r="I14" s="584"/>
      <c r="J14" s="584"/>
      <c r="K14" s="584"/>
    </row>
    <row r="15" spans="2:15" s="107" customFormat="1" ht="14.25" customHeight="1">
      <c r="B15" s="584"/>
      <c r="C15" s="584"/>
      <c r="D15" s="584"/>
      <c r="E15" s="584"/>
      <c r="F15" s="584"/>
      <c r="G15" s="584"/>
      <c r="H15" s="584"/>
      <c r="I15" s="584"/>
      <c r="J15" s="584"/>
      <c r="K15" s="584"/>
    </row>
    <row r="16" spans="2:15" s="107" customFormat="1"/>
    <row r="17" spans="2:15" s="107" customFormat="1" ht="20.25" customHeight="1">
      <c r="B17" s="895" t="s">
        <v>2152</v>
      </c>
      <c r="C17" s="895"/>
      <c r="D17" s="895"/>
      <c r="E17" s="895"/>
      <c r="F17" s="895"/>
      <c r="G17" s="895"/>
      <c r="H17" s="895"/>
      <c r="I17" s="895"/>
      <c r="J17" s="895"/>
      <c r="K17" s="895"/>
    </row>
    <row r="18" spans="2:15" s="107" customFormat="1" ht="138" customHeight="1">
      <c r="B18" s="902" t="s">
        <v>2153</v>
      </c>
      <c r="C18" s="903"/>
      <c r="D18" s="903"/>
      <c r="E18" s="903"/>
      <c r="F18" s="903"/>
      <c r="G18" s="903"/>
      <c r="H18" s="903"/>
      <c r="I18" s="903"/>
      <c r="J18" s="903"/>
      <c r="K18" s="903"/>
      <c r="L18" s="903"/>
      <c r="M18" s="903"/>
      <c r="N18" s="904"/>
      <c r="O18" s="214"/>
    </row>
    <row r="19" spans="2:15" s="107" customFormat="1">
      <c r="B19" s="905"/>
      <c r="C19" s="906"/>
      <c r="D19" s="906"/>
      <c r="E19" s="906"/>
      <c r="F19" s="906"/>
      <c r="G19" s="906"/>
      <c r="H19" s="906"/>
      <c r="I19" s="906"/>
      <c r="J19" s="906"/>
      <c r="K19" s="906"/>
      <c r="L19" s="906"/>
      <c r="M19" s="906"/>
      <c r="N19" s="907"/>
      <c r="O19" s="214"/>
    </row>
    <row r="20" spans="2:15" s="107" customFormat="1">
      <c r="B20" s="905"/>
      <c r="C20" s="906"/>
      <c r="D20" s="906"/>
      <c r="E20" s="906"/>
      <c r="F20" s="906"/>
      <c r="G20" s="906"/>
      <c r="H20" s="906"/>
      <c r="I20" s="906"/>
      <c r="J20" s="906"/>
      <c r="K20" s="906"/>
      <c r="L20" s="906"/>
      <c r="M20" s="906"/>
      <c r="N20" s="907"/>
      <c r="O20" s="214"/>
    </row>
    <row r="21" spans="2:15" s="107" customFormat="1">
      <c r="B21" s="905"/>
      <c r="C21" s="906"/>
      <c r="D21" s="906"/>
      <c r="E21" s="906"/>
      <c r="F21" s="906"/>
      <c r="G21" s="906"/>
      <c r="H21" s="906"/>
      <c r="I21" s="906"/>
      <c r="J21" s="906"/>
      <c r="K21" s="906"/>
      <c r="L21" s="906"/>
      <c r="M21" s="906"/>
      <c r="N21" s="907"/>
      <c r="O21" s="214"/>
    </row>
    <row r="22" spans="2:15" s="107" customFormat="1">
      <c r="B22" s="905"/>
      <c r="C22" s="906"/>
      <c r="D22" s="906"/>
      <c r="E22" s="906"/>
      <c r="F22" s="906"/>
      <c r="G22" s="906"/>
      <c r="H22" s="906"/>
      <c r="I22" s="906"/>
      <c r="J22" s="906"/>
      <c r="K22" s="906"/>
      <c r="L22" s="906"/>
      <c r="M22" s="906"/>
      <c r="N22" s="907"/>
      <c r="O22" s="214"/>
    </row>
    <row r="23" spans="2:15" s="107" customFormat="1">
      <c r="B23" s="905"/>
      <c r="C23" s="906"/>
      <c r="D23" s="906"/>
      <c r="E23" s="906"/>
      <c r="F23" s="906"/>
      <c r="G23" s="906"/>
      <c r="H23" s="906"/>
      <c r="I23" s="906"/>
      <c r="J23" s="906"/>
      <c r="K23" s="906"/>
      <c r="L23" s="906"/>
      <c r="M23" s="906"/>
      <c r="N23" s="907"/>
      <c r="O23" s="214"/>
    </row>
    <row r="24" spans="2:15" s="107" customFormat="1">
      <c r="B24" s="905"/>
      <c r="C24" s="906"/>
      <c r="D24" s="906"/>
      <c r="E24" s="906"/>
      <c r="F24" s="906"/>
      <c r="G24" s="906"/>
      <c r="H24" s="906"/>
      <c r="I24" s="906"/>
      <c r="J24" s="906"/>
      <c r="K24" s="906"/>
      <c r="L24" s="906"/>
      <c r="M24" s="906"/>
      <c r="N24" s="907"/>
      <c r="O24" s="214"/>
    </row>
    <row r="25" spans="2:15" s="107" customFormat="1">
      <c r="B25" s="905"/>
      <c r="C25" s="906"/>
      <c r="D25" s="906"/>
      <c r="E25" s="906"/>
      <c r="F25" s="906"/>
      <c r="G25" s="906"/>
      <c r="H25" s="906"/>
      <c r="I25" s="906"/>
      <c r="J25" s="906"/>
      <c r="K25" s="906"/>
      <c r="L25" s="906"/>
      <c r="M25" s="906"/>
      <c r="N25" s="907"/>
      <c r="O25" s="214"/>
    </row>
    <row r="26" spans="2:15" s="107" customFormat="1">
      <c r="B26" s="905"/>
      <c r="C26" s="906"/>
      <c r="D26" s="906"/>
      <c r="E26" s="906"/>
      <c r="F26" s="906"/>
      <c r="G26" s="906"/>
      <c r="H26" s="906"/>
      <c r="I26" s="906"/>
      <c r="J26" s="906"/>
      <c r="K26" s="906"/>
      <c r="L26" s="906"/>
      <c r="M26" s="906"/>
      <c r="N26" s="907"/>
      <c r="O26" s="214"/>
    </row>
    <row r="27" spans="2:15" s="107" customFormat="1">
      <c r="B27" s="905"/>
      <c r="C27" s="906"/>
      <c r="D27" s="906"/>
      <c r="E27" s="906"/>
      <c r="F27" s="906"/>
      <c r="G27" s="906"/>
      <c r="H27" s="906"/>
      <c r="I27" s="906"/>
      <c r="J27" s="906"/>
      <c r="K27" s="906"/>
      <c r="L27" s="906"/>
      <c r="M27" s="906"/>
      <c r="N27" s="907"/>
      <c r="O27" s="214"/>
    </row>
    <row r="28" spans="2:15" s="107" customFormat="1">
      <c r="B28" s="905"/>
      <c r="C28" s="906"/>
      <c r="D28" s="906"/>
      <c r="E28" s="906"/>
      <c r="F28" s="906"/>
      <c r="G28" s="906"/>
      <c r="H28" s="906"/>
      <c r="I28" s="906"/>
      <c r="J28" s="906"/>
      <c r="K28" s="906"/>
      <c r="L28" s="906"/>
      <c r="M28" s="906"/>
      <c r="N28" s="907"/>
      <c r="O28" s="214"/>
    </row>
    <row r="29" spans="2:15" s="107" customFormat="1">
      <c r="B29" s="908"/>
      <c r="C29" s="909"/>
      <c r="D29" s="909"/>
      <c r="E29" s="909"/>
      <c r="F29" s="909"/>
      <c r="G29" s="909"/>
      <c r="H29" s="909"/>
      <c r="I29" s="909"/>
      <c r="J29" s="909"/>
      <c r="K29" s="909"/>
      <c r="L29" s="909"/>
      <c r="M29" s="909"/>
      <c r="N29" s="910"/>
      <c r="O29" s="214"/>
    </row>
    <row r="30" spans="2:15" s="107" customFormat="1">
      <c r="B30" s="640"/>
      <c r="C30" s="640"/>
      <c r="D30" s="640"/>
      <c r="E30" s="640"/>
      <c r="F30" s="640"/>
      <c r="G30" s="640"/>
      <c r="H30" s="640"/>
      <c r="I30" s="640"/>
      <c r="J30" s="640"/>
      <c r="K30" s="640"/>
      <c r="L30" s="640"/>
      <c r="M30" s="640"/>
      <c r="N30" s="640"/>
      <c r="O30" s="214"/>
    </row>
    <row r="31" spans="2:15" s="107" customFormat="1" ht="15" customHeight="1">
      <c r="B31" s="895" t="s">
        <v>2154</v>
      </c>
      <c r="C31" s="895"/>
      <c r="D31" s="895"/>
      <c r="E31" s="895"/>
      <c r="F31" s="895"/>
      <c r="G31" s="895"/>
      <c r="H31" s="895"/>
      <c r="I31" s="895"/>
      <c r="J31" s="895"/>
      <c r="K31" s="895"/>
    </row>
    <row r="32" spans="2:15" s="107" customFormat="1">
      <c r="B32" s="896" t="s">
        <v>2155</v>
      </c>
      <c r="C32" s="897"/>
      <c r="D32" s="897"/>
      <c r="E32" s="897"/>
      <c r="F32" s="897"/>
      <c r="G32" s="897"/>
      <c r="H32" s="897"/>
      <c r="I32" s="897"/>
      <c r="J32" s="897"/>
      <c r="K32" s="897"/>
      <c r="L32" s="897"/>
      <c r="M32" s="897"/>
      <c r="N32" s="898"/>
    </row>
    <row r="33" spans="2:15" s="107" customFormat="1">
      <c r="B33" s="899"/>
      <c r="C33" s="900"/>
      <c r="D33" s="900"/>
      <c r="E33" s="900"/>
      <c r="F33" s="900"/>
      <c r="G33" s="900"/>
      <c r="H33" s="900"/>
      <c r="I33" s="900"/>
      <c r="J33" s="900"/>
      <c r="K33" s="900"/>
      <c r="L33" s="900"/>
      <c r="M33" s="900"/>
      <c r="N33" s="901"/>
    </row>
    <row r="34" spans="2:15" s="107" customFormat="1">
      <c r="B34" s="640"/>
      <c r="C34" s="640"/>
      <c r="D34" s="640"/>
      <c r="E34" s="640"/>
      <c r="F34" s="640"/>
      <c r="G34" s="640"/>
      <c r="H34" s="640"/>
      <c r="I34" s="640"/>
      <c r="J34" s="640"/>
      <c r="K34" s="640"/>
      <c r="L34" s="640"/>
      <c r="M34" s="640"/>
      <c r="N34" s="640"/>
      <c r="O34" s="214"/>
    </row>
    <row r="35" spans="2:15" s="107" customFormat="1">
      <c r="B35" s="640"/>
      <c r="C35" s="640"/>
      <c r="D35" s="640"/>
      <c r="E35" s="640"/>
      <c r="F35" s="640"/>
      <c r="G35" s="640"/>
      <c r="H35" s="640"/>
      <c r="I35" s="640"/>
      <c r="J35" s="640"/>
      <c r="K35" s="640"/>
      <c r="L35" s="640"/>
      <c r="M35" s="640"/>
      <c r="N35" s="640"/>
      <c r="O35" s="214"/>
    </row>
    <row r="36" spans="2:15" s="107" customFormat="1"/>
    <row r="37" spans="2:15" s="107" customFormat="1" ht="18.75" customHeight="1">
      <c r="B37" s="895" t="s">
        <v>2156</v>
      </c>
      <c r="C37" s="895"/>
      <c r="D37" s="895"/>
      <c r="E37" s="895"/>
      <c r="F37" s="895"/>
      <c r="G37" s="895"/>
      <c r="H37" s="895"/>
      <c r="I37" s="895"/>
      <c r="J37" s="895"/>
      <c r="K37" s="895"/>
    </row>
    <row r="38" spans="2:15" s="107" customFormat="1" ht="44.25" customHeight="1">
      <c r="B38" s="911" t="s">
        <v>2157</v>
      </c>
      <c r="C38" s="897"/>
      <c r="D38" s="897"/>
      <c r="E38" s="897"/>
      <c r="F38" s="897"/>
      <c r="G38" s="897"/>
      <c r="H38" s="897"/>
      <c r="I38" s="897"/>
      <c r="J38" s="897"/>
      <c r="K38" s="897"/>
      <c r="L38" s="897"/>
      <c r="M38" s="897"/>
      <c r="N38" s="897"/>
      <c r="O38" s="898"/>
    </row>
    <row r="39" spans="2:15" s="107" customFormat="1" ht="44.25" customHeight="1">
      <c r="B39" s="912"/>
      <c r="C39" s="913"/>
      <c r="D39" s="913"/>
      <c r="E39" s="913"/>
      <c r="F39" s="913"/>
      <c r="G39" s="913"/>
      <c r="H39" s="913"/>
      <c r="I39" s="913"/>
      <c r="J39" s="913"/>
      <c r="K39" s="913"/>
      <c r="L39" s="913"/>
      <c r="M39" s="913"/>
      <c r="N39" s="913"/>
      <c r="O39" s="914"/>
    </row>
    <row r="40" spans="2:15" s="107" customFormat="1" ht="44.25" customHeight="1">
      <c r="B40" s="912"/>
      <c r="C40" s="913"/>
      <c r="D40" s="913"/>
      <c r="E40" s="913"/>
      <c r="F40" s="913"/>
      <c r="G40" s="913"/>
      <c r="H40" s="913"/>
      <c r="I40" s="913"/>
      <c r="J40" s="913"/>
      <c r="K40" s="913"/>
      <c r="L40" s="913"/>
      <c r="M40" s="913"/>
      <c r="N40" s="913"/>
      <c r="O40" s="914"/>
    </row>
    <row r="41" spans="2:15" s="107" customFormat="1" ht="44.25" customHeight="1">
      <c r="B41" s="912"/>
      <c r="C41" s="913"/>
      <c r="D41" s="913"/>
      <c r="E41" s="913"/>
      <c r="F41" s="913"/>
      <c r="G41" s="913"/>
      <c r="H41" s="913"/>
      <c r="I41" s="913"/>
      <c r="J41" s="913"/>
      <c r="K41" s="913"/>
      <c r="L41" s="913"/>
      <c r="M41" s="913"/>
      <c r="N41" s="913"/>
      <c r="O41" s="914"/>
    </row>
    <row r="42" spans="2:15" s="107" customFormat="1" ht="44.25" customHeight="1">
      <c r="B42" s="912"/>
      <c r="C42" s="913"/>
      <c r="D42" s="913"/>
      <c r="E42" s="913"/>
      <c r="F42" s="913"/>
      <c r="G42" s="913"/>
      <c r="H42" s="913"/>
      <c r="I42" s="913"/>
      <c r="J42" s="913"/>
      <c r="K42" s="913"/>
      <c r="L42" s="913"/>
      <c r="M42" s="913"/>
      <c r="N42" s="913"/>
      <c r="O42" s="914"/>
    </row>
    <row r="43" spans="2:15" s="107" customFormat="1" ht="44.25" customHeight="1">
      <c r="B43" s="912"/>
      <c r="C43" s="913"/>
      <c r="D43" s="913"/>
      <c r="E43" s="913"/>
      <c r="F43" s="913"/>
      <c r="G43" s="913"/>
      <c r="H43" s="913"/>
      <c r="I43" s="913"/>
      <c r="J43" s="913"/>
      <c r="K43" s="913"/>
      <c r="L43" s="913"/>
      <c r="M43" s="913"/>
      <c r="N43" s="913"/>
      <c r="O43" s="914"/>
    </row>
    <row r="44" spans="2:15" s="107" customFormat="1" ht="44.25" customHeight="1">
      <c r="B44" s="912"/>
      <c r="C44" s="913"/>
      <c r="D44" s="913"/>
      <c r="E44" s="913"/>
      <c r="F44" s="913"/>
      <c r="G44" s="913"/>
      <c r="H44" s="913"/>
      <c r="I44" s="913"/>
      <c r="J44" s="913"/>
      <c r="K44" s="913"/>
      <c r="L44" s="913"/>
      <c r="M44" s="913"/>
      <c r="N44" s="913"/>
      <c r="O44" s="914"/>
    </row>
    <row r="45" spans="2:15" s="107" customFormat="1" ht="44.25" customHeight="1">
      <c r="B45" s="899"/>
      <c r="C45" s="900"/>
      <c r="D45" s="900"/>
      <c r="E45" s="900"/>
      <c r="F45" s="900"/>
      <c r="G45" s="900"/>
      <c r="H45" s="900"/>
      <c r="I45" s="900"/>
      <c r="J45" s="900"/>
      <c r="K45" s="900"/>
      <c r="L45" s="900"/>
      <c r="M45" s="900"/>
      <c r="N45" s="900"/>
      <c r="O45" s="901"/>
    </row>
    <row r="46" spans="2:15" s="107" customFormat="1" ht="14.25" customHeight="1">
      <c r="B46" s="122"/>
      <c r="C46" s="122"/>
      <c r="D46" s="122"/>
      <c r="E46" s="122"/>
      <c r="F46" s="122"/>
      <c r="G46" s="122"/>
      <c r="H46" s="122"/>
      <c r="I46" s="122"/>
      <c r="J46" s="122"/>
      <c r="K46" s="122"/>
      <c r="L46" s="122"/>
      <c r="M46" s="122"/>
      <c r="N46" s="122"/>
      <c r="O46" s="122"/>
    </row>
    <row r="47" spans="2:15" s="107" customFormat="1" ht="18.75" customHeight="1">
      <c r="B47" s="895" t="s">
        <v>2158</v>
      </c>
      <c r="C47" s="895"/>
      <c r="D47" s="895"/>
      <c r="E47" s="895"/>
      <c r="F47" s="895"/>
      <c r="G47" s="895"/>
      <c r="H47" s="895"/>
      <c r="I47" s="895"/>
      <c r="J47" s="895"/>
      <c r="K47" s="895"/>
    </row>
    <row r="48" spans="2:15" s="107" customFormat="1" ht="17.25" customHeight="1">
      <c r="B48" s="896" t="s">
        <v>2159</v>
      </c>
      <c r="C48" s="897"/>
      <c r="D48" s="897"/>
      <c r="E48" s="897"/>
      <c r="F48" s="897"/>
      <c r="G48" s="897"/>
      <c r="H48" s="897"/>
      <c r="I48" s="897"/>
      <c r="J48" s="897"/>
      <c r="K48" s="897"/>
      <c r="L48" s="897"/>
      <c r="M48" s="897"/>
      <c r="N48" s="898"/>
    </row>
    <row r="49" spans="2:15" s="107" customFormat="1" ht="17.25" customHeight="1">
      <c r="B49" s="899"/>
      <c r="C49" s="900"/>
      <c r="D49" s="900"/>
      <c r="E49" s="900"/>
      <c r="F49" s="900"/>
      <c r="G49" s="900"/>
      <c r="H49" s="900"/>
      <c r="I49" s="900"/>
      <c r="J49" s="900"/>
      <c r="K49" s="900"/>
      <c r="L49" s="900"/>
      <c r="M49" s="900"/>
      <c r="N49" s="901"/>
    </row>
    <row r="50" spans="2:15" s="107" customFormat="1" ht="14.25" customHeight="1">
      <c r="B50" s="122"/>
      <c r="C50" s="122"/>
      <c r="D50" s="122"/>
      <c r="E50" s="122"/>
      <c r="F50" s="122"/>
      <c r="G50" s="122"/>
      <c r="H50" s="122"/>
      <c r="I50" s="122"/>
      <c r="J50" s="122"/>
      <c r="K50" s="122"/>
      <c r="L50" s="122"/>
      <c r="M50" s="122"/>
      <c r="N50" s="122"/>
    </row>
    <row r="51" spans="2:15" s="107" customFormat="1" ht="14.25" customHeight="1">
      <c r="B51" s="122"/>
      <c r="C51" s="122"/>
      <c r="D51" s="122"/>
      <c r="E51" s="122"/>
      <c r="F51" s="122"/>
      <c r="G51" s="122"/>
      <c r="H51" s="122"/>
      <c r="I51" s="122"/>
      <c r="J51" s="122"/>
      <c r="K51" s="122"/>
      <c r="L51" s="122"/>
      <c r="M51" s="122"/>
      <c r="N51" s="122"/>
    </row>
    <row r="52" spans="2:15" s="107" customFormat="1" ht="14.25" customHeight="1">
      <c r="B52" s="122"/>
      <c r="C52" s="122"/>
      <c r="D52" s="122"/>
      <c r="E52" s="122"/>
      <c r="F52" s="122"/>
      <c r="G52" s="122"/>
      <c r="H52" s="122"/>
      <c r="I52" s="122"/>
      <c r="J52" s="122"/>
      <c r="K52" s="122"/>
      <c r="L52" s="122"/>
      <c r="M52" s="122"/>
      <c r="N52" s="122"/>
      <c r="O52" s="122"/>
    </row>
    <row r="53" spans="2:15" s="107" customFormat="1" ht="15" customHeight="1">
      <c r="B53" s="895" t="s">
        <v>2160</v>
      </c>
      <c r="C53" s="895"/>
      <c r="D53" s="895"/>
      <c r="E53" s="895"/>
      <c r="F53" s="895"/>
      <c r="G53" s="895"/>
      <c r="H53" s="895"/>
      <c r="I53" s="895"/>
      <c r="J53" s="895"/>
      <c r="K53" s="895"/>
    </row>
    <row r="54" spans="2:15" s="107" customFormat="1" ht="15" customHeight="1">
      <c r="B54" s="896" t="s">
        <v>2161</v>
      </c>
      <c r="C54" s="897"/>
      <c r="D54" s="897"/>
      <c r="E54" s="897"/>
      <c r="F54" s="897"/>
      <c r="G54" s="897"/>
      <c r="H54" s="897"/>
      <c r="I54" s="897"/>
      <c r="J54" s="897"/>
      <c r="K54" s="897"/>
      <c r="L54" s="897"/>
      <c r="M54" s="897"/>
      <c r="N54" s="898"/>
    </row>
    <row r="55" spans="2:15" s="107" customFormat="1" ht="15" customHeight="1">
      <c r="B55" s="899"/>
      <c r="C55" s="900"/>
      <c r="D55" s="900"/>
      <c r="E55" s="900"/>
      <c r="F55" s="900"/>
      <c r="G55" s="900"/>
      <c r="H55" s="900"/>
      <c r="I55" s="900"/>
      <c r="J55" s="900"/>
      <c r="K55" s="900"/>
      <c r="L55" s="900"/>
      <c r="M55" s="900"/>
      <c r="N55" s="901"/>
    </row>
    <row r="56" spans="2:15" s="107" customFormat="1" ht="15" customHeight="1">
      <c r="B56" s="122"/>
      <c r="C56" s="122"/>
      <c r="D56" s="122"/>
      <c r="E56" s="122"/>
      <c r="F56" s="122"/>
      <c r="G56" s="122"/>
      <c r="H56" s="122"/>
      <c r="I56" s="122"/>
      <c r="J56" s="122"/>
      <c r="K56" s="122"/>
      <c r="L56" s="122"/>
      <c r="M56" s="122"/>
      <c r="N56" s="122"/>
    </row>
    <row r="57" spans="2:15" s="107" customFormat="1" ht="15" customHeight="1">
      <c r="B57" s="895" t="s">
        <v>2162</v>
      </c>
      <c r="C57" s="895"/>
      <c r="D57" s="895"/>
      <c r="E57" s="895"/>
      <c r="F57" s="895"/>
      <c r="G57" s="895"/>
      <c r="H57" s="895"/>
      <c r="I57" s="895"/>
      <c r="J57" s="895"/>
      <c r="K57" s="895"/>
    </row>
    <row r="58" spans="2:15" s="107" customFormat="1" ht="15" customHeight="1">
      <c r="B58" s="896" t="s">
        <v>2163</v>
      </c>
      <c r="C58" s="897"/>
      <c r="D58" s="897"/>
      <c r="E58" s="897"/>
      <c r="F58" s="897"/>
      <c r="G58" s="897"/>
      <c r="H58" s="897"/>
      <c r="I58" s="897"/>
      <c r="J58" s="897"/>
      <c r="K58" s="897"/>
      <c r="L58" s="897"/>
      <c r="M58" s="897"/>
      <c r="N58" s="898"/>
    </row>
    <row r="59" spans="2:15" s="107" customFormat="1" ht="15" customHeight="1">
      <c r="B59" s="899"/>
      <c r="C59" s="900"/>
      <c r="D59" s="900"/>
      <c r="E59" s="900"/>
      <c r="F59" s="900"/>
      <c r="G59" s="900"/>
      <c r="H59" s="900"/>
      <c r="I59" s="900"/>
      <c r="J59" s="900"/>
      <c r="K59" s="900"/>
      <c r="L59" s="900"/>
      <c r="M59" s="900"/>
      <c r="N59" s="901"/>
    </row>
    <row r="60" spans="2:15" s="107" customFormat="1" ht="15" customHeight="1">
      <c r="B60" s="122"/>
      <c r="C60" s="122"/>
      <c r="D60" s="122"/>
      <c r="E60" s="122"/>
      <c r="F60" s="122"/>
      <c r="G60" s="122"/>
      <c r="H60" s="122"/>
      <c r="I60" s="122"/>
      <c r="J60" s="122"/>
      <c r="K60" s="122"/>
      <c r="L60" s="122"/>
      <c r="M60" s="122"/>
      <c r="N60" s="122"/>
    </row>
    <row r="61" spans="2:15" s="107" customFormat="1" ht="15" customHeight="1">
      <c r="B61" s="895" t="s">
        <v>2164</v>
      </c>
      <c r="C61" s="895"/>
      <c r="D61" s="895"/>
      <c r="E61" s="895"/>
      <c r="F61" s="895"/>
      <c r="G61" s="895"/>
      <c r="H61" s="895"/>
      <c r="I61" s="895"/>
      <c r="J61" s="895"/>
      <c r="K61" s="895"/>
    </row>
    <row r="62" spans="2:15" s="107" customFormat="1" ht="15" customHeight="1">
      <c r="B62" s="896" t="s">
        <v>2165</v>
      </c>
      <c r="C62" s="897"/>
      <c r="D62" s="897"/>
      <c r="E62" s="897"/>
      <c r="F62" s="897"/>
      <c r="G62" s="897"/>
      <c r="H62" s="897"/>
      <c r="I62" s="897"/>
      <c r="J62" s="897"/>
      <c r="K62" s="897"/>
      <c r="L62" s="897"/>
      <c r="M62" s="897"/>
      <c r="N62" s="898"/>
    </row>
    <row r="63" spans="2:15" s="107" customFormat="1" ht="15" customHeight="1">
      <c r="B63" s="899"/>
      <c r="C63" s="900"/>
      <c r="D63" s="900"/>
      <c r="E63" s="900"/>
      <c r="F63" s="900"/>
      <c r="G63" s="900"/>
      <c r="H63" s="900"/>
      <c r="I63" s="900"/>
      <c r="J63" s="900"/>
      <c r="K63" s="900"/>
      <c r="L63" s="900"/>
      <c r="M63" s="900"/>
      <c r="N63" s="901"/>
    </row>
    <row r="64" spans="2:15" s="107" customFormat="1" ht="15" customHeight="1">
      <c r="B64" s="122"/>
      <c r="C64" s="122"/>
      <c r="D64" s="122"/>
      <c r="E64" s="122"/>
      <c r="F64" s="122"/>
      <c r="G64" s="122"/>
      <c r="H64" s="122"/>
      <c r="I64" s="122"/>
      <c r="J64" s="122"/>
      <c r="K64" s="122"/>
      <c r="L64" s="122"/>
      <c r="M64" s="122"/>
      <c r="N64" s="122"/>
    </row>
    <row r="65" spans="2:14" s="107" customFormat="1" ht="15" customHeight="1">
      <c r="B65" s="122"/>
      <c r="C65" s="122"/>
      <c r="D65" s="122"/>
      <c r="E65" s="122"/>
      <c r="F65" s="122"/>
      <c r="G65" s="122"/>
      <c r="H65" s="122"/>
      <c r="I65" s="122"/>
      <c r="J65" s="122"/>
      <c r="K65" s="122"/>
      <c r="L65" s="122"/>
      <c r="M65" s="122"/>
      <c r="N65" s="122"/>
    </row>
    <row r="66" spans="2:14">
      <c r="B66" s="583" t="s">
        <v>2166</v>
      </c>
      <c r="I66" s="583"/>
      <c r="J66" s="583" t="s">
        <v>2167</v>
      </c>
    </row>
    <row r="67" spans="2:14" s="34" customFormat="1" ht="18" customHeight="1">
      <c r="B67" s="383" t="s">
        <v>1760</v>
      </c>
      <c r="C67" s="383" t="s">
        <v>1445</v>
      </c>
      <c r="D67" s="383" t="s">
        <v>1446</v>
      </c>
      <c r="E67" s="383" t="s">
        <v>1462</v>
      </c>
      <c r="F67" s="383" t="s">
        <v>1468</v>
      </c>
      <c r="G67" s="478" t="s">
        <v>1466</v>
      </c>
      <c r="H67" s="478" t="s">
        <v>1465</v>
      </c>
      <c r="I67" s="383" t="s">
        <v>1467</v>
      </c>
      <c r="J67" s="34" t="s">
        <v>2168</v>
      </c>
    </row>
    <row r="68" spans="2:14" s="34" customFormat="1">
      <c r="B68" s="587" t="s">
        <v>1213</v>
      </c>
      <c r="C68" s="383" t="s">
        <v>1032</v>
      </c>
      <c r="D68" s="383" t="s">
        <v>1287</v>
      </c>
      <c r="E68" s="383" t="s">
        <v>2169</v>
      </c>
      <c r="F68" s="383" t="s">
        <v>2169</v>
      </c>
      <c r="G68" s="478" t="s">
        <v>2169</v>
      </c>
      <c r="H68" s="478" t="s">
        <v>2170</v>
      </c>
      <c r="I68" s="383" t="s">
        <v>1545</v>
      </c>
      <c r="J68" s="34" t="s">
        <v>2171</v>
      </c>
    </row>
    <row r="69" spans="2:14" s="34" customFormat="1">
      <c r="B69" s="616" t="s">
        <v>1215</v>
      </c>
      <c r="C69" s="617" t="s">
        <v>1032</v>
      </c>
      <c r="D69" s="617" t="s">
        <v>1038</v>
      </c>
      <c r="E69" s="617" t="s">
        <v>1568</v>
      </c>
      <c r="F69" s="617" t="s">
        <v>1570</v>
      </c>
      <c r="G69" s="680" t="s">
        <v>1568</v>
      </c>
      <c r="H69" s="680" t="s">
        <v>2170</v>
      </c>
      <c r="I69" s="680" t="s">
        <v>1569</v>
      </c>
      <c r="J69" s="34" t="s">
        <v>2172</v>
      </c>
    </row>
    <row r="70" spans="2:14" s="34" customFormat="1">
      <c r="B70" s="587" t="s">
        <v>1216</v>
      </c>
      <c r="C70" s="383" t="s">
        <v>1032</v>
      </c>
      <c r="D70" s="383" t="s">
        <v>1038</v>
      </c>
      <c r="E70" s="383" t="s">
        <v>2173</v>
      </c>
      <c r="F70" s="383" t="s">
        <v>1580</v>
      </c>
      <c r="G70" s="478" t="s">
        <v>2173</v>
      </c>
      <c r="H70" s="478" t="s">
        <v>2170</v>
      </c>
      <c r="I70" s="695" t="s">
        <v>1569</v>
      </c>
      <c r="J70" s="590" t="s">
        <v>1226</v>
      </c>
    </row>
    <row r="71" spans="2:14" s="34" customFormat="1">
      <c r="B71" s="587" t="s">
        <v>1217</v>
      </c>
      <c r="C71" s="383" t="s">
        <v>1032</v>
      </c>
      <c r="D71" s="383" t="s">
        <v>1038</v>
      </c>
      <c r="E71" s="383" t="s">
        <v>2002</v>
      </c>
      <c r="F71" s="383" t="s">
        <v>2002</v>
      </c>
      <c r="G71" s="478" t="s">
        <v>2002</v>
      </c>
      <c r="H71" s="478" t="s">
        <v>2170</v>
      </c>
      <c r="I71" s="695" t="s">
        <v>1569</v>
      </c>
      <c r="J71" s="590" t="s">
        <v>1227</v>
      </c>
    </row>
    <row r="72" spans="2:14" s="34" customFormat="1">
      <c r="B72" s="587" t="s">
        <v>1218</v>
      </c>
      <c r="C72" s="383" t="s">
        <v>1032</v>
      </c>
      <c r="D72" s="383" t="s">
        <v>1038</v>
      </c>
      <c r="E72" s="383" t="s">
        <v>2174</v>
      </c>
      <c r="F72" s="383" t="s">
        <v>1602</v>
      </c>
      <c r="G72" s="478" t="s">
        <v>2174</v>
      </c>
      <c r="H72" s="478" t="s">
        <v>2170</v>
      </c>
      <c r="I72" s="695" t="s">
        <v>1569</v>
      </c>
      <c r="J72" s="590" t="s">
        <v>1228</v>
      </c>
    </row>
    <row r="73" spans="2:14" s="34" customFormat="1">
      <c r="B73" s="587" t="s">
        <v>1219</v>
      </c>
      <c r="C73" s="383" t="s">
        <v>1032</v>
      </c>
      <c r="D73" s="383" t="s">
        <v>1038</v>
      </c>
      <c r="E73" s="383" t="s">
        <v>2174</v>
      </c>
      <c r="F73" s="383" t="s">
        <v>2174</v>
      </c>
      <c r="G73" s="478" t="s">
        <v>2174</v>
      </c>
      <c r="H73" s="478" t="s">
        <v>2170</v>
      </c>
      <c r="I73" s="695" t="s">
        <v>1569</v>
      </c>
      <c r="J73" s="590" t="s">
        <v>1350</v>
      </c>
    </row>
    <row r="74" spans="2:14" s="34" customFormat="1">
      <c r="B74" s="589" t="s">
        <v>1220</v>
      </c>
      <c r="C74" s="384" t="s">
        <v>1032</v>
      </c>
      <c r="D74" s="384" t="s">
        <v>1619</v>
      </c>
      <c r="E74" s="681" t="s">
        <v>2175</v>
      </c>
      <c r="F74" s="384" t="s">
        <v>1740</v>
      </c>
      <c r="G74" s="439" t="s">
        <v>1620</v>
      </c>
      <c r="H74" s="439" t="s">
        <v>2170</v>
      </c>
      <c r="I74" s="439" t="s">
        <v>1621</v>
      </c>
      <c r="J74" s="590" t="s">
        <v>1351</v>
      </c>
    </row>
    <row r="75" spans="2:14" s="34" customFormat="1">
      <c r="B75" s="587" t="s">
        <v>1221</v>
      </c>
      <c r="C75" s="383" t="s">
        <v>1032</v>
      </c>
      <c r="D75" s="383" t="s">
        <v>1038</v>
      </c>
      <c r="E75" s="383" t="s">
        <v>1999</v>
      </c>
      <c r="F75" s="383" t="s">
        <v>1999</v>
      </c>
      <c r="G75" s="478" t="s">
        <v>1999</v>
      </c>
      <c r="H75" s="478" t="s">
        <v>2170</v>
      </c>
      <c r="I75" s="695" t="s">
        <v>1569</v>
      </c>
      <c r="J75" s="590" t="s">
        <v>1352</v>
      </c>
    </row>
    <row r="76" spans="2:14" s="34" customFormat="1">
      <c r="B76" s="585"/>
      <c r="I76" s="590"/>
      <c r="J76" s="590" t="s">
        <v>2176</v>
      </c>
    </row>
    <row r="77" spans="2:14" s="34" customFormat="1">
      <c r="B77" s="586" t="s">
        <v>2177</v>
      </c>
      <c r="F77"/>
      <c r="G77"/>
      <c r="I77" s="590"/>
    </row>
    <row r="78" spans="2:14" s="34" customFormat="1" ht="18" customHeight="1">
      <c r="B78" s="383" t="s">
        <v>1760</v>
      </c>
      <c r="C78" s="383" t="s">
        <v>1761</v>
      </c>
      <c r="E78"/>
      <c r="F78"/>
      <c r="G78"/>
      <c r="I78" s="590"/>
    </row>
    <row r="79" spans="2:14" s="34" customFormat="1">
      <c r="B79" s="587" t="s">
        <v>1213</v>
      </c>
      <c r="C79" s="383" t="s">
        <v>1646</v>
      </c>
      <c r="E79"/>
      <c r="F79"/>
      <c r="G79"/>
      <c r="I79" s="590"/>
    </row>
    <row r="80" spans="2:14" s="34" customFormat="1">
      <c r="B80" s="616" t="s">
        <v>1215</v>
      </c>
      <c r="C80" s="617" t="s">
        <v>1649</v>
      </c>
      <c r="E80"/>
      <c r="I80" s="590"/>
    </row>
    <row r="81" spans="2:9" s="34" customFormat="1">
      <c r="B81" s="587" t="s">
        <v>1216</v>
      </c>
      <c r="C81" s="383" t="s">
        <v>1650</v>
      </c>
      <c r="E81"/>
      <c r="I81" s="590"/>
    </row>
    <row r="82" spans="2:9" s="34" customFormat="1">
      <c r="B82" s="587" t="s">
        <v>1218</v>
      </c>
      <c r="C82" s="383" t="s">
        <v>1651</v>
      </c>
      <c r="I82" s="590"/>
    </row>
    <row r="83" spans="2:9" s="34" customFormat="1">
      <c r="B83" s="586"/>
      <c r="I83" s="590"/>
    </row>
    <row r="84" spans="2:9">
      <c r="B84" s="583" t="s">
        <v>183</v>
      </c>
      <c r="C84" s="107"/>
      <c r="D84" s="107"/>
      <c r="E84" s="107"/>
      <c r="I84" s="583" t="s">
        <v>2167</v>
      </c>
    </row>
    <row r="85" spans="2:9" s="591" customFormat="1" ht="42.75" customHeight="1">
      <c r="B85" s="593" t="s">
        <v>1357</v>
      </c>
      <c r="C85" s="593" t="s">
        <v>818</v>
      </c>
      <c r="D85" s="102" t="s">
        <v>2178</v>
      </c>
      <c r="E85" s="98" t="s">
        <v>2179</v>
      </c>
      <c r="F85" s="98" t="s">
        <v>2180</v>
      </c>
      <c r="G85" s="34"/>
      <c r="I85" s="591" t="s">
        <v>2181</v>
      </c>
    </row>
    <row r="86" spans="2:9" s="591" customFormat="1">
      <c r="B86" s="593" t="s">
        <v>1213</v>
      </c>
      <c r="C86" s="593" t="s">
        <v>1287</v>
      </c>
      <c r="D86" s="596"/>
      <c r="E86" s="98"/>
      <c r="F86" s="98"/>
      <c r="G86" s="34"/>
      <c r="I86" s="591" t="s">
        <v>2172</v>
      </c>
    </row>
    <row r="87" spans="2:9" s="591" customFormat="1">
      <c r="B87" s="618" t="s">
        <v>1215</v>
      </c>
      <c r="C87" s="618" t="s">
        <v>1038</v>
      </c>
      <c r="D87" s="619">
        <f>600000000 * (G69/E69)</f>
        <v>600000000</v>
      </c>
      <c r="E87" s="738">
        <f>0*(G69/E69)</f>
        <v>0</v>
      </c>
      <c r="F87" s="619" t="s">
        <v>1649</v>
      </c>
      <c r="G87" s="34"/>
      <c r="I87" s="592" t="s">
        <v>1226</v>
      </c>
    </row>
    <row r="88" spans="2:9" s="591" customFormat="1">
      <c r="B88" s="593" t="s">
        <v>1216</v>
      </c>
      <c r="C88" s="593" t="s">
        <v>1038</v>
      </c>
      <c r="D88" s="596"/>
      <c r="E88" s="98"/>
      <c r="F88" s="98"/>
      <c r="G88" s="34"/>
      <c r="I88" s="592" t="s">
        <v>1227</v>
      </c>
    </row>
    <row r="89" spans="2:9" s="591" customFormat="1">
      <c r="B89" s="593" t="s">
        <v>1217</v>
      </c>
      <c r="C89" s="593" t="s">
        <v>1038</v>
      </c>
      <c r="D89" s="596"/>
      <c r="E89" s="98"/>
      <c r="F89" s="98"/>
      <c r="G89" s="34"/>
      <c r="I89" s="592" t="s">
        <v>1228</v>
      </c>
    </row>
    <row r="90" spans="2:9" s="591" customFormat="1">
      <c r="B90" s="593" t="s">
        <v>1218</v>
      </c>
      <c r="C90" s="593" t="s">
        <v>1038</v>
      </c>
      <c r="D90" s="596"/>
      <c r="E90" s="98"/>
      <c r="F90" s="98"/>
      <c r="G90" s="34"/>
      <c r="I90" s="592" t="s">
        <v>1350</v>
      </c>
    </row>
    <row r="91" spans="2:9" s="591" customFormat="1">
      <c r="B91" s="593" t="s">
        <v>1219</v>
      </c>
      <c r="C91" s="593" t="s">
        <v>1038</v>
      </c>
      <c r="D91" s="596"/>
      <c r="E91" s="98"/>
      <c r="F91" s="98"/>
      <c r="G91" s="34"/>
      <c r="I91" s="592" t="s">
        <v>1351</v>
      </c>
    </row>
    <row r="92" spans="2:9" s="34" customFormat="1" ht="14.25" customHeight="1">
      <c r="B92" s="597" t="s">
        <v>1220</v>
      </c>
      <c r="C92" s="597" t="s">
        <v>1032</v>
      </c>
      <c r="D92" s="737">
        <f xml:space="preserve"> 6326736 * (G74/E74)</f>
        <v>6.3267359999999995</v>
      </c>
      <c r="E92" s="603">
        <f xml:space="preserve"> 6326736 * (G74/E74)</f>
        <v>6.3267359999999995</v>
      </c>
      <c r="F92" s="604">
        <v>0</v>
      </c>
      <c r="G92" s="595"/>
      <c r="I92" s="590" t="s">
        <v>1352</v>
      </c>
    </row>
    <row r="93" spans="2:9" s="34" customFormat="1">
      <c r="B93" s="597" t="s">
        <v>1220</v>
      </c>
      <c r="C93" s="597" t="s">
        <v>1038</v>
      </c>
      <c r="D93" s="737">
        <f xml:space="preserve"> 1383690177 * (G74/E74)</f>
        <v>1383.6901769999999</v>
      </c>
      <c r="E93" s="598">
        <f xml:space="preserve"> 0 * (G74/E74)</f>
        <v>0</v>
      </c>
      <c r="F93" s="604">
        <v>0</v>
      </c>
      <c r="I93" s="590" t="s">
        <v>2182</v>
      </c>
    </row>
    <row r="94" spans="2:9" s="34" customFormat="1">
      <c r="B94" s="597" t="s">
        <v>1220</v>
      </c>
      <c r="C94" s="597" t="s">
        <v>1287</v>
      </c>
      <c r="D94" s="737">
        <f xml:space="preserve"> 1762761 * (G74/E74)</f>
        <v>1.762761</v>
      </c>
      <c r="E94" s="598">
        <f xml:space="preserve"> 0 * (G74/E74)</f>
        <v>0</v>
      </c>
      <c r="F94" s="604">
        <v>0</v>
      </c>
      <c r="G94" s="595"/>
    </row>
    <row r="95" spans="2:9" s="34" customFormat="1">
      <c r="B95" s="594" t="s">
        <v>1221</v>
      </c>
      <c r="C95" s="594" t="s">
        <v>1038</v>
      </c>
      <c r="D95" s="736"/>
      <c r="E95" s="599"/>
      <c r="F95" s="97"/>
    </row>
    <row r="96" spans="2:9" s="34" customFormat="1" ht="9.75" customHeight="1">
      <c r="B96" s="600"/>
      <c r="C96" s="600"/>
      <c r="D96" s="600"/>
      <c r="E96" s="600"/>
      <c r="F96" s="591"/>
    </row>
    <row r="97" spans="2:16" s="34" customFormat="1">
      <c r="B97" s="601" t="s">
        <v>2183</v>
      </c>
      <c r="C97" s="591"/>
      <c r="D97" s="591"/>
      <c r="E97" s="591"/>
      <c r="F97" s="591"/>
    </row>
    <row r="98" spans="2:16" s="338" customFormat="1" ht="45" customHeight="1">
      <c r="B98" s="682" t="s">
        <v>2184</v>
      </c>
      <c r="C98" s="683"/>
      <c r="D98" s="682" t="s">
        <v>2185</v>
      </c>
      <c r="E98" s="684" t="s">
        <v>2186</v>
      </c>
      <c r="F98" s="684" t="s">
        <v>2187</v>
      </c>
      <c r="G98" s="684" t="s">
        <v>2188</v>
      </c>
      <c r="H98" s="685" t="s">
        <v>2189</v>
      </c>
      <c r="I98" s="785" t="s">
        <v>2190</v>
      </c>
      <c r="J98" s="685" t="s">
        <v>2191</v>
      </c>
      <c r="K98" s="72" t="s">
        <v>2192</v>
      </c>
      <c r="M98" s="214" t="s">
        <v>2193</v>
      </c>
      <c r="N98" s="214" t="s">
        <v>2194</v>
      </c>
      <c r="O98" s="214" t="s">
        <v>2195</v>
      </c>
      <c r="P98" s="214" t="s">
        <v>2196</v>
      </c>
    </row>
    <row r="99" spans="2:16">
      <c r="B99" s="626" t="s">
        <v>1220</v>
      </c>
      <c r="C99" s="626"/>
      <c r="D99" s="627">
        <f>SUM(D92:D94)-SUM(E92:E94)</f>
        <v>1385.4529379999999</v>
      </c>
      <c r="E99" s="627">
        <f>SUM(E92:E94)</f>
        <v>6.3267359999999995</v>
      </c>
      <c r="F99" s="628">
        <f>SUM(F92:F94)</f>
        <v>0</v>
      </c>
      <c r="G99" s="628">
        <v>0</v>
      </c>
      <c r="H99" s="629">
        <f>D99+F99+G99</f>
        <v>1385.4529379999999</v>
      </c>
      <c r="I99" s="630">
        <f>H99</f>
        <v>1385.4529379999999</v>
      </c>
      <c r="J99" s="631">
        <v>1391779674</v>
      </c>
      <c r="K99" s="632">
        <v>1372632707.5899999</v>
      </c>
      <c r="M99" s="385" t="str">
        <f>I74</f>
        <v>1,000000</v>
      </c>
      <c r="N99" s="385">
        <f>D99/M99</f>
        <v>1385.4529379999999</v>
      </c>
      <c r="O99" s="385">
        <f>E99/M99</f>
        <v>6.3267359999999995</v>
      </c>
      <c r="P99" s="739">
        <f>F99/N99</f>
        <v>0</v>
      </c>
    </row>
    <row r="100" spans="2:16">
      <c r="B100" s="633" t="s">
        <v>1215</v>
      </c>
      <c r="C100" s="620"/>
      <c r="D100" s="621">
        <f>D87-E87</f>
        <v>600000000</v>
      </c>
      <c r="E100" s="621">
        <f>E87</f>
        <v>0</v>
      </c>
      <c r="F100" s="633" t="str">
        <f>F87</f>
        <v>1416723,290000</v>
      </c>
      <c r="G100" s="622">
        <v>0</v>
      </c>
      <c r="H100" s="623">
        <f>D100+F100+G100</f>
        <v>601416723.28999996</v>
      </c>
      <c r="I100" s="624">
        <f>H100</f>
        <v>601416723.28999996</v>
      </c>
      <c r="J100" s="634" t="s">
        <v>1568</v>
      </c>
      <c r="K100" s="625"/>
      <c r="M100" s="696" t="str">
        <f>I69</f>
        <v>100000,000000</v>
      </c>
      <c r="N100" s="696">
        <f>D100/M100</f>
        <v>6000</v>
      </c>
      <c r="O100" s="696">
        <f>E100/M100</f>
        <v>0</v>
      </c>
      <c r="P100" s="714">
        <f>F100/(N100+O100)</f>
        <v>236.12054833333335</v>
      </c>
    </row>
    <row r="101" spans="2:16" ht="11.25" customHeight="1">
      <c r="B101" s="585"/>
      <c r="C101" s="585"/>
      <c r="D101" s="585"/>
      <c r="E101" s="602"/>
      <c r="F101" s="585"/>
    </row>
    <row r="102" spans="2:16">
      <c r="B102" s="583" t="s">
        <v>2197</v>
      </c>
      <c r="C102" s="585"/>
      <c r="D102" s="585"/>
      <c r="E102" s="585"/>
    </row>
    <row r="103" spans="2:16" ht="51.75" customHeight="1">
      <c r="B103" s="118" t="s">
        <v>2198</v>
      </c>
      <c r="C103" s="118" t="s">
        <v>2199</v>
      </c>
      <c r="D103" s="98" t="s">
        <v>2200</v>
      </c>
      <c r="F103" s="34"/>
      <c r="G103" s="34"/>
    </row>
    <row r="104" spans="2:16">
      <c r="B104" s="605" t="s">
        <v>1383</v>
      </c>
      <c r="C104" s="603" t="s">
        <v>1032</v>
      </c>
      <c r="D104" s="638">
        <f>D92-E92+F92</f>
        <v>0</v>
      </c>
    </row>
    <row r="105" spans="2:16">
      <c r="B105" s="605" t="s">
        <v>1383</v>
      </c>
      <c r="C105" s="603" t="s">
        <v>1038</v>
      </c>
      <c r="D105" s="639">
        <f>D93-E93+F93</f>
        <v>1383.6901769999999</v>
      </c>
    </row>
    <row r="106" spans="2:16">
      <c r="B106" s="605" t="s">
        <v>1383</v>
      </c>
      <c r="C106" s="603" t="s">
        <v>1287</v>
      </c>
      <c r="D106" s="639">
        <f>D94-E94+F94</f>
        <v>1.762761</v>
      </c>
    </row>
    <row r="107" spans="2:16">
      <c r="B107" s="633" t="s">
        <v>1400</v>
      </c>
      <c r="C107" s="633" t="s">
        <v>1038</v>
      </c>
      <c r="D107" s="635">
        <v>601416723.28999996</v>
      </c>
    </row>
    <row r="108" spans="2:16">
      <c r="B108" s="585"/>
      <c r="C108" s="585"/>
      <c r="D108" s="585"/>
      <c r="E108" s="602"/>
      <c r="F108" s="585"/>
    </row>
    <row r="109" spans="2:16">
      <c r="D109" s="615"/>
    </row>
    <row r="110" spans="2:16" ht="396">
      <c r="B110" s="214" t="s">
        <v>2201</v>
      </c>
    </row>
  </sheetData>
  <mergeCells count="18">
    <mergeCell ref="B1:K1"/>
    <mergeCell ref="B17:K17"/>
    <mergeCell ref="B37:K37"/>
    <mergeCell ref="B11:K11"/>
    <mergeCell ref="B12:N13"/>
    <mergeCell ref="B31:K31"/>
    <mergeCell ref="B32:N33"/>
    <mergeCell ref="B57:K57"/>
    <mergeCell ref="B58:N59"/>
    <mergeCell ref="B61:K61"/>
    <mergeCell ref="B62:N63"/>
    <mergeCell ref="B2:N9"/>
    <mergeCell ref="B18:N29"/>
    <mergeCell ref="B47:K47"/>
    <mergeCell ref="B48:N49"/>
    <mergeCell ref="B53:K53"/>
    <mergeCell ref="B54:N55"/>
    <mergeCell ref="B38:O4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bcbfbc2cb1af6561f86a8ad5daa6a06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035057686010aa8dcf9a0ff3cb7fe0a"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7CA59A-AF99-4E6C-977A-D74F4AC0344E}"/>
</file>

<file path=customXml/itemProps2.xml><?xml version="1.0" encoding="utf-8"?>
<ds:datastoreItem xmlns:ds="http://schemas.openxmlformats.org/officeDocument/2006/customXml" ds:itemID="{26C2760B-685C-464B-A957-7BE46001A94F}"/>
</file>

<file path=customXml/itemProps3.xml><?xml version="1.0" encoding="utf-8"?>
<ds:datastoreItem xmlns:ds="http://schemas.openxmlformats.org/officeDocument/2006/customXml" ds:itemID="{0592D4BB-A1B7-409C-B13C-812A698B41DC}"/>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Luís Filipe da Silva Pragosa</cp:lastModifiedBy>
  <cp:revision/>
  <dcterms:created xsi:type="dcterms:W3CDTF">2024-06-24T08:49:13Z</dcterms:created>
  <dcterms:modified xsi:type="dcterms:W3CDTF">2026-04-30T14:28:32Z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