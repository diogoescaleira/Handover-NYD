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ReportsFinanceira/Shared Documents/General/4. MINIMUM BAIL-IN DATA TEMPLATE (MBDT)/1. Documentação/2. Documentação IT/MBDT/"/>
    </mc:Choice>
  </mc:AlternateContent>
  <xr:revisionPtr revIDLastSave="2" documentId="13_ncr:1_{681BF767-0E14-4C25-A680-8F7F40B789AB}" xr6:coauthVersionLast="47" xr6:coauthVersionMax="47" xr10:uidLastSave="{81C2361B-8BAD-4BF6-B7B9-5D090D5ACF5E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_xlnm._FilterDatabase" localSheetId="0" hidden="1">Sheet!$A$1:$O$248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8" i="1" l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1" i="1"/>
  <c r="E50" i="1"/>
  <c r="E49" i="1"/>
  <c r="E48" i="1"/>
  <c r="E47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1" i="1"/>
  <c r="D50" i="1"/>
  <c r="D49" i="1"/>
  <c r="D48" i="1"/>
  <c r="D47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</calcChain>
</file>

<file path=xl/sharedStrings.xml><?xml version="1.0" encoding="utf-8"?>
<sst xmlns="http://schemas.openxmlformats.org/spreadsheetml/2006/main" count="2872" uniqueCount="593">
  <si>
    <t>cmes</t>
  </si>
  <si>
    <t>centidade</t>
  </si>
  <si>
    <t>zcliente</t>
  </si>
  <si>
    <t>nome</t>
  </si>
  <si>
    <t>consolpt</t>
  </si>
  <si>
    <t>consoles</t>
  </si>
  <si>
    <t>pais</t>
  </si>
  <si>
    <t>outros</t>
  </si>
  <si>
    <t>cdata</t>
  </si>
  <si>
    <t>iconspt</t>
  </si>
  <si>
    <t>data_date_part</t>
  </si>
  <si>
    <t>data_timestamp_part</t>
  </si>
  <si>
    <t>202509</t>
  </si>
  <si>
    <t>031</t>
  </si>
  <si>
    <t>6511000214</t>
  </si>
  <si>
    <t>Sucursal BSCH Frankfurt ( Madeira )</t>
  </si>
  <si>
    <t>00001</t>
  </si>
  <si>
    <t>Portugal</t>
  </si>
  <si>
    <t>00</t>
  </si>
  <si>
    <t>2003-01-01</t>
  </si>
  <si>
    <t>N</t>
  </si>
  <si>
    <t>2025-09-30</t>
  </si>
  <si>
    <t>7400416297</t>
  </si>
  <si>
    <t>SANTANDER INVESTMENT MADRID</t>
  </si>
  <si>
    <t>90400</t>
  </si>
  <si>
    <t>00400</t>
  </si>
  <si>
    <t>2010-07-05</t>
  </si>
  <si>
    <t>0000026320</t>
  </si>
  <si>
    <t>SCH Londres</t>
  </si>
  <si>
    <t>7400930664</t>
  </si>
  <si>
    <t>BANCO SANTANDER, SA</t>
  </si>
  <si>
    <t>2012-08-31</t>
  </si>
  <si>
    <t>1700121866</t>
  </si>
  <si>
    <t>TottaUrbe</t>
  </si>
  <si>
    <t>00160</t>
  </si>
  <si>
    <t>00442</t>
  </si>
  <si>
    <t>5100619128</t>
  </si>
  <si>
    <t>MASTER RED EUROPA, S.L.</t>
  </si>
  <si>
    <t>01384</t>
  </si>
  <si>
    <t>2021-04-21</t>
  </si>
  <si>
    <t>8029370785</t>
  </si>
  <si>
    <t>BANCO SANTANDER TOTTA</t>
  </si>
  <si>
    <t>00150</t>
  </si>
  <si>
    <t>00009</t>
  </si>
  <si>
    <t>2021-12-14</t>
  </si>
  <si>
    <t>7401951317</t>
  </si>
  <si>
    <t>SANTANDER BACK OFFICES GLOBALES MAYORISTA</t>
  </si>
  <si>
    <t>00175</t>
  </si>
  <si>
    <t>2020-01-31</t>
  </si>
  <si>
    <t>0000083631</t>
  </si>
  <si>
    <t>BANCO SANTANDER TOTTA (EX-BANCO SANTANDER PORTUGAL</t>
  </si>
  <si>
    <t>2021-09-24</t>
  </si>
  <si>
    <t>9001792290</t>
  </si>
  <si>
    <t>BANCO SANTANDER TOTTA (EX-BANCO TOTTA &amp; ACORES)</t>
  </si>
  <si>
    <t>5100008182</t>
  </si>
  <si>
    <t>SANTANDER GLOBAL OPERATIONS, S.A.</t>
  </si>
  <si>
    <t>04074</t>
  </si>
  <si>
    <t>8000001856</t>
  </si>
  <si>
    <t>BST - SUCURSAL DE LONDRES</t>
  </si>
  <si>
    <t>7400416353</t>
  </si>
  <si>
    <t>ABBEY NATIONAL TREASURY SERVICES</t>
  </si>
  <si>
    <t>92536</t>
  </si>
  <si>
    <t>02536</t>
  </si>
  <si>
    <t>REINO UNIDO</t>
  </si>
  <si>
    <t>2009-09-18</t>
  </si>
  <si>
    <t>7401390483</t>
  </si>
  <si>
    <t>FINANCEIRA EL CORTE INGLES PORTUGAL S. F. C., S.A.</t>
  </si>
  <si>
    <t>04056</t>
  </si>
  <si>
    <t>2019-04-17</t>
  </si>
  <si>
    <t>9000796656</t>
  </si>
  <si>
    <t>CREDITO PREDIAL PORTUGUES</t>
  </si>
  <si>
    <t>5100006736</t>
  </si>
  <si>
    <t>TRANSOLVER FINANCE EFC,SA</t>
  </si>
  <si>
    <t>90985</t>
  </si>
  <si>
    <t>00985</t>
  </si>
  <si>
    <t>9000889284</t>
  </si>
  <si>
    <t>BSCH-Banco Santander Central Hispano</t>
  </si>
  <si>
    <t>5100603940</t>
  </si>
  <si>
    <t>SANTANDER ASSET MANAGEMENT - SOC GESTORA DE FUNDOS</t>
  </si>
  <si>
    <t>00532</t>
  </si>
  <si>
    <t>00503</t>
  </si>
  <si>
    <t>8027891356</t>
  </si>
  <si>
    <t>SANTANDER CONSUMER SERV(PSA GESTAO,ALUGUER VEICUL)</t>
  </si>
  <si>
    <t>04040</t>
  </si>
  <si>
    <t>PORTUGAL</t>
  </si>
  <si>
    <t>2015-09-30</t>
  </si>
  <si>
    <t>7400416763</t>
  </si>
  <si>
    <t>ABBEY NATIONAL AND INVESTMENT SERVICES</t>
  </si>
  <si>
    <t>0000068304</t>
  </si>
  <si>
    <t>3801007646</t>
  </si>
  <si>
    <t>Santander  SGFIM (ex-Santander Imovest)</t>
  </si>
  <si>
    <t>S</t>
  </si>
  <si>
    <t>2100707445</t>
  </si>
  <si>
    <t>8045281854</t>
  </si>
  <si>
    <t>Hispamer</t>
  </si>
  <si>
    <t>00007</t>
  </si>
  <si>
    <t>ESPANHA</t>
  </si>
  <si>
    <t>2100182850</t>
  </si>
  <si>
    <t>BANCO POPULAR</t>
  </si>
  <si>
    <t>2017-07-26</t>
  </si>
  <si>
    <t>8037849269</t>
  </si>
  <si>
    <t>Banco Santander International Miami</t>
  </si>
  <si>
    <t>90052</t>
  </si>
  <si>
    <t>00052</t>
  </si>
  <si>
    <t>4161000485</t>
  </si>
  <si>
    <t>BANCO POPULAR ESPANHOL-MADRID</t>
  </si>
  <si>
    <t>9002687384</t>
  </si>
  <si>
    <t>Santander Central Hispano Bank And Trust(BHS) Ltd</t>
  </si>
  <si>
    <t>90054</t>
  </si>
  <si>
    <t>00054</t>
  </si>
  <si>
    <t>9000934899</t>
  </si>
  <si>
    <t>9002304663</t>
  </si>
  <si>
    <t>Santander  SGFIM</t>
  </si>
  <si>
    <t>Espanha</t>
  </si>
  <si>
    <t>7401393942</t>
  </si>
  <si>
    <t>GAMMA - SOCIEDADE DE TITULIZACAO DE CREDITOS</t>
  </si>
  <si>
    <t>03162</t>
  </si>
  <si>
    <t>7400574283</t>
  </si>
  <si>
    <t>HIPOTOTTA Nº 5 FTC</t>
  </si>
  <si>
    <t>03022</t>
  </si>
  <si>
    <t>2009-11-26</t>
  </si>
  <si>
    <t>5100000130</t>
  </si>
  <si>
    <t>GESTION DE INVERSIONES JILT, S.A.</t>
  </si>
  <si>
    <t>05327</t>
  </si>
  <si>
    <t>7400685089</t>
  </si>
  <si>
    <t>NOVIMOVEST</t>
  </si>
  <si>
    <t>90081</t>
  </si>
  <si>
    <t>01333</t>
  </si>
  <si>
    <t>2013-07-16</t>
  </si>
  <si>
    <t>5100302047</t>
  </si>
  <si>
    <t>MAPFRE SANTANDER PORTUGAL - COMPANHIA DE SEGUROS</t>
  </si>
  <si>
    <t>05159</t>
  </si>
  <si>
    <t>2018-11-20</t>
  </si>
  <si>
    <t>7400223681</t>
  </si>
  <si>
    <t>UNION DE CREDITOS INMOBILIARIOS, SA - SUC.PORTUGAL</t>
  </si>
  <si>
    <t>91140</t>
  </si>
  <si>
    <t>01140</t>
  </si>
  <si>
    <t>2007-11-08</t>
  </si>
  <si>
    <t>7400939384</t>
  </si>
  <si>
    <t>IBERICA DE COMPRAS CORPORATIVAS - SUC EM PORTUGAL</t>
  </si>
  <si>
    <t>90683</t>
  </si>
  <si>
    <t>00683</t>
  </si>
  <si>
    <t>2013-11-07</t>
  </si>
  <si>
    <t>7402784168</t>
  </si>
  <si>
    <t>SANTANDER PRIVATE REAL ESTATE ADVISORY, S.A.</t>
  </si>
  <si>
    <t>01125</t>
  </si>
  <si>
    <t>2024-09-23</t>
  </si>
  <si>
    <t>5100008388</t>
  </si>
  <si>
    <t>MERCIVER, S.L.</t>
  </si>
  <si>
    <t>00876</t>
  </si>
  <si>
    <t>7401276246</t>
  </si>
  <si>
    <t>AEGON SANTANDER NAO VIDA PORTUGAL</t>
  </si>
  <si>
    <t>04017</t>
  </si>
  <si>
    <t>2015-01-08</t>
  </si>
  <si>
    <t>8022901967</t>
  </si>
  <si>
    <t>BANCO POPULAR ESPANOL</t>
  </si>
  <si>
    <t>2100150281</t>
  </si>
  <si>
    <t>BANCO SANTANDER CONSUMER PORTUGAL, S.A.</t>
  </si>
  <si>
    <t>5100008510</t>
  </si>
  <si>
    <t>SANTANDER FACILITY MANAGEMENT ESPAñA, S.L.</t>
  </si>
  <si>
    <t>05363</t>
  </si>
  <si>
    <t>8040594155</t>
  </si>
  <si>
    <t>Pombimo Imobiliaria, SA (602 fusionada na 160)</t>
  </si>
  <si>
    <t>9002348311</t>
  </si>
  <si>
    <t>BANCO SANTANDER TOTTA (EX ST SGPS)</t>
  </si>
  <si>
    <t>8000763422</t>
  </si>
  <si>
    <t>7400507283</t>
  </si>
  <si>
    <t>ABBEY NATIONAL PLC</t>
  </si>
  <si>
    <t>7400576806</t>
  </si>
  <si>
    <t>CCPT - COMPRARCASA REDE SERVICOS IMOBILIARIOS, S.A</t>
  </si>
  <si>
    <t>01145</t>
  </si>
  <si>
    <t>2021-01-29</t>
  </si>
  <si>
    <t>7400416611</t>
  </si>
  <si>
    <t>BANCO SANTANDER BRASIL - CAYMAN</t>
  </si>
  <si>
    <t>00012</t>
  </si>
  <si>
    <t>CAYMAN</t>
  </si>
  <si>
    <t>8007220122</t>
  </si>
  <si>
    <t>BANCO SANTANDER (EX CONSULTEAM)</t>
  </si>
  <si>
    <t>5100004040</t>
  </si>
  <si>
    <t>BANCO POPULAR ESPANHOL</t>
  </si>
  <si>
    <t>0000003686</t>
  </si>
  <si>
    <t>7400066405</t>
  </si>
  <si>
    <t>2006-06-23</t>
  </si>
  <si>
    <t>9002525987</t>
  </si>
  <si>
    <t>9002337488</t>
  </si>
  <si>
    <t>8023009859</t>
  </si>
  <si>
    <t>BANCO POPULAR ESPANOL,SA</t>
  </si>
  <si>
    <t>8046435297</t>
  </si>
  <si>
    <t>2100022282</t>
  </si>
  <si>
    <t>BANCO TOTTA &amp; ACORES</t>
  </si>
  <si>
    <t>5100269822</t>
  </si>
  <si>
    <t>POPULAR GESTAO DE ACTIVOS - SOCIEDADE GESTORA DE F</t>
  </si>
  <si>
    <t>3801001696</t>
  </si>
  <si>
    <t>Holbah II</t>
  </si>
  <si>
    <t>90369</t>
  </si>
  <si>
    <t>00369</t>
  </si>
  <si>
    <t>8019204890</t>
  </si>
  <si>
    <t>SANTANDER A.M.S.G.F.I.M. SA</t>
  </si>
  <si>
    <t>2016-10-26</t>
  </si>
  <si>
    <t>8006964954</t>
  </si>
  <si>
    <t>9001911423</t>
  </si>
  <si>
    <t>8041492238</t>
  </si>
  <si>
    <t>Totta Ireland, PLC</t>
  </si>
  <si>
    <t>00280</t>
  </si>
  <si>
    <t>00421</t>
  </si>
  <si>
    <t>9001910086</t>
  </si>
  <si>
    <t>INTERBANCO SA</t>
  </si>
  <si>
    <t>2007-03-09</t>
  </si>
  <si>
    <t>8046077493</t>
  </si>
  <si>
    <t>Totta Seguros - Comp. Seg. Vida, SA.</t>
  </si>
  <si>
    <t>00447</t>
  </si>
  <si>
    <t>0000072653</t>
  </si>
  <si>
    <t>7400781266</t>
  </si>
  <si>
    <t>UCI MEDIACAO DE SEGUROS, UNIPESSOAL LDA.</t>
  </si>
  <si>
    <t>01282</t>
  </si>
  <si>
    <t>2012-06-26</t>
  </si>
  <si>
    <t>2100168615</t>
  </si>
  <si>
    <t>BANCO SANTANDER TOTTA SA</t>
  </si>
  <si>
    <t>7400416333</t>
  </si>
  <si>
    <t>SANTANDER CENTRAL HISPANO MADRID</t>
  </si>
  <si>
    <t>2010-06-15</t>
  </si>
  <si>
    <t>7401170514</t>
  </si>
  <si>
    <t>SANTANDER AM HOLDING SL</t>
  </si>
  <si>
    <t>2013-12-30</t>
  </si>
  <si>
    <t>9001044109</t>
  </si>
  <si>
    <t>7401276238</t>
  </si>
  <si>
    <t>AEGON SANTANDER VIDA PORTUGAL</t>
  </si>
  <si>
    <t>04016</t>
  </si>
  <si>
    <t>7400987939</t>
  </si>
  <si>
    <t>HIPOTOTTA 5 PLC</t>
  </si>
  <si>
    <t>IRLANDA</t>
  </si>
  <si>
    <t>2012-08-22</t>
  </si>
  <si>
    <t>7400013485</t>
  </si>
  <si>
    <t>INGENIERIA SOFTWARE BANCARIO,SL (ISBAN-E)</t>
  </si>
  <si>
    <t>7400416227</t>
  </si>
  <si>
    <t>BANCO SANTANDER PARIS</t>
  </si>
  <si>
    <t>2019-05-30</t>
  </si>
  <si>
    <t>1700212510</t>
  </si>
  <si>
    <t>ISBAN Portugal</t>
  </si>
  <si>
    <t>9001925092</t>
  </si>
  <si>
    <t>BANCO SANTANDER MEXICO</t>
  </si>
  <si>
    <t>90077</t>
  </si>
  <si>
    <t>00077</t>
  </si>
  <si>
    <t>MEXICO</t>
  </si>
  <si>
    <t>7400419150</t>
  </si>
  <si>
    <t>SANTANDER CONSUMER FINANCE, MADRID</t>
  </si>
  <si>
    <t>8037938734</t>
  </si>
  <si>
    <t>SANTANDER PENSOES</t>
  </si>
  <si>
    <t>00110</t>
  </si>
  <si>
    <t>00428</t>
  </si>
  <si>
    <t>5100013603</t>
  </si>
  <si>
    <t>SANTANDER GLOBAL THECHNOLOGY, S.L., SOCIEDAD UNIPE</t>
  </si>
  <si>
    <t>8023011295</t>
  </si>
  <si>
    <t>0000002716</t>
  </si>
  <si>
    <t>UNICRE</t>
  </si>
  <si>
    <t>01278</t>
  </si>
  <si>
    <t>2025-01-31</t>
  </si>
  <si>
    <t>8046268247</t>
  </si>
  <si>
    <t>OPEN BANK SANTANDER CONSUMER, S.A.</t>
  </si>
  <si>
    <t>00003</t>
  </si>
  <si>
    <t>7400762184</t>
  </si>
  <si>
    <t>INGENIERIA DE S.B.SL - SUC PORTUGAL</t>
  </si>
  <si>
    <t>9002358453</t>
  </si>
  <si>
    <t>7402148282</t>
  </si>
  <si>
    <t>RELEVANTE E ASTUTO</t>
  </si>
  <si>
    <t>04211</t>
  </si>
  <si>
    <t>2023-05-19</t>
  </si>
  <si>
    <t>8046593067</t>
  </si>
  <si>
    <t>2100170655</t>
  </si>
  <si>
    <t>8023009896</t>
  </si>
  <si>
    <t>9001349956</t>
  </si>
  <si>
    <t>SANTANDER CONSUMER (BANQUE PSA FINANCE)</t>
  </si>
  <si>
    <t>8026132050</t>
  </si>
  <si>
    <t>7401536276</t>
  </si>
  <si>
    <t>BANK ZACHODNI WBK SA</t>
  </si>
  <si>
    <t>01697</t>
  </si>
  <si>
    <t>7400416271</t>
  </si>
  <si>
    <t>ABBEY NATIONAL FINANTIAL PRODUCTS</t>
  </si>
  <si>
    <t>8016377292</t>
  </si>
  <si>
    <t>BST - SFE MADEIRA</t>
  </si>
  <si>
    <t>8000391312</t>
  </si>
  <si>
    <t>5100015093</t>
  </si>
  <si>
    <t>CENTRO PARA EL DESARROLLO, INVESTIGACION Y APLICAC</t>
  </si>
  <si>
    <t>01304</t>
  </si>
  <si>
    <t>0000190045</t>
  </si>
  <si>
    <t>Bansimo Imobiliaria (601 fusionada na 160)</t>
  </si>
  <si>
    <t>8023435976</t>
  </si>
  <si>
    <t>3801006002</t>
  </si>
  <si>
    <t>6511000505</t>
  </si>
  <si>
    <t>Banco Santander Brasil S.A.</t>
  </si>
  <si>
    <t>5100262397</t>
  </si>
  <si>
    <t>8046536611</t>
  </si>
  <si>
    <t>0000241876</t>
  </si>
  <si>
    <t>BANCO SANTANDER (SUCURSAL DE HONG KONG)</t>
  </si>
  <si>
    <t>HONG KONG</t>
  </si>
  <si>
    <t>8000000013</t>
  </si>
  <si>
    <t>BST</t>
  </si>
  <si>
    <t>9000591057</t>
  </si>
  <si>
    <t>Mermul</t>
  </si>
  <si>
    <t>5100654045</t>
  </si>
  <si>
    <t>PRIMESTAR SERVICING, S.A.</t>
  </si>
  <si>
    <t>05064</t>
  </si>
  <si>
    <t>8041353494</t>
  </si>
  <si>
    <t>Santander Gest</t>
  </si>
  <si>
    <t>6511000079</t>
  </si>
  <si>
    <t>Grupo Banesto ( Banco Espanhol Credito )</t>
  </si>
  <si>
    <t>3801002808</t>
  </si>
  <si>
    <t>7400731809</t>
  </si>
  <si>
    <t>8046296743</t>
  </si>
  <si>
    <t>Banco Santander Brasil International</t>
  </si>
  <si>
    <t>8000941336</t>
  </si>
  <si>
    <t>5100006155</t>
  </si>
  <si>
    <t>BANCO SANTANDER</t>
  </si>
  <si>
    <t>7402335893</t>
  </si>
  <si>
    <t>GETNET EUROPE, ENTIDAD DE PAGO, S.L. UNIPERSONAL</t>
  </si>
  <si>
    <t>01330</t>
  </si>
  <si>
    <t>2022-10-31</t>
  </si>
  <si>
    <t>7400416401</t>
  </si>
  <si>
    <t>BANCO POPULAR ESPANOL MADRID</t>
  </si>
  <si>
    <t>9002520878</t>
  </si>
  <si>
    <t>5100009460</t>
  </si>
  <si>
    <t>SANTANDER PENSIONES, S.A., E.G.F.P.</t>
  </si>
  <si>
    <t>00130</t>
  </si>
  <si>
    <t>5100006999</t>
  </si>
  <si>
    <t>FINANCIERA EL CORTE INGLES</t>
  </si>
  <si>
    <t>01387</t>
  </si>
  <si>
    <t>6511000960</t>
  </si>
  <si>
    <t>2100229809</t>
  </si>
  <si>
    <t>BSN DEALER SOC FIN CORRETAGEM SA</t>
  </si>
  <si>
    <t>8046260881</t>
  </si>
  <si>
    <t>5100409969</t>
  </si>
  <si>
    <t>EDT FTPYME PASTOR 3 FONDO DE TITULIZACION DE ACTIV</t>
  </si>
  <si>
    <t>05104</t>
  </si>
  <si>
    <t>7400886823</t>
  </si>
  <si>
    <t>RETAMA REAL ESTATE</t>
  </si>
  <si>
    <t>01141</t>
  </si>
  <si>
    <t>2012-09-21</t>
  </si>
  <si>
    <t>8020907322</t>
  </si>
  <si>
    <t>0000235696</t>
  </si>
  <si>
    <t>SANTANDER CONSUMER BANK AG - MOENCHENGLADBACH</t>
  </si>
  <si>
    <t>90055</t>
  </si>
  <si>
    <t>00055</t>
  </si>
  <si>
    <t>ALEMANHA</t>
  </si>
  <si>
    <t>2006-10-02</t>
  </si>
  <si>
    <t>0000065343</t>
  </si>
  <si>
    <t>5100722449</t>
  </si>
  <si>
    <t>7400315551</t>
  </si>
  <si>
    <t>GEOBAN SA SUCURSAL EM PORTUGAL</t>
  </si>
  <si>
    <t>2011-07-13</t>
  </si>
  <si>
    <t>9001882712</t>
  </si>
  <si>
    <t>9002544619</t>
  </si>
  <si>
    <t>5100564511</t>
  </si>
  <si>
    <t>8040315059</t>
  </si>
  <si>
    <t>8027624846</t>
  </si>
  <si>
    <t>5100615216</t>
  </si>
  <si>
    <t>AEVIS EUROPA, S.L.</t>
  </si>
  <si>
    <t>01383</t>
  </si>
  <si>
    <t>9000618919</t>
  </si>
  <si>
    <t>3461009525</t>
  </si>
  <si>
    <t>Santander Consumer Finance, S.A.</t>
  </si>
  <si>
    <t>5100512458</t>
  </si>
  <si>
    <t>8020904643</t>
  </si>
  <si>
    <t>BANCO SANTANDER (SUCURSAL DE NEW YORK)</t>
  </si>
  <si>
    <t>2024-08-13</t>
  </si>
  <si>
    <t>8017167384</t>
  </si>
  <si>
    <t>8020904991</t>
  </si>
  <si>
    <t>5100699767</t>
  </si>
  <si>
    <t>AVIACION COMILLAS S.L.U.</t>
  </si>
  <si>
    <t>04059</t>
  </si>
  <si>
    <t>7400416354</t>
  </si>
  <si>
    <t>BCSH (SUISSE)</t>
  </si>
  <si>
    <t>90056</t>
  </si>
  <si>
    <t>00056</t>
  </si>
  <si>
    <t>5100008018</t>
  </si>
  <si>
    <t>SANTANDER SEGUROS Y REASEGUROS, SA</t>
  </si>
  <si>
    <t>90601</t>
  </si>
  <si>
    <t>00601</t>
  </si>
  <si>
    <t>8046556500</t>
  </si>
  <si>
    <t>7402750262</t>
  </si>
  <si>
    <t>SANTANDER INSURANCE, S.L.</t>
  </si>
  <si>
    <t>04246</t>
  </si>
  <si>
    <t>2024-01-31</t>
  </si>
  <si>
    <t>7400874676</t>
  </si>
  <si>
    <t>SANTANDER FACTORING Y CONFIRMING, S.A., E.F.C.</t>
  </si>
  <si>
    <t>00127</t>
  </si>
  <si>
    <t>2101355138</t>
  </si>
  <si>
    <t>GAMMA SOC TITULARIZACAO CREDITOS, SA</t>
  </si>
  <si>
    <t>2016-10-21</t>
  </si>
  <si>
    <t>8008162891</t>
  </si>
  <si>
    <t>6511000031</t>
  </si>
  <si>
    <t>8046370062</t>
  </si>
  <si>
    <t>7400632601</t>
  </si>
  <si>
    <t>SANTANDER CONSUMER, EFC, MADRID</t>
  </si>
  <si>
    <t>7400416325</t>
  </si>
  <si>
    <t>SANTUSA HOLDING</t>
  </si>
  <si>
    <t>90301</t>
  </si>
  <si>
    <t>00301</t>
  </si>
  <si>
    <t>8046250676</t>
  </si>
  <si>
    <t>CATER ALLEN INTERNATIONAL LIMITED</t>
  </si>
  <si>
    <t>92543</t>
  </si>
  <si>
    <t>02543</t>
  </si>
  <si>
    <t>LONDRES</t>
  </si>
  <si>
    <t>2006-09-05</t>
  </si>
  <si>
    <t>9002156093</t>
  </si>
  <si>
    <t>4161000611</t>
  </si>
  <si>
    <t>2101832415</t>
  </si>
  <si>
    <t>AEGON SANTANDER P V CIA SEGUROS VIDA SA</t>
  </si>
  <si>
    <t>7400772356</t>
  </si>
  <si>
    <t>2101452047</t>
  </si>
  <si>
    <t>6511000004</t>
  </si>
  <si>
    <t>5100007933</t>
  </si>
  <si>
    <t>SANTANDER ASSET MANAGEMENT ESPANA</t>
  </si>
  <si>
    <t>00131</t>
  </si>
  <si>
    <t>6511003239</t>
  </si>
  <si>
    <t>BANCO SANTANDER (SUC. MILAO)</t>
  </si>
  <si>
    <t>ITALIA</t>
  </si>
  <si>
    <t>7401192097</t>
  </si>
  <si>
    <t>PDC DIGITAL</t>
  </si>
  <si>
    <t>04234</t>
  </si>
  <si>
    <t>2100171912</t>
  </si>
  <si>
    <t>7400420263</t>
  </si>
  <si>
    <t>2017-07-28</t>
  </si>
  <si>
    <t>0000238954</t>
  </si>
  <si>
    <t>5100596466</t>
  </si>
  <si>
    <t>SOCIEDAD CONJUNTA PARA LA EMISI? Y GESTI? DE MEDIO</t>
  </si>
  <si>
    <t>05335</t>
  </si>
  <si>
    <t>5100016269</t>
  </si>
  <si>
    <t>ISLA DE LOS BUQUES, S.A.</t>
  </si>
  <si>
    <t>05322</t>
  </si>
  <si>
    <t>8040985296</t>
  </si>
  <si>
    <t>BANCO POPULAR ESPANOL, SA</t>
  </si>
  <si>
    <t>0000000324</t>
  </si>
  <si>
    <t>3461001806</t>
  </si>
  <si>
    <t>BANCO SANTANDER CONSUMER PORTUGAL,SA</t>
  </si>
  <si>
    <t>0000041875</t>
  </si>
  <si>
    <t>7402114618</t>
  </si>
  <si>
    <t>SANTANDER GLOBAL FACILITIES, S.L.</t>
  </si>
  <si>
    <t>00333</t>
  </si>
  <si>
    <t>2021-02-25</t>
  </si>
  <si>
    <t>8000003403</t>
  </si>
  <si>
    <t>0000054615</t>
  </si>
  <si>
    <t>Imoholsant Imobiliaria, SA (600 fusionada na 160)</t>
  </si>
  <si>
    <t>7400701625</t>
  </si>
  <si>
    <t>SANTANDER CAPITAL HOLDINGS LLC</t>
  </si>
  <si>
    <t>01428</t>
  </si>
  <si>
    <t>EUA</t>
  </si>
  <si>
    <t>3801002891</t>
  </si>
  <si>
    <t>CC Holding GMBH</t>
  </si>
  <si>
    <t>90230</t>
  </si>
  <si>
    <t>00230</t>
  </si>
  <si>
    <t>8046386217</t>
  </si>
  <si>
    <t>0000046859</t>
  </si>
  <si>
    <t>Sucursal BSCH Frankfurt</t>
  </si>
  <si>
    <t>9001047530</t>
  </si>
  <si>
    <t>5100000125</t>
  </si>
  <si>
    <t>COMPAñIA ESPAñOLA DE VIVIENDAS EN ALQUILER, S.A.</t>
  </si>
  <si>
    <t>05913</t>
  </si>
  <si>
    <t>7401175518</t>
  </si>
  <si>
    <t>MAPFRE SANTANDER PORTUGAL - COMPANHIA DE SEGUROS,</t>
  </si>
  <si>
    <t>5100000263</t>
  </si>
  <si>
    <t>POPULAR VIDA 2020, COMPAñIA DE SEGUROS Y REASEGURO</t>
  </si>
  <si>
    <t>04137</t>
  </si>
  <si>
    <t>8045905242</t>
  </si>
  <si>
    <t>9000699338</t>
  </si>
  <si>
    <t>5100727684</t>
  </si>
  <si>
    <t>SISTEMA DE TARJETAS Y MEDIOS DE PAGO, S.A.</t>
  </si>
  <si>
    <t>04087</t>
  </si>
  <si>
    <t>7401054355</t>
  </si>
  <si>
    <t>BANCO SANTANDER SA (CHINA)</t>
  </si>
  <si>
    <t>CHINA</t>
  </si>
  <si>
    <t>2013-09-03</t>
  </si>
  <si>
    <t>5100261093</t>
  </si>
  <si>
    <t>7400376332</t>
  </si>
  <si>
    <t>SANTANDER CONSUMER IBER-RENT, ESPANA</t>
  </si>
  <si>
    <t>01155</t>
  </si>
  <si>
    <t>8020905003</t>
  </si>
  <si>
    <t>BANCO POPULAR ESPANOL, S.A.</t>
  </si>
  <si>
    <t>1700136358</t>
  </si>
  <si>
    <t>SCH Investment - Madrid</t>
  </si>
  <si>
    <t>5100262318</t>
  </si>
  <si>
    <t>7400987911</t>
  </si>
  <si>
    <t>HIPOTOTTA Nº 4 PLC</t>
  </si>
  <si>
    <t>03008</t>
  </si>
  <si>
    <t>7400615062</t>
  </si>
  <si>
    <t>HIPOTOTTA Nº 5 PLC</t>
  </si>
  <si>
    <t>9002544629</t>
  </si>
  <si>
    <t>3461004226</t>
  </si>
  <si>
    <t>1700007406</t>
  </si>
  <si>
    <t>8046273535</t>
  </si>
  <si>
    <t>Portal Universia</t>
  </si>
  <si>
    <t>90589</t>
  </si>
  <si>
    <t>00589</t>
  </si>
  <si>
    <t>3801007386</t>
  </si>
  <si>
    <t>0000033240</t>
  </si>
  <si>
    <t>5100717593</t>
  </si>
  <si>
    <t>AVIACION LAREDO, S.L.</t>
  </si>
  <si>
    <t>04076</t>
  </si>
  <si>
    <t>8044173594</t>
  </si>
  <si>
    <t>SANTANDER PORTO RICO</t>
  </si>
  <si>
    <t>90050</t>
  </si>
  <si>
    <t>00050</t>
  </si>
  <si>
    <t>PORTO RICO</t>
  </si>
  <si>
    <t>2007-04-09</t>
  </si>
  <si>
    <t>1700210720</t>
  </si>
  <si>
    <t>6511003209</t>
  </si>
  <si>
    <t>BANCO SANTANDER (SANTANDER SINGAPURA)</t>
  </si>
  <si>
    <t>2025-06-30</t>
  </si>
  <si>
    <t>7402467009</t>
  </si>
  <si>
    <t>PAGONXT TRADE SERVICES, S.L.</t>
  </si>
  <si>
    <t>04079</t>
  </si>
  <si>
    <t>2023-01-31</t>
  </si>
  <si>
    <t>5100006919</t>
  </si>
  <si>
    <t>SANTANDER CUSTOMER VOICE, S.A.</t>
  </si>
  <si>
    <t>05357</t>
  </si>
  <si>
    <t>2100365686</t>
  </si>
  <si>
    <t>5100620316</t>
  </si>
  <si>
    <t>EURO AUTOMATIC CASH ENTIDAD DE PAGO, S.L.</t>
  </si>
  <si>
    <t>05908</t>
  </si>
  <si>
    <t>8000176115</t>
  </si>
  <si>
    <t>5100005155</t>
  </si>
  <si>
    <t>DINERS CLUB SPAIN, S.A.</t>
  </si>
  <si>
    <t>00163</t>
  </si>
  <si>
    <t>3801000226</t>
  </si>
  <si>
    <t>8044900121</t>
  </si>
  <si>
    <t>9000724942</t>
  </si>
  <si>
    <t>8030049790</t>
  </si>
  <si>
    <t>8044901277</t>
  </si>
  <si>
    <t>BANCO SANTANDER TOTTA (EX TAXAGEST)</t>
  </si>
  <si>
    <t>5100684455</t>
  </si>
  <si>
    <t>AVIACION OYAMBRE, S.L.</t>
  </si>
  <si>
    <t>04057</t>
  </si>
  <si>
    <t>8003987621</t>
  </si>
  <si>
    <t>BTA - DGO/DOC - ANALISE PROCESSAMENTO</t>
  </si>
  <si>
    <t>9002657754</t>
  </si>
  <si>
    <t>8022902017</t>
  </si>
  <si>
    <t>5100010918</t>
  </si>
  <si>
    <t>7400574280</t>
  </si>
  <si>
    <t>HIPOTOTTA Nº 4 FTC</t>
  </si>
  <si>
    <t>8038365328</t>
  </si>
  <si>
    <t>3701008785</t>
  </si>
  <si>
    <t>3471008280</t>
  </si>
  <si>
    <t>FINCANCEIRA EL CORTE INGLES EFC SA</t>
  </si>
  <si>
    <t>2014-04-16</t>
  </si>
  <si>
    <t>8020904989</t>
  </si>
  <si>
    <t>7400760971</t>
  </si>
  <si>
    <t>GESBAN SERVICIOS A. GLOBALES SA - SUC PORTUGAL</t>
  </si>
  <si>
    <t>01175</t>
  </si>
  <si>
    <t>5100688151</t>
  </si>
  <si>
    <t>METROVACESA, S.A.</t>
  </si>
  <si>
    <t>04264</t>
  </si>
  <si>
    <t>0000215806</t>
  </si>
  <si>
    <t>5100669816</t>
  </si>
  <si>
    <t>NAVIERA TRANS IRON, S.L.</t>
  </si>
  <si>
    <t>04006</t>
  </si>
  <si>
    <t>7400762179</t>
  </si>
  <si>
    <t>INGENIERIA DE S.B. SL - SUC PORTUGAL</t>
  </si>
  <si>
    <t>7400615058</t>
  </si>
  <si>
    <t>9002512140</t>
  </si>
  <si>
    <t>5100011001</t>
  </si>
  <si>
    <t>00100</t>
  </si>
  <si>
    <t>00411</t>
  </si>
  <si>
    <t>2020-07-17</t>
  </si>
  <si>
    <t>7402283234</t>
  </si>
  <si>
    <t>2022-02-25</t>
  </si>
  <si>
    <t>7400738881</t>
  </si>
  <si>
    <t>BANCO SANTANDER SA</t>
  </si>
  <si>
    <t>8026132103</t>
  </si>
  <si>
    <t>7400456469</t>
  </si>
  <si>
    <t>ISBAN - SUC PORTUGAL</t>
  </si>
  <si>
    <t>8000176024</t>
  </si>
  <si>
    <t>5100665602</t>
  </si>
  <si>
    <t>THE BEST SPECIALTY COFFEE, S.L. UNIPERSONAL</t>
  </si>
  <si>
    <t>05378</t>
  </si>
  <si>
    <t>8023435952</t>
  </si>
  <si>
    <t>7402622925</t>
  </si>
  <si>
    <t>BANCO SANTANDER SA BEIJING</t>
  </si>
  <si>
    <t>2023-07-28</t>
  </si>
  <si>
    <t>7401474691</t>
  </si>
  <si>
    <t>SANTANDER BANK, NATIONAL ASSOCIATION</t>
  </si>
  <si>
    <t>01401</t>
  </si>
  <si>
    <t>2100609921</t>
  </si>
  <si>
    <t>MC RENT ALUGUER DE LONGA DURACAO SA</t>
  </si>
  <si>
    <t>7400122168</t>
  </si>
  <si>
    <t>BST - SFI</t>
  </si>
  <si>
    <t>3481003857</t>
  </si>
  <si>
    <t>7400416520</t>
  </si>
  <si>
    <t>ABBEY NATIONAL SECURITIES INC</t>
  </si>
  <si>
    <t>1700079420</t>
  </si>
  <si>
    <t>TRANSOLVER FINANCE EFC SA</t>
  </si>
  <si>
    <t>2006-02-14</t>
  </si>
  <si>
    <t>Dentro do Mesmo Grupo de Resolução</t>
  </si>
  <si>
    <t>Não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</si>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</sst>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48"/>
  <sheetViews>
    <sheetView tabSelected="1" topLeftCell="A225" zoomScale="85" zoomScaleNormal="85" workbookViewId="0">
      <selection activeCell="C7" sqref="C7:C248"/>
    </sheetView>
  </sheetViews>
  <sheetFormatPr defaultColWidth="11.44140625" defaultRowHeight="14.4" x14ac:dyDescent="0.3"/>
  <cols>
    <col min="1" max="1" width="7.21875" bestFit="1" customWidth="1"/>
    <col min="2" max="2" width="9.21875" bestFit="1" customWidth="1"/>
    <col min="3" max="3" width="11.33203125" style="2" bestFit="1" customWidth="1"/>
    <col min="4" max="4" width="15.88671875" style="1" bestFit="1" customWidth="1"/>
    <col min="5" max="5" width="19.33203125" style="1" bestFit="1" customWidth="1"/>
    <col min="6" max="6" width="57" bestFit="1" customWidth="1"/>
    <col min="7" max="7" width="8.109375" bestFit="1" customWidth="1"/>
    <col min="8" max="8" width="8.33203125" bestFit="1" customWidth="1"/>
    <col min="9" max="9" width="12.77734375" bestFit="1" customWidth="1"/>
    <col min="10" max="10" width="6.33203125" bestFit="1" customWidth="1"/>
    <col min="11" max="11" width="10.5546875" bestFit="1" customWidth="1"/>
    <col min="12" max="12" width="7" bestFit="1" customWidth="1"/>
    <col min="13" max="13" width="14.109375" bestFit="1" customWidth="1"/>
    <col min="14" max="14" width="19.44140625" bestFit="1" customWidth="1"/>
    <col min="15" max="15" width="34.21875" bestFit="1" customWidth="1"/>
  </cols>
  <sheetData>
    <row r="1" spans="1:15" x14ac:dyDescent="0.3">
      <c r="A1" t="s">
        <v>0</v>
      </c>
      <c r="B1" t="s">
        <v>1</v>
      </c>
      <c r="C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590</v>
      </c>
    </row>
    <row r="2" spans="1:15" hidden="1" x14ac:dyDescent="0.3">
      <c r="A2" t="s">
        <v>12</v>
      </c>
      <c r="B2" t="s">
        <v>13</v>
      </c>
      <c r="C2" t="s">
        <v>86</v>
      </c>
      <c r="D2"/>
      <c r="E2"/>
      <c r="F2" t="s">
        <v>87</v>
      </c>
      <c r="G2" t="s">
        <v>61</v>
      </c>
      <c r="H2" t="s">
        <v>62</v>
      </c>
      <c r="I2" t="s">
        <v>63</v>
      </c>
      <c r="J2" t="s">
        <v>18</v>
      </c>
      <c r="K2" t="s">
        <v>64</v>
      </c>
      <c r="L2" t="s">
        <v>20</v>
      </c>
      <c r="M2" t="s">
        <v>21</v>
      </c>
      <c r="N2">
        <v>20251001153423</v>
      </c>
      <c r="O2" t="s">
        <v>591</v>
      </c>
    </row>
    <row r="3" spans="1:15" hidden="1" x14ac:dyDescent="0.3">
      <c r="A3" t="s">
        <v>12</v>
      </c>
      <c r="B3" t="s">
        <v>13</v>
      </c>
      <c r="C3" t="s">
        <v>276</v>
      </c>
      <c r="D3"/>
      <c r="E3"/>
      <c r="F3" t="s">
        <v>277</v>
      </c>
      <c r="G3" t="s">
        <v>61</v>
      </c>
      <c r="H3" t="s">
        <v>62</v>
      </c>
      <c r="I3" t="s">
        <v>63</v>
      </c>
      <c r="J3" t="s">
        <v>18</v>
      </c>
      <c r="K3" t="s">
        <v>64</v>
      </c>
      <c r="L3" t="s">
        <v>20</v>
      </c>
      <c r="M3" t="s">
        <v>21</v>
      </c>
      <c r="N3">
        <v>20251001153423</v>
      </c>
      <c r="O3" t="s">
        <v>591</v>
      </c>
    </row>
    <row r="4" spans="1:15" hidden="1" x14ac:dyDescent="0.3">
      <c r="A4" t="s">
        <v>12</v>
      </c>
      <c r="B4" t="s">
        <v>13</v>
      </c>
      <c r="C4" t="s">
        <v>166</v>
      </c>
      <c r="D4"/>
      <c r="E4"/>
      <c r="F4" t="s">
        <v>167</v>
      </c>
      <c r="G4" t="s">
        <v>61</v>
      </c>
      <c r="H4" t="s">
        <v>62</v>
      </c>
      <c r="I4" t="s">
        <v>63</v>
      </c>
      <c r="J4" t="s">
        <v>18</v>
      </c>
      <c r="K4" t="s">
        <v>64</v>
      </c>
      <c r="L4" t="s">
        <v>20</v>
      </c>
      <c r="M4" t="s">
        <v>21</v>
      </c>
      <c r="N4">
        <v>20251001153423</v>
      </c>
      <c r="O4" t="s">
        <v>591</v>
      </c>
    </row>
    <row r="5" spans="1:15" hidden="1" x14ac:dyDescent="0.3">
      <c r="A5" t="s">
        <v>12</v>
      </c>
      <c r="B5" t="s">
        <v>13</v>
      </c>
      <c r="C5" t="s">
        <v>585</v>
      </c>
      <c r="D5"/>
      <c r="E5"/>
      <c r="F5" t="s">
        <v>586</v>
      </c>
      <c r="G5" t="s">
        <v>61</v>
      </c>
      <c r="H5" t="s">
        <v>62</v>
      </c>
      <c r="I5" t="s">
        <v>63</v>
      </c>
      <c r="J5" t="s">
        <v>18</v>
      </c>
      <c r="K5" t="s">
        <v>64</v>
      </c>
      <c r="L5" t="s">
        <v>20</v>
      </c>
      <c r="M5" t="s">
        <v>21</v>
      </c>
      <c r="N5">
        <v>20251001153423</v>
      </c>
      <c r="O5" t="s">
        <v>591</v>
      </c>
    </row>
    <row r="6" spans="1:15" hidden="1" x14ac:dyDescent="0.3">
      <c r="A6" t="s">
        <v>12</v>
      </c>
      <c r="B6" t="s">
        <v>13</v>
      </c>
      <c r="C6" t="s">
        <v>59</v>
      </c>
      <c r="D6"/>
      <c r="E6"/>
      <c r="F6" t="s">
        <v>60</v>
      </c>
      <c r="G6" t="s">
        <v>61</v>
      </c>
      <c r="H6" t="s">
        <v>62</v>
      </c>
      <c r="I6" t="s">
        <v>63</v>
      </c>
      <c r="J6" t="s">
        <v>18</v>
      </c>
      <c r="K6" t="s">
        <v>64</v>
      </c>
      <c r="L6" t="s">
        <v>20</v>
      </c>
      <c r="M6" t="s">
        <v>21</v>
      </c>
      <c r="N6">
        <v>20251001153423</v>
      </c>
      <c r="O6" t="s">
        <v>591</v>
      </c>
    </row>
    <row r="7" spans="1:15" x14ac:dyDescent="0.3">
      <c r="A7" t="s">
        <v>12</v>
      </c>
      <c r="B7" t="s">
        <v>13</v>
      </c>
      <c r="C7" s="2" t="s">
        <v>150</v>
      </c>
      <c r="D7" s="1" t="str">
        <f>_xlfn.CONCAT("in ", "('",C7,"')")</f>
        <v>in ('7401276246')</v>
      </c>
      <c r="E7" s="1" t="str">
        <f>_xlfn.CONCAT("not in ", "('",C7,"')")</f>
        <v>not in ('7401276246')</v>
      </c>
      <c r="F7" t="s">
        <v>151</v>
      </c>
      <c r="G7" t="s">
        <v>152</v>
      </c>
      <c r="H7" t="s">
        <v>152</v>
      </c>
      <c r="I7" t="s">
        <v>84</v>
      </c>
      <c r="J7" t="s">
        <v>18</v>
      </c>
      <c r="K7" t="s">
        <v>153</v>
      </c>
      <c r="L7" t="s">
        <v>20</v>
      </c>
      <c r="M7" t="s">
        <v>21</v>
      </c>
      <c r="N7">
        <v>20251001153423</v>
      </c>
      <c r="O7" t="s">
        <v>592</v>
      </c>
    </row>
    <row r="8" spans="1:15" x14ac:dyDescent="0.3">
      <c r="A8" t="s">
        <v>12</v>
      </c>
      <c r="B8" t="s">
        <v>13</v>
      </c>
      <c r="C8" s="2" t="s">
        <v>405</v>
      </c>
      <c r="D8" s="1" t="str">
        <f t="shared" ref="D8:D43" si="0">_xlfn.CONCAT("in ", "('",C8,"')")</f>
        <v>in ('2101832415')</v>
      </c>
      <c r="E8" s="1" t="str">
        <f t="shared" ref="E8:E43" si="1">_xlfn.CONCAT("not in ", "('",C8,"')")</f>
        <v>not in ('2101832415')</v>
      </c>
      <c r="F8" t="s">
        <v>406</v>
      </c>
      <c r="G8" t="s">
        <v>227</v>
      </c>
      <c r="H8" t="s">
        <v>227</v>
      </c>
      <c r="J8" t="s">
        <v>18</v>
      </c>
      <c r="K8" t="s">
        <v>198</v>
      </c>
      <c r="L8" t="s">
        <v>20</v>
      </c>
      <c r="M8" t="s">
        <v>21</v>
      </c>
      <c r="N8">
        <v>20251001153423</v>
      </c>
      <c r="O8" t="s">
        <v>592</v>
      </c>
    </row>
    <row r="9" spans="1:15" x14ac:dyDescent="0.3">
      <c r="A9" t="s">
        <v>12</v>
      </c>
      <c r="B9" t="s">
        <v>13</v>
      </c>
      <c r="C9" s="2" t="s">
        <v>225</v>
      </c>
      <c r="D9" s="1" t="str">
        <f t="shared" si="0"/>
        <v>in ('7401276238')</v>
      </c>
      <c r="E9" s="1" t="str">
        <f t="shared" si="1"/>
        <v>not in ('7401276238')</v>
      </c>
      <c r="F9" t="s">
        <v>226</v>
      </c>
      <c r="G9" t="s">
        <v>227</v>
      </c>
      <c r="H9" t="s">
        <v>227</v>
      </c>
      <c r="I9" t="s">
        <v>84</v>
      </c>
      <c r="J9" t="s">
        <v>18</v>
      </c>
      <c r="K9" t="s">
        <v>153</v>
      </c>
      <c r="L9" t="s">
        <v>20</v>
      </c>
      <c r="M9" t="s">
        <v>21</v>
      </c>
      <c r="N9">
        <v>20251001153423</v>
      </c>
      <c r="O9" t="s">
        <v>592</v>
      </c>
    </row>
    <row r="10" spans="1:15" x14ac:dyDescent="0.3">
      <c r="A10" t="s">
        <v>12</v>
      </c>
      <c r="B10" t="s">
        <v>13</v>
      </c>
      <c r="C10" s="2" t="s">
        <v>354</v>
      </c>
      <c r="D10" s="1" t="str">
        <f t="shared" si="0"/>
        <v>in ('5100615216')</v>
      </c>
      <c r="E10" s="1" t="str">
        <f t="shared" si="1"/>
        <v>not in ('5100615216')</v>
      </c>
      <c r="F10" t="s">
        <v>355</v>
      </c>
      <c r="G10" t="s">
        <v>356</v>
      </c>
      <c r="H10" t="s">
        <v>356</v>
      </c>
      <c r="J10" t="s">
        <v>18</v>
      </c>
      <c r="K10" t="s">
        <v>39</v>
      </c>
      <c r="L10" t="s">
        <v>20</v>
      </c>
      <c r="M10" t="s">
        <v>21</v>
      </c>
      <c r="N10">
        <v>20251001153423</v>
      </c>
      <c r="O10" t="s">
        <v>592</v>
      </c>
    </row>
    <row r="11" spans="1:15" x14ac:dyDescent="0.3">
      <c r="A11" t="s">
        <v>12</v>
      </c>
      <c r="B11" t="s">
        <v>13</v>
      </c>
      <c r="C11" s="2" t="s">
        <v>366</v>
      </c>
      <c r="D11" s="1" t="str">
        <f t="shared" si="0"/>
        <v>in ('5100699767')</v>
      </c>
      <c r="E11" s="1" t="str">
        <f t="shared" si="1"/>
        <v>not in ('5100699767')</v>
      </c>
      <c r="F11" t="s">
        <v>367</v>
      </c>
      <c r="G11" t="s">
        <v>368</v>
      </c>
      <c r="H11" t="s">
        <v>368</v>
      </c>
      <c r="J11" t="s">
        <v>18</v>
      </c>
      <c r="K11" t="s">
        <v>39</v>
      </c>
      <c r="L11" t="s">
        <v>20</v>
      </c>
      <c r="M11" t="s">
        <v>21</v>
      </c>
      <c r="N11">
        <v>20251001153423</v>
      </c>
      <c r="O11" t="s">
        <v>592</v>
      </c>
    </row>
    <row r="12" spans="1:15" x14ac:dyDescent="0.3">
      <c r="A12" t="s">
        <v>12</v>
      </c>
      <c r="B12" t="s">
        <v>13</v>
      </c>
      <c r="C12" s="2" t="s">
        <v>494</v>
      </c>
      <c r="D12" s="1" t="str">
        <f t="shared" si="0"/>
        <v>in ('5100717593')</v>
      </c>
      <c r="E12" s="1" t="str">
        <f t="shared" si="1"/>
        <v>not in ('5100717593')</v>
      </c>
      <c r="F12" t="s">
        <v>495</v>
      </c>
      <c r="G12" t="s">
        <v>496</v>
      </c>
      <c r="H12" t="s">
        <v>496</v>
      </c>
      <c r="J12" t="s">
        <v>18</v>
      </c>
      <c r="K12" t="s">
        <v>39</v>
      </c>
      <c r="L12" t="s">
        <v>20</v>
      </c>
      <c r="M12" t="s">
        <v>21</v>
      </c>
      <c r="N12">
        <v>20251001153423</v>
      </c>
      <c r="O12" t="s">
        <v>592</v>
      </c>
    </row>
    <row r="13" spans="1:15" x14ac:dyDescent="0.3">
      <c r="A13" t="s">
        <v>12</v>
      </c>
      <c r="B13" t="s">
        <v>13</v>
      </c>
      <c r="C13" s="2" t="s">
        <v>528</v>
      </c>
      <c r="D13" s="1" t="str">
        <f t="shared" si="0"/>
        <v>in ('5100684455')</v>
      </c>
      <c r="E13" s="1" t="str">
        <f t="shared" si="1"/>
        <v>not in ('5100684455')</v>
      </c>
      <c r="F13" t="s">
        <v>529</v>
      </c>
      <c r="G13" t="s">
        <v>530</v>
      </c>
      <c r="H13" t="s">
        <v>530</v>
      </c>
      <c r="J13" t="s">
        <v>18</v>
      </c>
      <c r="K13" t="s">
        <v>39</v>
      </c>
      <c r="L13" t="s">
        <v>20</v>
      </c>
      <c r="M13" t="s">
        <v>21</v>
      </c>
      <c r="N13">
        <v>20251001153423</v>
      </c>
      <c r="O13" t="s">
        <v>592</v>
      </c>
    </row>
    <row r="14" spans="1:15" x14ac:dyDescent="0.3">
      <c r="A14" t="s">
        <v>12</v>
      </c>
      <c r="B14" t="s">
        <v>13</v>
      </c>
      <c r="C14" s="2" t="s">
        <v>97</v>
      </c>
      <c r="D14" s="1" t="str">
        <f t="shared" si="0"/>
        <v>in ('2100182850')</v>
      </c>
      <c r="E14" s="1" t="str">
        <f t="shared" si="1"/>
        <v>not in ('2100182850')</v>
      </c>
      <c r="F14" t="s">
        <v>98</v>
      </c>
      <c r="G14" t="s">
        <v>16</v>
      </c>
      <c r="H14" t="s">
        <v>16</v>
      </c>
      <c r="I14" t="s">
        <v>84</v>
      </c>
      <c r="J14" t="s">
        <v>18</v>
      </c>
      <c r="K14" t="s">
        <v>99</v>
      </c>
      <c r="L14" t="s">
        <v>20</v>
      </c>
      <c r="M14" t="s">
        <v>21</v>
      </c>
      <c r="N14">
        <v>20251001153423</v>
      </c>
      <c r="O14" t="s">
        <v>592</v>
      </c>
    </row>
    <row r="15" spans="1:15" x14ac:dyDescent="0.3">
      <c r="A15" t="s">
        <v>12</v>
      </c>
      <c r="B15" t="s">
        <v>13</v>
      </c>
      <c r="C15" s="2" t="s">
        <v>110</v>
      </c>
      <c r="D15" s="1" t="str">
        <f t="shared" si="0"/>
        <v>in ('9000934899')</v>
      </c>
      <c r="E15" s="1" t="str">
        <f t="shared" si="1"/>
        <v>not in ('9000934899')</v>
      </c>
      <c r="F15" t="s">
        <v>98</v>
      </c>
      <c r="G15" t="s">
        <v>16</v>
      </c>
      <c r="H15" t="s">
        <v>16</v>
      </c>
      <c r="I15" t="s">
        <v>84</v>
      </c>
      <c r="J15" t="s">
        <v>18</v>
      </c>
      <c r="K15" t="s">
        <v>99</v>
      </c>
      <c r="L15" t="s">
        <v>20</v>
      </c>
      <c r="M15" t="s">
        <v>21</v>
      </c>
      <c r="N15">
        <v>20251001153423</v>
      </c>
      <c r="O15" t="s">
        <v>592</v>
      </c>
    </row>
    <row r="16" spans="1:15" x14ac:dyDescent="0.3">
      <c r="A16" t="s">
        <v>12</v>
      </c>
      <c r="B16" t="s">
        <v>13</v>
      </c>
      <c r="C16" s="2" t="s">
        <v>178</v>
      </c>
      <c r="D16" s="1" t="str">
        <f t="shared" si="0"/>
        <v>in ('5100004040')</v>
      </c>
      <c r="E16" s="1" t="str">
        <f t="shared" si="1"/>
        <v>not in ('5100004040')</v>
      </c>
      <c r="F16" t="s">
        <v>179</v>
      </c>
      <c r="G16" t="s">
        <v>16</v>
      </c>
      <c r="H16" t="s">
        <v>16</v>
      </c>
      <c r="J16" t="s">
        <v>18</v>
      </c>
      <c r="K16" t="s">
        <v>132</v>
      </c>
      <c r="L16" t="s">
        <v>20</v>
      </c>
      <c r="M16" t="s">
        <v>21</v>
      </c>
      <c r="N16">
        <v>20251001153423</v>
      </c>
      <c r="O16" t="s">
        <v>592</v>
      </c>
    </row>
    <row r="17" spans="1:15" x14ac:dyDescent="0.3">
      <c r="A17" t="s">
        <v>12</v>
      </c>
      <c r="B17" t="s">
        <v>13</v>
      </c>
      <c r="C17" s="2" t="s">
        <v>272</v>
      </c>
      <c r="D17" s="1" t="str">
        <f t="shared" si="0"/>
        <v>in ('8026132050')</v>
      </c>
      <c r="E17" s="1" t="str">
        <f t="shared" si="1"/>
        <v>not in ('8026132050')</v>
      </c>
      <c r="F17" t="s">
        <v>179</v>
      </c>
      <c r="G17" t="s">
        <v>16</v>
      </c>
      <c r="H17" t="s">
        <v>16</v>
      </c>
      <c r="I17" t="s">
        <v>84</v>
      </c>
      <c r="J17" t="s">
        <v>18</v>
      </c>
      <c r="K17" t="s">
        <v>99</v>
      </c>
      <c r="L17" t="s">
        <v>20</v>
      </c>
      <c r="M17" t="s">
        <v>21</v>
      </c>
      <c r="N17">
        <v>20251001153423</v>
      </c>
      <c r="O17" t="s">
        <v>592</v>
      </c>
    </row>
    <row r="18" spans="1:15" x14ac:dyDescent="0.3">
      <c r="A18" t="s">
        <v>12</v>
      </c>
      <c r="B18" t="s">
        <v>13</v>
      </c>
      <c r="C18" s="2" t="s">
        <v>286</v>
      </c>
      <c r="D18" s="1" t="str">
        <f t="shared" si="0"/>
        <v>in ('8023435976')</v>
      </c>
      <c r="E18" s="1" t="str">
        <f t="shared" si="1"/>
        <v>not in ('8023435976')</v>
      </c>
      <c r="F18" t="s">
        <v>179</v>
      </c>
      <c r="G18" t="s">
        <v>16</v>
      </c>
      <c r="H18" t="s">
        <v>16</v>
      </c>
      <c r="I18" t="s">
        <v>84</v>
      </c>
      <c r="J18" t="s">
        <v>18</v>
      </c>
      <c r="K18" t="s">
        <v>99</v>
      </c>
      <c r="L18" t="s">
        <v>20</v>
      </c>
      <c r="M18" t="s">
        <v>21</v>
      </c>
      <c r="N18">
        <v>20251001153423</v>
      </c>
      <c r="O18" t="s">
        <v>592</v>
      </c>
    </row>
    <row r="19" spans="1:15" x14ac:dyDescent="0.3">
      <c r="A19" t="s">
        <v>12</v>
      </c>
      <c r="B19" t="s">
        <v>13</v>
      </c>
      <c r="C19" s="2" t="s">
        <v>514</v>
      </c>
      <c r="D19" s="1" t="str">
        <f t="shared" si="0"/>
        <v>in ('2100365686')</v>
      </c>
      <c r="E19" s="1" t="str">
        <f t="shared" si="1"/>
        <v>not in ('2100365686')</v>
      </c>
      <c r="F19" t="s">
        <v>179</v>
      </c>
      <c r="G19" t="s">
        <v>16</v>
      </c>
      <c r="H19" t="s">
        <v>16</v>
      </c>
      <c r="I19" t="s">
        <v>84</v>
      </c>
      <c r="J19" t="s">
        <v>18</v>
      </c>
      <c r="K19" t="s">
        <v>99</v>
      </c>
      <c r="L19" t="s">
        <v>20</v>
      </c>
      <c r="M19" t="s">
        <v>21</v>
      </c>
      <c r="N19">
        <v>20251001153423</v>
      </c>
      <c r="O19" t="s">
        <v>592</v>
      </c>
    </row>
    <row r="20" spans="1:15" x14ac:dyDescent="0.3">
      <c r="A20" t="s">
        <v>12</v>
      </c>
      <c r="B20" t="s">
        <v>13</v>
      </c>
      <c r="C20" s="2" t="s">
        <v>566</v>
      </c>
      <c r="D20" s="1" t="str">
        <f t="shared" si="0"/>
        <v>in ('8026132103')</v>
      </c>
      <c r="E20" s="1" t="str">
        <f t="shared" si="1"/>
        <v>not in ('8026132103')</v>
      </c>
      <c r="F20" t="s">
        <v>179</v>
      </c>
      <c r="G20" t="s">
        <v>16</v>
      </c>
      <c r="H20" t="s">
        <v>16</v>
      </c>
      <c r="I20" t="s">
        <v>84</v>
      </c>
      <c r="J20" t="s">
        <v>18</v>
      </c>
      <c r="K20" t="s">
        <v>99</v>
      </c>
      <c r="L20" t="s">
        <v>20</v>
      </c>
      <c r="M20" t="s">
        <v>21</v>
      </c>
      <c r="N20">
        <v>20251001153423</v>
      </c>
      <c r="O20" t="s">
        <v>592</v>
      </c>
    </row>
    <row r="21" spans="1:15" x14ac:dyDescent="0.3">
      <c r="A21" t="s">
        <v>12</v>
      </c>
      <c r="B21" t="s">
        <v>13</v>
      </c>
      <c r="C21" s="2" t="s">
        <v>104</v>
      </c>
      <c r="D21" s="1" t="str">
        <f t="shared" si="0"/>
        <v>in ('4161000485')</v>
      </c>
      <c r="E21" s="1" t="str">
        <f t="shared" si="1"/>
        <v>not in ('4161000485')</v>
      </c>
      <c r="F21" t="s">
        <v>105</v>
      </c>
      <c r="G21" t="s">
        <v>16</v>
      </c>
      <c r="H21" t="s">
        <v>16</v>
      </c>
      <c r="I21" t="s">
        <v>84</v>
      </c>
      <c r="J21" t="s">
        <v>18</v>
      </c>
      <c r="K21" t="s">
        <v>99</v>
      </c>
      <c r="L21" t="s">
        <v>20</v>
      </c>
      <c r="M21" t="s">
        <v>21</v>
      </c>
      <c r="N21">
        <v>20251001153423</v>
      </c>
      <c r="O21" t="s">
        <v>592</v>
      </c>
    </row>
    <row r="22" spans="1:15" x14ac:dyDescent="0.3">
      <c r="A22" t="s">
        <v>12</v>
      </c>
      <c r="B22" t="s">
        <v>13</v>
      </c>
      <c r="C22" s="2" t="s">
        <v>154</v>
      </c>
      <c r="D22" s="1" t="str">
        <f t="shared" si="0"/>
        <v>in ('8022901967')</v>
      </c>
      <c r="E22" s="1" t="str">
        <f t="shared" si="1"/>
        <v>not in ('8022901967')</v>
      </c>
      <c r="F22" t="s">
        <v>155</v>
      </c>
      <c r="G22" t="s">
        <v>16</v>
      </c>
      <c r="H22" t="s">
        <v>16</v>
      </c>
      <c r="I22" t="s">
        <v>84</v>
      </c>
      <c r="J22" t="s">
        <v>18</v>
      </c>
      <c r="K22" t="s">
        <v>99</v>
      </c>
      <c r="L22" t="s">
        <v>20</v>
      </c>
      <c r="M22" t="s">
        <v>21</v>
      </c>
      <c r="N22">
        <v>20251001153423</v>
      </c>
      <c r="O22" t="s">
        <v>592</v>
      </c>
    </row>
    <row r="23" spans="1:15" x14ac:dyDescent="0.3">
      <c r="A23" t="s">
        <v>12</v>
      </c>
      <c r="B23" t="s">
        <v>13</v>
      </c>
      <c r="C23" s="2" t="s">
        <v>337</v>
      </c>
      <c r="D23" s="1" t="str">
        <f t="shared" si="0"/>
        <v>in ('8020907322')</v>
      </c>
      <c r="E23" s="1" t="str">
        <f t="shared" si="1"/>
        <v>not in ('8020907322')</v>
      </c>
      <c r="F23" t="s">
        <v>155</v>
      </c>
      <c r="G23" t="s">
        <v>16</v>
      </c>
      <c r="H23" t="s">
        <v>16</v>
      </c>
      <c r="I23" t="s">
        <v>84</v>
      </c>
      <c r="J23" t="s">
        <v>18</v>
      </c>
      <c r="K23" t="s">
        <v>99</v>
      </c>
      <c r="L23" t="s">
        <v>20</v>
      </c>
      <c r="M23" t="s">
        <v>21</v>
      </c>
      <c r="N23">
        <v>20251001153423</v>
      </c>
      <c r="O23" t="s">
        <v>592</v>
      </c>
    </row>
    <row r="24" spans="1:15" x14ac:dyDescent="0.3">
      <c r="A24" t="s">
        <v>12</v>
      </c>
      <c r="B24" t="s">
        <v>13</v>
      </c>
      <c r="C24" s="2" t="s">
        <v>365</v>
      </c>
      <c r="D24" s="1" t="str">
        <f t="shared" si="0"/>
        <v>in ('8020904991')</v>
      </c>
      <c r="E24" s="1" t="str">
        <f t="shared" si="1"/>
        <v>not in ('8020904991')</v>
      </c>
      <c r="F24" t="s">
        <v>155</v>
      </c>
      <c r="G24" t="s">
        <v>16</v>
      </c>
      <c r="H24" t="s">
        <v>16</v>
      </c>
      <c r="I24" t="s">
        <v>84</v>
      </c>
      <c r="J24" t="s">
        <v>18</v>
      </c>
      <c r="K24" t="s">
        <v>99</v>
      </c>
      <c r="L24" t="s">
        <v>20</v>
      </c>
      <c r="M24" t="s">
        <v>21</v>
      </c>
      <c r="N24">
        <v>20251001153423</v>
      </c>
      <c r="O24" t="s">
        <v>592</v>
      </c>
    </row>
    <row r="25" spans="1:15" x14ac:dyDescent="0.3">
      <c r="A25" t="s">
        <v>12</v>
      </c>
      <c r="B25" t="s">
        <v>13</v>
      </c>
      <c r="C25" s="2" t="s">
        <v>534</v>
      </c>
      <c r="D25" s="1" t="str">
        <f t="shared" si="0"/>
        <v>in ('8022902017')</v>
      </c>
      <c r="E25" s="1" t="str">
        <f t="shared" si="1"/>
        <v>not in ('8022902017')</v>
      </c>
      <c r="F25" t="s">
        <v>155</v>
      </c>
      <c r="G25" t="s">
        <v>16</v>
      </c>
      <c r="H25" t="s">
        <v>16</v>
      </c>
      <c r="I25" t="s">
        <v>84</v>
      </c>
      <c r="J25" t="s">
        <v>18</v>
      </c>
      <c r="K25" t="s">
        <v>99</v>
      </c>
      <c r="L25" t="s">
        <v>91</v>
      </c>
      <c r="M25" t="s">
        <v>21</v>
      </c>
      <c r="N25">
        <v>20251001153423</v>
      </c>
      <c r="O25" t="s">
        <v>592</v>
      </c>
    </row>
    <row r="26" spans="1:15" x14ac:dyDescent="0.3">
      <c r="A26" t="s">
        <v>12</v>
      </c>
      <c r="B26" t="s">
        <v>13</v>
      </c>
      <c r="C26" s="2" t="s">
        <v>543</v>
      </c>
      <c r="D26" s="1" t="str">
        <f t="shared" si="0"/>
        <v>in ('8020904989')</v>
      </c>
      <c r="E26" s="1" t="str">
        <f t="shared" si="1"/>
        <v>not in ('8020904989')</v>
      </c>
      <c r="F26" t="s">
        <v>155</v>
      </c>
      <c r="G26" t="s">
        <v>16</v>
      </c>
      <c r="H26" t="s">
        <v>16</v>
      </c>
      <c r="I26" t="s">
        <v>84</v>
      </c>
      <c r="J26" t="s">
        <v>18</v>
      </c>
      <c r="K26" t="s">
        <v>99</v>
      </c>
      <c r="L26" t="s">
        <v>20</v>
      </c>
      <c r="M26" t="s">
        <v>21</v>
      </c>
      <c r="N26">
        <v>20251001153423</v>
      </c>
      <c r="O26" t="s">
        <v>592</v>
      </c>
    </row>
    <row r="27" spans="1:15" x14ac:dyDescent="0.3">
      <c r="A27" t="s">
        <v>12</v>
      </c>
      <c r="B27" t="s">
        <v>13</v>
      </c>
      <c r="C27" s="2" t="s">
        <v>573</v>
      </c>
      <c r="D27" s="1" t="str">
        <f t="shared" si="0"/>
        <v>in ('8023435952')</v>
      </c>
      <c r="E27" s="1" t="str">
        <f t="shared" si="1"/>
        <v>not in ('8023435952')</v>
      </c>
      <c r="F27" t="s">
        <v>155</v>
      </c>
      <c r="G27" t="s">
        <v>16</v>
      </c>
      <c r="H27" t="s">
        <v>16</v>
      </c>
      <c r="I27" t="s">
        <v>84</v>
      </c>
      <c r="J27" t="s">
        <v>18</v>
      </c>
      <c r="K27" t="s">
        <v>99</v>
      </c>
      <c r="L27" t="s">
        <v>20</v>
      </c>
      <c r="M27" t="s">
        <v>21</v>
      </c>
      <c r="N27">
        <v>20251001153423</v>
      </c>
      <c r="O27" t="s">
        <v>592</v>
      </c>
    </row>
    <row r="28" spans="1:15" x14ac:dyDescent="0.3">
      <c r="A28" t="s">
        <v>12</v>
      </c>
      <c r="B28" t="s">
        <v>13</v>
      </c>
      <c r="C28" s="2" t="s">
        <v>317</v>
      </c>
      <c r="D28" s="1" t="str">
        <f t="shared" si="0"/>
        <v>in ('7400416401')</v>
      </c>
      <c r="E28" s="1" t="str">
        <f t="shared" si="1"/>
        <v>not in ('7400416401')</v>
      </c>
      <c r="F28" t="s">
        <v>318</v>
      </c>
      <c r="G28" t="s">
        <v>16</v>
      </c>
      <c r="H28" t="s">
        <v>16</v>
      </c>
      <c r="I28" t="s">
        <v>84</v>
      </c>
      <c r="J28" t="s">
        <v>18</v>
      </c>
      <c r="K28" t="s">
        <v>99</v>
      </c>
      <c r="L28" t="s">
        <v>20</v>
      </c>
      <c r="M28" t="s">
        <v>21</v>
      </c>
      <c r="N28">
        <v>20251001153423</v>
      </c>
      <c r="O28" t="s">
        <v>592</v>
      </c>
    </row>
    <row r="29" spans="1:15" x14ac:dyDescent="0.3">
      <c r="A29" t="s">
        <v>12</v>
      </c>
      <c r="B29" t="s">
        <v>13</v>
      </c>
      <c r="C29" s="2" t="s">
        <v>475</v>
      </c>
      <c r="D29" s="1" t="str">
        <f t="shared" si="0"/>
        <v>in ('8020905003')</v>
      </c>
      <c r="E29" s="1" t="str">
        <f t="shared" si="1"/>
        <v>not in ('8020905003')</v>
      </c>
      <c r="F29" t="s">
        <v>476</v>
      </c>
      <c r="G29" t="s">
        <v>16</v>
      </c>
      <c r="H29" t="s">
        <v>16</v>
      </c>
      <c r="I29" t="s">
        <v>84</v>
      </c>
      <c r="J29" t="s">
        <v>18</v>
      </c>
      <c r="K29" t="s">
        <v>99</v>
      </c>
      <c r="L29" t="s">
        <v>20</v>
      </c>
      <c r="M29" t="s">
        <v>21</v>
      </c>
      <c r="N29">
        <v>20251001153423</v>
      </c>
      <c r="O29" t="s">
        <v>592</v>
      </c>
    </row>
    <row r="30" spans="1:15" x14ac:dyDescent="0.3">
      <c r="A30" t="s">
        <v>12</v>
      </c>
      <c r="B30" t="s">
        <v>13</v>
      </c>
      <c r="C30" s="2" t="s">
        <v>429</v>
      </c>
      <c r="D30" s="1" t="str">
        <f t="shared" si="0"/>
        <v>in ('8040985296')</v>
      </c>
      <c r="E30" s="1" t="str">
        <f t="shared" si="1"/>
        <v>not in ('8040985296')</v>
      </c>
      <c r="F30" t="s">
        <v>430</v>
      </c>
      <c r="G30" t="s">
        <v>16</v>
      </c>
      <c r="H30" t="s">
        <v>16</v>
      </c>
      <c r="I30" t="s">
        <v>84</v>
      </c>
      <c r="J30" t="s">
        <v>18</v>
      </c>
      <c r="K30" t="s">
        <v>99</v>
      </c>
      <c r="L30" t="s">
        <v>20</v>
      </c>
      <c r="M30" t="s">
        <v>21</v>
      </c>
      <c r="N30">
        <v>20251001153423</v>
      </c>
      <c r="O30" t="s">
        <v>592</v>
      </c>
    </row>
    <row r="31" spans="1:15" x14ac:dyDescent="0.3">
      <c r="A31" t="s">
        <v>12</v>
      </c>
      <c r="B31" t="s">
        <v>13</v>
      </c>
      <c r="C31" s="2" t="s">
        <v>185</v>
      </c>
      <c r="D31" s="1" t="str">
        <f t="shared" si="0"/>
        <v>in ('8023009859')</v>
      </c>
      <c r="E31" s="1" t="str">
        <f t="shared" si="1"/>
        <v>not in ('8023009859')</v>
      </c>
      <c r="F31" t="s">
        <v>186</v>
      </c>
      <c r="G31" t="s">
        <v>16</v>
      </c>
      <c r="H31" t="s">
        <v>16</v>
      </c>
      <c r="I31" t="s">
        <v>84</v>
      </c>
      <c r="J31" t="s">
        <v>18</v>
      </c>
      <c r="K31" t="s">
        <v>99</v>
      </c>
      <c r="L31" t="s">
        <v>20</v>
      </c>
      <c r="M31" t="s">
        <v>21</v>
      </c>
      <c r="N31">
        <v>20251001153423</v>
      </c>
      <c r="O31" t="s">
        <v>592</v>
      </c>
    </row>
    <row r="32" spans="1:15" x14ac:dyDescent="0.3">
      <c r="A32" t="s">
        <v>12</v>
      </c>
      <c r="B32" t="s">
        <v>13</v>
      </c>
      <c r="C32" s="2" t="s">
        <v>252</v>
      </c>
      <c r="D32" s="1" t="str">
        <f t="shared" si="0"/>
        <v>in ('8023011295')</v>
      </c>
      <c r="E32" s="1" t="str">
        <f t="shared" si="1"/>
        <v>not in ('8023011295')</v>
      </c>
      <c r="F32" t="s">
        <v>186</v>
      </c>
      <c r="G32" t="s">
        <v>16</v>
      </c>
      <c r="H32" t="s">
        <v>16</v>
      </c>
      <c r="I32" t="s">
        <v>84</v>
      </c>
      <c r="J32" t="s">
        <v>18</v>
      </c>
      <c r="K32" t="s">
        <v>99</v>
      </c>
      <c r="L32" t="s">
        <v>20</v>
      </c>
      <c r="M32" t="s">
        <v>21</v>
      </c>
      <c r="N32">
        <v>20251001153423</v>
      </c>
      <c r="O32" t="s">
        <v>592</v>
      </c>
    </row>
    <row r="33" spans="1:15" x14ac:dyDescent="0.3">
      <c r="A33" t="s">
        <v>12</v>
      </c>
      <c r="B33" t="s">
        <v>13</v>
      </c>
      <c r="C33" s="2" t="s">
        <v>269</v>
      </c>
      <c r="D33" s="1" t="str">
        <f t="shared" si="0"/>
        <v>in ('8023009896')</v>
      </c>
      <c r="E33" s="1" t="str">
        <f t="shared" si="1"/>
        <v>not in ('8023009896')</v>
      </c>
      <c r="F33" t="s">
        <v>186</v>
      </c>
      <c r="G33" t="s">
        <v>16</v>
      </c>
      <c r="H33" t="s">
        <v>16</v>
      </c>
      <c r="I33" t="s">
        <v>84</v>
      </c>
      <c r="J33" t="s">
        <v>18</v>
      </c>
      <c r="K33" t="s">
        <v>99</v>
      </c>
      <c r="L33" t="s">
        <v>20</v>
      </c>
      <c r="M33" t="s">
        <v>21</v>
      </c>
      <c r="N33">
        <v>20251001153423</v>
      </c>
      <c r="O33" t="s">
        <v>592</v>
      </c>
    </row>
    <row r="34" spans="1:15" x14ac:dyDescent="0.3">
      <c r="A34" t="s">
        <v>12</v>
      </c>
      <c r="B34" t="s">
        <v>13</v>
      </c>
      <c r="C34" s="2" t="s">
        <v>311</v>
      </c>
      <c r="D34" s="1" t="str">
        <f t="shared" si="0"/>
        <v>in ('5100006155')</v>
      </c>
      <c r="E34" s="1" t="str">
        <f t="shared" si="1"/>
        <v>not in ('5100006155')</v>
      </c>
      <c r="F34" t="s">
        <v>312</v>
      </c>
      <c r="G34" t="s">
        <v>16</v>
      </c>
      <c r="H34" t="s">
        <v>16</v>
      </c>
      <c r="J34" t="s">
        <v>18</v>
      </c>
      <c r="K34" t="s">
        <v>39</v>
      </c>
      <c r="L34" t="s">
        <v>20</v>
      </c>
      <c r="M34" t="s">
        <v>21</v>
      </c>
      <c r="N34">
        <v>20251001153423</v>
      </c>
      <c r="O34" t="s">
        <v>592</v>
      </c>
    </row>
    <row r="35" spans="1:15" x14ac:dyDescent="0.3">
      <c r="A35" t="s">
        <v>12</v>
      </c>
      <c r="B35" t="s">
        <v>13</v>
      </c>
      <c r="C35" s="2" t="s">
        <v>351</v>
      </c>
      <c r="D35" s="1" t="str">
        <f t="shared" si="0"/>
        <v>in ('5100564511')</v>
      </c>
      <c r="E35" s="1" t="str">
        <f t="shared" si="1"/>
        <v>not in ('5100564511')</v>
      </c>
      <c r="F35" t="s">
        <v>312</v>
      </c>
      <c r="G35" t="s">
        <v>16</v>
      </c>
      <c r="H35" t="s">
        <v>16</v>
      </c>
      <c r="J35" t="s">
        <v>18</v>
      </c>
      <c r="K35" t="s">
        <v>39</v>
      </c>
      <c r="L35" t="s">
        <v>20</v>
      </c>
      <c r="M35" t="s">
        <v>21</v>
      </c>
      <c r="N35">
        <v>20251001153423</v>
      </c>
      <c r="O35" t="s">
        <v>592</v>
      </c>
    </row>
    <row r="36" spans="1:15" x14ac:dyDescent="0.3">
      <c r="A36" t="s">
        <v>12</v>
      </c>
      <c r="B36" t="s">
        <v>13</v>
      </c>
      <c r="C36" s="2" t="s">
        <v>360</v>
      </c>
      <c r="D36" s="1" t="str">
        <f t="shared" si="0"/>
        <v>in ('5100512458')</v>
      </c>
      <c r="E36" s="1" t="str">
        <f t="shared" si="1"/>
        <v>not in ('5100512458')</v>
      </c>
      <c r="F36" t="s">
        <v>312</v>
      </c>
      <c r="G36" t="s">
        <v>16</v>
      </c>
      <c r="H36" t="s">
        <v>16</v>
      </c>
      <c r="J36" t="s">
        <v>18</v>
      </c>
      <c r="K36" t="s">
        <v>39</v>
      </c>
      <c r="L36" t="s">
        <v>20</v>
      </c>
      <c r="M36" t="s">
        <v>21</v>
      </c>
      <c r="N36">
        <v>20251001153423</v>
      </c>
      <c r="O36" t="s">
        <v>592</v>
      </c>
    </row>
    <row r="37" spans="1:15" x14ac:dyDescent="0.3">
      <c r="A37" t="s">
        <v>12</v>
      </c>
      <c r="B37" t="s">
        <v>13</v>
      </c>
      <c r="C37" s="2" t="s">
        <v>535</v>
      </c>
      <c r="D37" s="1" t="str">
        <f t="shared" si="0"/>
        <v>in ('5100010918')</v>
      </c>
      <c r="E37" s="1" t="str">
        <f t="shared" si="1"/>
        <v>not in ('5100010918')</v>
      </c>
      <c r="F37" t="s">
        <v>312</v>
      </c>
      <c r="G37" t="s">
        <v>16</v>
      </c>
      <c r="H37" t="s">
        <v>16</v>
      </c>
      <c r="J37" t="s">
        <v>18</v>
      </c>
      <c r="K37" t="s">
        <v>39</v>
      </c>
      <c r="L37" t="s">
        <v>20</v>
      </c>
      <c r="M37" t="s">
        <v>21</v>
      </c>
      <c r="N37">
        <v>20251001153423</v>
      </c>
      <c r="O37" t="s">
        <v>592</v>
      </c>
    </row>
    <row r="38" spans="1:15" x14ac:dyDescent="0.3">
      <c r="A38" t="s">
        <v>12</v>
      </c>
      <c r="B38" t="s">
        <v>13</v>
      </c>
      <c r="C38" s="2" t="s">
        <v>176</v>
      </c>
      <c r="D38" s="1" t="str">
        <f t="shared" si="0"/>
        <v>in ('8007220122')</v>
      </c>
      <c r="E38" s="1" t="str">
        <f t="shared" si="1"/>
        <v>not in ('8007220122')</v>
      </c>
      <c r="F38" t="s">
        <v>177</v>
      </c>
      <c r="G38" t="s">
        <v>16</v>
      </c>
      <c r="H38" t="s">
        <v>16</v>
      </c>
      <c r="I38" t="s">
        <v>84</v>
      </c>
      <c r="J38" t="s">
        <v>18</v>
      </c>
      <c r="K38" t="s">
        <v>99</v>
      </c>
      <c r="L38" t="s">
        <v>20</v>
      </c>
      <c r="M38" t="s">
        <v>21</v>
      </c>
      <c r="N38">
        <v>20251001153423</v>
      </c>
      <c r="O38" t="s">
        <v>592</v>
      </c>
    </row>
    <row r="39" spans="1:15" x14ac:dyDescent="0.3">
      <c r="A39" t="s">
        <v>12</v>
      </c>
      <c r="B39" t="s">
        <v>13</v>
      </c>
      <c r="C39" s="2" t="s">
        <v>479</v>
      </c>
      <c r="D39" s="1" t="str">
        <f t="shared" si="0"/>
        <v>in ('5100262318')</v>
      </c>
      <c r="E39" s="1" t="str">
        <f t="shared" si="1"/>
        <v>not in ('5100262318')</v>
      </c>
      <c r="F39" t="s">
        <v>177</v>
      </c>
      <c r="G39" t="s">
        <v>16</v>
      </c>
      <c r="H39" t="s">
        <v>16</v>
      </c>
      <c r="J39" t="s">
        <v>18</v>
      </c>
      <c r="K39" t="s">
        <v>132</v>
      </c>
      <c r="L39" t="s">
        <v>20</v>
      </c>
      <c r="M39" t="s">
        <v>21</v>
      </c>
      <c r="N39">
        <v>20251001153423</v>
      </c>
      <c r="O39" t="s">
        <v>592</v>
      </c>
    </row>
    <row r="40" spans="1:15" x14ac:dyDescent="0.3">
      <c r="A40" t="s">
        <v>12</v>
      </c>
      <c r="B40" t="s">
        <v>13</v>
      </c>
      <c r="C40" s="2" t="s">
        <v>504</v>
      </c>
      <c r="D40" s="1" t="str">
        <f t="shared" si="0"/>
        <v>in ('6511003209')</v>
      </c>
      <c r="E40" s="1" t="str">
        <f t="shared" si="1"/>
        <v>not in ('6511003209')</v>
      </c>
      <c r="F40" t="s">
        <v>505</v>
      </c>
      <c r="G40" t="s">
        <v>16</v>
      </c>
      <c r="H40" t="s">
        <v>16</v>
      </c>
      <c r="J40" t="s">
        <v>18</v>
      </c>
      <c r="K40" t="s">
        <v>506</v>
      </c>
      <c r="L40" t="s">
        <v>20</v>
      </c>
      <c r="M40" t="s">
        <v>21</v>
      </c>
      <c r="N40">
        <v>20251001153423</v>
      </c>
      <c r="O40" t="s">
        <v>592</v>
      </c>
    </row>
    <row r="41" spans="1:15" x14ac:dyDescent="0.3">
      <c r="A41" t="s">
        <v>12</v>
      </c>
      <c r="B41" t="s">
        <v>13</v>
      </c>
      <c r="C41" s="2" t="s">
        <v>413</v>
      </c>
      <c r="D41" s="1" t="str">
        <f t="shared" si="0"/>
        <v>in ('6511003239')</v>
      </c>
      <c r="E41" s="1" t="str">
        <f t="shared" si="1"/>
        <v>not in ('6511003239')</v>
      </c>
      <c r="F41" t="s">
        <v>414</v>
      </c>
      <c r="G41" t="s">
        <v>16</v>
      </c>
      <c r="H41" t="s">
        <v>16</v>
      </c>
      <c r="I41" t="s">
        <v>415</v>
      </c>
      <c r="J41" t="s">
        <v>18</v>
      </c>
      <c r="K41" t="s">
        <v>99</v>
      </c>
      <c r="L41" t="s">
        <v>20</v>
      </c>
      <c r="M41" t="s">
        <v>21</v>
      </c>
      <c r="N41">
        <v>20251001153423</v>
      </c>
      <c r="O41" t="s">
        <v>592</v>
      </c>
    </row>
    <row r="42" spans="1:15" x14ac:dyDescent="0.3">
      <c r="A42" t="s">
        <v>12</v>
      </c>
      <c r="B42" t="s">
        <v>13</v>
      </c>
      <c r="C42" s="2" t="s">
        <v>292</v>
      </c>
      <c r="D42" s="1" t="str">
        <f t="shared" si="0"/>
        <v>in ('0000241876')</v>
      </c>
      <c r="E42" s="1" t="str">
        <f t="shared" si="1"/>
        <v>not in ('0000241876')</v>
      </c>
      <c r="F42" t="s">
        <v>293</v>
      </c>
      <c r="G42" t="s">
        <v>16</v>
      </c>
      <c r="H42" t="s">
        <v>16</v>
      </c>
      <c r="I42" t="s">
        <v>294</v>
      </c>
      <c r="J42" t="s">
        <v>18</v>
      </c>
      <c r="K42" t="s">
        <v>99</v>
      </c>
      <c r="L42" t="s">
        <v>20</v>
      </c>
      <c r="M42" t="s">
        <v>21</v>
      </c>
      <c r="N42">
        <v>20251001153423</v>
      </c>
      <c r="O42" t="s">
        <v>592</v>
      </c>
    </row>
    <row r="43" spans="1:15" x14ac:dyDescent="0.3">
      <c r="A43" t="s">
        <v>12</v>
      </c>
      <c r="B43" t="s">
        <v>13</v>
      </c>
      <c r="C43" s="2" t="s">
        <v>361</v>
      </c>
      <c r="D43" s="1" t="str">
        <f t="shared" si="0"/>
        <v>in ('8020904643')</v>
      </c>
      <c r="E43" s="1" t="str">
        <f t="shared" si="1"/>
        <v>not in ('8020904643')</v>
      </c>
      <c r="F43" t="s">
        <v>362</v>
      </c>
      <c r="G43" t="s">
        <v>16</v>
      </c>
      <c r="H43" t="s">
        <v>16</v>
      </c>
      <c r="J43" t="s">
        <v>18</v>
      </c>
      <c r="K43" t="s">
        <v>363</v>
      </c>
      <c r="L43" t="s">
        <v>20</v>
      </c>
      <c r="M43" t="s">
        <v>21</v>
      </c>
      <c r="N43">
        <v>20251001153423</v>
      </c>
      <c r="O43" t="s">
        <v>592</v>
      </c>
    </row>
    <row r="44" spans="1:15" hidden="1" x14ac:dyDescent="0.3">
      <c r="A44" t="s">
        <v>12</v>
      </c>
      <c r="B44" t="s">
        <v>13</v>
      </c>
      <c r="C44" t="s">
        <v>172</v>
      </c>
      <c r="D44"/>
      <c r="E44"/>
      <c r="F44" t="s">
        <v>173</v>
      </c>
      <c r="G44" t="s">
        <v>174</v>
      </c>
      <c r="H44" t="s">
        <v>174</v>
      </c>
      <c r="I44" t="s">
        <v>175</v>
      </c>
      <c r="J44" t="s">
        <v>18</v>
      </c>
      <c r="K44" t="s">
        <v>26</v>
      </c>
      <c r="L44" t="s">
        <v>20</v>
      </c>
      <c r="M44" t="s">
        <v>21</v>
      </c>
      <c r="N44">
        <v>20251001153423</v>
      </c>
      <c r="O44" t="s">
        <v>591</v>
      </c>
    </row>
    <row r="45" spans="1:15" hidden="1" x14ac:dyDescent="0.3">
      <c r="A45" t="s">
        <v>12</v>
      </c>
      <c r="B45" t="s">
        <v>13</v>
      </c>
      <c r="C45" t="s">
        <v>308</v>
      </c>
      <c r="D45"/>
      <c r="E45"/>
      <c r="F45" t="s">
        <v>309</v>
      </c>
      <c r="G45" t="s">
        <v>174</v>
      </c>
      <c r="H45" t="s">
        <v>174</v>
      </c>
      <c r="I45" t="s">
        <v>113</v>
      </c>
      <c r="J45" t="s">
        <v>18</v>
      </c>
      <c r="K45" t="s">
        <v>19</v>
      </c>
      <c r="L45" t="s">
        <v>20</v>
      </c>
      <c r="M45" t="s">
        <v>21</v>
      </c>
      <c r="N45">
        <v>20251001153423</v>
      </c>
      <c r="O45" t="s">
        <v>591</v>
      </c>
    </row>
    <row r="46" spans="1:15" hidden="1" x14ac:dyDescent="0.3">
      <c r="A46" t="s">
        <v>12</v>
      </c>
      <c r="B46" t="s">
        <v>13</v>
      </c>
      <c r="C46" t="s">
        <v>288</v>
      </c>
      <c r="D46"/>
      <c r="E46"/>
      <c r="F46" t="s">
        <v>289</v>
      </c>
      <c r="G46" t="s">
        <v>174</v>
      </c>
      <c r="H46" t="s">
        <v>174</v>
      </c>
      <c r="I46" t="s">
        <v>17</v>
      </c>
      <c r="J46" t="s">
        <v>18</v>
      </c>
      <c r="K46" t="s">
        <v>19</v>
      </c>
      <c r="L46" t="s">
        <v>20</v>
      </c>
      <c r="M46" t="s">
        <v>21</v>
      </c>
      <c r="N46">
        <v>20251001153423</v>
      </c>
      <c r="O46" t="s">
        <v>591</v>
      </c>
    </row>
    <row r="47" spans="1:15" x14ac:dyDescent="0.3">
      <c r="A47" t="s">
        <v>12</v>
      </c>
      <c r="B47" t="s">
        <v>13</v>
      </c>
      <c r="C47" s="2" t="s">
        <v>156</v>
      </c>
      <c r="D47" s="1" t="str">
        <f t="shared" ref="D47:D51" si="2">_xlfn.CONCAT("in ", "('",C47,"')")</f>
        <v>in ('2100150281')</v>
      </c>
      <c r="E47" s="1" t="str">
        <f t="shared" ref="E47:E51" si="3">_xlfn.CONCAT("not in ", "('",C47,"')")</f>
        <v>not in ('2100150281')</v>
      </c>
      <c r="F47" t="s">
        <v>157</v>
      </c>
      <c r="G47" t="s">
        <v>95</v>
      </c>
      <c r="H47" t="s">
        <v>95</v>
      </c>
      <c r="I47" t="s">
        <v>96</v>
      </c>
      <c r="J47" t="s">
        <v>18</v>
      </c>
      <c r="K47" t="s">
        <v>68</v>
      </c>
      <c r="L47" t="s">
        <v>20</v>
      </c>
      <c r="M47" t="s">
        <v>21</v>
      </c>
      <c r="N47">
        <v>20251001153423</v>
      </c>
      <c r="O47" t="s">
        <v>592</v>
      </c>
    </row>
    <row r="48" spans="1:15" x14ac:dyDescent="0.3">
      <c r="A48" t="s">
        <v>12</v>
      </c>
      <c r="B48" t="s">
        <v>13</v>
      </c>
      <c r="C48" s="2" t="s">
        <v>408</v>
      </c>
      <c r="D48" s="1" t="str">
        <f t="shared" si="2"/>
        <v>in ('2101452047')</v>
      </c>
      <c r="E48" s="1" t="str">
        <f t="shared" si="3"/>
        <v>not in ('2101452047')</v>
      </c>
      <c r="F48" t="s">
        <v>157</v>
      </c>
      <c r="G48" t="s">
        <v>95</v>
      </c>
      <c r="H48" t="s">
        <v>95</v>
      </c>
      <c r="I48" t="s">
        <v>96</v>
      </c>
      <c r="J48" t="s">
        <v>18</v>
      </c>
      <c r="K48" t="s">
        <v>68</v>
      </c>
      <c r="L48" t="s">
        <v>20</v>
      </c>
      <c r="M48" t="s">
        <v>21</v>
      </c>
      <c r="N48">
        <v>20251001153423</v>
      </c>
      <c r="O48" t="s">
        <v>592</v>
      </c>
    </row>
    <row r="49" spans="1:15" x14ac:dyDescent="0.3">
      <c r="A49" t="s">
        <v>12</v>
      </c>
      <c r="B49" t="s">
        <v>13</v>
      </c>
      <c r="C49" s="2" t="s">
        <v>432</v>
      </c>
      <c r="D49" s="1" t="str">
        <f t="shared" si="2"/>
        <v>in ('3461001806')</v>
      </c>
      <c r="E49" s="1" t="str">
        <f t="shared" si="3"/>
        <v>not in ('3461001806')</v>
      </c>
      <c r="F49" t="s">
        <v>433</v>
      </c>
      <c r="G49" t="s">
        <v>95</v>
      </c>
      <c r="H49" t="s">
        <v>95</v>
      </c>
      <c r="I49" t="s">
        <v>96</v>
      </c>
      <c r="J49" t="s">
        <v>18</v>
      </c>
      <c r="K49" t="s">
        <v>198</v>
      </c>
      <c r="L49" t="s">
        <v>20</v>
      </c>
      <c r="M49" t="s">
        <v>21</v>
      </c>
      <c r="N49">
        <v>20251001153423</v>
      </c>
      <c r="O49" t="s">
        <v>592</v>
      </c>
    </row>
    <row r="50" spans="1:15" x14ac:dyDescent="0.3">
      <c r="A50" t="s">
        <v>12</v>
      </c>
      <c r="B50" t="s">
        <v>13</v>
      </c>
      <c r="C50" s="2" t="s">
        <v>100</v>
      </c>
      <c r="D50" s="1" t="str">
        <f t="shared" si="2"/>
        <v>in ('8037849269')</v>
      </c>
      <c r="E50" s="1" t="str">
        <f t="shared" si="3"/>
        <v>not in ('8037849269')</v>
      </c>
      <c r="F50" t="s">
        <v>101</v>
      </c>
      <c r="G50" t="s">
        <v>102</v>
      </c>
      <c r="H50" t="s">
        <v>103</v>
      </c>
      <c r="I50" t="s">
        <v>17</v>
      </c>
      <c r="J50" t="s">
        <v>18</v>
      </c>
      <c r="K50" t="s">
        <v>19</v>
      </c>
      <c r="L50" t="s">
        <v>20</v>
      </c>
      <c r="M50" t="s">
        <v>21</v>
      </c>
      <c r="N50">
        <v>20251001153423</v>
      </c>
      <c r="O50" t="s">
        <v>592</v>
      </c>
    </row>
    <row r="51" spans="1:15" x14ac:dyDescent="0.3">
      <c r="A51" t="s">
        <v>12</v>
      </c>
      <c r="B51" t="s">
        <v>13</v>
      </c>
      <c r="C51" s="2" t="s">
        <v>422</v>
      </c>
      <c r="D51" s="1" t="str">
        <f t="shared" si="2"/>
        <v>in ('0000238954')</v>
      </c>
      <c r="E51" s="1" t="str">
        <f t="shared" si="3"/>
        <v>not in ('0000238954')</v>
      </c>
      <c r="F51" t="s">
        <v>101</v>
      </c>
      <c r="G51" t="s">
        <v>102</v>
      </c>
      <c r="H51" t="s">
        <v>103</v>
      </c>
      <c r="I51" t="s">
        <v>17</v>
      </c>
      <c r="J51" t="s">
        <v>18</v>
      </c>
      <c r="K51" t="s">
        <v>19</v>
      </c>
      <c r="L51" t="s">
        <v>20</v>
      </c>
      <c r="M51" t="s">
        <v>21</v>
      </c>
      <c r="N51">
        <v>20251001153423</v>
      </c>
      <c r="O51" t="s">
        <v>592</v>
      </c>
    </row>
    <row r="52" spans="1:15" hidden="1" x14ac:dyDescent="0.3">
      <c r="A52" t="s">
        <v>12</v>
      </c>
      <c r="B52" t="s">
        <v>13</v>
      </c>
      <c r="C52" t="s">
        <v>239</v>
      </c>
      <c r="D52"/>
      <c r="E52"/>
      <c r="F52" t="s">
        <v>240</v>
      </c>
      <c r="G52" t="s">
        <v>241</v>
      </c>
      <c r="H52" t="s">
        <v>242</v>
      </c>
      <c r="I52" t="s">
        <v>243</v>
      </c>
      <c r="J52" t="s">
        <v>18</v>
      </c>
      <c r="K52" t="s">
        <v>128</v>
      </c>
      <c r="L52" t="s">
        <v>20</v>
      </c>
      <c r="M52" t="s">
        <v>21</v>
      </c>
      <c r="N52">
        <v>20251001153423</v>
      </c>
      <c r="O52" t="s">
        <v>591</v>
      </c>
    </row>
    <row r="53" spans="1:15" x14ac:dyDescent="0.3">
      <c r="A53" t="s">
        <v>12</v>
      </c>
      <c r="B53" t="s">
        <v>13</v>
      </c>
      <c r="C53" s="2" t="s">
        <v>234</v>
      </c>
      <c r="D53" s="1" t="str">
        <f t="shared" ref="D53:D86" si="4">_xlfn.CONCAT("in ", "('",C53,"')")</f>
        <v>in ('7400416227')</v>
      </c>
      <c r="E53" s="1" t="str">
        <f t="shared" ref="E53:E86" si="5">_xlfn.CONCAT("not in ", "('",C53,"')")</f>
        <v>not in ('7400416227')</v>
      </c>
      <c r="F53" t="s">
        <v>235</v>
      </c>
      <c r="G53" t="s">
        <v>16</v>
      </c>
      <c r="H53" t="s">
        <v>16</v>
      </c>
      <c r="J53" t="s">
        <v>18</v>
      </c>
      <c r="K53" t="s">
        <v>236</v>
      </c>
      <c r="L53" t="s">
        <v>20</v>
      </c>
      <c r="M53" t="s">
        <v>21</v>
      </c>
      <c r="N53">
        <v>20251001153423</v>
      </c>
      <c r="O53" t="s">
        <v>592</v>
      </c>
    </row>
    <row r="54" spans="1:15" x14ac:dyDescent="0.3">
      <c r="A54" t="s">
        <v>12</v>
      </c>
      <c r="B54" t="s">
        <v>13</v>
      </c>
      <c r="C54" s="2" t="s">
        <v>564</v>
      </c>
      <c r="D54" s="1" t="str">
        <f t="shared" si="4"/>
        <v>in ('7400738881')</v>
      </c>
      <c r="E54" s="1" t="str">
        <f t="shared" si="5"/>
        <v>not in ('7400738881')</v>
      </c>
      <c r="F54" t="s">
        <v>565</v>
      </c>
      <c r="G54" t="s">
        <v>16</v>
      </c>
      <c r="H54" t="s">
        <v>16</v>
      </c>
      <c r="J54" t="s">
        <v>18</v>
      </c>
      <c r="K54" t="s">
        <v>68</v>
      </c>
      <c r="L54" t="s">
        <v>20</v>
      </c>
      <c r="M54" t="s">
        <v>21</v>
      </c>
      <c r="N54">
        <v>20251001153423</v>
      </c>
      <c r="O54" t="s">
        <v>592</v>
      </c>
    </row>
    <row r="55" spans="1:15" x14ac:dyDescent="0.3">
      <c r="A55" t="s">
        <v>12</v>
      </c>
      <c r="B55" t="s">
        <v>13</v>
      </c>
      <c r="C55" s="2" t="s">
        <v>467</v>
      </c>
      <c r="D55" s="1" t="str">
        <f t="shared" si="4"/>
        <v>in ('7401054355')</v>
      </c>
      <c r="E55" s="1" t="str">
        <f t="shared" si="5"/>
        <v>not in ('7401054355')</v>
      </c>
      <c r="F55" t="s">
        <v>468</v>
      </c>
      <c r="G55" t="s">
        <v>16</v>
      </c>
      <c r="H55" t="s">
        <v>16</v>
      </c>
      <c r="I55" t="s">
        <v>469</v>
      </c>
      <c r="J55" t="s">
        <v>18</v>
      </c>
      <c r="K55" t="s">
        <v>470</v>
      </c>
      <c r="L55" t="s">
        <v>20</v>
      </c>
      <c r="M55" t="s">
        <v>21</v>
      </c>
      <c r="N55">
        <v>20251001153423</v>
      </c>
      <c r="O55" t="s">
        <v>592</v>
      </c>
    </row>
    <row r="56" spans="1:15" x14ac:dyDescent="0.3">
      <c r="A56" t="s">
        <v>12</v>
      </c>
      <c r="B56" t="s">
        <v>13</v>
      </c>
      <c r="C56" s="2" t="s">
        <v>574</v>
      </c>
      <c r="D56" s="1" t="str">
        <f t="shared" si="4"/>
        <v>in ('7402622925')</v>
      </c>
      <c r="E56" s="1" t="str">
        <f t="shared" si="5"/>
        <v>not in ('7402622925')</v>
      </c>
      <c r="F56" t="s">
        <v>575</v>
      </c>
      <c r="G56" t="s">
        <v>16</v>
      </c>
      <c r="H56" t="s">
        <v>16</v>
      </c>
      <c r="J56" t="s">
        <v>18</v>
      </c>
      <c r="K56" t="s">
        <v>576</v>
      </c>
      <c r="L56" t="s">
        <v>20</v>
      </c>
      <c r="M56" t="s">
        <v>21</v>
      </c>
      <c r="N56">
        <v>20251001153423</v>
      </c>
      <c r="O56" t="s">
        <v>592</v>
      </c>
    </row>
    <row r="57" spans="1:15" x14ac:dyDescent="0.3">
      <c r="A57" t="s">
        <v>12</v>
      </c>
      <c r="B57" t="s">
        <v>13</v>
      </c>
      <c r="C57" s="2" t="s">
        <v>40</v>
      </c>
      <c r="D57" s="1" t="str">
        <f t="shared" si="4"/>
        <v>in ('8029370785')</v>
      </c>
      <c r="E57" s="1" t="str">
        <f t="shared" si="5"/>
        <v>not in ('8029370785')</v>
      </c>
      <c r="F57" t="s">
        <v>41</v>
      </c>
      <c r="G57" t="s">
        <v>42</v>
      </c>
      <c r="H57" t="s">
        <v>43</v>
      </c>
      <c r="J57" t="s">
        <v>18</v>
      </c>
      <c r="K57" t="s">
        <v>44</v>
      </c>
      <c r="L57" t="s">
        <v>20</v>
      </c>
      <c r="M57" t="s">
        <v>21</v>
      </c>
      <c r="N57">
        <v>20251001153423</v>
      </c>
      <c r="O57" t="s">
        <v>592</v>
      </c>
    </row>
    <row r="58" spans="1:15" x14ac:dyDescent="0.3">
      <c r="A58" t="s">
        <v>12</v>
      </c>
      <c r="B58" t="s">
        <v>13</v>
      </c>
      <c r="C58" s="2" t="s">
        <v>88</v>
      </c>
      <c r="D58" s="1" t="str">
        <f t="shared" si="4"/>
        <v>in ('0000068304')</v>
      </c>
      <c r="E58" s="1" t="str">
        <f t="shared" si="5"/>
        <v>not in ('0000068304')</v>
      </c>
      <c r="F58" t="s">
        <v>41</v>
      </c>
      <c r="G58" t="s">
        <v>42</v>
      </c>
      <c r="H58" t="s">
        <v>43</v>
      </c>
      <c r="J58" t="s">
        <v>18</v>
      </c>
      <c r="K58" t="s">
        <v>44</v>
      </c>
      <c r="L58" t="s">
        <v>20</v>
      </c>
      <c r="M58" t="s">
        <v>21</v>
      </c>
      <c r="N58">
        <v>20251001153423</v>
      </c>
      <c r="O58" t="s">
        <v>592</v>
      </c>
    </row>
    <row r="59" spans="1:15" x14ac:dyDescent="0.3">
      <c r="A59" t="s">
        <v>12</v>
      </c>
      <c r="B59" t="s">
        <v>13</v>
      </c>
      <c r="C59" s="2" t="s">
        <v>92</v>
      </c>
      <c r="D59" s="1" t="str">
        <f t="shared" si="4"/>
        <v>in ('2100707445')</v>
      </c>
      <c r="E59" s="1" t="str">
        <f t="shared" si="5"/>
        <v>not in ('2100707445')</v>
      </c>
      <c r="F59" t="s">
        <v>41</v>
      </c>
      <c r="G59" t="s">
        <v>42</v>
      </c>
      <c r="H59" t="s">
        <v>43</v>
      </c>
      <c r="J59" t="s">
        <v>18</v>
      </c>
      <c r="K59" t="s">
        <v>44</v>
      </c>
      <c r="L59" t="s">
        <v>20</v>
      </c>
      <c r="M59" t="s">
        <v>21</v>
      </c>
      <c r="N59">
        <v>20251001153423</v>
      </c>
      <c r="O59" t="s">
        <v>592</v>
      </c>
    </row>
    <row r="60" spans="1:15" x14ac:dyDescent="0.3">
      <c r="A60" t="s">
        <v>12</v>
      </c>
      <c r="B60" t="s">
        <v>13</v>
      </c>
      <c r="C60" s="2" t="s">
        <v>211</v>
      </c>
      <c r="D60" s="1" t="str">
        <f t="shared" si="4"/>
        <v>in ('0000072653')</v>
      </c>
      <c r="E60" s="1" t="str">
        <f t="shared" si="5"/>
        <v>not in ('0000072653')</v>
      </c>
      <c r="F60" t="s">
        <v>41</v>
      </c>
      <c r="G60" t="s">
        <v>42</v>
      </c>
      <c r="H60" t="s">
        <v>43</v>
      </c>
      <c r="J60" t="s">
        <v>18</v>
      </c>
      <c r="K60" t="s">
        <v>44</v>
      </c>
      <c r="L60" t="s">
        <v>20</v>
      </c>
      <c r="M60" t="s">
        <v>21</v>
      </c>
      <c r="N60">
        <v>20251001153423</v>
      </c>
      <c r="O60" t="s">
        <v>592</v>
      </c>
    </row>
    <row r="61" spans="1:15" x14ac:dyDescent="0.3">
      <c r="A61" t="s">
        <v>12</v>
      </c>
      <c r="B61" t="s">
        <v>13</v>
      </c>
      <c r="C61" s="2" t="s">
        <v>290</v>
      </c>
      <c r="D61" s="1" t="str">
        <f t="shared" si="4"/>
        <v>in ('5100262397')</v>
      </c>
      <c r="E61" s="1" t="str">
        <f t="shared" si="5"/>
        <v>not in ('5100262397')</v>
      </c>
      <c r="F61" t="s">
        <v>41</v>
      </c>
      <c r="G61" t="s">
        <v>42</v>
      </c>
      <c r="H61" t="s">
        <v>43</v>
      </c>
      <c r="J61" t="s">
        <v>18</v>
      </c>
      <c r="K61" t="s">
        <v>44</v>
      </c>
      <c r="L61" t="s">
        <v>20</v>
      </c>
      <c r="M61" t="s">
        <v>21</v>
      </c>
      <c r="N61">
        <v>20251001153423</v>
      </c>
      <c r="O61" t="s">
        <v>592</v>
      </c>
    </row>
    <row r="62" spans="1:15" x14ac:dyDescent="0.3">
      <c r="A62" t="s">
        <v>12</v>
      </c>
      <c r="B62" t="s">
        <v>13</v>
      </c>
      <c r="C62" s="2" t="s">
        <v>364</v>
      </c>
      <c r="D62" s="1" t="str">
        <f t="shared" si="4"/>
        <v>in ('8017167384')</v>
      </c>
      <c r="E62" s="1" t="str">
        <f t="shared" si="5"/>
        <v>not in ('8017167384')</v>
      </c>
      <c r="F62" t="s">
        <v>41</v>
      </c>
      <c r="G62" t="s">
        <v>42</v>
      </c>
      <c r="H62" t="s">
        <v>43</v>
      </c>
      <c r="J62" t="s">
        <v>18</v>
      </c>
      <c r="K62" t="s">
        <v>44</v>
      </c>
      <c r="L62" t="s">
        <v>20</v>
      </c>
      <c r="M62" t="s">
        <v>21</v>
      </c>
      <c r="N62">
        <v>20251001153423</v>
      </c>
      <c r="O62" t="s">
        <v>592</v>
      </c>
    </row>
    <row r="63" spans="1:15" x14ac:dyDescent="0.3">
      <c r="A63" t="s">
        <v>12</v>
      </c>
      <c r="B63" t="s">
        <v>13</v>
      </c>
      <c r="C63" s="2" t="s">
        <v>403</v>
      </c>
      <c r="D63" s="1" t="str">
        <f t="shared" si="4"/>
        <v>in ('9002156093')</v>
      </c>
      <c r="E63" s="1" t="str">
        <f t="shared" si="5"/>
        <v>not in ('9002156093')</v>
      </c>
      <c r="F63" t="s">
        <v>41</v>
      </c>
      <c r="G63" t="s">
        <v>42</v>
      </c>
      <c r="H63" t="s">
        <v>43</v>
      </c>
      <c r="J63" t="s">
        <v>18</v>
      </c>
      <c r="K63" t="s">
        <v>44</v>
      </c>
      <c r="L63" t="s">
        <v>20</v>
      </c>
      <c r="M63" t="s">
        <v>21</v>
      </c>
      <c r="N63">
        <v>20251001153423</v>
      </c>
      <c r="O63" t="s">
        <v>592</v>
      </c>
    </row>
    <row r="64" spans="1:15" x14ac:dyDescent="0.3">
      <c r="A64" t="s">
        <v>12</v>
      </c>
      <c r="B64" t="s">
        <v>13</v>
      </c>
      <c r="C64" s="2" t="s">
        <v>453</v>
      </c>
      <c r="D64" s="1" t="str">
        <f t="shared" si="4"/>
        <v>in ('9001047530')</v>
      </c>
      <c r="E64" s="1" t="str">
        <f t="shared" si="5"/>
        <v>not in ('9001047530')</v>
      </c>
      <c r="F64" t="s">
        <v>41</v>
      </c>
      <c r="G64" t="s">
        <v>42</v>
      </c>
      <c r="H64" t="s">
        <v>43</v>
      </c>
      <c r="J64" t="s">
        <v>18</v>
      </c>
      <c r="K64" t="s">
        <v>44</v>
      </c>
      <c r="L64" t="s">
        <v>20</v>
      </c>
      <c r="M64" t="s">
        <v>21</v>
      </c>
      <c r="N64">
        <v>20251001153423</v>
      </c>
      <c r="O64" t="s">
        <v>592</v>
      </c>
    </row>
    <row r="65" spans="1:15" x14ac:dyDescent="0.3">
      <c r="A65" t="s">
        <v>12</v>
      </c>
      <c r="B65" t="s">
        <v>13</v>
      </c>
      <c r="C65" s="2" t="s">
        <v>163</v>
      </c>
      <c r="D65" s="1" t="str">
        <f t="shared" si="4"/>
        <v>in ('9002348311')</v>
      </c>
      <c r="E65" s="1" t="str">
        <f t="shared" si="5"/>
        <v>not in ('9002348311')</v>
      </c>
      <c r="F65" t="s">
        <v>164</v>
      </c>
      <c r="G65" t="s">
        <v>42</v>
      </c>
      <c r="H65" t="s">
        <v>43</v>
      </c>
      <c r="I65" t="s">
        <v>17</v>
      </c>
      <c r="J65" t="s">
        <v>18</v>
      </c>
      <c r="K65" t="s">
        <v>19</v>
      </c>
      <c r="L65" t="s">
        <v>20</v>
      </c>
      <c r="M65" t="s">
        <v>21</v>
      </c>
      <c r="N65">
        <v>20251001153423</v>
      </c>
      <c r="O65" t="s">
        <v>592</v>
      </c>
    </row>
    <row r="66" spans="1:15" x14ac:dyDescent="0.3">
      <c r="A66" t="s">
        <v>12</v>
      </c>
      <c r="B66" t="s">
        <v>13</v>
      </c>
      <c r="C66" s="2" t="s">
        <v>165</v>
      </c>
      <c r="D66" s="1" t="str">
        <f t="shared" si="4"/>
        <v>in ('8000763422')</v>
      </c>
      <c r="E66" s="1" t="str">
        <f t="shared" si="5"/>
        <v>not in ('8000763422')</v>
      </c>
      <c r="F66" t="s">
        <v>164</v>
      </c>
      <c r="G66" t="s">
        <v>42</v>
      </c>
      <c r="H66" t="s">
        <v>43</v>
      </c>
      <c r="I66" t="s">
        <v>17</v>
      </c>
      <c r="J66" t="s">
        <v>18</v>
      </c>
      <c r="K66" t="s">
        <v>19</v>
      </c>
      <c r="L66" t="s">
        <v>20</v>
      </c>
      <c r="M66" t="s">
        <v>21</v>
      </c>
      <c r="N66">
        <v>20251001153423</v>
      </c>
      <c r="O66" t="s">
        <v>592</v>
      </c>
    </row>
    <row r="67" spans="1:15" x14ac:dyDescent="0.3">
      <c r="A67" t="s">
        <v>12</v>
      </c>
      <c r="B67" t="s">
        <v>13</v>
      </c>
      <c r="C67" s="2" t="s">
        <v>181</v>
      </c>
      <c r="D67" s="1" t="str">
        <f t="shared" si="4"/>
        <v>in ('7400066405')</v>
      </c>
      <c r="E67" s="1" t="str">
        <f t="shared" si="5"/>
        <v>not in ('7400066405')</v>
      </c>
      <c r="F67" t="s">
        <v>164</v>
      </c>
      <c r="G67" t="s">
        <v>42</v>
      </c>
      <c r="H67" t="s">
        <v>43</v>
      </c>
      <c r="J67" t="s">
        <v>18</v>
      </c>
      <c r="K67" t="s">
        <v>182</v>
      </c>
      <c r="L67" t="s">
        <v>20</v>
      </c>
      <c r="M67" t="s">
        <v>21</v>
      </c>
      <c r="N67">
        <v>20251001153423</v>
      </c>
      <c r="O67" t="s">
        <v>592</v>
      </c>
    </row>
    <row r="68" spans="1:15" x14ac:dyDescent="0.3">
      <c r="A68" t="s">
        <v>12</v>
      </c>
      <c r="B68" t="s">
        <v>13</v>
      </c>
      <c r="C68" s="2" t="s">
        <v>345</v>
      </c>
      <c r="D68" s="1" t="str">
        <f t="shared" si="4"/>
        <v>in ('5100722449')</v>
      </c>
      <c r="E68" s="1" t="str">
        <f t="shared" si="5"/>
        <v>not in ('5100722449')</v>
      </c>
      <c r="F68" t="s">
        <v>164</v>
      </c>
      <c r="G68" t="s">
        <v>42</v>
      </c>
      <c r="H68" t="s">
        <v>43</v>
      </c>
      <c r="J68" t="s">
        <v>18</v>
      </c>
      <c r="K68" t="s">
        <v>68</v>
      </c>
      <c r="L68" t="s">
        <v>20</v>
      </c>
      <c r="M68" t="s">
        <v>21</v>
      </c>
      <c r="N68">
        <v>20251001153423</v>
      </c>
      <c r="O68" t="s">
        <v>592</v>
      </c>
    </row>
    <row r="69" spans="1:15" x14ac:dyDescent="0.3">
      <c r="A69" t="s">
        <v>12</v>
      </c>
      <c r="B69" t="s">
        <v>13</v>
      </c>
      <c r="C69" s="2" t="s">
        <v>388</v>
      </c>
      <c r="D69" s="1" t="str">
        <f t="shared" si="4"/>
        <v>in ('8008162891')</v>
      </c>
      <c r="E69" s="1" t="str">
        <f t="shared" si="5"/>
        <v>not in ('8008162891')</v>
      </c>
      <c r="F69" t="s">
        <v>164</v>
      </c>
      <c r="G69" t="s">
        <v>42</v>
      </c>
      <c r="H69" t="s">
        <v>43</v>
      </c>
      <c r="J69" t="s">
        <v>18</v>
      </c>
      <c r="K69" t="s">
        <v>19</v>
      </c>
      <c r="L69" t="s">
        <v>20</v>
      </c>
      <c r="M69" t="s">
        <v>21</v>
      </c>
      <c r="N69">
        <v>20251001153423</v>
      </c>
      <c r="O69" t="s">
        <v>592</v>
      </c>
    </row>
    <row r="70" spans="1:15" x14ac:dyDescent="0.3">
      <c r="A70" t="s">
        <v>12</v>
      </c>
      <c r="B70" t="s">
        <v>13</v>
      </c>
      <c r="C70" s="2" t="s">
        <v>538</v>
      </c>
      <c r="D70" s="1" t="str">
        <f t="shared" si="4"/>
        <v>in ('8038365328')</v>
      </c>
      <c r="E70" s="1" t="str">
        <f t="shared" si="5"/>
        <v>not in ('8038365328')</v>
      </c>
      <c r="F70" t="s">
        <v>164</v>
      </c>
      <c r="G70" t="s">
        <v>42</v>
      </c>
      <c r="H70" t="s">
        <v>43</v>
      </c>
      <c r="I70" t="s">
        <v>17</v>
      </c>
      <c r="J70" t="s">
        <v>18</v>
      </c>
      <c r="K70" t="s">
        <v>19</v>
      </c>
      <c r="L70" t="s">
        <v>20</v>
      </c>
      <c r="M70" t="s">
        <v>21</v>
      </c>
      <c r="N70">
        <v>20251001153423</v>
      </c>
      <c r="O70" t="s">
        <v>592</v>
      </c>
    </row>
    <row r="71" spans="1:15" x14ac:dyDescent="0.3">
      <c r="A71" t="s">
        <v>12</v>
      </c>
      <c r="B71" t="s">
        <v>13</v>
      </c>
      <c r="C71" s="2" t="s">
        <v>539</v>
      </c>
      <c r="D71" s="1" t="str">
        <f t="shared" si="4"/>
        <v>in ('3701008785')</v>
      </c>
      <c r="E71" s="1" t="str">
        <f t="shared" si="5"/>
        <v>not in ('3701008785')</v>
      </c>
      <c r="F71" t="s">
        <v>164</v>
      </c>
      <c r="G71" t="s">
        <v>42</v>
      </c>
      <c r="H71" t="s">
        <v>43</v>
      </c>
      <c r="I71" t="s">
        <v>17</v>
      </c>
      <c r="J71" t="s">
        <v>18</v>
      </c>
      <c r="K71" t="s">
        <v>19</v>
      </c>
      <c r="L71" t="s">
        <v>20</v>
      </c>
      <c r="M71" t="s">
        <v>21</v>
      </c>
      <c r="N71">
        <v>20251001153423</v>
      </c>
      <c r="O71" t="s">
        <v>592</v>
      </c>
    </row>
    <row r="72" spans="1:15" x14ac:dyDescent="0.3">
      <c r="A72" t="s">
        <v>12</v>
      </c>
      <c r="B72" t="s">
        <v>13</v>
      </c>
      <c r="C72" s="2" t="s">
        <v>526</v>
      </c>
      <c r="D72" s="1" t="str">
        <f t="shared" si="4"/>
        <v>in ('8044901277')</v>
      </c>
      <c r="E72" s="1" t="str">
        <f t="shared" si="5"/>
        <v>not in ('8044901277')</v>
      </c>
      <c r="F72" t="s">
        <v>527</v>
      </c>
      <c r="G72" t="s">
        <v>42</v>
      </c>
      <c r="H72" t="s">
        <v>43</v>
      </c>
      <c r="I72" t="s">
        <v>17</v>
      </c>
      <c r="J72" t="s">
        <v>18</v>
      </c>
      <c r="K72" t="s">
        <v>19</v>
      </c>
      <c r="L72" t="s">
        <v>20</v>
      </c>
      <c r="M72" t="s">
        <v>21</v>
      </c>
      <c r="N72">
        <v>20251001153423</v>
      </c>
      <c r="O72" t="s">
        <v>592</v>
      </c>
    </row>
    <row r="73" spans="1:15" x14ac:dyDescent="0.3">
      <c r="A73" t="s">
        <v>12</v>
      </c>
      <c r="B73" t="s">
        <v>13</v>
      </c>
      <c r="C73" s="2" t="s">
        <v>49</v>
      </c>
      <c r="D73" s="1" t="str">
        <f t="shared" si="4"/>
        <v>in ('0000083631')</v>
      </c>
      <c r="E73" s="1" t="str">
        <f t="shared" si="5"/>
        <v>not in ('0000083631')</v>
      </c>
      <c r="F73" t="s">
        <v>50</v>
      </c>
      <c r="G73" t="s">
        <v>42</v>
      </c>
      <c r="H73" t="s">
        <v>43</v>
      </c>
      <c r="J73" t="s">
        <v>18</v>
      </c>
      <c r="K73" t="s">
        <v>51</v>
      </c>
      <c r="L73" t="s">
        <v>20</v>
      </c>
      <c r="M73" t="s">
        <v>21</v>
      </c>
      <c r="N73">
        <v>20251001153423</v>
      </c>
      <c r="O73" t="s">
        <v>592</v>
      </c>
    </row>
    <row r="74" spans="1:15" x14ac:dyDescent="0.3">
      <c r="A74" t="s">
        <v>12</v>
      </c>
      <c r="B74" t="s">
        <v>13</v>
      </c>
      <c r="C74" s="2" t="s">
        <v>434</v>
      </c>
      <c r="D74" s="1" t="str">
        <f t="shared" si="4"/>
        <v>in ('0000041875')</v>
      </c>
      <c r="E74" s="1" t="str">
        <f t="shared" si="5"/>
        <v>not in ('0000041875')</v>
      </c>
      <c r="F74" t="s">
        <v>50</v>
      </c>
      <c r="G74" t="s">
        <v>42</v>
      </c>
      <c r="H74" t="s">
        <v>43</v>
      </c>
      <c r="J74" t="s">
        <v>18</v>
      </c>
      <c r="K74" t="s">
        <v>51</v>
      </c>
      <c r="L74" t="s">
        <v>20</v>
      </c>
      <c r="M74" t="s">
        <v>21</v>
      </c>
      <c r="N74">
        <v>20251001153423</v>
      </c>
      <c r="O74" t="s">
        <v>592</v>
      </c>
    </row>
    <row r="75" spans="1:15" x14ac:dyDescent="0.3">
      <c r="A75" t="s">
        <v>12</v>
      </c>
      <c r="B75" t="s">
        <v>13</v>
      </c>
      <c r="C75" s="2" t="s">
        <v>52</v>
      </c>
      <c r="D75" s="1" t="str">
        <f t="shared" si="4"/>
        <v>in ('9001792290')</v>
      </c>
      <c r="E75" s="1" t="str">
        <f t="shared" si="5"/>
        <v>not in ('9001792290')</v>
      </c>
      <c r="F75" t="s">
        <v>53</v>
      </c>
      <c r="G75" t="s">
        <v>42</v>
      </c>
      <c r="H75" t="s">
        <v>43</v>
      </c>
      <c r="J75" t="s">
        <v>18</v>
      </c>
      <c r="K75" t="s">
        <v>51</v>
      </c>
      <c r="L75" t="s">
        <v>20</v>
      </c>
      <c r="M75" t="s">
        <v>21</v>
      </c>
      <c r="N75">
        <v>20251001153423</v>
      </c>
      <c r="O75" t="s">
        <v>592</v>
      </c>
    </row>
    <row r="76" spans="1:15" x14ac:dyDescent="0.3">
      <c r="A76" t="s">
        <v>12</v>
      </c>
      <c r="B76" t="s">
        <v>13</v>
      </c>
      <c r="C76" s="2" t="s">
        <v>349</v>
      </c>
      <c r="D76" s="1" t="str">
        <f t="shared" si="4"/>
        <v>in ('9001882712')</v>
      </c>
      <c r="E76" s="1" t="str">
        <f t="shared" si="5"/>
        <v>not in ('9001882712')</v>
      </c>
      <c r="F76" t="s">
        <v>53</v>
      </c>
      <c r="G76" t="s">
        <v>42</v>
      </c>
      <c r="H76" t="s">
        <v>43</v>
      </c>
      <c r="J76" t="s">
        <v>18</v>
      </c>
      <c r="K76" t="s">
        <v>51</v>
      </c>
      <c r="L76" t="s">
        <v>20</v>
      </c>
      <c r="M76" t="s">
        <v>21</v>
      </c>
      <c r="N76">
        <v>20251001153423</v>
      </c>
      <c r="O76" t="s">
        <v>592</v>
      </c>
    </row>
    <row r="77" spans="1:15" x14ac:dyDescent="0.3">
      <c r="A77" t="s">
        <v>12</v>
      </c>
      <c r="B77" t="s">
        <v>13</v>
      </c>
      <c r="C77" s="2" t="s">
        <v>431</v>
      </c>
      <c r="D77" s="1" t="str">
        <f t="shared" si="4"/>
        <v>in ('0000000324')</v>
      </c>
      <c r="E77" s="1" t="str">
        <f t="shared" si="5"/>
        <v>not in ('0000000324')</v>
      </c>
      <c r="F77" t="s">
        <v>53</v>
      </c>
      <c r="G77" t="s">
        <v>42</v>
      </c>
      <c r="H77" t="s">
        <v>43</v>
      </c>
      <c r="J77" t="s">
        <v>18</v>
      </c>
      <c r="K77" t="s">
        <v>51</v>
      </c>
      <c r="L77" t="s">
        <v>20</v>
      </c>
      <c r="M77" t="s">
        <v>21</v>
      </c>
      <c r="N77">
        <v>20251001153423</v>
      </c>
      <c r="O77" t="s">
        <v>592</v>
      </c>
    </row>
    <row r="78" spans="1:15" x14ac:dyDescent="0.3">
      <c r="A78" t="s">
        <v>12</v>
      </c>
      <c r="B78" t="s">
        <v>13</v>
      </c>
      <c r="C78" s="2" t="s">
        <v>524</v>
      </c>
      <c r="D78" s="1" t="str">
        <f t="shared" si="4"/>
        <v>in ('9000724942')</v>
      </c>
      <c r="E78" s="1" t="str">
        <f t="shared" si="5"/>
        <v>not in ('9000724942')</v>
      </c>
      <c r="F78" t="s">
        <v>53</v>
      </c>
      <c r="G78" t="s">
        <v>42</v>
      </c>
      <c r="H78" t="s">
        <v>43</v>
      </c>
      <c r="J78" t="s">
        <v>18</v>
      </c>
      <c r="K78" t="s">
        <v>51</v>
      </c>
      <c r="L78" t="s">
        <v>20</v>
      </c>
      <c r="M78" t="s">
        <v>21</v>
      </c>
      <c r="N78">
        <v>20251001153423</v>
      </c>
      <c r="O78" t="s">
        <v>592</v>
      </c>
    </row>
    <row r="79" spans="1:15" x14ac:dyDescent="0.3">
      <c r="A79" t="s">
        <v>12</v>
      </c>
      <c r="B79" t="s">
        <v>13</v>
      </c>
      <c r="C79" s="2" t="s">
        <v>216</v>
      </c>
      <c r="D79" s="1" t="str">
        <f t="shared" si="4"/>
        <v>in ('2100168615')</v>
      </c>
      <c r="E79" s="1" t="str">
        <f t="shared" si="5"/>
        <v>not in ('2100168615')</v>
      </c>
      <c r="F79" t="s">
        <v>217</v>
      </c>
      <c r="G79" t="s">
        <v>42</v>
      </c>
      <c r="H79" t="s">
        <v>43</v>
      </c>
      <c r="J79" t="s">
        <v>18</v>
      </c>
      <c r="K79" t="s">
        <v>51</v>
      </c>
      <c r="L79" t="s">
        <v>20</v>
      </c>
      <c r="M79" t="s">
        <v>21</v>
      </c>
      <c r="N79">
        <v>20251001153423</v>
      </c>
      <c r="O79" t="s">
        <v>592</v>
      </c>
    </row>
    <row r="80" spans="1:15" x14ac:dyDescent="0.3">
      <c r="A80" t="s">
        <v>12</v>
      </c>
      <c r="B80" t="s">
        <v>13</v>
      </c>
      <c r="C80" s="2" t="s">
        <v>307</v>
      </c>
      <c r="D80" s="1" t="str">
        <f t="shared" si="4"/>
        <v>in ('7400731809')</v>
      </c>
      <c r="E80" s="1" t="str">
        <f t="shared" si="5"/>
        <v>not in ('7400731809')</v>
      </c>
      <c r="F80" t="s">
        <v>217</v>
      </c>
      <c r="G80" t="s">
        <v>42</v>
      </c>
      <c r="H80" t="s">
        <v>43</v>
      </c>
      <c r="J80" t="s">
        <v>18</v>
      </c>
      <c r="K80" t="s">
        <v>51</v>
      </c>
      <c r="L80" t="s">
        <v>20</v>
      </c>
      <c r="M80" t="s">
        <v>21</v>
      </c>
      <c r="N80">
        <v>20251001153423</v>
      </c>
      <c r="O80" t="s">
        <v>592</v>
      </c>
    </row>
    <row r="81" spans="1:15" x14ac:dyDescent="0.3">
      <c r="A81" t="s">
        <v>12</v>
      </c>
      <c r="B81" t="s">
        <v>13</v>
      </c>
      <c r="C81" s="2" t="s">
        <v>344</v>
      </c>
      <c r="D81" s="1" t="str">
        <f t="shared" si="4"/>
        <v>in ('0000065343')</v>
      </c>
      <c r="E81" s="1" t="str">
        <f t="shared" si="5"/>
        <v>not in ('0000065343')</v>
      </c>
      <c r="F81" t="s">
        <v>217</v>
      </c>
      <c r="G81" t="s">
        <v>42</v>
      </c>
      <c r="H81" t="s">
        <v>43</v>
      </c>
      <c r="J81" t="s">
        <v>18</v>
      </c>
      <c r="K81" t="s">
        <v>51</v>
      </c>
      <c r="L81" t="s">
        <v>20</v>
      </c>
      <c r="M81" t="s">
        <v>21</v>
      </c>
      <c r="N81">
        <v>20251001153423</v>
      </c>
      <c r="O81" t="s">
        <v>592</v>
      </c>
    </row>
    <row r="82" spans="1:15" x14ac:dyDescent="0.3">
      <c r="A82" t="s">
        <v>12</v>
      </c>
      <c r="B82" t="s">
        <v>13</v>
      </c>
      <c r="C82" s="2" t="s">
        <v>419</v>
      </c>
      <c r="D82" s="1" t="str">
        <f t="shared" si="4"/>
        <v>in ('2100171912')</v>
      </c>
      <c r="E82" s="1" t="str">
        <f t="shared" si="5"/>
        <v>not in ('2100171912')</v>
      </c>
      <c r="F82" t="s">
        <v>217</v>
      </c>
      <c r="G82" t="s">
        <v>42</v>
      </c>
      <c r="H82" t="s">
        <v>43</v>
      </c>
      <c r="J82" t="s">
        <v>18</v>
      </c>
      <c r="K82" t="s">
        <v>51</v>
      </c>
      <c r="L82" t="s">
        <v>20</v>
      </c>
      <c r="M82" t="s">
        <v>21</v>
      </c>
      <c r="N82">
        <v>20251001153423</v>
      </c>
      <c r="O82" t="s">
        <v>592</v>
      </c>
    </row>
    <row r="83" spans="1:15" x14ac:dyDescent="0.3">
      <c r="A83" t="s">
        <v>12</v>
      </c>
      <c r="B83" t="s">
        <v>13</v>
      </c>
      <c r="C83" s="2" t="s">
        <v>463</v>
      </c>
      <c r="D83" s="1" t="str">
        <f t="shared" si="4"/>
        <v>in ('9000699338')</v>
      </c>
      <c r="E83" s="1" t="str">
        <f t="shared" si="5"/>
        <v>not in ('9000699338')</v>
      </c>
      <c r="F83" t="s">
        <v>217</v>
      </c>
      <c r="G83" t="s">
        <v>42</v>
      </c>
      <c r="H83" t="s">
        <v>43</v>
      </c>
      <c r="J83" t="s">
        <v>18</v>
      </c>
      <c r="K83" t="s">
        <v>51</v>
      </c>
      <c r="L83" t="s">
        <v>20</v>
      </c>
      <c r="M83" t="s">
        <v>21</v>
      </c>
      <c r="N83">
        <v>20251001153423</v>
      </c>
      <c r="O83" t="s">
        <v>592</v>
      </c>
    </row>
    <row r="84" spans="1:15" x14ac:dyDescent="0.3">
      <c r="A84" t="s">
        <v>12</v>
      </c>
      <c r="B84" t="s">
        <v>13</v>
      </c>
      <c r="C84" s="2" t="s">
        <v>558</v>
      </c>
      <c r="D84" s="1" t="str">
        <f t="shared" si="4"/>
        <v>in ('5100011001')</v>
      </c>
      <c r="E84" s="1" t="str">
        <f t="shared" si="5"/>
        <v>not in ('5100011001')</v>
      </c>
      <c r="F84" t="s">
        <v>217</v>
      </c>
      <c r="G84" t="s">
        <v>559</v>
      </c>
      <c r="H84" t="s">
        <v>560</v>
      </c>
      <c r="J84" t="s">
        <v>18</v>
      </c>
      <c r="K84" t="s">
        <v>561</v>
      </c>
      <c r="L84" t="s">
        <v>20</v>
      </c>
      <c r="M84" t="s">
        <v>21</v>
      </c>
      <c r="N84">
        <v>20251001153423</v>
      </c>
      <c r="O84" t="s">
        <v>592</v>
      </c>
    </row>
    <row r="85" spans="1:15" x14ac:dyDescent="0.3">
      <c r="A85" t="s">
        <v>12</v>
      </c>
      <c r="B85" t="s">
        <v>13</v>
      </c>
      <c r="C85" s="2" t="s">
        <v>29</v>
      </c>
      <c r="D85" s="1" t="str">
        <f t="shared" si="4"/>
        <v>in ('7400930664')</v>
      </c>
      <c r="E85" s="1" t="str">
        <f t="shared" si="5"/>
        <v>not in ('7400930664')</v>
      </c>
      <c r="F85" t="s">
        <v>30</v>
      </c>
      <c r="G85" t="s">
        <v>16</v>
      </c>
      <c r="H85" t="s">
        <v>16</v>
      </c>
      <c r="J85" t="s">
        <v>18</v>
      </c>
      <c r="K85" t="s">
        <v>31</v>
      </c>
      <c r="L85" t="s">
        <v>20</v>
      </c>
      <c r="M85" t="s">
        <v>21</v>
      </c>
      <c r="N85">
        <v>20251001153423</v>
      </c>
      <c r="O85" t="s">
        <v>592</v>
      </c>
    </row>
    <row r="86" spans="1:15" x14ac:dyDescent="0.3">
      <c r="A86" t="s">
        <v>12</v>
      </c>
      <c r="B86" t="s">
        <v>13</v>
      </c>
      <c r="C86" s="2" t="s">
        <v>188</v>
      </c>
      <c r="D86" s="1" t="str">
        <f t="shared" si="4"/>
        <v>in ('2100022282')</v>
      </c>
      <c r="E86" s="1" t="str">
        <f t="shared" si="5"/>
        <v>not in ('2100022282')</v>
      </c>
      <c r="F86" t="s">
        <v>189</v>
      </c>
      <c r="G86" t="s">
        <v>42</v>
      </c>
      <c r="H86" t="s">
        <v>43</v>
      </c>
      <c r="J86" t="s">
        <v>18</v>
      </c>
      <c r="K86" t="s">
        <v>51</v>
      </c>
      <c r="L86" t="s">
        <v>20</v>
      </c>
      <c r="M86" t="s">
        <v>21</v>
      </c>
      <c r="N86">
        <v>20251001153423</v>
      </c>
      <c r="O86" t="s">
        <v>592</v>
      </c>
    </row>
    <row r="87" spans="1:15" hidden="1" x14ac:dyDescent="0.3">
      <c r="A87" t="s">
        <v>12</v>
      </c>
      <c r="B87" t="s">
        <v>13</v>
      </c>
      <c r="C87" t="s">
        <v>273</v>
      </c>
      <c r="D87"/>
      <c r="E87"/>
      <c r="F87" t="s">
        <v>274</v>
      </c>
      <c r="G87" t="s">
        <v>275</v>
      </c>
      <c r="H87" t="s">
        <v>275</v>
      </c>
      <c r="J87" t="s">
        <v>18</v>
      </c>
      <c r="K87" t="s">
        <v>236</v>
      </c>
      <c r="L87" t="s">
        <v>20</v>
      </c>
      <c r="M87" t="s">
        <v>21</v>
      </c>
      <c r="N87">
        <v>20251001153423</v>
      </c>
      <c r="O87" t="s">
        <v>591</v>
      </c>
    </row>
    <row r="88" spans="1:15" x14ac:dyDescent="0.3">
      <c r="A88" t="s">
        <v>12</v>
      </c>
      <c r="B88" t="s">
        <v>13</v>
      </c>
      <c r="C88" s="2" t="s">
        <v>284</v>
      </c>
      <c r="D88" s="1" t="str">
        <f t="shared" ref="D88:D105" si="6">_xlfn.CONCAT("in ", "('",C88,"')")</f>
        <v>in ('0000190045')</v>
      </c>
      <c r="E88" s="1" t="str">
        <f t="shared" ref="E88:E105" si="7">_xlfn.CONCAT("not in ", "('",C88,"')")</f>
        <v>not in ('0000190045')</v>
      </c>
      <c r="F88" t="s">
        <v>285</v>
      </c>
      <c r="G88" t="s">
        <v>34</v>
      </c>
      <c r="H88" t="s">
        <v>35</v>
      </c>
      <c r="I88" t="s">
        <v>17</v>
      </c>
      <c r="J88" t="s">
        <v>18</v>
      </c>
      <c r="K88" t="s">
        <v>19</v>
      </c>
      <c r="L88" t="s">
        <v>20</v>
      </c>
      <c r="M88" t="s">
        <v>21</v>
      </c>
      <c r="N88">
        <v>20251001153423</v>
      </c>
      <c r="O88" t="s">
        <v>592</v>
      </c>
    </row>
    <row r="89" spans="1:15" x14ac:dyDescent="0.3">
      <c r="A89" t="s">
        <v>12</v>
      </c>
      <c r="B89" t="s">
        <v>13</v>
      </c>
      <c r="C89" s="2" t="s">
        <v>369</v>
      </c>
      <c r="D89" s="1" t="str">
        <f t="shared" si="6"/>
        <v>in ('7400416354')</v>
      </c>
      <c r="E89" s="1" t="str">
        <f t="shared" si="7"/>
        <v>not in ('7400416354')</v>
      </c>
      <c r="F89" t="s">
        <v>370</v>
      </c>
      <c r="G89" t="s">
        <v>371</v>
      </c>
      <c r="H89" t="s">
        <v>372</v>
      </c>
      <c r="J89" t="s">
        <v>18</v>
      </c>
      <c r="K89" t="s">
        <v>26</v>
      </c>
      <c r="L89" t="s">
        <v>20</v>
      </c>
      <c r="M89" t="s">
        <v>21</v>
      </c>
      <c r="N89">
        <v>20251001153423</v>
      </c>
      <c r="O89" t="s">
        <v>592</v>
      </c>
    </row>
    <row r="90" spans="1:15" x14ac:dyDescent="0.3">
      <c r="A90" t="s">
        <v>12</v>
      </c>
      <c r="B90" t="s">
        <v>13</v>
      </c>
      <c r="C90" s="2" t="s">
        <v>75</v>
      </c>
      <c r="D90" s="1" t="str">
        <f t="shared" si="6"/>
        <v>in ('9000889284')</v>
      </c>
      <c r="E90" s="1" t="str">
        <f t="shared" si="7"/>
        <v>not in ('9000889284')</v>
      </c>
      <c r="F90" t="s">
        <v>76</v>
      </c>
      <c r="G90" t="s">
        <v>16</v>
      </c>
      <c r="H90" t="s">
        <v>16</v>
      </c>
      <c r="I90" t="s">
        <v>17</v>
      </c>
      <c r="J90" t="s">
        <v>18</v>
      </c>
      <c r="K90" t="s">
        <v>19</v>
      </c>
      <c r="L90" t="s">
        <v>20</v>
      </c>
      <c r="M90" t="s">
        <v>21</v>
      </c>
      <c r="N90">
        <v>20251001153423</v>
      </c>
      <c r="O90" t="s">
        <v>592</v>
      </c>
    </row>
    <row r="91" spans="1:15" x14ac:dyDescent="0.3">
      <c r="A91" t="s">
        <v>12</v>
      </c>
      <c r="B91" t="s">
        <v>13</v>
      </c>
      <c r="C91" s="2" t="s">
        <v>180</v>
      </c>
      <c r="D91" s="1" t="str">
        <f t="shared" si="6"/>
        <v>in ('0000003686')</v>
      </c>
      <c r="E91" s="1" t="str">
        <f t="shared" si="7"/>
        <v>not in ('0000003686')</v>
      </c>
      <c r="F91" t="s">
        <v>76</v>
      </c>
      <c r="G91" t="s">
        <v>16</v>
      </c>
      <c r="H91" t="s">
        <v>16</v>
      </c>
      <c r="I91" t="s">
        <v>17</v>
      </c>
      <c r="J91" t="s">
        <v>18</v>
      </c>
      <c r="K91" t="s">
        <v>19</v>
      </c>
      <c r="L91" t="s">
        <v>20</v>
      </c>
      <c r="M91" t="s">
        <v>21</v>
      </c>
      <c r="N91">
        <v>20251001153423</v>
      </c>
      <c r="O91" t="s">
        <v>592</v>
      </c>
    </row>
    <row r="92" spans="1:15" x14ac:dyDescent="0.3">
      <c r="A92" t="s">
        <v>12</v>
      </c>
      <c r="B92" t="s">
        <v>13</v>
      </c>
      <c r="C92" s="2" t="s">
        <v>183</v>
      </c>
      <c r="D92" s="1" t="str">
        <f t="shared" si="6"/>
        <v>in ('9002525987')</v>
      </c>
      <c r="E92" s="1" t="str">
        <f t="shared" si="7"/>
        <v>not in ('9002525987')</v>
      </c>
      <c r="F92" t="s">
        <v>76</v>
      </c>
      <c r="G92" t="s">
        <v>16</v>
      </c>
      <c r="H92" t="s">
        <v>16</v>
      </c>
      <c r="I92" t="s">
        <v>17</v>
      </c>
      <c r="J92" t="s">
        <v>18</v>
      </c>
      <c r="K92" t="s">
        <v>19</v>
      </c>
      <c r="L92" t="s">
        <v>20</v>
      </c>
      <c r="M92" t="s">
        <v>21</v>
      </c>
      <c r="N92">
        <v>20251001153423</v>
      </c>
      <c r="O92" t="s">
        <v>592</v>
      </c>
    </row>
    <row r="93" spans="1:15" x14ac:dyDescent="0.3">
      <c r="A93" t="s">
        <v>12</v>
      </c>
      <c r="B93" t="s">
        <v>13</v>
      </c>
      <c r="C93" s="2" t="s">
        <v>287</v>
      </c>
      <c r="D93" s="1" t="str">
        <f t="shared" si="6"/>
        <v>in ('3801006002')</v>
      </c>
      <c r="E93" s="1" t="str">
        <f t="shared" si="7"/>
        <v>not in ('3801006002')</v>
      </c>
      <c r="F93" t="s">
        <v>76</v>
      </c>
      <c r="G93" t="s">
        <v>16</v>
      </c>
      <c r="H93" t="s">
        <v>16</v>
      </c>
      <c r="I93" t="s">
        <v>17</v>
      </c>
      <c r="J93" t="s">
        <v>18</v>
      </c>
      <c r="K93" t="s">
        <v>19</v>
      </c>
      <c r="L93" t="s">
        <v>20</v>
      </c>
      <c r="M93" t="s">
        <v>21</v>
      </c>
      <c r="N93">
        <v>20251001153423</v>
      </c>
      <c r="O93" t="s">
        <v>592</v>
      </c>
    </row>
    <row r="94" spans="1:15" x14ac:dyDescent="0.3">
      <c r="A94" t="s">
        <v>12</v>
      </c>
      <c r="B94" t="s">
        <v>13</v>
      </c>
      <c r="C94" s="2" t="s">
        <v>326</v>
      </c>
      <c r="D94" s="1" t="str">
        <f t="shared" si="6"/>
        <v>in ('6511000960')</v>
      </c>
      <c r="E94" s="1" t="str">
        <f t="shared" si="7"/>
        <v>not in ('6511000960')</v>
      </c>
      <c r="F94" t="s">
        <v>76</v>
      </c>
      <c r="G94" t="s">
        <v>16</v>
      </c>
      <c r="H94" t="s">
        <v>16</v>
      </c>
      <c r="I94" t="s">
        <v>17</v>
      </c>
      <c r="J94" t="s">
        <v>18</v>
      </c>
      <c r="K94" t="s">
        <v>19</v>
      </c>
      <c r="L94" t="s">
        <v>20</v>
      </c>
      <c r="M94" t="s">
        <v>21</v>
      </c>
      <c r="N94">
        <v>20251001153423</v>
      </c>
      <c r="O94" t="s">
        <v>592</v>
      </c>
    </row>
    <row r="95" spans="1:15" x14ac:dyDescent="0.3">
      <c r="A95" t="s">
        <v>12</v>
      </c>
      <c r="B95" t="s">
        <v>13</v>
      </c>
      <c r="C95" s="2" t="s">
        <v>390</v>
      </c>
      <c r="D95" s="1" t="str">
        <f t="shared" si="6"/>
        <v>in ('8046370062')</v>
      </c>
      <c r="E95" s="1" t="str">
        <f t="shared" si="7"/>
        <v>not in ('8046370062')</v>
      </c>
      <c r="F95" t="s">
        <v>76</v>
      </c>
      <c r="G95" t="s">
        <v>16</v>
      </c>
      <c r="H95" t="s">
        <v>16</v>
      </c>
      <c r="I95" t="s">
        <v>17</v>
      </c>
      <c r="J95" t="s">
        <v>18</v>
      </c>
      <c r="K95" t="s">
        <v>19</v>
      </c>
      <c r="L95" t="s">
        <v>20</v>
      </c>
      <c r="M95" t="s">
        <v>21</v>
      </c>
      <c r="N95">
        <v>20251001153423</v>
      </c>
      <c r="O95" t="s">
        <v>592</v>
      </c>
    </row>
    <row r="96" spans="1:15" x14ac:dyDescent="0.3">
      <c r="A96" t="s">
        <v>12</v>
      </c>
      <c r="B96" t="s">
        <v>13</v>
      </c>
      <c r="C96" s="2" t="s">
        <v>409</v>
      </c>
      <c r="D96" s="1" t="str">
        <f t="shared" si="6"/>
        <v>in ('6511000004')</v>
      </c>
      <c r="E96" s="1" t="str">
        <f t="shared" si="7"/>
        <v>not in ('6511000004')</v>
      </c>
      <c r="F96" t="s">
        <v>76</v>
      </c>
      <c r="G96" t="s">
        <v>16</v>
      </c>
      <c r="H96" t="s">
        <v>16</v>
      </c>
      <c r="I96" t="s">
        <v>17</v>
      </c>
      <c r="J96" t="s">
        <v>18</v>
      </c>
      <c r="K96" t="s">
        <v>19</v>
      </c>
      <c r="L96" t="s">
        <v>20</v>
      </c>
      <c r="M96" t="s">
        <v>21</v>
      </c>
      <c r="N96">
        <v>20251001153423</v>
      </c>
      <c r="O96" t="s">
        <v>592</v>
      </c>
    </row>
    <row r="97" spans="1:15" x14ac:dyDescent="0.3">
      <c r="A97" t="s">
        <v>12</v>
      </c>
      <c r="B97" t="s">
        <v>13</v>
      </c>
      <c r="C97" s="2" t="s">
        <v>487</v>
      </c>
      <c r="D97" s="1" t="str">
        <f t="shared" si="6"/>
        <v>in ('1700007406')</v>
      </c>
      <c r="E97" s="1" t="str">
        <f t="shared" si="7"/>
        <v>not in ('1700007406')</v>
      </c>
      <c r="F97" t="s">
        <v>76</v>
      </c>
      <c r="G97" t="s">
        <v>16</v>
      </c>
      <c r="H97" t="s">
        <v>16</v>
      </c>
      <c r="I97" t="s">
        <v>17</v>
      </c>
      <c r="J97" t="s">
        <v>18</v>
      </c>
      <c r="K97" t="s">
        <v>19</v>
      </c>
      <c r="L97" t="s">
        <v>20</v>
      </c>
      <c r="M97" t="s">
        <v>21</v>
      </c>
      <c r="N97">
        <v>20251001153423</v>
      </c>
      <c r="O97" t="s">
        <v>592</v>
      </c>
    </row>
    <row r="98" spans="1:15" x14ac:dyDescent="0.3">
      <c r="A98" t="s">
        <v>12</v>
      </c>
      <c r="B98" t="s">
        <v>13</v>
      </c>
      <c r="C98" s="2" t="s">
        <v>518</v>
      </c>
      <c r="D98" s="1" t="str">
        <f t="shared" si="6"/>
        <v>in ('8000176115')</v>
      </c>
      <c r="E98" s="1" t="str">
        <f t="shared" si="7"/>
        <v>not in ('8000176115')</v>
      </c>
      <c r="F98" t="s">
        <v>76</v>
      </c>
      <c r="G98" t="s">
        <v>16</v>
      </c>
      <c r="H98" t="s">
        <v>16</v>
      </c>
      <c r="I98" t="s">
        <v>17</v>
      </c>
      <c r="J98" t="s">
        <v>18</v>
      </c>
      <c r="K98" t="s">
        <v>19</v>
      </c>
      <c r="L98" t="s">
        <v>20</v>
      </c>
      <c r="M98" t="s">
        <v>21</v>
      </c>
      <c r="N98">
        <v>20251001153423</v>
      </c>
      <c r="O98" t="s">
        <v>592</v>
      </c>
    </row>
    <row r="99" spans="1:15" x14ac:dyDescent="0.3">
      <c r="A99" t="s">
        <v>12</v>
      </c>
      <c r="B99" t="s">
        <v>13</v>
      </c>
      <c r="C99" s="2" t="s">
        <v>569</v>
      </c>
      <c r="D99" s="1" t="str">
        <f t="shared" si="6"/>
        <v>in ('8000176024')</v>
      </c>
      <c r="E99" s="1" t="str">
        <f t="shared" si="7"/>
        <v>not in ('8000176024')</v>
      </c>
      <c r="F99" t="s">
        <v>76</v>
      </c>
      <c r="G99" t="s">
        <v>16</v>
      </c>
      <c r="H99" t="s">
        <v>16</v>
      </c>
      <c r="I99" t="s">
        <v>17</v>
      </c>
      <c r="J99" t="s">
        <v>18</v>
      </c>
      <c r="K99" t="s">
        <v>19</v>
      </c>
      <c r="L99" t="s">
        <v>20</v>
      </c>
      <c r="M99" t="s">
        <v>21</v>
      </c>
      <c r="N99">
        <v>20251001153423</v>
      </c>
      <c r="O99" t="s">
        <v>592</v>
      </c>
    </row>
    <row r="100" spans="1:15" x14ac:dyDescent="0.3">
      <c r="A100" t="s">
        <v>12</v>
      </c>
      <c r="B100" t="s">
        <v>13</v>
      </c>
      <c r="C100" s="2" t="s">
        <v>327</v>
      </c>
      <c r="D100" s="1" t="str">
        <f t="shared" si="6"/>
        <v>in ('2100229809')</v>
      </c>
      <c r="E100" s="1" t="str">
        <f t="shared" si="7"/>
        <v>not in ('2100229809')</v>
      </c>
      <c r="F100" t="s">
        <v>328</v>
      </c>
      <c r="G100" t="s">
        <v>42</v>
      </c>
      <c r="H100" t="s">
        <v>43</v>
      </c>
      <c r="J100" t="s">
        <v>18</v>
      </c>
      <c r="K100" t="s">
        <v>51</v>
      </c>
      <c r="L100" t="s">
        <v>20</v>
      </c>
      <c r="M100" t="s">
        <v>21</v>
      </c>
      <c r="N100">
        <v>20251001153423</v>
      </c>
      <c r="O100" t="s">
        <v>592</v>
      </c>
    </row>
    <row r="101" spans="1:15" x14ac:dyDescent="0.3">
      <c r="A101" t="s">
        <v>12</v>
      </c>
      <c r="B101" t="s">
        <v>13</v>
      </c>
      <c r="C101" s="2" t="s">
        <v>295</v>
      </c>
      <c r="D101" s="1" t="str">
        <f t="shared" si="6"/>
        <v>in ('8000000013')</v>
      </c>
      <c r="E101" s="1" t="str">
        <f t="shared" si="7"/>
        <v>not in ('8000000013')</v>
      </c>
      <c r="F101" t="s">
        <v>296</v>
      </c>
      <c r="G101" t="s">
        <v>42</v>
      </c>
      <c r="H101" t="s">
        <v>43</v>
      </c>
      <c r="J101" t="s">
        <v>18</v>
      </c>
      <c r="K101" t="s">
        <v>51</v>
      </c>
      <c r="L101" t="s">
        <v>20</v>
      </c>
      <c r="M101" t="s">
        <v>21</v>
      </c>
      <c r="N101">
        <v>20251001153423</v>
      </c>
      <c r="O101" t="s">
        <v>592</v>
      </c>
    </row>
    <row r="102" spans="1:15" x14ac:dyDescent="0.3">
      <c r="A102" t="s">
        <v>12</v>
      </c>
      <c r="B102" t="s">
        <v>13</v>
      </c>
      <c r="C102" s="2" t="s">
        <v>278</v>
      </c>
      <c r="D102" s="1" t="str">
        <f t="shared" si="6"/>
        <v>in ('8016377292')</v>
      </c>
      <c r="E102" s="1" t="str">
        <f t="shared" si="7"/>
        <v>not in ('8016377292')</v>
      </c>
      <c r="F102" t="s">
        <v>279</v>
      </c>
      <c r="G102" t="s">
        <v>42</v>
      </c>
      <c r="H102" t="s">
        <v>43</v>
      </c>
      <c r="J102" t="s">
        <v>18</v>
      </c>
      <c r="K102" t="s">
        <v>51</v>
      </c>
      <c r="L102" t="s">
        <v>20</v>
      </c>
      <c r="M102" t="s">
        <v>21</v>
      </c>
      <c r="N102">
        <v>20251001153423</v>
      </c>
      <c r="O102" t="s">
        <v>592</v>
      </c>
    </row>
    <row r="103" spans="1:15" x14ac:dyDescent="0.3">
      <c r="A103" t="s">
        <v>12</v>
      </c>
      <c r="B103" t="s">
        <v>13</v>
      </c>
      <c r="C103" s="2" t="s">
        <v>582</v>
      </c>
      <c r="D103" s="1" t="str">
        <f t="shared" si="6"/>
        <v>in ('7400122168')</v>
      </c>
      <c r="E103" s="1" t="str">
        <f t="shared" si="7"/>
        <v>not in ('7400122168')</v>
      </c>
      <c r="F103" t="s">
        <v>583</v>
      </c>
      <c r="G103" t="s">
        <v>42</v>
      </c>
      <c r="H103" t="s">
        <v>43</v>
      </c>
      <c r="J103" t="s">
        <v>18</v>
      </c>
      <c r="K103" t="s">
        <v>51</v>
      </c>
      <c r="L103" t="s">
        <v>20</v>
      </c>
      <c r="M103" t="s">
        <v>21</v>
      </c>
      <c r="N103">
        <v>20251001153423</v>
      </c>
      <c r="O103" t="s">
        <v>592</v>
      </c>
    </row>
    <row r="104" spans="1:15" x14ac:dyDescent="0.3">
      <c r="A104" t="s">
        <v>12</v>
      </c>
      <c r="B104" t="s">
        <v>13</v>
      </c>
      <c r="C104" s="2" t="s">
        <v>57</v>
      </c>
      <c r="D104" s="1" t="str">
        <f t="shared" si="6"/>
        <v>in ('8000001856')</v>
      </c>
      <c r="E104" s="1" t="str">
        <f t="shared" si="7"/>
        <v>not in ('8000001856')</v>
      </c>
      <c r="F104" t="s">
        <v>58</v>
      </c>
      <c r="G104" t="s">
        <v>42</v>
      </c>
      <c r="H104" t="s">
        <v>43</v>
      </c>
      <c r="J104" t="s">
        <v>18</v>
      </c>
      <c r="K104" t="s">
        <v>51</v>
      </c>
      <c r="L104" t="s">
        <v>20</v>
      </c>
      <c r="M104" t="s">
        <v>21</v>
      </c>
      <c r="N104">
        <v>20251001153423</v>
      </c>
      <c r="O104" t="s">
        <v>592</v>
      </c>
    </row>
    <row r="105" spans="1:15" x14ac:dyDescent="0.3">
      <c r="A105" t="s">
        <v>12</v>
      </c>
      <c r="B105" t="s">
        <v>13</v>
      </c>
      <c r="C105" s="2" t="s">
        <v>531</v>
      </c>
      <c r="D105" s="1" t="str">
        <f t="shared" si="6"/>
        <v>in ('8003987621')</v>
      </c>
      <c r="E105" s="1" t="str">
        <f t="shared" si="7"/>
        <v>not in ('8003987621')</v>
      </c>
      <c r="F105" t="s">
        <v>532</v>
      </c>
      <c r="G105" t="s">
        <v>42</v>
      </c>
      <c r="H105" t="s">
        <v>43</v>
      </c>
      <c r="J105" t="s">
        <v>18</v>
      </c>
      <c r="K105" t="s">
        <v>51</v>
      </c>
      <c r="L105" t="s">
        <v>20</v>
      </c>
      <c r="M105" t="s">
        <v>21</v>
      </c>
      <c r="N105">
        <v>20251001153423</v>
      </c>
      <c r="O105" t="s">
        <v>592</v>
      </c>
    </row>
    <row r="106" spans="1:15" hidden="1" x14ac:dyDescent="0.3">
      <c r="A106" t="s">
        <v>12</v>
      </c>
      <c r="B106" t="s">
        <v>13</v>
      </c>
      <c r="C106" t="s">
        <v>397</v>
      </c>
      <c r="D106"/>
      <c r="E106"/>
      <c r="F106" t="s">
        <v>398</v>
      </c>
      <c r="G106" t="s">
        <v>399</v>
      </c>
      <c r="H106" t="s">
        <v>400</v>
      </c>
      <c r="I106" t="s">
        <v>401</v>
      </c>
      <c r="J106" t="s">
        <v>18</v>
      </c>
      <c r="K106" t="s">
        <v>402</v>
      </c>
      <c r="L106" t="s">
        <v>20</v>
      </c>
      <c r="M106" t="s">
        <v>21</v>
      </c>
      <c r="N106">
        <v>20251001153423</v>
      </c>
      <c r="O106" t="s">
        <v>591</v>
      </c>
    </row>
    <row r="107" spans="1:15" x14ac:dyDescent="0.3">
      <c r="A107" t="s">
        <v>12</v>
      </c>
      <c r="B107" t="s">
        <v>13</v>
      </c>
      <c r="C107" s="2" t="s">
        <v>446</v>
      </c>
      <c r="D107" s="1" t="str">
        <f t="shared" ref="D107:D170" si="8">_xlfn.CONCAT("in ", "('",C107,"')")</f>
        <v>in ('3801002891')</v>
      </c>
      <c r="E107" s="1" t="str">
        <f t="shared" ref="E107:E170" si="9">_xlfn.CONCAT("not in ", "('",C107,"')")</f>
        <v>not in ('3801002891')</v>
      </c>
      <c r="F107" t="s">
        <v>447</v>
      </c>
      <c r="G107" t="s">
        <v>448</v>
      </c>
      <c r="H107" t="s">
        <v>449</v>
      </c>
      <c r="I107" t="s">
        <v>17</v>
      </c>
      <c r="J107" t="s">
        <v>18</v>
      </c>
      <c r="K107" t="s">
        <v>19</v>
      </c>
      <c r="L107" t="s">
        <v>20</v>
      </c>
      <c r="M107" t="s">
        <v>21</v>
      </c>
      <c r="N107">
        <v>20251001153423</v>
      </c>
      <c r="O107" t="s">
        <v>592</v>
      </c>
    </row>
    <row r="108" spans="1:15" x14ac:dyDescent="0.3">
      <c r="A108" t="s">
        <v>12</v>
      </c>
      <c r="B108" t="s">
        <v>13</v>
      </c>
      <c r="C108" s="2" t="s">
        <v>168</v>
      </c>
      <c r="D108" s="1" t="str">
        <f t="shared" si="8"/>
        <v>in ('7400576806')</v>
      </c>
      <c r="E108" s="1" t="str">
        <f t="shared" si="9"/>
        <v>not in ('7400576806')</v>
      </c>
      <c r="F108" t="s">
        <v>169</v>
      </c>
      <c r="G108" t="s">
        <v>170</v>
      </c>
      <c r="H108" t="s">
        <v>170</v>
      </c>
      <c r="I108" t="s">
        <v>84</v>
      </c>
      <c r="J108" t="s">
        <v>18</v>
      </c>
      <c r="K108" t="s">
        <v>171</v>
      </c>
      <c r="L108" t="s">
        <v>20</v>
      </c>
      <c r="M108" t="s">
        <v>21</v>
      </c>
      <c r="N108">
        <v>20251001153423</v>
      </c>
      <c r="O108" t="s">
        <v>592</v>
      </c>
    </row>
    <row r="109" spans="1:15" x14ac:dyDescent="0.3">
      <c r="A109" t="s">
        <v>12</v>
      </c>
      <c r="B109" t="s">
        <v>13</v>
      </c>
      <c r="C109" s="2" t="s">
        <v>503</v>
      </c>
      <c r="D109" s="1" t="str">
        <f t="shared" si="8"/>
        <v>in ('1700210720')</v>
      </c>
      <c r="E109" s="1" t="str">
        <f t="shared" si="9"/>
        <v>not in ('1700210720')</v>
      </c>
      <c r="F109" t="s">
        <v>169</v>
      </c>
      <c r="G109" t="s">
        <v>170</v>
      </c>
      <c r="H109" t="s">
        <v>170</v>
      </c>
      <c r="I109" t="s">
        <v>84</v>
      </c>
      <c r="J109" t="s">
        <v>18</v>
      </c>
      <c r="K109" t="s">
        <v>171</v>
      </c>
      <c r="L109" t="s">
        <v>20</v>
      </c>
      <c r="M109" t="s">
        <v>21</v>
      </c>
      <c r="N109">
        <v>20251001153423</v>
      </c>
      <c r="O109" t="s">
        <v>592</v>
      </c>
    </row>
    <row r="110" spans="1:15" x14ac:dyDescent="0.3">
      <c r="A110" t="s">
        <v>12</v>
      </c>
      <c r="B110" t="s">
        <v>13</v>
      </c>
      <c r="C110" s="2" t="s">
        <v>281</v>
      </c>
      <c r="D110" s="1" t="str">
        <f t="shared" si="8"/>
        <v>in ('5100015093')</v>
      </c>
      <c r="E110" s="1" t="str">
        <f t="shared" si="9"/>
        <v>not in ('5100015093')</v>
      </c>
      <c r="F110" t="s">
        <v>282</v>
      </c>
      <c r="G110" t="s">
        <v>283</v>
      </c>
      <c r="H110" t="s">
        <v>283</v>
      </c>
      <c r="J110" t="s">
        <v>18</v>
      </c>
      <c r="K110" t="s">
        <v>39</v>
      </c>
      <c r="L110" t="s">
        <v>20</v>
      </c>
      <c r="M110" t="s">
        <v>21</v>
      </c>
      <c r="N110">
        <v>20251001153423</v>
      </c>
      <c r="O110" t="s">
        <v>592</v>
      </c>
    </row>
    <row r="111" spans="1:15" x14ac:dyDescent="0.3">
      <c r="A111" t="s">
        <v>12</v>
      </c>
      <c r="B111" t="s">
        <v>13</v>
      </c>
      <c r="C111" s="2" t="s">
        <v>454</v>
      </c>
      <c r="D111" s="1" t="str">
        <f t="shared" si="8"/>
        <v>in ('5100000125')</v>
      </c>
      <c r="E111" s="1" t="str">
        <f t="shared" si="9"/>
        <v>not in ('5100000125')</v>
      </c>
      <c r="F111" t="s">
        <v>455</v>
      </c>
      <c r="G111" t="s">
        <v>456</v>
      </c>
      <c r="H111" t="s">
        <v>456</v>
      </c>
      <c r="J111" t="s">
        <v>18</v>
      </c>
      <c r="K111" t="s">
        <v>39</v>
      </c>
      <c r="L111" t="s">
        <v>20</v>
      </c>
      <c r="M111" t="s">
        <v>21</v>
      </c>
      <c r="N111">
        <v>20251001153423</v>
      </c>
      <c r="O111" t="s">
        <v>592</v>
      </c>
    </row>
    <row r="112" spans="1:15" x14ac:dyDescent="0.3">
      <c r="A112" t="s">
        <v>12</v>
      </c>
      <c r="B112" t="s">
        <v>13</v>
      </c>
      <c r="C112" s="2" t="s">
        <v>69</v>
      </c>
      <c r="D112" s="1" t="str">
        <f t="shared" si="8"/>
        <v>in ('9000796656')</v>
      </c>
      <c r="E112" s="1" t="str">
        <f t="shared" si="9"/>
        <v>not in ('9000796656')</v>
      </c>
      <c r="F112" t="s">
        <v>70</v>
      </c>
      <c r="G112" t="s">
        <v>42</v>
      </c>
      <c r="H112" t="s">
        <v>43</v>
      </c>
      <c r="J112" t="s">
        <v>18</v>
      </c>
      <c r="K112" t="s">
        <v>51</v>
      </c>
      <c r="L112" t="s">
        <v>20</v>
      </c>
      <c r="M112" t="s">
        <v>21</v>
      </c>
      <c r="N112">
        <v>20251001153423</v>
      </c>
      <c r="O112" t="s">
        <v>592</v>
      </c>
    </row>
    <row r="113" spans="1:15" x14ac:dyDescent="0.3">
      <c r="A113" t="s">
        <v>12</v>
      </c>
      <c r="B113" t="s">
        <v>13</v>
      </c>
      <c r="C113" s="2" t="s">
        <v>439</v>
      </c>
      <c r="D113" s="1" t="str">
        <f t="shared" si="8"/>
        <v>in ('8000003403')</v>
      </c>
      <c r="E113" s="1" t="str">
        <f t="shared" si="9"/>
        <v>not in ('8000003403')</v>
      </c>
      <c r="F113" t="s">
        <v>70</v>
      </c>
      <c r="G113" t="s">
        <v>42</v>
      </c>
      <c r="H113" t="s">
        <v>43</v>
      </c>
      <c r="J113" t="s">
        <v>18</v>
      </c>
      <c r="K113" t="s">
        <v>51</v>
      </c>
      <c r="L113" t="s">
        <v>20</v>
      </c>
      <c r="M113" t="s">
        <v>21</v>
      </c>
      <c r="N113">
        <v>20251001153423</v>
      </c>
      <c r="O113" t="s">
        <v>592</v>
      </c>
    </row>
    <row r="114" spans="1:15" x14ac:dyDescent="0.3">
      <c r="A114" t="s">
        <v>12</v>
      </c>
      <c r="B114" t="s">
        <v>13</v>
      </c>
      <c r="C114" s="2" t="s">
        <v>519</v>
      </c>
      <c r="D114" s="1" t="str">
        <f t="shared" si="8"/>
        <v>in ('5100005155')</v>
      </c>
      <c r="E114" s="1" t="str">
        <f t="shared" si="9"/>
        <v>not in ('5100005155')</v>
      </c>
      <c r="F114" t="s">
        <v>520</v>
      </c>
      <c r="G114" t="s">
        <v>521</v>
      </c>
      <c r="H114" t="s">
        <v>521</v>
      </c>
      <c r="J114" t="s">
        <v>18</v>
      </c>
      <c r="K114" t="s">
        <v>39</v>
      </c>
      <c r="L114" t="s">
        <v>20</v>
      </c>
      <c r="M114" t="s">
        <v>21</v>
      </c>
      <c r="N114">
        <v>20251001153423</v>
      </c>
      <c r="O114" t="s">
        <v>592</v>
      </c>
    </row>
    <row r="115" spans="1:15" x14ac:dyDescent="0.3">
      <c r="A115" t="s">
        <v>12</v>
      </c>
      <c r="B115" t="s">
        <v>13</v>
      </c>
      <c r="C115" s="2" t="s">
        <v>330</v>
      </c>
      <c r="D115" s="1" t="str">
        <f t="shared" si="8"/>
        <v>in ('5100409969')</v>
      </c>
      <c r="E115" s="1" t="str">
        <f t="shared" si="9"/>
        <v>not in ('5100409969')</v>
      </c>
      <c r="F115" t="s">
        <v>331</v>
      </c>
      <c r="G115" t="s">
        <v>332</v>
      </c>
      <c r="H115" t="s">
        <v>332</v>
      </c>
      <c r="J115" t="s">
        <v>18</v>
      </c>
      <c r="K115" t="s">
        <v>39</v>
      </c>
      <c r="L115" t="s">
        <v>20</v>
      </c>
      <c r="M115" t="s">
        <v>21</v>
      </c>
      <c r="N115">
        <v>20251001153423</v>
      </c>
      <c r="O115" t="s">
        <v>592</v>
      </c>
    </row>
    <row r="116" spans="1:15" x14ac:dyDescent="0.3">
      <c r="A116" t="s">
        <v>12</v>
      </c>
      <c r="B116" t="s">
        <v>13</v>
      </c>
      <c r="C116" s="2" t="s">
        <v>515</v>
      </c>
      <c r="D116" s="1" t="str">
        <f t="shared" si="8"/>
        <v>in ('5100620316')</v>
      </c>
      <c r="E116" s="1" t="str">
        <f t="shared" si="9"/>
        <v>not in ('5100620316')</v>
      </c>
      <c r="F116" t="s">
        <v>516</v>
      </c>
      <c r="G116" t="s">
        <v>517</v>
      </c>
      <c r="H116" t="s">
        <v>517</v>
      </c>
      <c r="J116" t="s">
        <v>18</v>
      </c>
      <c r="K116" t="s">
        <v>39</v>
      </c>
      <c r="L116" t="s">
        <v>20</v>
      </c>
      <c r="M116" t="s">
        <v>21</v>
      </c>
      <c r="N116">
        <v>20251001153423</v>
      </c>
      <c r="O116" t="s">
        <v>592</v>
      </c>
    </row>
    <row r="117" spans="1:15" x14ac:dyDescent="0.3">
      <c r="A117" t="s">
        <v>12</v>
      </c>
      <c r="B117" t="s">
        <v>13</v>
      </c>
      <c r="C117" s="2" t="s">
        <v>65</v>
      </c>
      <c r="D117" s="1" t="str">
        <f t="shared" si="8"/>
        <v>in ('7401390483')</v>
      </c>
      <c r="E117" s="1" t="str">
        <f t="shared" si="9"/>
        <v>not in ('7401390483')</v>
      </c>
      <c r="F117" t="s">
        <v>66</v>
      </c>
      <c r="G117" t="s">
        <v>67</v>
      </c>
      <c r="H117" t="s">
        <v>67</v>
      </c>
      <c r="J117" t="s">
        <v>18</v>
      </c>
      <c r="K117" t="s">
        <v>68</v>
      </c>
      <c r="L117" t="s">
        <v>20</v>
      </c>
      <c r="M117" t="s">
        <v>21</v>
      </c>
      <c r="N117">
        <v>20251001153423</v>
      </c>
      <c r="O117" t="s">
        <v>592</v>
      </c>
    </row>
    <row r="118" spans="1:15" x14ac:dyDescent="0.3">
      <c r="A118" t="s">
        <v>12</v>
      </c>
      <c r="B118" t="s">
        <v>13</v>
      </c>
      <c r="C118" s="2" t="s">
        <v>323</v>
      </c>
      <c r="D118" s="1" t="str">
        <f t="shared" si="8"/>
        <v>in ('5100006999')</v>
      </c>
      <c r="E118" s="1" t="str">
        <f t="shared" si="9"/>
        <v>not in ('5100006999')</v>
      </c>
      <c r="F118" t="s">
        <v>324</v>
      </c>
      <c r="G118" t="s">
        <v>325</v>
      </c>
      <c r="H118" t="s">
        <v>325</v>
      </c>
      <c r="J118" t="s">
        <v>18</v>
      </c>
      <c r="K118" t="s">
        <v>39</v>
      </c>
      <c r="L118" t="s">
        <v>20</v>
      </c>
      <c r="M118" t="s">
        <v>21</v>
      </c>
      <c r="N118">
        <v>20251001153423</v>
      </c>
      <c r="O118" t="s">
        <v>592</v>
      </c>
    </row>
    <row r="119" spans="1:15" x14ac:dyDescent="0.3">
      <c r="A119" t="s">
        <v>12</v>
      </c>
      <c r="B119" t="s">
        <v>13</v>
      </c>
      <c r="C119" s="2" t="s">
        <v>540</v>
      </c>
      <c r="D119" s="1" t="str">
        <f t="shared" si="8"/>
        <v>in ('3471008280')</v>
      </c>
      <c r="E119" s="1" t="str">
        <f t="shared" si="9"/>
        <v>not in ('3471008280')</v>
      </c>
      <c r="F119" t="s">
        <v>541</v>
      </c>
      <c r="G119" t="s">
        <v>67</v>
      </c>
      <c r="H119" t="s">
        <v>67</v>
      </c>
      <c r="I119" t="s">
        <v>96</v>
      </c>
      <c r="J119" t="s">
        <v>18</v>
      </c>
      <c r="K119" t="s">
        <v>542</v>
      </c>
      <c r="L119" t="s">
        <v>20</v>
      </c>
      <c r="M119" t="s">
        <v>21</v>
      </c>
      <c r="N119">
        <v>20251001153423</v>
      </c>
      <c r="O119" t="s">
        <v>592</v>
      </c>
    </row>
    <row r="120" spans="1:15" x14ac:dyDescent="0.3">
      <c r="A120" t="s">
        <v>12</v>
      </c>
      <c r="B120" t="s">
        <v>13</v>
      </c>
      <c r="C120" s="2" t="s">
        <v>114</v>
      </c>
      <c r="D120" s="1" t="str">
        <f t="shared" si="8"/>
        <v>in ('7401393942')</v>
      </c>
      <c r="E120" s="1" t="str">
        <f t="shared" si="9"/>
        <v>not in ('7401393942')</v>
      </c>
      <c r="F120" t="s">
        <v>115</v>
      </c>
      <c r="G120" t="s">
        <v>116</v>
      </c>
      <c r="H120" t="s">
        <v>116</v>
      </c>
      <c r="I120" t="s">
        <v>84</v>
      </c>
      <c r="J120" t="s">
        <v>18</v>
      </c>
      <c r="K120" t="s">
        <v>99</v>
      </c>
      <c r="L120" t="s">
        <v>20</v>
      </c>
      <c r="M120" t="s">
        <v>21</v>
      </c>
      <c r="N120">
        <v>20251001153423</v>
      </c>
      <c r="O120" t="s">
        <v>592</v>
      </c>
    </row>
    <row r="121" spans="1:15" x14ac:dyDescent="0.3">
      <c r="A121" t="s">
        <v>12</v>
      </c>
      <c r="B121" t="s">
        <v>13</v>
      </c>
      <c r="C121" s="2" t="s">
        <v>385</v>
      </c>
      <c r="D121" s="1" t="str">
        <f t="shared" si="8"/>
        <v>in ('2101355138')</v>
      </c>
      <c r="E121" s="1" t="str">
        <f t="shared" si="9"/>
        <v>not in ('2101355138')</v>
      </c>
      <c r="F121" t="s">
        <v>386</v>
      </c>
      <c r="G121" t="s">
        <v>116</v>
      </c>
      <c r="H121" t="s">
        <v>116</v>
      </c>
      <c r="J121" t="s">
        <v>18</v>
      </c>
      <c r="K121" t="s">
        <v>387</v>
      </c>
      <c r="L121" t="s">
        <v>20</v>
      </c>
      <c r="M121" t="s">
        <v>21</v>
      </c>
      <c r="N121">
        <v>20251001153423</v>
      </c>
      <c r="O121" t="s">
        <v>592</v>
      </c>
    </row>
    <row r="122" spans="1:15" x14ac:dyDescent="0.3">
      <c r="A122" t="s">
        <v>12</v>
      </c>
      <c r="B122" t="s">
        <v>13</v>
      </c>
      <c r="C122" s="2" t="s">
        <v>346</v>
      </c>
      <c r="D122" s="1" t="str">
        <f t="shared" si="8"/>
        <v>in ('7400315551')</v>
      </c>
      <c r="E122" s="1" t="str">
        <f t="shared" si="9"/>
        <v>not in ('7400315551')</v>
      </c>
      <c r="F122" t="s">
        <v>347</v>
      </c>
      <c r="G122" t="s">
        <v>56</v>
      </c>
      <c r="H122" t="s">
        <v>56</v>
      </c>
      <c r="J122" t="s">
        <v>18</v>
      </c>
      <c r="K122" t="s">
        <v>348</v>
      </c>
      <c r="L122" t="s">
        <v>20</v>
      </c>
      <c r="M122" t="s">
        <v>21</v>
      </c>
      <c r="N122">
        <v>20251001153423</v>
      </c>
      <c r="O122" t="s">
        <v>592</v>
      </c>
    </row>
    <row r="123" spans="1:15" x14ac:dyDescent="0.3">
      <c r="A123" t="s">
        <v>12</v>
      </c>
      <c r="B123" t="s">
        <v>13</v>
      </c>
      <c r="C123" s="2" t="s">
        <v>544</v>
      </c>
      <c r="D123" s="1" t="str">
        <f t="shared" si="8"/>
        <v>in ('7400760971')</v>
      </c>
      <c r="E123" s="1" t="str">
        <f t="shared" si="9"/>
        <v>not in ('7400760971')</v>
      </c>
      <c r="F123" t="s">
        <v>545</v>
      </c>
      <c r="G123" t="s">
        <v>546</v>
      </c>
      <c r="H123" t="s">
        <v>546</v>
      </c>
      <c r="J123" t="s">
        <v>18</v>
      </c>
      <c r="K123" t="s">
        <v>348</v>
      </c>
      <c r="L123" t="s">
        <v>20</v>
      </c>
      <c r="M123" t="s">
        <v>21</v>
      </c>
      <c r="N123">
        <v>20251001153423</v>
      </c>
      <c r="O123" t="s">
        <v>592</v>
      </c>
    </row>
    <row r="124" spans="1:15" x14ac:dyDescent="0.3">
      <c r="A124" t="s">
        <v>12</v>
      </c>
      <c r="B124" t="s">
        <v>13</v>
      </c>
      <c r="C124" s="2" t="s">
        <v>121</v>
      </c>
      <c r="D124" s="1" t="str">
        <f t="shared" si="8"/>
        <v>in ('5100000130')</v>
      </c>
      <c r="E124" s="1" t="str">
        <f t="shared" si="9"/>
        <v>not in ('5100000130')</v>
      </c>
      <c r="F124" t="s">
        <v>122</v>
      </c>
      <c r="G124" t="s">
        <v>123</v>
      </c>
      <c r="H124" t="s">
        <v>123</v>
      </c>
      <c r="J124" t="s">
        <v>18</v>
      </c>
      <c r="K124" t="s">
        <v>39</v>
      </c>
      <c r="L124" t="s">
        <v>20</v>
      </c>
      <c r="M124" t="s">
        <v>21</v>
      </c>
      <c r="N124">
        <v>20251001153423</v>
      </c>
      <c r="O124" t="s">
        <v>592</v>
      </c>
    </row>
    <row r="125" spans="1:15" x14ac:dyDescent="0.3">
      <c r="A125" t="s">
        <v>12</v>
      </c>
      <c r="B125" t="s">
        <v>13</v>
      </c>
      <c r="C125" s="2" t="s">
        <v>313</v>
      </c>
      <c r="D125" s="1" t="str">
        <f t="shared" si="8"/>
        <v>in ('7402335893')</v>
      </c>
      <c r="E125" s="1" t="str">
        <f t="shared" si="9"/>
        <v>not in ('7402335893')</v>
      </c>
      <c r="F125" t="s">
        <v>314</v>
      </c>
      <c r="G125" t="s">
        <v>315</v>
      </c>
      <c r="H125" t="s">
        <v>315</v>
      </c>
      <c r="J125" t="s">
        <v>18</v>
      </c>
      <c r="K125" t="s">
        <v>316</v>
      </c>
      <c r="L125" t="s">
        <v>20</v>
      </c>
      <c r="M125" t="s">
        <v>21</v>
      </c>
      <c r="N125">
        <v>20251001153423</v>
      </c>
      <c r="O125" t="s">
        <v>592</v>
      </c>
    </row>
    <row r="126" spans="1:15" x14ac:dyDescent="0.3">
      <c r="A126" t="s">
        <v>12</v>
      </c>
      <c r="B126" t="s">
        <v>13</v>
      </c>
      <c r="C126" s="2" t="s">
        <v>304</v>
      </c>
      <c r="D126" s="1" t="str">
        <f t="shared" si="8"/>
        <v>in ('6511000079')</v>
      </c>
      <c r="E126" s="1" t="str">
        <f t="shared" si="9"/>
        <v>not in ('6511000079')</v>
      </c>
      <c r="F126" t="s">
        <v>305</v>
      </c>
      <c r="G126" t="s">
        <v>16</v>
      </c>
      <c r="H126" t="s">
        <v>16</v>
      </c>
      <c r="I126" t="s">
        <v>17</v>
      </c>
      <c r="J126" t="s">
        <v>18</v>
      </c>
      <c r="K126" t="s">
        <v>19</v>
      </c>
      <c r="L126" t="s">
        <v>20</v>
      </c>
      <c r="M126" t="s">
        <v>21</v>
      </c>
      <c r="N126">
        <v>20251001153423</v>
      </c>
      <c r="O126" t="s">
        <v>592</v>
      </c>
    </row>
    <row r="127" spans="1:15" x14ac:dyDescent="0.3">
      <c r="A127" t="s">
        <v>12</v>
      </c>
      <c r="B127" t="s">
        <v>13</v>
      </c>
      <c r="C127" s="2" t="s">
        <v>525</v>
      </c>
      <c r="D127" s="1" t="str">
        <f t="shared" si="8"/>
        <v>in ('8030049790')</v>
      </c>
      <c r="E127" s="1" t="str">
        <f t="shared" si="9"/>
        <v>not in ('8030049790')</v>
      </c>
      <c r="F127" t="s">
        <v>305</v>
      </c>
      <c r="G127" t="s">
        <v>16</v>
      </c>
      <c r="H127" t="s">
        <v>16</v>
      </c>
      <c r="I127" t="s">
        <v>17</v>
      </c>
      <c r="J127" t="s">
        <v>18</v>
      </c>
      <c r="K127" t="s">
        <v>19</v>
      </c>
      <c r="L127" t="s">
        <v>20</v>
      </c>
      <c r="M127" t="s">
        <v>21</v>
      </c>
      <c r="N127">
        <v>20251001153423</v>
      </c>
      <c r="O127" t="s">
        <v>592</v>
      </c>
    </row>
    <row r="128" spans="1:15" x14ac:dyDescent="0.3">
      <c r="A128" t="s">
        <v>12</v>
      </c>
      <c r="B128" t="s">
        <v>13</v>
      </c>
      <c r="C128" s="2" t="s">
        <v>228</v>
      </c>
      <c r="D128" s="1" t="str">
        <f t="shared" si="8"/>
        <v>in ('7400987939')</v>
      </c>
      <c r="E128" s="1" t="str">
        <f t="shared" si="9"/>
        <v>not in ('7400987939')</v>
      </c>
      <c r="F128" t="s">
        <v>229</v>
      </c>
      <c r="G128" t="s">
        <v>119</v>
      </c>
      <c r="H128" t="s">
        <v>119</v>
      </c>
      <c r="I128" t="s">
        <v>230</v>
      </c>
      <c r="J128" t="s">
        <v>18</v>
      </c>
      <c r="K128" t="s">
        <v>231</v>
      </c>
      <c r="L128" t="s">
        <v>20</v>
      </c>
      <c r="M128" t="s">
        <v>21</v>
      </c>
      <c r="N128">
        <v>20251001153423</v>
      </c>
      <c r="O128" t="s">
        <v>592</v>
      </c>
    </row>
    <row r="129" spans="1:15" x14ac:dyDescent="0.3">
      <c r="A129" t="s">
        <v>12</v>
      </c>
      <c r="B129" t="s">
        <v>13</v>
      </c>
      <c r="C129" s="2" t="s">
        <v>536</v>
      </c>
      <c r="D129" s="1" t="str">
        <f t="shared" si="8"/>
        <v>in ('7400574280')</v>
      </c>
      <c r="E129" s="1" t="str">
        <f t="shared" si="9"/>
        <v>not in ('7400574280')</v>
      </c>
      <c r="F129" t="s">
        <v>537</v>
      </c>
      <c r="G129" t="s">
        <v>482</v>
      </c>
      <c r="H129" t="s">
        <v>482</v>
      </c>
      <c r="I129" t="s">
        <v>84</v>
      </c>
      <c r="J129" t="s">
        <v>18</v>
      </c>
      <c r="K129" t="s">
        <v>120</v>
      </c>
      <c r="L129" t="s">
        <v>20</v>
      </c>
      <c r="M129" t="s">
        <v>21</v>
      </c>
      <c r="N129">
        <v>20251001153423</v>
      </c>
      <c r="O129" t="s">
        <v>592</v>
      </c>
    </row>
    <row r="130" spans="1:15" x14ac:dyDescent="0.3">
      <c r="A130" t="s">
        <v>12</v>
      </c>
      <c r="B130" t="s">
        <v>13</v>
      </c>
      <c r="C130" s="2" t="s">
        <v>480</v>
      </c>
      <c r="D130" s="1" t="str">
        <f t="shared" si="8"/>
        <v>in ('7400987911')</v>
      </c>
      <c r="E130" s="1" t="str">
        <f t="shared" si="9"/>
        <v>not in ('7400987911')</v>
      </c>
      <c r="F130" t="s">
        <v>481</v>
      </c>
      <c r="G130" t="s">
        <v>482</v>
      </c>
      <c r="H130" t="s">
        <v>482</v>
      </c>
      <c r="I130" t="s">
        <v>230</v>
      </c>
      <c r="J130" t="s">
        <v>18</v>
      </c>
      <c r="K130" t="s">
        <v>231</v>
      </c>
      <c r="L130" t="s">
        <v>20</v>
      </c>
      <c r="M130" t="s">
        <v>21</v>
      </c>
      <c r="N130">
        <v>20251001153423</v>
      </c>
      <c r="O130" t="s">
        <v>592</v>
      </c>
    </row>
    <row r="131" spans="1:15" x14ac:dyDescent="0.3">
      <c r="A131" t="s">
        <v>12</v>
      </c>
      <c r="B131" t="s">
        <v>13</v>
      </c>
      <c r="C131" s="2" t="s">
        <v>556</v>
      </c>
      <c r="D131" s="1" t="str">
        <f t="shared" si="8"/>
        <v>in ('7400615058')</v>
      </c>
      <c r="E131" s="1" t="str">
        <f t="shared" si="9"/>
        <v>not in ('7400615058')</v>
      </c>
      <c r="F131" t="s">
        <v>481</v>
      </c>
      <c r="G131" t="s">
        <v>482</v>
      </c>
      <c r="H131" t="s">
        <v>482</v>
      </c>
      <c r="I131" t="s">
        <v>230</v>
      </c>
      <c r="J131" t="s">
        <v>18</v>
      </c>
      <c r="K131" t="s">
        <v>120</v>
      </c>
      <c r="L131" t="s">
        <v>20</v>
      </c>
      <c r="M131" t="s">
        <v>21</v>
      </c>
      <c r="N131">
        <v>20251001153423</v>
      </c>
      <c r="O131" t="s">
        <v>592</v>
      </c>
    </row>
    <row r="132" spans="1:15" x14ac:dyDescent="0.3">
      <c r="A132" t="s">
        <v>12</v>
      </c>
      <c r="B132" t="s">
        <v>13</v>
      </c>
      <c r="C132" s="2" t="s">
        <v>117</v>
      </c>
      <c r="D132" s="1" t="str">
        <f t="shared" si="8"/>
        <v>in ('7400574283')</v>
      </c>
      <c r="E132" s="1" t="str">
        <f t="shared" si="9"/>
        <v>not in ('7400574283')</v>
      </c>
      <c r="F132" t="s">
        <v>118</v>
      </c>
      <c r="G132" t="s">
        <v>119</v>
      </c>
      <c r="H132" t="s">
        <v>119</v>
      </c>
      <c r="I132" t="s">
        <v>84</v>
      </c>
      <c r="J132" t="s">
        <v>18</v>
      </c>
      <c r="K132" t="s">
        <v>120</v>
      </c>
      <c r="L132" t="s">
        <v>20</v>
      </c>
      <c r="M132" t="s">
        <v>21</v>
      </c>
      <c r="N132">
        <v>20251001153423</v>
      </c>
      <c r="O132" t="s">
        <v>592</v>
      </c>
    </row>
    <row r="133" spans="1:15" x14ac:dyDescent="0.3">
      <c r="A133" t="s">
        <v>12</v>
      </c>
      <c r="B133" t="s">
        <v>13</v>
      </c>
      <c r="C133" s="2" t="s">
        <v>483</v>
      </c>
      <c r="D133" s="1" t="str">
        <f t="shared" si="8"/>
        <v>in ('7400615062')</v>
      </c>
      <c r="E133" s="1" t="str">
        <f t="shared" si="9"/>
        <v>not in ('7400615062')</v>
      </c>
      <c r="F133" t="s">
        <v>484</v>
      </c>
      <c r="G133" t="s">
        <v>119</v>
      </c>
      <c r="H133" t="s">
        <v>119</v>
      </c>
      <c r="I133" t="s">
        <v>230</v>
      </c>
      <c r="J133" t="s">
        <v>18</v>
      </c>
      <c r="K133" t="s">
        <v>120</v>
      </c>
      <c r="L133" t="s">
        <v>20</v>
      </c>
      <c r="M133" t="s">
        <v>21</v>
      </c>
      <c r="N133">
        <v>20251001153423</v>
      </c>
      <c r="O133" t="s">
        <v>592</v>
      </c>
    </row>
    <row r="134" spans="1:15" x14ac:dyDescent="0.3">
      <c r="A134" t="s">
        <v>12</v>
      </c>
      <c r="B134" t="s">
        <v>13</v>
      </c>
      <c r="C134" s="2" t="s">
        <v>93</v>
      </c>
      <c r="D134" s="1" t="str">
        <f t="shared" si="8"/>
        <v>in ('8045281854')</v>
      </c>
      <c r="E134" s="1" t="str">
        <f t="shared" si="9"/>
        <v>not in ('8045281854')</v>
      </c>
      <c r="F134" t="s">
        <v>94</v>
      </c>
      <c r="G134" t="s">
        <v>95</v>
      </c>
      <c r="H134" t="s">
        <v>95</v>
      </c>
      <c r="I134" t="s">
        <v>96</v>
      </c>
      <c r="J134" t="s">
        <v>18</v>
      </c>
      <c r="K134" t="s">
        <v>19</v>
      </c>
      <c r="L134" t="s">
        <v>20</v>
      </c>
      <c r="M134" t="s">
        <v>21</v>
      </c>
      <c r="N134">
        <v>20251001153423</v>
      </c>
      <c r="O134" t="s">
        <v>592</v>
      </c>
    </row>
    <row r="135" spans="1:15" x14ac:dyDescent="0.3">
      <c r="A135" t="s">
        <v>12</v>
      </c>
      <c r="B135" t="s">
        <v>13</v>
      </c>
      <c r="C135" s="2" t="s">
        <v>184</v>
      </c>
      <c r="D135" s="1" t="str">
        <f t="shared" si="8"/>
        <v>in ('9002337488')</v>
      </c>
      <c r="E135" s="1" t="str">
        <f t="shared" si="9"/>
        <v>not in ('9002337488')</v>
      </c>
      <c r="F135" t="s">
        <v>94</v>
      </c>
      <c r="G135" t="s">
        <v>95</v>
      </c>
      <c r="H135" t="s">
        <v>95</v>
      </c>
      <c r="I135" t="s">
        <v>96</v>
      </c>
      <c r="J135" t="s">
        <v>18</v>
      </c>
      <c r="K135" t="s">
        <v>19</v>
      </c>
      <c r="L135" t="s">
        <v>20</v>
      </c>
      <c r="M135" t="s">
        <v>21</v>
      </c>
      <c r="N135">
        <v>20251001153423</v>
      </c>
      <c r="O135" t="s">
        <v>592</v>
      </c>
    </row>
    <row r="136" spans="1:15" x14ac:dyDescent="0.3">
      <c r="A136" t="s">
        <v>12</v>
      </c>
      <c r="B136" t="s">
        <v>13</v>
      </c>
      <c r="C136" s="2" t="s">
        <v>486</v>
      </c>
      <c r="D136" s="1" t="str">
        <f t="shared" si="8"/>
        <v>in ('3461004226')</v>
      </c>
      <c r="E136" s="1" t="str">
        <f t="shared" si="9"/>
        <v>not in ('3461004226')</v>
      </c>
      <c r="F136" t="s">
        <v>94</v>
      </c>
      <c r="G136" t="s">
        <v>95</v>
      </c>
      <c r="H136" t="s">
        <v>95</v>
      </c>
      <c r="I136" t="s">
        <v>96</v>
      </c>
      <c r="J136" t="s">
        <v>18</v>
      </c>
      <c r="K136" t="s">
        <v>19</v>
      </c>
      <c r="L136" t="s">
        <v>20</v>
      </c>
      <c r="M136" t="s">
        <v>21</v>
      </c>
      <c r="N136">
        <v>20251001153423</v>
      </c>
      <c r="O136" t="s">
        <v>592</v>
      </c>
    </row>
    <row r="137" spans="1:15" x14ac:dyDescent="0.3">
      <c r="A137" t="s">
        <v>12</v>
      </c>
      <c r="B137" t="s">
        <v>13</v>
      </c>
      <c r="C137" s="2" t="s">
        <v>192</v>
      </c>
      <c r="D137" s="1" t="str">
        <f t="shared" si="8"/>
        <v>in ('3801001696')</v>
      </c>
      <c r="E137" s="1" t="str">
        <f t="shared" si="9"/>
        <v>not in ('3801001696')</v>
      </c>
      <c r="F137" t="s">
        <v>193</v>
      </c>
      <c r="G137" t="s">
        <v>194</v>
      </c>
      <c r="H137" t="s">
        <v>195</v>
      </c>
      <c r="I137" t="s">
        <v>17</v>
      </c>
      <c r="J137" t="s">
        <v>18</v>
      </c>
      <c r="K137" t="s">
        <v>19</v>
      </c>
      <c r="L137" t="s">
        <v>20</v>
      </c>
      <c r="M137" t="s">
        <v>21</v>
      </c>
      <c r="N137">
        <v>20251001153423</v>
      </c>
      <c r="O137" t="s">
        <v>592</v>
      </c>
    </row>
    <row r="138" spans="1:15" x14ac:dyDescent="0.3">
      <c r="A138" t="s">
        <v>12</v>
      </c>
      <c r="B138" t="s">
        <v>13</v>
      </c>
      <c r="C138" s="2" t="s">
        <v>291</v>
      </c>
      <c r="D138" s="1" t="str">
        <f t="shared" si="8"/>
        <v>in ('8046536611')</v>
      </c>
      <c r="E138" s="1" t="str">
        <f t="shared" si="9"/>
        <v>not in ('8046536611')</v>
      </c>
      <c r="F138" t="s">
        <v>193</v>
      </c>
      <c r="G138" t="s">
        <v>194</v>
      </c>
      <c r="H138" t="s">
        <v>195</v>
      </c>
      <c r="I138" t="s">
        <v>17</v>
      </c>
      <c r="J138" t="s">
        <v>18</v>
      </c>
      <c r="K138" t="s">
        <v>19</v>
      </c>
      <c r="L138" t="s">
        <v>20</v>
      </c>
      <c r="M138" t="s">
        <v>21</v>
      </c>
      <c r="N138">
        <v>20251001153423</v>
      </c>
      <c r="O138" t="s">
        <v>592</v>
      </c>
    </row>
    <row r="139" spans="1:15" x14ac:dyDescent="0.3">
      <c r="A139" t="s">
        <v>12</v>
      </c>
      <c r="B139" t="s">
        <v>13</v>
      </c>
      <c r="C139" s="2" t="s">
        <v>329</v>
      </c>
      <c r="D139" s="1" t="str">
        <f t="shared" si="8"/>
        <v>in ('8046260881')</v>
      </c>
      <c r="E139" s="1" t="str">
        <f t="shared" si="9"/>
        <v>not in ('8046260881')</v>
      </c>
      <c r="F139" t="s">
        <v>193</v>
      </c>
      <c r="G139" t="s">
        <v>194</v>
      </c>
      <c r="H139" t="s">
        <v>195</v>
      </c>
      <c r="I139" t="s">
        <v>17</v>
      </c>
      <c r="J139" t="s">
        <v>18</v>
      </c>
      <c r="K139" t="s">
        <v>19</v>
      </c>
      <c r="L139" t="s">
        <v>20</v>
      </c>
      <c r="M139" t="s">
        <v>21</v>
      </c>
      <c r="N139">
        <v>20251001153423</v>
      </c>
      <c r="O139" t="s">
        <v>592</v>
      </c>
    </row>
    <row r="140" spans="1:15" x14ac:dyDescent="0.3">
      <c r="A140" t="s">
        <v>12</v>
      </c>
      <c r="B140" t="s">
        <v>13</v>
      </c>
      <c r="C140" s="2" t="s">
        <v>492</v>
      </c>
      <c r="D140" s="1" t="str">
        <f t="shared" si="8"/>
        <v>in ('3801007386')</v>
      </c>
      <c r="E140" s="1" t="str">
        <f t="shared" si="9"/>
        <v>not in ('3801007386')</v>
      </c>
      <c r="F140" t="s">
        <v>193</v>
      </c>
      <c r="G140" t="s">
        <v>194</v>
      </c>
      <c r="H140" t="s">
        <v>195</v>
      </c>
      <c r="I140" t="s">
        <v>17</v>
      </c>
      <c r="J140" t="s">
        <v>18</v>
      </c>
      <c r="K140" t="s">
        <v>19</v>
      </c>
      <c r="L140" t="s">
        <v>20</v>
      </c>
      <c r="M140" t="s">
        <v>21</v>
      </c>
      <c r="N140">
        <v>20251001153423</v>
      </c>
      <c r="O140" t="s">
        <v>592</v>
      </c>
    </row>
    <row r="141" spans="1:15" x14ac:dyDescent="0.3">
      <c r="A141" t="s">
        <v>12</v>
      </c>
      <c r="B141" t="s">
        <v>13</v>
      </c>
      <c r="C141" s="2" t="s">
        <v>138</v>
      </c>
      <c r="D141" s="1" t="str">
        <f t="shared" si="8"/>
        <v>in ('7400939384')</v>
      </c>
      <c r="E141" s="1" t="str">
        <f t="shared" si="9"/>
        <v>not in ('7400939384')</v>
      </c>
      <c r="F141" t="s">
        <v>139</v>
      </c>
      <c r="G141" t="s">
        <v>140</v>
      </c>
      <c r="H141" t="s">
        <v>141</v>
      </c>
      <c r="I141" t="s">
        <v>84</v>
      </c>
      <c r="J141" t="s">
        <v>18</v>
      </c>
      <c r="K141" t="s">
        <v>142</v>
      </c>
      <c r="L141" t="s">
        <v>20</v>
      </c>
      <c r="M141" t="s">
        <v>21</v>
      </c>
      <c r="N141">
        <v>20251001153423</v>
      </c>
      <c r="O141" t="s">
        <v>592</v>
      </c>
    </row>
    <row r="142" spans="1:15" x14ac:dyDescent="0.3">
      <c r="A142" t="s">
        <v>12</v>
      </c>
      <c r="B142" t="s">
        <v>13</v>
      </c>
      <c r="C142" s="2" t="s">
        <v>440</v>
      </c>
      <c r="D142" s="1" t="str">
        <f t="shared" si="8"/>
        <v>in ('0000054615')</v>
      </c>
      <c r="E142" s="1" t="str">
        <f t="shared" si="9"/>
        <v>not in ('0000054615')</v>
      </c>
      <c r="F142" t="s">
        <v>441</v>
      </c>
      <c r="G142" t="s">
        <v>34</v>
      </c>
      <c r="H142" t="s">
        <v>35</v>
      </c>
      <c r="I142" t="s">
        <v>17</v>
      </c>
      <c r="J142" t="s">
        <v>18</v>
      </c>
      <c r="K142" t="s">
        <v>19</v>
      </c>
      <c r="L142" t="s">
        <v>20</v>
      </c>
      <c r="M142" t="s">
        <v>21</v>
      </c>
      <c r="N142">
        <v>20251001153423</v>
      </c>
      <c r="O142" t="s">
        <v>592</v>
      </c>
    </row>
    <row r="143" spans="1:15" x14ac:dyDescent="0.3">
      <c r="A143" t="s">
        <v>12</v>
      </c>
      <c r="B143" t="s">
        <v>13</v>
      </c>
      <c r="C143" s="2" t="s">
        <v>554</v>
      </c>
      <c r="D143" s="1" t="str">
        <f t="shared" si="8"/>
        <v>in ('7400762179')</v>
      </c>
      <c r="E143" s="1" t="str">
        <f t="shared" si="9"/>
        <v>not in ('7400762179')</v>
      </c>
      <c r="F143" t="s">
        <v>555</v>
      </c>
      <c r="G143" t="s">
        <v>56</v>
      </c>
      <c r="H143" t="s">
        <v>56</v>
      </c>
      <c r="J143" t="s">
        <v>18</v>
      </c>
      <c r="K143" t="s">
        <v>198</v>
      </c>
      <c r="L143" t="s">
        <v>20</v>
      </c>
      <c r="M143" t="s">
        <v>21</v>
      </c>
      <c r="N143">
        <v>20251001153423</v>
      </c>
      <c r="O143" t="s">
        <v>592</v>
      </c>
    </row>
    <row r="144" spans="1:15" x14ac:dyDescent="0.3">
      <c r="A144" t="s">
        <v>12</v>
      </c>
      <c r="B144" t="s">
        <v>13</v>
      </c>
      <c r="C144" s="2" t="s">
        <v>260</v>
      </c>
      <c r="D144" s="1" t="str">
        <f t="shared" si="8"/>
        <v>in ('7400762184')</v>
      </c>
      <c r="E144" s="1" t="str">
        <f t="shared" si="9"/>
        <v>not in ('7400762184')</v>
      </c>
      <c r="F144" t="s">
        <v>261</v>
      </c>
      <c r="G144" t="s">
        <v>56</v>
      </c>
      <c r="H144" t="s">
        <v>56</v>
      </c>
      <c r="J144" t="s">
        <v>18</v>
      </c>
      <c r="K144" t="s">
        <v>198</v>
      </c>
      <c r="L144" t="s">
        <v>20</v>
      </c>
      <c r="M144" t="s">
        <v>21</v>
      </c>
      <c r="N144">
        <v>20251001153423</v>
      </c>
      <c r="O144" t="s">
        <v>592</v>
      </c>
    </row>
    <row r="145" spans="1:15" x14ac:dyDescent="0.3">
      <c r="A145" t="s">
        <v>12</v>
      </c>
      <c r="B145" t="s">
        <v>13</v>
      </c>
      <c r="C145" s="2" t="s">
        <v>232</v>
      </c>
      <c r="D145" s="1" t="str">
        <f t="shared" si="8"/>
        <v>in ('7400013485')</v>
      </c>
      <c r="E145" s="1" t="str">
        <f t="shared" si="9"/>
        <v>not in ('7400013485')</v>
      </c>
      <c r="F145" t="s">
        <v>233</v>
      </c>
      <c r="G145" t="s">
        <v>56</v>
      </c>
      <c r="H145" t="s">
        <v>56</v>
      </c>
      <c r="I145" t="s">
        <v>96</v>
      </c>
      <c r="J145" t="s">
        <v>18</v>
      </c>
      <c r="K145" t="s">
        <v>231</v>
      </c>
      <c r="L145" t="s">
        <v>20</v>
      </c>
      <c r="M145" t="s">
        <v>21</v>
      </c>
      <c r="N145">
        <v>20251001153423</v>
      </c>
      <c r="O145" t="s">
        <v>592</v>
      </c>
    </row>
    <row r="146" spans="1:15" x14ac:dyDescent="0.3">
      <c r="A146" t="s">
        <v>12</v>
      </c>
      <c r="B146" t="s">
        <v>13</v>
      </c>
      <c r="C146" s="2" t="s">
        <v>205</v>
      </c>
      <c r="D146" s="1" t="str">
        <f t="shared" si="8"/>
        <v>in ('9001910086')</v>
      </c>
      <c r="E146" s="1" t="str">
        <f t="shared" si="9"/>
        <v>not in ('9001910086')</v>
      </c>
      <c r="F146" t="s">
        <v>206</v>
      </c>
      <c r="G146" t="s">
        <v>95</v>
      </c>
      <c r="H146" t="s">
        <v>95</v>
      </c>
      <c r="I146" t="s">
        <v>96</v>
      </c>
      <c r="J146" t="s">
        <v>18</v>
      </c>
      <c r="K146" t="s">
        <v>207</v>
      </c>
      <c r="L146" t="s">
        <v>20</v>
      </c>
      <c r="M146" t="s">
        <v>21</v>
      </c>
      <c r="N146">
        <v>20251001153423</v>
      </c>
      <c r="O146" t="s">
        <v>592</v>
      </c>
    </row>
    <row r="147" spans="1:15" x14ac:dyDescent="0.3">
      <c r="A147" t="s">
        <v>12</v>
      </c>
      <c r="B147" t="s">
        <v>13</v>
      </c>
      <c r="C147" s="2" t="s">
        <v>352</v>
      </c>
      <c r="D147" s="1" t="str">
        <f t="shared" si="8"/>
        <v>in ('8040315059')</v>
      </c>
      <c r="E147" s="1" t="str">
        <f t="shared" si="9"/>
        <v>not in ('8040315059')</v>
      </c>
      <c r="F147" t="s">
        <v>206</v>
      </c>
      <c r="G147" t="s">
        <v>95</v>
      </c>
      <c r="H147" t="s">
        <v>95</v>
      </c>
      <c r="I147" t="s">
        <v>96</v>
      </c>
      <c r="J147" t="s">
        <v>18</v>
      </c>
      <c r="K147" t="s">
        <v>207</v>
      </c>
      <c r="L147" t="s">
        <v>20</v>
      </c>
      <c r="M147" t="s">
        <v>21</v>
      </c>
      <c r="N147">
        <v>20251001153423</v>
      </c>
      <c r="O147" t="s">
        <v>592</v>
      </c>
    </row>
    <row r="148" spans="1:15" x14ac:dyDescent="0.3">
      <c r="A148" t="s">
        <v>12</v>
      </c>
      <c r="B148" t="s">
        <v>13</v>
      </c>
      <c r="C148" s="2" t="s">
        <v>485</v>
      </c>
      <c r="D148" s="1" t="str">
        <f t="shared" si="8"/>
        <v>in ('9002544629')</v>
      </c>
      <c r="E148" s="1" t="str">
        <f t="shared" si="9"/>
        <v>not in ('9002544629')</v>
      </c>
      <c r="F148" t="s">
        <v>206</v>
      </c>
      <c r="G148" t="s">
        <v>95</v>
      </c>
      <c r="H148" t="s">
        <v>95</v>
      </c>
      <c r="I148" t="s">
        <v>96</v>
      </c>
      <c r="J148" t="s">
        <v>18</v>
      </c>
      <c r="K148" t="s">
        <v>207</v>
      </c>
      <c r="L148" t="s">
        <v>20</v>
      </c>
      <c r="M148" t="s">
        <v>21</v>
      </c>
      <c r="N148">
        <v>20251001153423</v>
      </c>
      <c r="O148" t="s">
        <v>592</v>
      </c>
    </row>
    <row r="149" spans="1:15" x14ac:dyDescent="0.3">
      <c r="A149" t="s">
        <v>12</v>
      </c>
      <c r="B149" t="s">
        <v>13</v>
      </c>
      <c r="C149" s="2" t="s">
        <v>567</v>
      </c>
      <c r="D149" s="1" t="str">
        <f t="shared" si="8"/>
        <v>in ('7400456469')</v>
      </c>
      <c r="E149" s="1" t="str">
        <f t="shared" si="9"/>
        <v>not in ('7400456469')</v>
      </c>
      <c r="F149" t="s">
        <v>568</v>
      </c>
      <c r="G149" t="s">
        <v>56</v>
      </c>
      <c r="H149" t="s">
        <v>56</v>
      </c>
      <c r="J149" t="s">
        <v>18</v>
      </c>
      <c r="K149" t="s">
        <v>348</v>
      </c>
      <c r="L149" t="s">
        <v>20</v>
      </c>
      <c r="M149" t="s">
        <v>21</v>
      </c>
      <c r="N149">
        <v>20251001153423</v>
      </c>
      <c r="O149" t="s">
        <v>592</v>
      </c>
    </row>
    <row r="150" spans="1:15" x14ac:dyDescent="0.3">
      <c r="A150" t="s">
        <v>12</v>
      </c>
      <c r="B150" t="s">
        <v>13</v>
      </c>
      <c r="C150" s="2" t="s">
        <v>237</v>
      </c>
      <c r="D150" s="1" t="str">
        <f t="shared" si="8"/>
        <v>in ('1700212510')</v>
      </c>
      <c r="E150" s="1" t="str">
        <f t="shared" si="9"/>
        <v>not in ('1700212510')</v>
      </c>
      <c r="F150" t="s">
        <v>238</v>
      </c>
      <c r="G150" t="s">
        <v>56</v>
      </c>
      <c r="H150" t="s">
        <v>56</v>
      </c>
      <c r="I150" t="s">
        <v>17</v>
      </c>
      <c r="J150" t="s">
        <v>18</v>
      </c>
      <c r="K150" t="s">
        <v>19</v>
      </c>
      <c r="L150" t="s">
        <v>20</v>
      </c>
      <c r="M150" t="s">
        <v>21</v>
      </c>
      <c r="N150">
        <v>20251001153423</v>
      </c>
      <c r="O150" t="s">
        <v>592</v>
      </c>
    </row>
    <row r="151" spans="1:15" x14ac:dyDescent="0.3">
      <c r="A151" t="s">
        <v>12</v>
      </c>
      <c r="B151" t="s">
        <v>13</v>
      </c>
      <c r="C151" s="2" t="s">
        <v>267</v>
      </c>
      <c r="D151" s="1" t="str">
        <f t="shared" si="8"/>
        <v>in ('8046593067')</v>
      </c>
      <c r="E151" s="1" t="str">
        <f t="shared" si="9"/>
        <v>not in ('8046593067')</v>
      </c>
      <c r="F151" t="s">
        <v>238</v>
      </c>
      <c r="G151" t="s">
        <v>56</v>
      </c>
      <c r="H151" t="s">
        <v>56</v>
      </c>
      <c r="I151" t="s">
        <v>17</v>
      </c>
      <c r="J151" t="s">
        <v>18</v>
      </c>
      <c r="K151" t="s">
        <v>19</v>
      </c>
      <c r="L151" t="s">
        <v>20</v>
      </c>
      <c r="M151" t="s">
        <v>21</v>
      </c>
      <c r="N151">
        <v>20251001153423</v>
      </c>
      <c r="O151" t="s">
        <v>592</v>
      </c>
    </row>
    <row r="152" spans="1:15" x14ac:dyDescent="0.3">
      <c r="A152" t="s">
        <v>12</v>
      </c>
      <c r="B152" t="s">
        <v>13</v>
      </c>
      <c r="C152" s="2" t="s">
        <v>426</v>
      </c>
      <c r="D152" s="1" t="str">
        <f t="shared" si="8"/>
        <v>in ('5100016269')</v>
      </c>
      <c r="E152" s="1" t="str">
        <f t="shared" si="9"/>
        <v>not in ('5100016269')</v>
      </c>
      <c r="F152" t="s">
        <v>427</v>
      </c>
      <c r="G152" t="s">
        <v>428</v>
      </c>
      <c r="H152" t="s">
        <v>428</v>
      </c>
      <c r="J152" t="s">
        <v>18</v>
      </c>
      <c r="K152" t="s">
        <v>39</v>
      </c>
      <c r="L152" t="s">
        <v>20</v>
      </c>
      <c r="M152" t="s">
        <v>21</v>
      </c>
      <c r="N152">
        <v>20251001153423</v>
      </c>
      <c r="O152" t="s">
        <v>592</v>
      </c>
    </row>
    <row r="153" spans="1:15" x14ac:dyDescent="0.3">
      <c r="A153" t="s">
        <v>12</v>
      </c>
      <c r="B153" t="s">
        <v>13</v>
      </c>
      <c r="C153" s="2" t="s">
        <v>129</v>
      </c>
      <c r="D153" s="1" t="str">
        <f t="shared" si="8"/>
        <v>in ('5100302047')</v>
      </c>
      <c r="E153" s="1" t="str">
        <f t="shared" si="9"/>
        <v>not in ('5100302047')</v>
      </c>
      <c r="F153" t="s">
        <v>130</v>
      </c>
      <c r="G153" t="s">
        <v>131</v>
      </c>
      <c r="H153" t="s">
        <v>131</v>
      </c>
      <c r="J153" t="s">
        <v>18</v>
      </c>
      <c r="K153" t="s">
        <v>132</v>
      </c>
      <c r="L153" t="s">
        <v>20</v>
      </c>
      <c r="M153" t="s">
        <v>21</v>
      </c>
      <c r="N153">
        <v>20251001153423</v>
      </c>
      <c r="O153" t="s">
        <v>592</v>
      </c>
    </row>
    <row r="154" spans="1:15" x14ac:dyDescent="0.3">
      <c r="A154" t="s">
        <v>12</v>
      </c>
      <c r="B154" t="s">
        <v>13</v>
      </c>
      <c r="C154" s="2" t="s">
        <v>457</v>
      </c>
      <c r="D154" s="1" t="str">
        <f t="shared" si="8"/>
        <v>in ('7401175518')</v>
      </c>
      <c r="E154" s="1" t="str">
        <f t="shared" si="9"/>
        <v>not in ('7401175518')</v>
      </c>
      <c r="F154" t="s">
        <v>458</v>
      </c>
      <c r="G154" t="s">
        <v>131</v>
      </c>
      <c r="H154" t="s">
        <v>131</v>
      </c>
      <c r="I154" t="s">
        <v>84</v>
      </c>
      <c r="J154" t="s">
        <v>18</v>
      </c>
      <c r="K154" t="s">
        <v>99</v>
      </c>
      <c r="L154" t="s">
        <v>20</v>
      </c>
      <c r="M154" t="s">
        <v>21</v>
      </c>
      <c r="N154">
        <v>20251001153423</v>
      </c>
      <c r="O154" t="s">
        <v>592</v>
      </c>
    </row>
    <row r="155" spans="1:15" x14ac:dyDescent="0.3">
      <c r="A155" t="s">
        <v>12</v>
      </c>
      <c r="B155" t="s">
        <v>13</v>
      </c>
      <c r="C155" s="2" t="s">
        <v>36</v>
      </c>
      <c r="D155" s="1" t="str">
        <f t="shared" si="8"/>
        <v>in ('5100619128')</v>
      </c>
      <c r="E155" s="1" t="str">
        <f t="shared" si="9"/>
        <v>not in ('5100619128')</v>
      </c>
      <c r="F155" t="s">
        <v>37</v>
      </c>
      <c r="G155" t="s">
        <v>38</v>
      </c>
      <c r="H155" t="s">
        <v>38</v>
      </c>
      <c r="J155" t="s">
        <v>18</v>
      </c>
      <c r="K155" t="s">
        <v>39</v>
      </c>
      <c r="L155" t="s">
        <v>20</v>
      </c>
      <c r="M155" t="s">
        <v>21</v>
      </c>
      <c r="N155">
        <v>20251001153423</v>
      </c>
      <c r="O155" t="s">
        <v>592</v>
      </c>
    </row>
    <row r="156" spans="1:15" x14ac:dyDescent="0.3">
      <c r="A156" t="s">
        <v>12</v>
      </c>
      <c r="B156" t="s">
        <v>13</v>
      </c>
      <c r="C156" s="2" t="s">
        <v>580</v>
      </c>
      <c r="D156" s="1" t="str">
        <f t="shared" si="8"/>
        <v>in ('2100609921')</v>
      </c>
      <c r="E156" s="1" t="str">
        <f t="shared" si="9"/>
        <v>not in ('2100609921')</v>
      </c>
      <c r="F156" t="s">
        <v>581</v>
      </c>
      <c r="G156" t="s">
        <v>42</v>
      </c>
      <c r="H156" t="s">
        <v>43</v>
      </c>
      <c r="J156" t="s">
        <v>18</v>
      </c>
      <c r="K156" t="s">
        <v>51</v>
      </c>
      <c r="L156" t="s">
        <v>20</v>
      </c>
      <c r="M156" t="s">
        <v>21</v>
      </c>
      <c r="N156">
        <v>20251001153423</v>
      </c>
      <c r="O156" t="s">
        <v>592</v>
      </c>
    </row>
    <row r="157" spans="1:15" x14ac:dyDescent="0.3">
      <c r="A157" t="s">
        <v>12</v>
      </c>
      <c r="B157" t="s">
        <v>13</v>
      </c>
      <c r="C157" s="2" t="s">
        <v>147</v>
      </c>
      <c r="D157" s="1" t="str">
        <f t="shared" si="8"/>
        <v>in ('5100008388')</v>
      </c>
      <c r="E157" s="1" t="str">
        <f t="shared" si="9"/>
        <v>not in ('5100008388')</v>
      </c>
      <c r="F157" t="s">
        <v>148</v>
      </c>
      <c r="G157" t="s">
        <v>149</v>
      </c>
      <c r="H157" t="s">
        <v>149</v>
      </c>
      <c r="J157" t="s">
        <v>18</v>
      </c>
      <c r="K157" t="s">
        <v>39</v>
      </c>
      <c r="L157" t="s">
        <v>20</v>
      </c>
      <c r="M157" t="s">
        <v>21</v>
      </c>
      <c r="N157">
        <v>20251001153423</v>
      </c>
      <c r="O157" t="s">
        <v>592</v>
      </c>
    </row>
    <row r="158" spans="1:15" x14ac:dyDescent="0.3">
      <c r="A158" t="s">
        <v>12</v>
      </c>
      <c r="B158" t="s">
        <v>13</v>
      </c>
      <c r="C158" s="2" t="s">
        <v>297</v>
      </c>
      <c r="D158" s="1" t="str">
        <f t="shared" si="8"/>
        <v>in ('9000591057')</v>
      </c>
      <c r="E158" s="1" t="str">
        <f t="shared" si="9"/>
        <v>not in ('9000591057')</v>
      </c>
      <c r="F158" t="s">
        <v>298</v>
      </c>
      <c r="G158" t="s">
        <v>34</v>
      </c>
      <c r="H158" t="s">
        <v>35</v>
      </c>
      <c r="I158" t="s">
        <v>113</v>
      </c>
      <c r="J158" t="s">
        <v>18</v>
      </c>
      <c r="K158" t="s">
        <v>19</v>
      </c>
      <c r="L158" t="s">
        <v>20</v>
      </c>
      <c r="M158" t="s">
        <v>21</v>
      </c>
      <c r="N158">
        <v>20251001153423</v>
      </c>
      <c r="O158" t="s">
        <v>592</v>
      </c>
    </row>
    <row r="159" spans="1:15" x14ac:dyDescent="0.3">
      <c r="A159" t="s">
        <v>12</v>
      </c>
      <c r="B159" t="s">
        <v>13</v>
      </c>
      <c r="C159" s="2" t="s">
        <v>547</v>
      </c>
      <c r="D159" s="1" t="str">
        <f t="shared" si="8"/>
        <v>in ('5100688151')</v>
      </c>
      <c r="E159" s="1" t="str">
        <f t="shared" si="9"/>
        <v>not in ('5100688151')</v>
      </c>
      <c r="F159" t="s">
        <v>548</v>
      </c>
      <c r="G159" t="s">
        <v>549</v>
      </c>
      <c r="H159" t="s">
        <v>549</v>
      </c>
      <c r="J159" t="s">
        <v>18</v>
      </c>
      <c r="K159" t="s">
        <v>39</v>
      </c>
      <c r="L159" t="s">
        <v>20</v>
      </c>
      <c r="M159" t="s">
        <v>21</v>
      </c>
      <c r="N159">
        <v>20251001153423</v>
      </c>
      <c r="O159" t="s">
        <v>592</v>
      </c>
    </row>
    <row r="160" spans="1:15" x14ac:dyDescent="0.3">
      <c r="A160" t="s">
        <v>12</v>
      </c>
      <c r="B160" t="s">
        <v>13</v>
      </c>
      <c r="C160" s="2" t="s">
        <v>551</v>
      </c>
      <c r="D160" s="1" t="str">
        <f t="shared" si="8"/>
        <v>in ('5100669816')</v>
      </c>
      <c r="E160" s="1" t="str">
        <f t="shared" si="9"/>
        <v>not in ('5100669816')</v>
      </c>
      <c r="F160" t="s">
        <v>552</v>
      </c>
      <c r="G160" t="s">
        <v>553</v>
      </c>
      <c r="H160" t="s">
        <v>553</v>
      </c>
      <c r="J160" t="s">
        <v>18</v>
      </c>
      <c r="K160" t="s">
        <v>39</v>
      </c>
      <c r="L160" t="s">
        <v>20</v>
      </c>
      <c r="M160" t="s">
        <v>21</v>
      </c>
      <c r="N160">
        <v>20251001153423</v>
      </c>
      <c r="O160" t="s">
        <v>592</v>
      </c>
    </row>
    <row r="161" spans="1:15" x14ac:dyDescent="0.3">
      <c r="A161" t="s">
        <v>12</v>
      </c>
      <c r="B161" t="s">
        <v>13</v>
      </c>
      <c r="C161" s="2" t="s">
        <v>124</v>
      </c>
      <c r="D161" s="1" t="str">
        <f t="shared" si="8"/>
        <v>in ('7400685089')</v>
      </c>
      <c r="E161" s="1" t="str">
        <f t="shared" si="9"/>
        <v>not in ('7400685089')</v>
      </c>
      <c r="F161" t="s">
        <v>125</v>
      </c>
      <c r="G161" t="s">
        <v>126</v>
      </c>
      <c r="H161" t="s">
        <v>127</v>
      </c>
      <c r="I161" t="s">
        <v>84</v>
      </c>
      <c r="J161" t="s">
        <v>18</v>
      </c>
      <c r="K161" t="s">
        <v>128</v>
      </c>
      <c r="L161" t="s">
        <v>20</v>
      </c>
      <c r="M161" t="s">
        <v>21</v>
      </c>
      <c r="N161">
        <v>20251001153423</v>
      </c>
      <c r="O161" t="s">
        <v>592</v>
      </c>
    </row>
    <row r="162" spans="1:15" x14ac:dyDescent="0.3">
      <c r="A162" t="s">
        <v>12</v>
      </c>
      <c r="B162" t="s">
        <v>13</v>
      </c>
      <c r="C162" s="2" t="s">
        <v>257</v>
      </c>
      <c r="D162" s="1" t="str">
        <f t="shared" si="8"/>
        <v>in ('8046268247')</v>
      </c>
      <c r="E162" s="1" t="str">
        <f t="shared" si="9"/>
        <v>not in ('8046268247')</v>
      </c>
      <c r="F162" t="s">
        <v>258</v>
      </c>
      <c r="G162" t="s">
        <v>259</v>
      </c>
      <c r="H162" t="s">
        <v>259</v>
      </c>
      <c r="I162" t="s">
        <v>17</v>
      </c>
      <c r="J162" t="s">
        <v>18</v>
      </c>
      <c r="K162" t="s">
        <v>19</v>
      </c>
      <c r="L162" t="s">
        <v>20</v>
      </c>
      <c r="M162" t="s">
        <v>21</v>
      </c>
      <c r="N162">
        <v>20251001153423</v>
      </c>
      <c r="O162" t="s">
        <v>592</v>
      </c>
    </row>
    <row r="163" spans="1:15" x14ac:dyDescent="0.3">
      <c r="A163" t="s">
        <v>12</v>
      </c>
      <c r="B163" t="s">
        <v>13</v>
      </c>
      <c r="C163" s="2" t="s">
        <v>389</v>
      </c>
      <c r="D163" s="1" t="str">
        <f t="shared" si="8"/>
        <v>in ('6511000031')</v>
      </c>
      <c r="E163" s="1" t="str">
        <f t="shared" si="9"/>
        <v>not in ('6511000031')</v>
      </c>
      <c r="F163" t="s">
        <v>258</v>
      </c>
      <c r="G163" t="s">
        <v>259</v>
      </c>
      <c r="H163" t="s">
        <v>259</v>
      </c>
      <c r="I163" t="s">
        <v>17</v>
      </c>
      <c r="J163" t="s">
        <v>18</v>
      </c>
      <c r="K163" t="s">
        <v>19</v>
      </c>
      <c r="L163" t="s">
        <v>20</v>
      </c>
      <c r="M163" t="s">
        <v>21</v>
      </c>
      <c r="N163">
        <v>20251001153423</v>
      </c>
      <c r="O163" t="s">
        <v>592</v>
      </c>
    </row>
    <row r="164" spans="1:15" x14ac:dyDescent="0.3">
      <c r="A164" t="s">
        <v>12</v>
      </c>
      <c r="B164" t="s">
        <v>13</v>
      </c>
      <c r="C164" s="2" t="s">
        <v>507</v>
      </c>
      <c r="D164" s="1" t="str">
        <f t="shared" si="8"/>
        <v>in ('7402467009')</v>
      </c>
      <c r="E164" s="1" t="str">
        <f t="shared" si="9"/>
        <v>not in ('7402467009')</v>
      </c>
      <c r="F164" t="s">
        <v>508</v>
      </c>
      <c r="G164" t="s">
        <v>509</v>
      </c>
      <c r="H164" t="s">
        <v>509</v>
      </c>
      <c r="I164" t="s">
        <v>96</v>
      </c>
      <c r="J164" t="s">
        <v>18</v>
      </c>
      <c r="K164" t="s">
        <v>510</v>
      </c>
      <c r="L164" t="s">
        <v>20</v>
      </c>
      <c r="M164" t="s">
        <v>21</v>
      </c>
      <c r="N164">
        <v>20251001153423</v>
      </c>
      <c r="O164" t="s">
        <v>592</v>
      </c>
    </row>
    <row r="165" spans="1:15" x14ac:dyDescent="0.3">
      <c r="A165" t="s">
        <v>12</v>
      </c>
      <c r="B165" t="s">
        <v>13</v>
      </c>
      <c r="C165" s="2" t="s">
        <v>562</v>
      </c>
      <c r="D165" s="1" t="str">
        <f t="shared" si="8"/>
        <v>in ('7402283234')</v>
      </c>
      <c r="E165" s="1" t="str">
        <f t="shared" si="9"/>
        <v>not in ('7402283234')</v>
      </c>
      <c r="F165" t="s">
        <v>508</v>
      </c>
      <c r="G165" t="s">
        <v>509</v>
      </c>
      <c r="H165" t="s">
        <v>509</v>
      </c>
      <c r="J165" t="s">
        <v>18</v>
      </c>
      <c r="K165" t="s">
        <v>563</v>
      </c>
      <c r="L165" t="s">
        <v>20</v>
      </c>
      <c r="M165" t="s">
        <v>21</v>
      </c>
      <c r="N165">
        <v>20251001153423</v>
      </c>
      <c r="O165" t="s">
        <v>592</v>
      </c>
    </row>
    <row r="166" spans="1:15" x14ac:dyDescent="0.3">
      <c r="A166" t="s">
        <v>12</v>
      </c>
      <c r="B166" t="s">
        <v>13</v>
      </c>
      <c r="C166" s="2" t="s">
        <v>416</v>
      </c>
      <c r="D166" s="1" t="str">
        <f t="shared" si="8"/>
        <v>in ('7401192097')</v>
      </c>
      <c r="E166" s="1" t="str">
        <f t="shared" si="9"/>
        <v>not in ('7401192097')</v>
      </c>
      <c r="F166" t="s">
        <v>417</v>
      </c>
      <c r="G166" t="s">
        <v>418</v>
      </c>
      <c r="H166" t="s">
        <v>418</v>
      </c>
      <c r="I166" t="s">
        <v>84</v>
      </c>
      <c r="J166" t="s">
        <v>18</v>
      </c>
      <c r="K166" t="s">
        <v>266</v>
      </c>
      <c r="L166" t="s">
        <v>20</v>
      </c>
      <c r="M166" t="s">
        <v>21</v>
      </c>
      <c r="N166">
        <v>20251001153423</v>
      </c>
      <c r="O166" t="s">
        <v>592</v>
      </c>
    </row>
    <row r="167" spans="1:15" x14ac:dyDescent="0.3">
      <c r="A167" t="s">
        <v>12</v>
      </c>
      <c r="B167" t="s">
        <v>13</v>
      </c>
      <c r="C167" s="2" t="s">
        <v>161</v>
      </c>
      <c r="D167" s="1" t="str">
        <f t="shared" si="8"/>
        <v>in ('8040594155')</v>
      </c>
      <c r="E167" s="1" t="str">
        <f t="shared" si="9"/>
        <v>not in ('8040594155')</v>
      </c>
      <c r="F167" t="s">
        <v>162</v>
      </c>
      <c r="G167" t="s">
        <v>34</v>
      </c>
      <c r="H167" t="s">
        <v>35</v>
      </c>
      <c r="I167" t="s">
        <v>17</v>
      </c>
      <c r="J167" t="s">
        <v>18</v>
      </c>
      <c r="K167" t="s">
        <v>19</v>
      </c>
      <c r="L167" t="s">
        <v>20</v>
      </c>
      <c r="M167" t="s">
        <v>21</v>
      </c>
      <c r="N167">
        <v>20251001153423</v>
      </c>
      <c r="O167" t="s">
        <v>592</v>
      </c>
    </row>
    <row r="168" spans="1:15" x14ac:dyDescent="0.3">
      <c r="A168" t="s">
        <v>12</v>
      </c>
      <c r="B168" t="s">
        <v>13</v>
      </c>
      <c r="C168" s="2" t="s">
        <v>319</v>
      </c>
      <c r="D168" s="1" t="str">
        <f t="shared" si="8"/>
        <v>in ('9002520878')</v>
      </c>
      <c r="E168" s="1" t="str">
        <f t="shared" si="9"/>
        <v>not in ('9002520878')</v>
      </c>
      <c r="F168" t="s">
        <v>162</v>
      </c>
      <c r="G168" t="s">
        <v>34</v>
      </c>
      <c r="H168" t="s">
        <v>35</v>
      </c>
      <c r="I168" t="s">
        <v>17</v>
      </c>
      <c r="J168" t="s">
        <v>18</v>
      </c>
      <c r="K168" t="s">
        <v>19</v>
      </c>
      <c r="L168" t="s">
        <v>20</v>
      </c>
      <c r="M168" t="s">
        <v>21</v>
      </c>
      <c r="N168">
        <v>20251001153423</v>
      </c>
      <c r="O168" t="s">
        <v>592</v>
      </c>
    </row>
    <row r="169" spans="1:15" x14ac:dyDescent="0.3">
      <c r="A169" t="s">
        <v>12</v>
      </c>
      <c r="B169" t="s">
        <v>13</v>
      </c>
      <c r="C169" s="2" t="s">
        <v>550</v>
      </c>
      <c r="D169" s="1" t="str">
        <f t="shared" si="8"/>
        <v>in ('0000215806')</v>
      </c>
      <c r="E169" s="1" t="str">
        <f t="shared" si="9"/>
        <v>not in ('0000215806')</v>
      </c>
      <c r="F169" t="s">
        <v>162</v>
      </c>
      <c r="G169" t="s">
        <v>34</v>
      </c>
      <c r="H169" t="s">
        <v>35</v>
      </c>
      <c r="I169" t="s">
        <v>17</v>
      </c>
      <c r="J169" t="s">
        <v>18</v>
      </c>
      <c r="K169" t="s">
        <v>19</v>
      </c>
      <c r="L169" t="s">
        <v>20</v>
      </c>
      <c r="M169" t="s">
        <v>21</v>
      </c>
      <c r="N169">
        <v>20251001153423</v>
      </c>
      <c r="O169" t="s">
        <v>592</v>
      </c>
    </row>
    <row r="170" spans="1:15" x14ac:dyDescent="0.3">
      <c r="A170" t="s">
        <v>12</v>
      </c>
      <c r="B170" t="s">
        <v>13</v>
      </c>
      <c r="C170" s="2" t="s">
        <v>190</v>
      </c>
      <c r="D170" s="1" t="str">
        <f t="shared" si="8"/>
        <v>in ('5100269822')</v>
      </c>
      <c r="E170" s="1" t="str">
        <f t="shared" si="9"/>
        <v>not in ('5100269822')</v>
      </c>
      <c r="F170" t="s">
        <v>191</v>
      </c>
      <c r="G170" t="s">
        <v>79</v>
      </c>
      <c r="H170" t="s">
        <v>80</v>
      </c>
      <c r="J170" t="s">
        <v>18</v>
      </c>
      <c r="K170" t="s">
        <v>132</v>
      </c>
      <c r="L170" t="s">
        <v>20</v>
      </c>
      <c r="M170" t="s">
        <v>21</v>
      </c>
      <c r="N170">
        <v>20251001153423</v>
      </c>
      <c r="O170" t="s">
        <v>592</v>
      </c>
    </row>
    <row r="171" spans="1:15" x14ac:dyDescent="0.3">
      <c r="A171" t="s">
        <v>12</v>
      </c>
      <c r="B171" t="s">
        <v>13</v>
      </c>
      <c r="C171" s="2" t="s">
        <v>420</v>
      </c>
      <c r="D171" s="1" t="str">
        <f t="shared" ref="D171:D189" si="10">_xlfn.CONCAT("in ", "('",C171,"')")</f>
        <v>in ('7400420263')</v>
      </c>
      <c r="E171" s="1" t="str">
        <f t="shared" ref="E171:E189" si="11">_xlfn.CONCAT("not in ", "('",C171,"')")</f>
        <v>not in ('7400420263')</v>
      </c>
      <c r="F171" t="s">
        <v>191</v>
      </c>
      <c r="G171" t="s">
        <v>79</v>
      </c>
      <c r="H171" t="s">
        <v>80</v>
      </c>
      <c r="I171" t="s">
        <v>84</v>
      </c>
      <c r="J171" t="s">
        <v>18</v>
      </c>
      <c r="K171" t="s">
        <v>421</v>
      </c>
      <c r="L171" t="s">
        <v>20</v>
      </c>
      <c r="M171" t="s">
        <v>21</v>
      </c>
      <c r="N171">
        <v>20251001153423</v>
      </c>
      <c r="O171" t="s">
        <v>592</v>
      </c>
    </row>
    <row r="172" spans="1:15" x14ac:dyDescent="0.3">
      <c r="A172" t="s">
        <v>12</v>
      </c>
      <c r="B172" t="s">
        <v>13</v>
      </c>
      <c r="C172" s="2" t="s">
        <v>459</v>
      </c>
      <c r="D172" s="1" t="str">
        <f t="shared" si="10"/>
        <v>in ('5100000263')</v>
      </c>
      <c r="E172" s="1" t="str">
        <f t="shared" si="11"/>
        <v>not in ('5100000263')</v>
      </c>
      <c r="F172" t="s">
        <v>460</v>
      </c>
      <c r="G172" t="s">
        <v>461</v>
      </c>
      <c r="H172" t="s">
        <v>461</v>
      </c>
      <c r="J172" t="s">
        <v>18</v>
      </c>
      <c r="K172" t="s">
        <v>39</v>
      </c>
      <c r="L172" t="s">
        <v>20</v>
      </c>
      <c r="M172" t="s">
        <v>21</v>
      </c>
      <c r="N172">
        <v>20251001153423</v>
      </c>
      <c r="O172" t="s">
        <v>592</v>
      </c>
    </row>
    <row r="173" spans="1:15" x14ac:dyDescent="0.3">
      <c r="A173" t="s">
        <v>12</v>
      </c>
      <c r="B173" t="s">
        <v>13</v>
      </c>
      <c r="C173" s="2" t="s">
        <v>488</v>
      </c>
      <c r="D173" s="1" t="str">
        <f t="shared" si="10"/>
        <v>in ('8046273535')</v>
      </c>
      <c r="E173" s="1" t="str">
        <f t="shared" si="11"/>
        <v>not in ('8046273535')</v>
      </c>
      <c r="F173" t="s">
        <v>489</v>
      </c>
      <c r="G173" t="s">
        <v>490</v>
      </c>
      <c r="H173" t="s">
        <v>491</v>
      </c>
      <c r="I173" t="s">
        <v>17</v>
      </c>
      <c r="J173" t="s">
        <v>18</v>
      </c>
      <c r="K173" t="s">
        <v>19</v>
      </c>
      <c r="L173" t="s">
        <v>20</v>
      </c>
      <c r="M173" t="s">
        <v>21</v>
      </c>
      <c r="N173">
        <v>20251001153423</v>
      </c>
      <c r="O173" t="s">
        <v>592</v>
      </c>
    </row>
    <row r="174" spans="1:15" x14ac:dyDescent="0.3">
      <c r="A174" t="s">
        <v>12</v>
      </c>
      <c r="B174" t="s">
        <v>13</v>
      </c>
      <c r="C174" s="2" t="s">
        <v>299</v>
      </c>
      <c r="D174" s="1" t="str">
        <f t="shared" si="10"/>
        <v>in ('5100654045')</v>
      </c>
      <c r="E174" s="1" t="str">
        <f t="shared" si="11"/>
        <v>not in ('5100654045')</v>
      </c>
      <c r="F174" t="s">
        <v>300</v>
      </c>
      <c r="G174" t="s">
        <v>301</v>
      </c>
      <c r="H174" t="s">
        <v>301</v>
      </c>
      <c r="J174" t="s">
        <v>18</v>
      </c>
      <c r="K174" t="s">
        <v>132</v>
      </c>
      <c r="L174" t="s">
        <v>20</v>
      </c>
      <c r="M174" t="s">
        <v>21</v>
      </c>
      <c r="N174">
        <v>20251001153423</v>
      </c>
      <c r="O174" t="s">
        <v>592</v>
      </c>
    </row>
    <row r="175" spans="1:15" x14ac:dyDescent="0.3">
      <c r="A175" t="s">
        <v>12</v>
      </c>
      <c r="B175" t="s">
        <v>13</v>
      </c>
      <c r="C175" s="2" t="s">
        <v>263</v>
      </c>
      <c r="D175" s="1" t="str">
        <f t="shared" si="10"/>
        <v>in ('7402148282')</v>
      </c>
      <c r="E175" s="1" t="str">
        <f t="shared" si="11"/>
        <v>not in ('7402148282')</v>
      </c>
      <c r="F175" t="s">
        <v>264</v>
      </c>
      <c r="G175" t="s">
        <v>265</v>
      </c>
      <c r="H175" t="s">
        <v>265</v>
      </c>
      <c r="I175" t="s">
        <v>84</v>
      </c>
      <c r="J175" t="s">
        <v>18</v>
      </c>
      <c r="K175" t="s">
        <v>266</v>
      </c>
      <c r="L175" t="s">
        <v>20</v>
      </c>
      <c r="M175" t="s">
        <v>21</v>
      </c>
      <c r="N175">
        <v>20251001153423</v>
      </c>
      <c r="O175" t="s">
        <v>592</v>
      </c>
    </row>
    <row r="176" spans="1:15" x14ac:dyDescent="0.3">
      <c r="A176" t="s">
        <v>12</v>
      </c>
      <c r="B176" t="s">
        <v>13</v>
      </c>
      <c r="C176" s="2" t="s">
        <v>333</v>
      </c>
      <c r="D176" s="1" t="str">
        <f t="shared" si="10"/>
        <v>in ('7400886823')</v>
      </c>
      <c r="E176" s="1" t="str">
        <f t="shared" si="11"/>
        <v>not in ('7400886823')</v>
      </c>
      <c r="F176" t="s">
        <v>334</v>
      </c>
      <c r="G176" t="s">
        <v>335</v>
      </c>
      <c r="H176" t="s">
        <v>335</v>
      </c>
      <c r="J176" t="s">
        <v>18</v>
      </c>
      <c r="K176" t="s">
        <v>336</v>
      </c>
      <c r="L176" t="s">
        <v>20</v>
      </c>
      <c r="M176" t="s">
        <v>21</v>
      </c>
      <c r="N176">
        <v>20251001153423</v>
      </c>
      <c r="O176" t="s">
        <v>592</v>
      </c>
    </row>
    <row r="177" spans="1:15" x14ac:dyDescent="0.3">
      <c r="A177" t="s">
        <v>12</v>
      </c>
      <c r="B177" t="s">
        <v>13</v>
      </c>
      <c r="C177" s="2" t="s">
        <v>111</v>
      </c>
      <c r="D177" s="1" t="str">
        <f t="shared" si="10"/>
        <v>in ('9002304663')</v>
      </c>
      <c r="E177" s="1" t="str">
        <f t="shared" si="11"/>
        <v>not in ('9002304663')</v>
      </c>
      <c r="F177" t="s">
        <v>112</v>
      </c>
      <c r="G177" t="s">
        <v>79</v>
      </c>
      <c r="H177" t="s">
        <v>80</v>
      </c>
      <c r="I177" t="s">
        <v>113</v>
      </c>
      <c r="J177" t="s">
        <v>18</v>
      </c>
      <c r="K177" t="s">
        <v>19</v>
      </c>
      <c r="L177" t="s">
        <v>91</v>
      </c>
      <c r="M177" t="s">
        <v>21</v>
      </c>
      <c r="N177">
        <v>20251001153423</v>
      </c>
      <c r="O177" t="s">
        <v>592</v>
      </c>
    </row>
    <row r="178" spans="1:15" x14ac:dyDescent="0.3">
      <c r="A178" t="s">
        <v>12</v>
      </c>
      <c r="B178" t="s">
        <v>13</v>
      </c>
      <c r="C178" s="2" t="s">
        <v>493</v>
      </c>
      <c r="D178" s="1" t="str">
        <f t="shared" si="10"/>
        <v>in ('0000033240')</v>
      </c>
      <c r="E178" s="1" t="str">
        <f t="shared" si="11"/>
        <v>not in ('0000033240')</v>
      </c>
      <c r="F178" t="s">
        <v>112</v>
      </c>
      <c r="G178" t="s">
        <v>79</v>
      </c>
      <c r="H178" t="s">
        <v>80</v>
      </c>
      <c r="I178" t="s">
        <v>17</v>
      </c>
      <c r="J178" t="s">
        <v>18</v>
      </c>
      <c r="K178" t="s">
        <v>19</v>
      </c>
      <c r="L178" t="s">
        <v>91</v>
      </c>
      <c r="M178" t="s">
        <v>21</v>
      </c>
      <c r="N178">
        <v>20251001153423</v>
      </c>
      <c r="O178" t="s">
        <v>592</v>
      </c>
    </row>
    <row r="179" spans="1:15" x14ac:dyDescent="0.3">
      <c r="A179" t="s">
        <v>12</v>
      </c>
      <c r="B179" t="s">
        <v>13</v>
      </c>
      <c r="C179" s="2" t="s">
        <v>523</v>
      </c>
      <c r="D179" s="1" t="str">
        <f t="shared" si="10"/>
        <v>in ('8044900121')</v>
      </c>
      <c r="E179" s="1" t="str">
        <f t="shared" si="11"/>
        <v>not in ('8044900121')</v>
      </c>
      <c r="F179" t="s">
        <v>112</v>
      </c>
      <c r="G179" t="s">
        <v>79</v>
      </c>
      <c r="H179" t="s">
        <v>80</v>
      </c>
      <c r="I179" t="s">
        <v>17</v>
      </c>
      <c r="J179" t="s">
        <v>18</v>
      </c>
      <c r="K179" t="s">
        <v>19</v>
      </c>
      <c r="L179" t="s">
        <v>91</v>
      </c>
      <c r="M179" t="s">
        <v>21</v>
      </c>
      <c r="N179">
        <v>20251001153423</v>
      </c>
      <c r="O179" t="s">
        <v>592</v>
      </c>
    </row>
    <row r="180" spans="1:15" x14ac:dyDescent="0.3">
      <c r="A180" t="s">
        <v>12</v>
      </c>
      <c r="B180" t="s">
        <v>13</v>
      </c>
      <c r="C180" s="2" t="s">
        <v>89</v>
      </c>
      <c r="D180" s="1" t="str">
        <f t="shared" si="10"/>
        <v>in ('3801007646')</v>
      </c>
      <c r="E180" s="1" t="str">
        <f t="shared" si="11"/>
        <v>not in ('3801007646')</v>
      </c>
      <c r="F180" t="s">
        <v>90</v>
      </c>
      <c r="G180" t="s">
        <v>79</v>
      </c>
      <c r="H180" t="s">
        <v>80</v>
      </c>
      <c r="I180" t="s">
        <v>17</v>
      </c>
      <c r="J180" t="s">
        <v>18</v>
      </c>
      <c r="K180" t="s">
        <v>19</v>
      </c>
      <c r="L180" t="s">
        <v>91</v>
      </c>
      <c r="M180" t="s">
        <v>21</v>
      </c>
      <c r="N180">
        <v>20251001153423</v>
      </c>
      <c r="O180" t="s">
        <v>592</v>
      </c>
    </row>
    <row r="181" spans="1:15" x14ac:dyDescent="0.3">
      <c r="A181" t="s">
        <v>12</v>
      </c>
      <c r="B181" t="s">
        <v>13</v>
      </c>
      <c r="C181" s="2" t="s">
        <v>353</v>
      </c>
      <c r="D181" s="1" t="str">
        <f t="shared" si="10"/>
        <v>in ('8027624846')</v>
      </c>
      <c r="E181" s="1" t="str">
        <f t="shared" si="11"/>
        <v>not in ('8027624846')</v>
      </c>
      <c r="F181" t="s">
        <v>90</v>
      </c>
      <c r="G181" t="s">
        <v>79</v>
      </c>
      <c r="H181" t="s">
        <v>80</v>
      </c>
      <c r="I181" t="s">
        <v>17</v>
      </c>
      <c r="J181" t="s">
        <v>18</v>
      </c>
      <c r="K181" t="s">
        <v>19</v>
      </c>
      <c r="L181" t="s">
        <v>91</v>
      </c>
      <c r="M181" t="s">
        <v>21</v>
      </c>
      <c r="N181">
        <v>20251001153423</v>
      </c>
      <c r="O181" t="s">
        <v>592</v>
      </c>
    </row>
    <row r="182" spans="1:15" x14ac:dyDescent="0.3">
      <c r="A182" t="s">
        <v>12</v>
      </c>
      <c r="B182" t="s">
        <v>13</v>
      </c>
      <c r="C182" s="2" t="s">
        <v>462</v>
      </c>
      <c r="D182" s="1" t="str">
        <f t="shared" si="10"/>
        <v>in ('8045905242')</v>
      </c>
      <c r="E182" s="1" t="str">
        <f t="shared" si="11"/>
        <v>not in ('8045905242')</v>
      </c>
      <c r="F182" t="s">
        <v>90</v>
      </c>
      <c r="G182" t="s">
        <v>79</v>
      </c>
      <c r="H182" t="s">
        <v>80</v>
      </c>
      <c r="I182" t="s">
        <v>17</v>
      </c>
      <c r="J182" t="s">
        <v>18</v>
      </c>
      <c r="K182" t="s">
        <v>19</v>
      </c>
      <c r="L182" t="s">
        <v>91</v>
      </c>
      <c r="M182" t="s">
        <v>21</v>
      </c>
      <c r="N182">
        <v>20251001153423</v>
      </c>
      <c r="O182" t="s">
        <v>592</v>
      </c>
    </row>
    <row r="183" spans="1:15" x14ac:dyDescent="0.3">
      <c r="A183" t="s">
        <v>12</v>
      </c>
      <c r="B183" t="s">
        <v>13</v>
      </c>
      <c r="C183" s="2" t="s">
        <v>196</v>
      </c>
      <c r="D183" s="1" t="str">
        <f t="shared" si="10"/>
        <v>in ('8019204890')</v>
      </c>
      <c r="E183" s="1" t="str">
        <f t="shared" si="11"/>
        <v>not in ('8019204890')</v>
      </c>
      <c r="F183" t="s">
        <v>197</v>
      </c>
      <c r="G183" t="s">
        <v>79</v>
      </c>
      <c r="H183" t="s">
        <v>80</v>
      </c>
      <c r="J183" t="s">
        <v>18</v>
      </c>
      <c r="K183" t="s">
        <v>198</v>
      </c>
      <c r="L183" t="s">
        <v>91</v>
      </c>
      <c r="M183" t="s">
        <v>21</v>
      </c>
      <c r="N183">
        <v>20251001153423</v>
      </c>
      <c r="O183" t="s">
        <v>592</v>
      </c>
    </row>
    <row r="184" spans="1:15" x14ac:dyDescent="0.3">
      <c r="A184" t="s">
        <v>12</v>
      </c>
      <c r="B184" t="s">
        <v>13</v>
      </c>
      <c r="C184" s="2" t="s">
        <v>224</v>
      </c>
      <c r="D184" s="1" t="str">
        <f t="shared" si="10"/>
        <v>in ('9001044109')</v>
      </c>
      <c r="E184" s="1" t="str">
        <f t="shared" si="11"/>
        <v>not in ('9001044109')</v>
      </c>
      <c r="F184" t="s">
        <v>197</v>
      </c>
      <c r="G184" t="s">
        <v>79</v>
      </c>
      <c r="H184" t="s">
        <v>80</v>
      </c>
      <c r="J184" t="s">
        <v>18</v>
      </c>
      <c r="K184" t="s">
        <v>198</v>
      </c>
      <c r="L184" t="s">
        <v>91</v>
      </c>
      <c r="M184" t="s">
        <v>21</v>
      </c>
      <c r="N184">
        <v>20251001153423</v>
      </c>
      <c r="O184" t="s">
        <v>592</v>
      </c>
    </row>
    <row r="185" spans="1:15" x14ac:dyDescent="0.3">
      <c r="A185" t="s">
        <v>12</v>
      </c>
      <c r="B185" t="s">
        <v>13</v>
      </c>
      <c r="C185" s="2" t="s">
        <v>522</v>
      </c>
      <c r="D185" s="1" t="str">
        <f t="shared" si="10"/>
        <v>in ('3801000226')</v>
      </c>
      <c r="E185" s="1" t="str">
        <f t="shared" si="11"/>
        <v>not in ('3801000226')</v>
      </c>
      <c r="F185" t="s">
        <v>197</v>
      </c>
      <c r="G185" t="s">
        <v>79</v>
      </c>
      <c r="H185" t="s">
        <v>80</v>
      </c>
      <c r="J185" t="s">
        <v>18</v>
      </c>
      <c r="K185" t="s">
        <v>198</v>
      </c>
      <c r="L185" t="s">
        <v>91</v>
      </c>
      <c r="M185" t="s">
        <v>21</v>
      </c>
      <c r="N185">
        <v>20251001153423</v>
      </c>
      <c r="O185" t="s">
        <v>592</v>
      </c>
    </row>
    <row r="186" spans="1:15" x14ac:dyDescent="0.3">
      <c r="A186" t="s">
        <v>12</v>
      </c>
      <c r="B186" t="s">
        <v>13</v>
      </c>
      <c r="C186" s="2" t="s">
        <v>221</v>
      </c>
      <c r="D186" s="1" t="str">
        <f t="shared" si="10"/>
        <v>in ('7401170514')</v>
      </c>
      <c r="E186" s="1" t="str">
        <f t="shared" si="11"/>
        <v>not in ('7401170514')</v>
      </c>
      <c r="F186" t="s">
        <v>222</v>
      </c>
      <c r="G186" t="s">
        <v>16</v>
      </c>
      <c r="H186" t="s">
        <v>16</v>
      </c>
      <c r="I186" t="s">
        <v>96</v>
      </c>
      <c r="J186" t="s">
        <v>18</v>
      </c>
      <c r="K186" t="s">
        <v>223</v>
      </c>
      <c r="L186" t="s">
        <v>20</v>
      </c>
      <c r="M186" t="s">
        <v>21</v>
      </c>
      <c r="N186">
        <v>20251001153423</v>
      </c>
      <c r="O186" t="s">
        <v>592</v>
      </c>
    </row>
    <row r="187" spans="1:15" x14ac:dyDescent="0.3">
      <c r="A187" t="s">
        <v>12</v>
      </c>
      <c r="B187" t="s">
        <v>13</v>
      </c>
      <c r="C187" s="2" t="s">
        <v>77</v>
      </c>
      <c r="D187" s="1" t="str">
        <f t="shared" si="10"/>
        <v>in ('5100603940')</v>
      </c>
      <c r="E187" s="1" t="str">
        <f t="shared" si="11"/>
        <v>not in ('5100603940')</v>
      </c>
      <c r="F187" t="s">
        <v>78</v>
      </c>
      <c r="G187" t="s">
        <v>79</v>
      </c>
      <c r="H187" t="s">
        <v>80</v>
      </c>
      <c r="J187" t="s">
        <v>18</v>
      </c>
      <c r="K187" t="s">
        <v>68</v>
      </c>
      <c r="L187" t="s">
        <v>20</v>
      </c>
      <c r="M187" t="s">
        <v>21</v>
      </c>
      <c r="N187">
        <v>20251001153423</v>
      </c>
      <c r="O187" t="s">
        <v>592</v>
      </c>
    </row>
    <row r="188" spans="1:15" x14ac:dyDescent="0.3">
      <c r="A188" t="s">
        <v>12</v>
      </c>
      <c r="B188" t="s">
        <v>13</v>
      </c>
      <c r="C188" s="2" t="s">
        <v>410</v>
      </c>
      <c r="D188" s="1" t="str">
        <f t="shared" si="10"/>
        <v>in ('5100007933')</v>
      </c>
      <c r="E188" s="1" t="str">
        <f t="shared" si="11"/>
        <v>not in ('5100007933')</v>
      </c>
      <c r="F188" t="s">
        <v>411</v>
      </c>
      <c r="G188" t="s">
        <v>412</v>
      </c>
      <c r="H188" t="s">
        <v>412</v>
      </c>
      <c r="J188" t="s">
        <v>18</v>
      </c>
      <c r="K188" t="s">
        <v>39</v>
      </c>
      <c r="L188" t="s">
        <v>91</v>
      </c>
      <c r="M188" t="s">
        <v>21</v>
      </c>
      <c r="N188">
        <v>20251001153423</v>
      </c>
      <c r="O188" t="s">
        <v>592</v>
      </c>
    </row>
    <row r="189" spans="1:15" x14ac:dyDescent="0.3">
      <c r="A189" t="s">
        <v>12</v>
      </c>
      <c r="B189" t="s">
        <v>13</v>
      </c>
      <c r="C189" s="2" t="s">
        <v>45</v>
      </c>
      <c r="D189" s="1" t="str">
        <f t="shared" si="10"/>
        <v>in ('7401951317')</v>
      </c>
      <c r="E189" s="1" t="str">
        <f t="shared" si="11"/>
        <v>not in ('7401951317')</v>
      </c>
      <c r="F189" t="s">
        <v>46</v>
      </c>
      <c r="G189" t="s">
        <v>47</v>
      </c>
      <c r="H189" t="s">
        <v>47</v>
      </c>
      <c r="J189" t="s">
        <v>18</v>
      </c>
      <c r="K189" t="s">
        <v>48</v>
      </c>
      <c r="L189" t="s">
        <v>20</v>
      </c>
      <c r="M189" t="s">
        <v>21</v>
      </c>
      <c r="N189">
        <v>20251001153423</v>
      </c>
      <c r="O189" t="s">
        <v>592</v>
      </c>
    </row>
    <row r="190" spans="1:15" hidden="1" x14ac:dyDescent="0.3">
      <c r="A190" t="s">
        <v>12</v>
      </c>
      <c r="B190" t="s">
        <v>13</v>
      </c>
      <c r="C190" t="s">
        <v>577</v>
      </c>
      <c r="D190"/>
      <c r="E190"/>
      <c r="F190" t="s">
        <v>578</v>
      </c>
      <c r="G190" t="s">
        <v>579</v>
      </c>
      <c r="H190" t="s">
        <v>579</v>
      </c>
      <c r="J190" t="s">
        <v>18</v>
      </c>
      <c r="K190" t="s">
        <v>68</v>
      </c>
      <c r="L190" t="s">
        <v>20</v>
      </c>
      <c r="M190" t="s">
        <v>21</v>
      </c>
      <c r="N190">
        <v>20251001153423</v>
      </c>
      <c r="O190" t="s">
        <v>591</v>
      </c>
    </row>
    <row r="191" spans="1:15" hidden="1" x14ac:dyDescent="0.3">
      <c r="A191" t="s">
        <v>12</v>
      </c>
      <c r="B191" t="s">
        <v>13</v>
      </c>
      <c r="C191" t="s">
        <v>442</v>
      </c>
      <c r="D191"/>
      <c r="E191"/>
      <c r="F191" t="s">
        <v>443</v>
      </c>
      <c r="G191" t="s">
        <v>444</v>
      </c>
      <c r="H191" t="s">
        <v>444</v>
      </c>
      <c r="I191" t="s">
        <v>445</v>
      </c>
      <c r="J191" t="s">
        <v>18</v>
      </c>
      <c r="K191" t="s">
        <v>26</v>
      </c>
      <c r="L191" t="s">
        <v>20</v>
      </c>
      <c r="M191" t="s">
        <v>21</v>
      </c>
      <c r="N191">
        <v>20251001153423</v>
      </c>
      <c r="O191" t="s">
        <v>591</v>
      </c>
    </row>
    <row r="192" spans="1:15" x14ac:dyDescent="0.3">
      <c r="A192" t="s">
        <v>12</v>
      </c>
      <c r="B192" t="s">
        <v>13</v>
      </c>
      <c r="C192" s="2" t="s">
        <v>106</v>
      </c>
      <c r="D192" s="1" t="str">
        <f t="shared" ref="D192:D217" si="12">_xlfn.CONCAT("in ", "('",C192,"')")</f>
        <v>in ('9002687384')</v>
      </c>
      <c r="E192" s="1" t="str">
        <f t="shared" ref="E192:E217" si="13">_xlfn.CONCAT("not in ", "('",C192,"')")</f>
        <v>not in ('9002687384')</v>
      </c>
      <c r="F192" t="s">
        <v>107</v>
      </c>
      <c r="G192" t="s">
        <v>108</v>
      </c>
      <c r="H192" t="s">
        <v>109</v>
      </c>
      <c r="I192" t="s">
        <v>17</v>
      </c>
      <c r="J192" t="s">
        <v>18</v>
      </c>
      <c r="K192" t="s">
        <v>19</v>
      </c>
      <c r="L192" t="s">
        <v>20</v>
      </c>
      <c r="M192" t="s">
        <v>21</v>
      </c>
      <c r="N192">
        <v>20251001153423</v>
      </c>
      <c r="O192" t="s">
        <v>592</v>
      </c>
    </row>
    <row r="193" spans="1:15" x14ac:dyDescent="0.3">
      <c r="A193" t="s">
        <v>12</v>
      </c>
      <c r="B193" t="s">
        <v>13</v>
      </c>
      <c r="C193" s="2" t="s">
        <v>187</v>
      </c>
      <c r="D193" s="1" t="str">
        <f t="shared" si="12"/>
        <v>in ('8046435297')</v>
      </c>
      <c r="E193" s="1" t="str">
        <f t="shared" si="13"/>
        <v>not in ('8046435297')</v>
      </c>
      <c r="F193" t="s">
        <v>107</v>
      </c>
      <c r="G193" t="s">
        <v>108</v>
      </c>
      <c r="H193" t="s">
        <v>109</v>
      </c>
      <c r="I193" t="s">
        <v>17</v>
      </c>
      <c r="J193" t="s">
        <v>18</v>
      </c>
      <c r="K193" t="s">
        <v>19</v>
      </c>
      <c r="L193" t="s">
        <v>20</v>
      </c>
      <c r="M193" t="s">
        <v>21</v>
      </c>
      <c r="N193">
        <v>20251001153423</v>
      </c>
      <c r="O193" t="s">
        <v>592</v>
      </c>
    </row>
    <row r="194" spans="1:15" x14ac:dyDescent="0.3">
      <c r="A194" t="s">
        <v>12</v>
      </c>
      <c r="B194" t="s">
        <v>13</v>
      </c>
      <c r="C194" s="2" t="s">
        <v>306</v>
      </c>
      <c r="D194" s="1" t="str">
        <f t="shared" si="12"/>
        <v>in ('3801002808')</v>
      </c>
      <c r="E194" s="1" t="str">
        <f t="shared" si="13"/>
        <v>not in ('3801002808')</v>
      </c>
      <c r="F194" t="s">
        <v>107</v>
      </c>
      <c r="G194" t="s">
        <v>108</v>
      </c>
      <c r="H194" t="s">
        <v>109</v>
      </c>
      <c r="I194" t="s">
        <v>17</v>
      </c>
      <c r="J194" t="s">
        <v>18</v>
      </c>
      <c r="K194" t="s">
        <v>19</v>
      </c>
      <c r="L194" t="s">
        <v>20</v>
      </c>
      <c r="M194" t="s">
        <v>21</v>
      </c>
      <c r="N194">
        <v>20251001153423</v>
      </c>
      <c r="O194" t="s">
        <v>592</v>
      </c>
    </row>
    <row r="195" spans="1:15" x14ac:dyDescent="0.3">
      <c r="A195" t="s">
        <v>12</v>
      </c>
      <c r="B195" t="s">
        <v>13</v>
      </c>
      <c r="C195" s="2" t="s">
        <v>218</v>
      </c>
      <c r="D195" s="1" t="str">
        <f t="shared" si="12"/>
        <v>in ('7400416333')</v>
      </c>
      <c r="E195" s="1" t="str">
        <f t="shared" si="13"/>
        <v>not in ('7400416333')</v>
      </c>
      <c r="F195" t="s">
        <v>219</v>
      </c>
      <c r="G195" t="s">
        <v>16</v>
      </c>
      <c r="H195" t="s">
        <v>16</v>
      </c>
      <c r="I195" t="s">
        <v>96</v>
      </c>
      <c r="J195" t="s">
        <v>18</v>
      </c>
      <c r="K195" t="s">
        <v>220</v>
      </c>
      <c r="L195" t="s">
        <v>20</v>
      </c>
      <c r="M195" t="s">
        <v>21</v>
      </c>
      <c r="N195">
        <v>20251001153423</v>
      </c>
      <c r="O195" t="s">
        <v>592</v>
      </c>
    </row>
    <row r="196" spans="1:15" x14ac:dyDescent="0.3">
      <c r="A196" t="s">
        <v>12</v>
      </c>
      <c r="B196" t="s">
        <v>13</v>
      </c>
      <c r="C196" s="2" t="s">
        <v>270</v>
      </c>
      <c r="D196" s="1" t="str">
        <f t="shared" si="12"/>
        <v>in ('9001349956')</v>
      </c>
      <c r="E196" s="1" t="str">
        <f t="shared" si="13"/>
        <v>not in ('9001349956')</v>
      </c>
      <c r="F196" t="s">
        <v>271</v>
      </c>
      <c r="G196" t="s">
        <v>95</v>
      </c>
      <c r="H196" t="s">
        <v>95</v>
      </c>
      <c r="I196" t="s">
        <v>96</v>
      </c>
      <c r="J196" t="s">
        <v>18</v>
      </c>
      <c r="K196" t="s">
        <v>85</v>
      </c>
      <c r="L196" t="s">
        <v>20</v>
      </c>
      <c r="M196" t="s">
        <v>21</v>
      </c>
      <c r="N196">
        <v>20251001153423</v>
      </c>
      <c r="O196" t="s">
        <v>592</v>
      </c>
    </row>
    <row r="197" spans="1:15" x14ac:dyDescent="0.3">
      <c r="A197" t="s">
        <v>12</v>
      </c>
      <c r="B197" t="s">
        <v>13</v>
      </c>
      <c r="C197" s="2" t="s">
        <v>338</v>
      </c>
      <c r="D197" s="1" t="str">
        <f t="shared" si="12"/>
        <v>in ('0000235696')</v>
      </c>
      <c r="E197" s="1" t="str">
        <f t="shared" si="13"/>
        <v>not in ('0000235696')</v>
      </c>
      <c r="F197" t="s">
        <v>339</v>
      </c>
      <c r="G197" t="s">
        <v>340</v>
      </c>
      <c r="H197" t="s">
        <v>341</v>
      </c>
      <c r="I197" t="s">
        <v>342</v>
      </c>
      <c r="J197" t="s">
        <v>18</v>
      </c>
      <c r="K197" t="s">
        <v>343</v>
      </c>
      <c r="L197" t="s">
        <v>20</v>
      </c>
      <c r="M197" t="s">
        <v>21</v>
      </c>
      <c r="N197">
        <v>20251001153423</v>
      </c>
      <c r="O197" t="s">
        <v>592</v>
      </c>
    </row>
    <row r="198" spans="1:15" x14ac:dyDescent="0.3">
      <c r="A198" t="s">
        <v>12</v>
      </c>
      <c r="B198" t="s">
        <v>13</v>
      </c>
      <c r="C198" s="2" t="s">
        <v>244</v>
      </c>
      <c r="D198" s="1" t="str">
        <f t="shared" si="12"/>
        <v>in ('7400419150')</v>
      </c>
      <c r="E198" s="1" t="str">
        <f t="shared" si="13"/>
        <v>not in ('7400419150')</v>
      </c>
      <c r="F198" t="s">
        <v>245</v>
      </c>
      <c r="G198" t="s">
        <v>95</v>
      </c>
      <c r="H198" t="s">
        <v>95</v>
      </c>
      <c r="I198" t="s">
        <v>96</v>
      </c>
      <c r="J198" t="s">
        <v>18</v>
      </c>
      <c r="K198" t="s">
        <v>220</v>
      </c>
      <c r="L198" t="s">
        <v>20</v>
      </c>
      <c r="M198" t="s">
        <v>21</v>
      </c>
      <c r="N198">
        <v>20251001153423</v>
      </c>
      <c r="O198" t="s">
        <v>592</v>
      </c>
    </row>
    <row r="199" spans="1:15" x14ac:dyDescent="0.3">
      <c r="A199" t="s">
        <v>12</v>
      </c>
      <c r="B199" t="s">
        <v>13</v>
      </c>
      <c r="C199" s="2" t="s">
        <v>358</v>
      </c>
      <c r="D199" s="1" t="str">
        <f t="shared" si="12"/>
        <v>in ('3461009525')</v>
      </c>
      <c r="E199" s="1" t="str">
        <f t="shared" si="13"/>
        <v>not in ('3461009525')</v>
      </c>
      <c r="F199" t="s">
        <v>359</v>
      </c>
      <c r="G199" t="s">
        <v>95</v>
      </c>
      <c r="H199" t="s">
        <v>95</v>
      </c>
      <c r="I199" t="s">
        <v>96</v>
      </c>
      <c r="J199" t="s">
        <v>18</v>
      </c>
      <c r="K199" t="s">
        <v>19</v>
      </c>
      <c r="L199" t="s">
        <v>20</v>
      </c>
      <c r="M199" t="s">
        <v>21</v>
      </c>
      <c r="N199">
        <v>20251001153423</v>
      </c>
      <c r="O199" t="s">
        <v>592</v>
      </c>
    </row>
    <row r="200" spans="1:15" x14ac:dyDescent="0.3">
      <c r="A200" t="s">
        <v>12</v>
      </c>
      <c r="B200" t="s">
        <v>13</v>
      </c>
      <c r="C200" s="2" t="s">
        <v>377</v>
      </c>
      <c r="D200" s="1" t="str">
        <f t="shared" si="12"/>
        <v>in ('8046556500')</v>
      </c>
      <c r="E200" s="1" t="str">
        <f t="shared" si="13"/>
        <v>not in ('8046556500')</v>
      </c>
      <c r="F200" t="s">
        <v>359</v>
      </c>
      <c r="G200" t="s">
        <v>95</v>
      </c>
      <c r="H200" t="s">
        <v>95</v>
      </c>
      <c r="I200" t="s">
        <v>96</v>
      </c>
      <c r="J200" t="s">
        <v>18</v>
      </c>
      <c r="K200" t="s">
        <v>19</v>
      </c>
      <c r="L200" t="s">
        <v>20</v>
      </c>
      <c r="M200" t="s">
        <v>21</v>
      </c>
      <c r="N200">
        <v>20251001153423</v>
      </c>
      <c r="O200" t="s">
        <v>592</v>
      </c>
    </row>
    <row r="201" spans="1:15" x14ac:dyDescent="0.3">
      <c r="A201" t="s">
        <v>12</v>
      </c>
      <c r="B201" t="s">
        <v>13</v>
      </c>
      <c r="C201" s="2" t="s">
        <v>533</v>
      </c>
      <c r="D201" s="1" t="str">
        <f t="shared" si="12"/>
        <v>in ('9002657754')</v>
      </c>
      <c r="E201" s="1" t="str">
        <f t="shared" si="13"/>
        <v>not in ('9002657754')</v>
      </c>
      <c r="F201" t="s">
        <v>359</v>
      </c>
      <c r="G201" t="s">
        <v>95</v>
      </c>
      <c r="H201" t="s">
        <v>95</v>
      </c>
      <c r="I201" t="s">
        <v>96</v>
      </c>
      <c r="J201" t="s">
        <v>18</v>
      </c>
      <c r="K201" t="s">
        <v>19</v>
      </c>
      <c r="L201" t="s">
        <v>20</v>
      </c>
      <c r="M201" t="s">
        <v>21</v>
      </c>
      <c r="N201">
        <v>20251001153423</v>
      </c>
      <c r="O201" t="s">
        <v>592</v>
      </c>
    </row>
    <row r="202" spans="1:15" x14ac:dyDescent="0.3">
      <c r="A202" t="s">
        <v>12</v>
      </c>
      <c r="B202" t="s">
        <v>13</v>
      </c>
      <c r="C202" s="2" t="s">
        <v>472</v>
      </c>
      <c r="D202" s="1" t="str">
        <f t="shared" si="12"/>
        <v>in ('7400376332')</v>
      </c>
      <c r="E202" s="1" t="str">
        <f t="shared" si="13"/>
        <v>not in ('7400376332')</v>
      </c>
      <c r="F202" t="s">
        <v>473</v>
      </c>
      <c r="G202" t="s">
        <v>474</v>
      </c>
      <c r="H202" t="s">
        <v>474</v>
      </c>
      <c r="I202" t="s">
        <v>96</v>
      </c>
      <c r="J202" t="s">
        <v>18</v>
      </c>
      <c r="K202" t="s">
        <v>220</v>
      </c>
      <c r="L202" t="s">
        <v>20</v>
      </c>
      <c r="M202" t="s">
        <v>21</v>
      </c>
      <c r="N202">
        <v>20251001153423</v>
      </c>
      <c r="O202" t="s">
        <v>592</v>
      </c>
    </row>
    <row r="203" spans="1:15" x14ac:dyDescent="0.3">
      <c r="A203" t="s">
        <v>12</v>
      </c>
      <c r="B203" t="s">
        <v>13</v>
      </c>
      <c r="C203" s="2" t="s">
        <v>81</v>
      </c>
      <c r="D203" s="1" t="str">
        <f t="shared" si="12"/>
        <v>in ('8027891356')</v>
      </c>
      <c r="E203" s="1" t="str">
        <f t="shared" si="13"/>
        <v>not in ('8027891356')</v>
      </c>
      <c r="F203" t="s">
        <v>82</v>
      </c>
      <c r="G203" t="s">
        <v>83</v>
      </c>
      <c r="H203" t="s">
        <v>83</v>
      </c>
      <c r="I203" t="s">
        <v>84</v>
      </c>
      <c r="J203" t="s">
        <v>18</v>
      </c>
      <c r="K203" t="s">
        <v>85</v>
      </c>
      <c r="L203" t="s">
        <v>20</v>
      </c>
      <c r="M203" t="s">
        <v>21</v>
      </c>
      <c r="N203">
        <v>20251001153423</v>
      </c>
      <c r="O203" t="s">
        <v>592</v>
      </c>
    </row>
    <row r="204" spans="1:15" x14ac:dyDescent="0.3">
      <c r="A204" t="s">
        <v>12</v>
      </c>
      <c r="B204" t="s">
        <v>13</v>
      </c>
      <c r="C204" s="2" t="s">
        <v>391</v>
      </c>
      <c r="D204" s="1" t="str">
        <f t="shared" si="12"/>
        <v>in ('7400632601')</v>
      </c>
      <c r="E204" s="1" t="str">
        <f t="shared" si="13"/>
        <v>not in ('7400632601')</v>
      </c>
      <c r="F204" t="s">
        <v>392</v>
      </c>
      <c r="G204" t="s">
        <v>95</v>
      </c>
      <c r="H204" t="s">
        <v>95</v>
      </c>
      <c r="I204" t="s">
        <v>96</v>
      </c>
      <c r="J204" t="s">
        <v>18</v>
      </c>
      <c r="K204" t="s">
        <v>220</v>
      </c>
      <c r="L204" t="s">
        <v>20</v>
      </c>
      <c r="M204" t="s">
        <v>21</v>
      </c>
      <c r="N204">
        <v>20251001153423</v>
      </c>
      <c r="O204" t="s">
        <v>592</v>
      </c>
    </row>
    <row r="205" spans="1:15" x14ac:dyDescent="0.3">
      <c r="A205" t="s">
        <v>12</v>
      </c>
      <c r="B205" t="s">
        <v>13</v>
      </c>
      <c r="C205" s="2" t="s">
        <v>511</v>
      </c>
      <c r="D205" s="1" t="str">
        <f t="shared" si="12"/>
        <v>in ('5100006919')</v>
      </c>
      <c r="E205" s="1" t="str">
        <f t="shared" si="13"/>
        <v>not in ('5100006919')</v>
      </c>
      <c r="F205" t="s">
        <v>512</v>
      </c>
      <c r="G205" t="s">
        <v>513</v>
      </c>
      <c r="H205" t="s">
        <v>513</v>
      </c>
      <c r="J205" t="s">
        <v>18</v>
      </c>
      <c r="K205" t="s">
        <v>39</v>
      </c>
      <c r="L205" t="s">
        <v>20</v>
      </c>
      <c r="M205" t="s">
        <v>21</v>
      </c>
      <c r="N205">
        <v>20251001153423</v>
      </c>
      <c r="O205" t="s">
        <v>592</v>
      </c>
    </row>
    <row r="206" spans="1:15" x14ac:dyDescent="0.3">
      <c r="A206" t="s">
        <v>12</v>
      </c>
      <c r="B206" t="s">
        <v>13</v>
      </c>
      <c r="C206" s="2" t="s">
        <v>158</v>
      </c>
      <c r="D206" s="1" t="str">
        <f t="shared" si="12"/>
        <v>in ('5100008510')</v>
      </c>
      <c r="E206" s="1" t="str">
        <f t="shared" si="13"/>
        <v>not in ('5100008510')</v>
      </c>
      <c r="F206" t="s">
        <v>159</v>
      </c>
      <c r="G206" t="s">
        <v>160</v>
      </c>
      <c r="H206" t="s">
        <v>160</v>
      </c>
      <c r="J206" t="s">
        <v>18</v>
      </c>
      <c r="K206" t="s">
        <v>39</v>
      </c>
      <c r="L206" t="s">
        <v>20</v>
      </c>
      <c r="M206" t="s">
        <v>21</v>
      </c>
      <c r="N206">
        <v>20251001153423</v>
      </c>
      <c r="O206" t="s">
        <v>592</v>
      </c>
    </row>
    <row r="207" spans="1:15" x14ac:dyDescent="0.3">
      <c r="A207" t="s">
        <v>12</v>
      </c>
      <c r="B207" t="s">
        <v>13</v>
      </c>
      <c r="C207" s="2" t="s">
        <v>382</v>
      </c>
      <c r="D207" s="1" t="str">
        <f t="shared" si="12"/>
        <v>in ('7400874676')</v>
      </c>
      <c r="E207" s="1" t="str">
        <f t="shared" si="13"/>
        <v>not in ('7400874676')</v>
      </c>
      <c r="F207" t="s">
        <v>383</v>
      </c>
      <c r="G207" t="s">
        <v>384</v>
      </c>
      <c r="H207" t="s">
        <v>384</v>
      </c>
      <c r="J207" t="s">
        <v>18</v>
      </c>
      <c r="K207" t="s">
        <v>39</v>
      </c>
      <c r="L207" t="s">
        <v>20</v>
      </c>
      <c r="M207" t="s">
        <v>21</v>
      </c>
      <c r="N207">
        <v>20251001153423</v>
      </c>
      <c r="O207" t="s">
        <v>592</v>
      </c>
    </row>
    <row r="208" spans="1:15" x14ac:dyDescent="0.3">
      <c r="A208" t="s">
        <v>12</v>
      </c>
      <c r="B208" t="s">
        <v>13</v>
      </c>
      <c r="C208" s="2" t="s">
        <v>302</v>
      </c>
      <c r="D208" s="1" t="str">
        <f t="shared" si="12"/>
        <v>in ('8041353494')</v>
      </c>
      <c r="E208" s="1" t="str">
        <f t="shared" si="13"/>
        <v>not in ('8041353494')</v>
      </c>
      <c r="F208" t="s">
        <v>303</v>
      </c>
      <c r="G208" t="s">
        <v>79</v>
      </c>
      <c r="H208" t="s">
        <v>80</v>
      </c>
      <c r="I208" t="s">
        <v>17</v>
      </c>
      <c r="J208" t="s">
        <v>18</v>
      </c>
      <c r="K208" t="s">
        <v>19</v>
      </c>
      <c r="L208" t="s">
        <v>20</v>
      </c>
      <c r="M208" t="s">
        <v>21</v>
      </c>
      <c r="N208">
        <v>20251001153423</v>
      </c>
      <c r="O208" t="s">
        <v>592</v>
      </c>
    </row>
    <row r="209" spans="1:15" x14ac:dyDescent="0.3">
      <c r="A209" t="s">
        <v>12</v>
      </c>
      <c r="B209" t="s">
        <v>13</v>
      </c>
      <c r="C209" s="2" t="s">
        <v>557</v>
      </c>
      <c r="D209" s="1" t="str">
        <f t="shared" si="12"/>
        <v>in ('9002512140')</v>
      </c>
      <c r="E209" s="1" t="str">
        <f t="shared" si="13"/>
        <v>not in ('9002512140')</v>
      </c>
      <c r="F209" t="s">
        <v>303</v>
      </c>
      <c r="G209" t="s">
        <v>79</v>
      </c>
      <c r="H209" t="s">
        <v>80</v>
      </c>
      <c r="I209" t="s">
        <v>17</v>
      </c>
      <c r="J209" t="s">
        <v>18</v>
      </c>
      <c r="K209" t="s">
        <v>19</v>
      </c>
      <c r="L209" t="s">
        <v>20</v>
      </c>
      <c r="M209" t="s">
        <v>21</v>
      </c>
      <c r="N209">
        <v>20251001153423</v>
      </c>
      <c r="O209" t="s">
        <v>592</v>
      </c>
    </row>
    <row r="210" spans="1:15" x14ac:dyDescent="0.3">
      <c r="A210" t="s">
        <v>12</v>
      </c>
      <c r="B210" t="s">
        <v>13</v>
      </c>
      <c r="C210" s="2" t="s">
        <v>435</v>
      </c>
      <c r="D210" s="1" t="str">
        <f t="shared" si="12"/>
        <v>in ('7402114618')</v>
      </c>
      <c r="E210" s="1" t="str">
        <f t="shared" si="13"/>
        <v>not in ('7402114618')</v>
      </c>
      <c r="F210" t="s">
        <v>436</v>
      </c>
      <c r="G210" t="s">
        <v>437</v>
      </c>
      <c r="H210" t="s">
        <v>437</v>
      </c>
      <c r="I210" t="s">
        <v>96</v>
      </c>
      <c r="J210" t="s">
        <v>18</v>
      </c>
      <c r="K210" t="s">
        <v>438</v>
      </c>
      <c r="L210" t="s">
        <v>20</v>
      </c>
      <c r="M210" t="s">
        <v>21</v>
      </c>
      <c r="N210">
        <v>20251001153423</v>
      </c>
      <c r="O210" t="s">
        <v>592</v>
      </c>
    </row>
    <row r="211" spans="1:15" x14ac:dyDescent="0.3">
      <c r="A211" t="s">
        <v>12</v>
      </c>
      <c r="B211" t="s">
        <v>13</v>
      </c>
      <c r="C211" s="2" t="s">
        <v>54</v>
      </c>
      <c r="D211" s="1" t="str">
        <f t="shared" si="12"/>
        <v>in ('5100008182')</v>
      </c>
      <c r="E211" s="1" t="str">
        <f t="shared" si="13"/>
        <v>not in ('5100008182')</v>
      </c>
      <c r="F211" t="s">
        <v>55</v>
      </c>
      <c r="G211" t="s">
        <v>56</v>
      </c>
      <c r="H211" t="s">
        <v>56</v>
      </c>
      <c r="J211" t="s">
        <v>18</v>
      </c>
      <c r="K211" t="s">
        <v>39</v>
      </c>
      <c r="L211" t="s">
        <v>20</v>
      </c>
      <c r="M211" t="s">
        <v>21</v>
      </c>
      <c r="N211">
        <v>20251001153423</v>
      </c>
      <c r="O211" t="s">
        <v>592</v>
      </c>
    </row>
    <row r="212" spans="1:15" x14ac:dyDescent="0.3">
      <c r="A212" t="s">
        <v>12</v>
      </c>
      <c r="B212" t="s">
        <v>13</v>
      </c>
      <c r="C212" s="2" t="s">
        <v>250</v>
      </c>
      <c r="D212" s="1" t="str">
        <f t="shared" si="12"/>
        <v>in ('5100013603')</v>
      </c>
      <c r="E212" s="1" t="str">
        <f t="shared" si="13"/>
        <v>not in ('5100013603')</v>
      </c>
      <c r="F212" t="s">
        <v>251</v>
      </c>
      <c r="G212" t="s">
        <v>56</v>
      </c>
      <c r="H212" t="s">
        <v>56</v>
      </c>
      <c r="J212" t="s">
        <v>18</v>
      </c>
      <c r="K212" t="s">
        <v>39</v>
      </c>
      <c r="L212" t="s">
        <v>20</v>
      </c>
      <c r="M212" t="s">
        <v>21</v>
      </c>
      <c r="N212">
        <v>20251001153423</v>
      </c>
      <c r="O212" t="s">
        <v>592</v>
      </c>
    </row>
    <row r="213" spans="1:15" x14ac:dyDescent="0.3">
      <c r="A213" t="s">
        <v>12</v>
      </c>
      <c r="B213" t="s">
        <v>13</v>
      </c>
      <c r="C213" s="2" t="s">
        <v>407</v>
      </c>
      <c r="D213" s="1" t="str">
        <f t="shared" si="12"/>
        <v>in ('7400772356')</v>
      </c>
      <c r="E213" s="1" t="str">
        <f t="shared" si="13"/>
        <v>not in ('7400772356')</v>
      </c>
      <c r="F213" t="s">
        <v>251</v>
      </c>
      <c r="G213" t="s">
        <v>56</v>
      </c>
      <c r="H213" t="s">
        <v>56</v>
      </c>
      <c r="J213" t="s">
        <v>18</v>
      </c>
      <c r="K213" t="s">
        <v>348</v>
      </c>
      <c r="L213" t="s">
        <v>20</v>
      </c>
      <c r="M213" t="s">
        <v>21</v>
      </c>
      <c r="N213">
        <v>20251001153423</v>
      </c>
      <c r="O213" t="s">
        <v>592</v>
      </c>
    </row>
    <row r="214" spans="1:15" x14ac:dyDescent="0.3">
      <c r="A214" t="s">
        <v>12</v>
      </c>
      <c r="B214" t="s">
        <v>13</v>
      </c>
      <c r="C214" s="2" t="s">
        <v>378</v>
      </c>
      <c r="D214" s="1" t="str">
        <f t="shared" si="12"/>
        <v>in ('7402750262')</v>
      </c>
      <c r="E214" s="1" t="str">
        <f t="shared" si="13"/>
        <v>not in ('7402750262')</v>
      </c>
      <c r="F214" t="s">
        <v>379</v>
      </c>
      <c r="G214" t="s">
        <v>380</v>
      </c>
      <c r="H214" t="s">
        <v>380</v>
      </c>
      <c r="I214" t="s">
        <v>96</v>
      </c>
      <c r="J214" t="s">
        <v>18</v>
      </c>
      <c r="K214" t="s">
        <v>381</v>
      </c>
      <c r="L214" t="s">
        <v>20</v>
      </c>
      <c r="M214" t="s">
        <v>21</v>
      </c>
      <c r="N214">
        <v>20251001153423</v>
      </c>
      <c r="O214" t="s">
        <v>592</v>
      </c>
    </row>
    <row r="215" spans="1:15" x14ac:dyDescent="0.3">
      <c r="A215" t="s">
        <v>12</v>
      </c>
      <c r="B215" t="s">
        <v>13</v>
      </c>
      <c r="C215" s="2" t="s">
        <v>22</v>
      </c>
      <c r="D215" s="1" t="str">
        <f t="shared" si="12"/>
        <v>in ('7400416297')</v>
      </c>
      <c r="E215" s="1" t="str">
        <f t="shared" si="13"/>
        <v>not in ('7400416297')</v>
      </c>
      <c r="F215" t="s">
        <v>23</v>
      </c>
      <c r="G215" t="s">
        <v>24</v>
      </c>
      <c r="H215" t="s">
        <v>25</v>
      </c>
      <c r="J215" t="s">
        <v>18</v>
      </c>
      <c r="K215" t="s">
        <v>26</v>
      </c>
      <c r="L215" t="s">
        <v>20</v>
      </c>
      <c r="M215" t="s">
        <v>21</v>
      </c>
      <c r="N215">
        <v>20251001153423</v>
      </c>
      <c r="O215" t="s">
        <v>592</v>
      </c>
    </row>
    <row r="216" spans="1:15" x14ac:dyDescent="0.3">
      <c r="A216" t="s">
        <v>12</v>
      </c>
      <c r="B216" t="s">
        <v>13</v>
      </c>
      <c r="C216" s="2" t="s">
        <v>320</v>
      </c>
      <c r="D216" s="1" t="str">
        <f t="shared" si="12"/>
        <v>in ('5100009460')</v>
      </c>
      <c r="E216" s="1" t="str">
        <f t="shared" si="13"/>
        <v>not in ('5100009460')</v>
      </c>
      <c r="F216" t="s">
        <v>321</v>
      </c>
      <c r="G216" t="s">
        <v>322</v>
      </c>
      <c r="H216" t="s">
        <v>322</v>
      </c>
      <c r="J216" t="s">
        <v>18</v>
      </c>
      <c r="K216" t="s">
        <v>39</v>
      </c>
      <c r="L216" t="s">
        <v>20</v>
      </c>
      <c r="M216" t="s">
        <v>21</v>
      </c>
      <c r="N216">
        <v>20251001153423</v>
      </c>
      <c r="O216" t="s">
        <v>592</v>
      </c>
    </row>
    <row r="217" spans="1:15" x14ac:dyDescent="0.3">
      <c r="A217" t="s">
        <v>12</v>
      </c>
      <c r="B217" t="s">
        <v>13</v>
      </c>
      <c r="C217" s="2" t="s">
        <v>246</v>
      </c>
      <c r="D217" s="1" t="str">
        <f t="shared" si="12"/>
        <v>in ('8037938734')</v>
      </c>
      <c r="E217" s="1" t="str">
        <f t="shared" si="13"/>
        <v>not in ('8037938734')</v>
      </c>
      <c r="F217" t="s">
        <v>247</v>
      </c>
      <c r="G217" t="s">
        <v>248</v>
      </c>
      <c r="H217" t="s">
        <v>249</v>
      </c>
      <c r="I217" t="s">
        <v>17</v>
      </c>
      <c r="J217" t="s">
        <v>18</v>
      </c>
      <c r="K217" t="s">
        <v>19</v>
      </c>
      <c r="L217" t="s">
        <v>20</v>
      </c>
      <c r="M217" t="s">
        <v>21</v>
      </c>
      <c r="N217">
        <v>20251001153423</v>
      </c>
      <c r="O217" t="s">
        <v>592</v>
      </c>
    </row>
    <row r="218" spans="1:15" hidden="1" x14ac:dyDescent="0.3">
      <c r="A218" t="s">
        <v>12</v>
      </c>
      <c r="B218" t="s">
        <v>13</v>
      </c>
      <c r="C218" t="s">
        <v>497</v>
      </c>
      <c r="D218"/>
      <c r="E218"/>
      <c r="F218" t="s">
        <v>498</v>
      </c>
      <c r="G218" t="s">
        <v>499</v>
      </c>
      <c r="H218" t="s">
        <v>500</v>
      </c>
      <c r="I218" t="s">
        <v>501</v>
      </c>
      <c r="J218" t="s">
        <v>18</v>
      </c>
      <c r="K218" t="s">
        <v>502</v>
      </c>
      <c r="L218" t="s">
        <v>20</v>
      </c>
      <c r="M218" t="s">
        <v>21</v>
      </c>
      <c r="N218">
        <v>20251001153423</v>
      </c>
      <c r="O218" t="s">
        <v>591</v>
      </c>
    </row>
    <row r="219" spans="1:15" x14ac:dyDescent="0.3">
      <c r="A219" t="s">
        <v>12</v>
      </c>
      <c r="B219" t="s">
        <v>13</v>
      </c>
      <c r="C219" s="2" t="s">
        <v>143</v>
      </c>
      <c r="D219" s="1" t="str">
        <f t="shared" ref="D219:D248" si="14">_xlfn.CONCAT("in ", "('",C219,"')")</f>
        <v>in ('7402784168')</v>
      </c>
      <c r="E219" s="1" t="str">
        <f t="shared" ref="E219:E248" si="15">_xlfn.CONCAT("not in ", "('",C219,"')")</f>
        <v>not in ('7402784168')</v>
      </c>
      <c r="F219" t="s">
        <v>144</v>
      </c>
      <c r="G219" t="s">
        <v>145</v>
      </c>
      <c r="H219" t="s">
        <v>145</v>
      </c>
      <c r="J219" t="s">
        <v>18</v>
      </c>
      <c r="K219" t="s">
        <v>146</v>
      </c>
      <c r="L219" t="s">
        <v>20</v>
      </c>
      <c r="M219" t="s">
        <v>21</v>
      </c>
      <c r="N219">
        <v>20251001153423</v>
      </c>
      <c r="O219" t="s">
        <v>592</v>
      </c>
    </row>
    <row r="220" spans="1:15" x14ac:dyDescent="0.3">
      <c r="A220" t="s">
        <v>12</v>
      </c>
      <c r="B220" t="s">
        <v>13</v>
      </c>
      <c r="C220" s="2" t="s">
        <v>373</v>
      </c>
      <c r="D220" s="1" t="str">
        <f t="shared" si="14"/>
        <v>in ('5100008018')</v>
      </c>
      <c r="E220" s="1" t="str">
        <f t="shared" si="15"/>
        <v>not in ('5100008018')</v>
      </c>
      <c r="F220" t="s">
        <v>374</v>
      </c>
      <c r="G220" t="s">
        <v>375</v>
      </c>
      <c r="H220" t="s">
        <v>376</v>
      </c>
      <c r="J220" t="s">
        <v>18</v>
      </c>
      <c r="K220" t="s">
        <v>39</v>
      </c>
      <c r="L220" t="s">
        <v>20</v>
      </c>
      <c r="M220" t="s">
        <v>21</v>
      </c>
      <c r="N220">
        <v>20251001153423</v>
      </c>
      <c r="O220" t="s">
        <v>592</v>
      </c>
    </row>
    <row r="221" spans="1:15" x14ac:dyDescent="0.3">
      <c r="A221" t="s">
        <v>12</v>
      </c>
      <c r="B221" t="s">
        <v>13</v>
      </c>
      <c r="C221" s="2" t="s">
        <v>393</v>
      </c>
      <c r="D221" s="1" t="str">
        <f t="shared" si="14"/>
        <v>in ('7400416325')</v>
      </c>
      <c r="E221" s="1" t="str">
        <f t="shared" si="15"/>
        <v>not in ('7400416325')</v>
      </c>
      <c r="F221" t="s">
        <v>394</v>
      </c>
      <c r="G221" t="s">
        <v>395</v>
      </c>
      <c r="H221" t="s">
        <v>396</v>
      </c>
      <c r="J221" t="s">
        <v>18</v>
      </c>
      <c r="K221" t="s">
        <v>26</v>
      </c>
      <c r="L221" t="s">
        <v>20</v>
      </c>
      <c r="M221" t="s">
        <v>21</v>
      </c>
      <c r="N221">
        <v>20251001153423</v>
      </c>
      <c r="O221" t="s">
        <v>592</v>
      </c>
    </row>
    <row r="222" spans="1:15" x14ac:dyDescent="0.3">
      <c r="A222" t="s">
        <v>12</v>
      </c>
      <c r="B222" t="s">
        <v>13</v>
      </c>
      <c r="C222" s="2" t="s">
        <v>477</v>
      </c>
      <c r="D222" s="1" t="str">
        <f t="shared" si="14"/>
        <v>in ('1700136358')</v>
      </c>
      <c r="E222" s="1" t="str">
        <f t="shared" si="15"/>
        <v>not in ('1700136358')</v>
      </c>
      <c r="F222" t="s">
        <v>478</v>
      </c>
      <c r="G222" t="s">
        <v>24</v>
      </c>
      <c r="H222" t="s">
        <v>25</v>
      </c>
      <c r="I222" t="s">
        <v>17</v>
      </c>
      <c r="J222" t="s">
        <v>18</v>
      </c>
      <c r="K222" t="s">
        <v>19</v>
      </c>
      <c r="L222" t="s">
        <v>20</v>
      </c>
      <c r="M222" t="s">
        <v>21</v>
      </c>
      <c r="N222">
        <v>20251001153423</v>
      </c>
      <c r="O222" t="s">
        <v>592</v>
      </c>
    </row>
    <row r="223" spans="1:15" x14ac:dyDescent="0.3">
      <c r="A223" t="s">
        <v>12</v>
      </c>
      <c r="B223" t="s">
        <v>13</v>
      </c>
      <c r="C223" s="2" t="s">
        <v>27</v>
      </c>
      <c r="D223" s="1" t="str">
        <f t="shared" si="14"/>
        <v>in ('0000026320')</v>
      </c>
      <c r="E223" s="1" t="str">
        <f t="shared" si="15"/>
        <v>not in ('0000026320')</v>
      </c>
      <c r="F223" t="s">
        <v>28</v>
      </c>
      <c r="G223" t="s">
        <v>16</v>
      </c>
      <c r="H223" t="s">
        <v>16</v>
      </c>
      <c r="I223" t="s">
        <v>17</v>
      </c>
      <c r="J223" t="s">
        <v>18</v>
      </c>
      <c r="K223" t="s">
        <v>19</v>
      </c>
      <c r="L223" t="s">
        <v>20</v>
      </c>
      <c r="M223" t="s">
        <v>21</v>
      </c>
      <c r="N223">
        <v>20251001153423</v>
      </c>
      <c r="O223" t="s">
        <v>592</v>
      </c>
    </row>
    <row r="224" spans="1:15" x14ac:dyDescent="0.3">
      <c r="A224" t="s">
        <v>12</v>
      </c>
      <c r="B224" t="s">
        <v>13</v>
      </c>
      <c r="C224" s="2" t="s">
        <v>199</v>
      </c>
      <c r="D224" s="1" t="str">
        <f t="shared" si="14"/>
        <v>in ('8006964954')</v>
      </c>
      <c r="E224" s="1" t="str">
        <f t="shared" si="15"/>
        <v>not in ('8006964954')</v>
      </c>
      <c r="F224" t="s">
        <v>28</v>
      </c>
      <c r="G224" t="s">
        <v>16</v>
      </c>
      <c r="H224" t="s">
        <v>16</v>
      </c>
      <c r="I224" t="s">
        <v>17</v>
      </c>
      <c r="J224" t="s">
        <v>18</v>
      </c>
      <c r="K224" t="s">
        <v>19</v>
      </c>
      <c r="L224" t="s">
        <v>20</v>
      </c>
      <c r="M224" t="s">
        <v>21</v>
      </c>
      <c r="N224">
        <v>20251001153423</v>
      </c>
      <c r="O224" t="s">
        <v>592</v>
      </c>
    </row>
    <row r="225" spans="1:15" x14ac:dyDescent="0.3">
      <c r="A225" t="s">
        <v>12</v>
      </c>
      <c r="B225" t="s">
        <v>13</v>
      </c>
      <c r="C225" s="2" t="s">
        <v>350</v>
      </c>
      <c r="D225" s="1" t="str">
        <f t="shared" si="14"/>
        <v>in ('9002544619')</v>
      </c>
      <c r="E225" s="1" t="str">
        <f t="shared" si="15"/>
        <v>not in ('9002544619')</v>
      </c>
      <c r="F225" t="s">
        <v>28</v>
      </c>
      <c r="G225" t="s">
        <v>16</v>
      </c>
      <c r="H225" t="s">
        <v>16</v>
      </c>
      <c r="I225" t="s">
        <v>17</v>
      </c>
      <c r="J225" t="s">
        <v>18</v>
      </c>
      <c r="K225" t="s">
        <v>19</v>
      </c>
      <c r="L225" t="s">
        <v>20</v>
      </c>
      <c r="M225" t="s">
        <v>21</v>
      </c>
      <c r="N225">
        <v>20251001153423</v>
      </c>
      <c r="O225" t="s">
        <v>592</v>
      </c>
    </row>
    <row r="226" spans="1:15" x14ac:dyDescent="0.3">
      <c r="A226" t="s">
        <v>12</v>
      </c>
      <c r="B226" t="s">
        <v>13</v>
      </c>
      <c r="C226" s="2" t="s">
        <v>450</v>
      </c>
      <c r="D226" s="1" t="str">
        <f t="shared" si="14"/>
        <v>in ('8046386217')</v>
      </c>
      <c r="E226" s="1" t="str">
        <f t="shared" si="15"/>
        <v>not in ('8046386217')</v>
      </c>
      <c r="F226" t="s">
        <v>28</v>
      </c>
      <c r="G226" t="s">
        <v>16</v>
      </c>
      <c r="H226" t="s">
        <v>16</v>
      </c>
      <c r="I226" t="s">
        <v>17</v>
      </c>
      <c r="J226" t="s">
        <v>18</v>
      </c>
      <c r="K226" t="s">
        <v>19</v>
      </c>
      <c r="L226" t="s">
        <v>20</v>
      </c>
      <c r="M226" t="s">
        <v>21</v>
      </c>
      <c r="N226">
        <v>20251001153423</v>
      </c>
      <c r="O226" t="s">
        <v>592</v>
      </c>
    </row>
    <row r="227" spans="1:15" x14ac:dyDescent="0.3">
      <c r="A227" t="s">
        <v>12</v>
      </c>
      <c r="B227" t="s">
        <v>13</v>
      </c>
      <c r="C227" s="2" t="s">
        <v>464</v>
      </c>
      <c r="D227" s="1" t="str">
        <f t="shared" si="14"/>
        <v>in ('5100727684')</v>
      </c>
      <c r="E227" s="1" t="str">
        <f t="shared" si="15"/>
        <v>not in ('5100727684')</v>
      </c>
      <c r="F227" t="s">
        <v>465</v>
      </c>
      <c r="G227" t="s">
        <v>466</v>
      </c>
      <c r="H227" t="s">
        <v>466</v>
      </c>
      <c r="J227" t="s">
        <v>18</v>
      </c>
      <c r="K227" t="s">
        <v>39</v>
      </c>
      <c r="L227" t="s">
        <v>20</v>
      </c>
      <c r="M227" t="s">
        <v>21</v>
      </c>
      <c r="N227">
        <v>20251001153423</v>
      </c>
      <c r="O227" t="s">
        <v>592</v>
      </c>
    </row>
    <row r="228" spans="1:15" x14ac:dyDescent="0.3">
      <c r="A228" t="s">
        <v>12</v>
      </c>
      <c r="B228" t="s">
        <v>13</v>
      </c>
      <c r="C228" s="2" t="s">
        <v>423</v>
      </c>
      <c r="D228" s="1" t="str">
        <f t="shared" si="14"/>
        <v>in ('5100596466')</v>
      </c>
      <c r="E228" s="1" t="str">
        <f t="shared" si="15"/>
        <v>not in ('5100596466')</v>
      </c>
      <c r="F228" t="s">
        <v>424</v>
      </c>
      <c r="G228" t="s">
        <v>425</v>
      </c>
      <c r="H228" t="s">
        <v>425</v>
      </c>
      <c r="J228" t="s">
        <v>18</v>
      </c>
      <c r="K228" t="s">
        <v>39</v>
      </c>
      <c r="L228" t="s">
        <v>20</v>
      </c>
      <c r="M228" t="s">
        <v>21</v>
      </c>
      <c r="N228">
        <v>20251001153423</v>
      </c>
      <c r="O228" t="s">
        <v>592</v>
      </c>
    </row>
    <row r="229" spans="1:15" x14ac:dyDescent="0.3">
      <c r="A229" t="s">
        <v>12</v>
      </c>
      <c r="B229" t="s">
        <v>13</v>
      </c>
      <c r="C229" s="2" t="s">
        <v>451</v>
      </c>
      <c r="D229" s="1" t="str">
        <f t="shared" si="14"/>
        <v>in ('0000046859')</v>
      </c>
      <c r="E229" s="1" t="str">
        <f t="shared" si="15"/>
        <v>not in ('0000046859')</v>
      </c>
      <c r="F229" t="s">
        <v>452</v>
      </c>
      <c r="G229" t="s">
        <v>16</v>
      </c>
      <c r="H229" t="s">
        <v>16</v>
      </c>
      <c r="I229" t="s">
        <v>17</v>
      </c>
      <c r="J229" t="s">
        <v>18</v>
      </c>
      <c r="K229" t="s">
        <v>19</v>
      </c>
      <c r="L229" t="s">
        <v>20</v>
      </c>
      <c r="M229" t="s">
        <v>21</v>
      </c>
      <c r="N229">
        <v>20251001153423</v>
      </c>
      <c r="O229" t="s">
        <v>592</v>
      </c>
    </row>
    <row r="230" spans="1:15" x14ac:dyDescent="0.3">
      <c r="A230" t="s">
        <v>12</v>
      </c>
      <c r="B230" t="s">
        <v>13</v>
      </c>
      <c r="C230" s="2" t="s">
        <v>14</v>
      </c>
      <c r="D230" s="1" t="str">
        <f t="shared" si="14"/>
        <v>in ('6511000214')</v>
      </c>
      <c r="E230" s="1" t="str">
        <f t="shared" si="15"/>
        <v>not in ('6511000214')</v>
      </c>
      <c r="F230" t="s">
        <v>15</v>
      </c>
      <c r="G230" t="s">
        <v>16</v>
      </c>
      <c r="H230" t="s">
        <v>16</v>
      </c>
      <c r="I230" t="s">
        <v>17</v>
      </c>
      <c r="J230" t="s">
        <v>18</v>
      </c>
      <c r="K230" t="s">
        <v>19</v>
      </c>
      <c r="L230" t="s">
        <v>20</v>
      </c>
      <c r="M230" t="s">
        <v>21</v>
      </c>
      <c r="N230">
        <v>20251001153423</v>
      </c>
      <c r="O230" t="s">
        <v>592</v>
      </c>
    </row>
    <row r="231" spans="1:15" x14ac:dyDescent="0.3">
      <c r="A231" t="s">
        <v>12</v>
      </c>
      <c r="B231" t="s">
        <v>13</v>
      </c>
      <c r="C231" s="2" t="s">
        <v>570</v>
      </c>
      <c r="D231" s="1" t="str">
        <f t="shared" si="14"/>
        <v>in ('5100665602')</v>
      </c>
      <c r="E231" s="1" t="str">
        <f t="shared" si="15"/>
        <v>not in ('5100665602')</v>
      </c>
      <c r="F231" t="s">
        <v>571</v>
      </c>
      <c r="G231" t="s">
        <v>572</v>
      </c>
      <c r="H231" t="s">
        <v>572</v>
      </c>
      <c r="J231" t="s">
        <v>18</v>
      </c>
      <c r="K231" t="s">
        <v>39</v>
      </c>
      <c r="L231" t="s">
        <v>20</v>
      </c>
      <c r="M231" t="s">
        <v>21</v>
      </c>
      <c r="N231">
        <v>20251001153423</v>
      </c>
      <c r="O231" t="s">
        <v>592</v>
      </c>
    </row>
    <row r="232" spans="1:15" x14ac:dyDescent="0.3">
      <c r="A232" t="s">
        <v>12</v>
      </c>
      <c r="B232" t="s">
        <v>13</v>
      </c>
      <c r="C232" s="2" t="s">
        <v>201</v>
      </c>
      <c r="D232" s="1" t="str">
        <f t="shared" si="14"/>
        <v>in ('8041492238')</v>
      </c>
      <c r="E232" s="1" t="str">
        <f t="shared" si="15"/>
        <v>not in ('8041492238')</v>
      </c>
      <c r="F232" t="s">
        <v>202</v>
      </c>
      <c r="G232" t="s">
        <v>203</v>
      </c>
      <c r="H232" t="s">
        <v>204</v>
      </c>
      <c r="I232" t="s">
        <v>17</v>
      </c>
      <c r="J232" t="s">
        <v>18</v>
      </c>
      <c r="K232" t="s">
        <v>19</v>
      </c>
      <c r="L232" t="s">
        <v>20</v>
      </c>
      <c r="M232" t="s">
        <v>21</v>
      </c>
      <c r="N232">
        <v>20251001153423</v>
      </c>
      <c r="O232" t="s">
        <v>592</v>
      </c>
    </row>
    <row r="233" spans="1:15" x14ac:dyDescent="0.3">
      <c r="A233" t="s">
        <v>12</v>
      </c>
      <c r="B233" t="s">
        <v>13</v>
      </c>
      <c r="C233" s="2" t="s">
        <v>262</v>
      </c>
      <c r="D233" s="1" t="str">
        <f t="shared" si="14"/>
        <v>in ('9002358453')</v>
      </c>
      <c r="E233" s="1" t="str">
        <f t="shared" si="15"/>
        <v>not in ('9002358453')</v>
      </c>
      <c r="F233" t="s">
        <v>202</v>
      </c>
      <c r="G233" t="s">
        <v>203</v>
      </c>
      <c r="H233" t="s">
        <v>204</v>
      </c>
      <c r="I233" t="s">
        <v>17</v>
      </c>
      <c r="J233" t="s">
        <v>18</v>
      </c>
      <c r="K233" t="s">
        <v>19</v>
      </c>
      <c r="L233" t="s">
        <v>20</v>
      </c>
      <c r="M233" t="s">
        <v>21</v>
      </c>
      <c r="N233">
        <v>20251001153423</v>
      </c>
      <c r="O233" t="s">
        <v>592</v>
      </c>
    </row>
    <row r="234" spans="1:15" x14ac:dyDescent="0.3">
      <c r="A234" t="s">
        <v>12</v>
      </c>
      <c r="B234" t="s">
        <v>13</v>
      </c>
      <c r="C234" s="2" t="s">
        <v>404</v>
      </c>
      <c r="D234" s="1" t="str">
        <f t="shared" si="14"/>
        <v>in ('4161000611')</v>
      </c>
      <c r="E234" s="1" t="str">
        <f t="shared" si="15"/>
        <v>not in ('4161000611')</v>
      </c>
      <c r="F234" t="s">
        <v>202</v>
      </c>
      <c r="G234" t="s">
        <v>203</v>
      </c>
      <c r="H234" t="s">
        <v>204</v>
      </c>
      <c r="I234" t="s">
        <v>17</v>
      </c>
      <c r="J234" t="s">
        <v>18</v>
      </c>
      <c r="K234" t="s">
        <v>19</v>
      </c>
      <c r="L234" t="s">
        <v>20</v>
      </c>
      <c r="M234" t="s">
        <v>21</v>
      </c>
      <c r="N234">
        <v>20251001153423</v>
      </c>
      <c r="O234" t="s">
        <v>592</v>
      </c>
    </row>
    <row r="235" spans="1:15" x14ac:dyDescent="0.3">
      <c r="A235" t="s">
        <v>12</v>
      </c>
      <c r="B235" t="s">
        <v>13</v>
      </c>
      <c r="C235" s="2" t="s">
        <v>208</v>
      </c>
      <c r="D235" s="1" t="str">
        <f t="shared" si="14"/>
        <v>in ('8046077493')</v>
      </c>
      <c r="E235" s="1" t="str">
        <f t="shared" si="15"/>
        <v>not in ('8046077493')</v>
      </c>
      <c r="F235" t="s">
        <v>209</v>
      </c>
      <c r="G235" t="s">
        <v>210</v>
      </c>
      <c r="H235" t="s">
        <v>210</v>
      </c>
      <c r="I235" t="s">
        <v>17</v>
      </c>
      <c r="J235" t="s">
        <v>18</v>
      </c>
      <c r="K235" t="s">
        <v>19</v>
      </c>
      <c r="L235" t="s">
        <v>20</v>
      </c>
      <c r="M235" t="s">
        <v>21</v>
      </c>
      <c r="N235">
        <v>20251001153423</v>
      </c>
      <c r="O235" t="s">
        <v>592</v>
      </c>
    </row>
    <row r="236" spans="1:15" x14ac:dyDescent="0.3">
      <c r="A236" t="s">
        <v>12</v>
      </c>
      <c r="B236" t="s">
        <v>13</v>
      </c>
      <c r="C236" s="2" t="s">
        <v>32</v>
      </c>
      <c r="D236" s="1" t="str">
        <f t="shared" si="14"/>
        <v>in ('1700121866')</v>
      </c>
      <c r="E236" s="1" t="str">
        <f t="shared" si="15"/>
        <v>not in ('1700121866')</v>
      </c>
      <c r="F236" t="s">
        <v>33</v>
      </c>
      <c r="G236" t="s">
        <v>34</v>
      </c>
      <c r="H236" t="s">
        <v>35</v>
      </c>
      <c r="I236" t="s">
        <v>17</v>
      </c>
      <c r="J236" t="s">
        <v>18</v>
      </c>
      <c r="K236" t="s">
        <v>19</v>
      </c>
      <c r="L236" t="s">
        <v>20</v>
      </c>
      <c r="M236" t="s">
        <v>21</v>
      </c>
      <c r="N236">
        <v>20251001153423</v>
      </c>
      <c r="O236" t="s">
        <v>592</v>
      </c>
    </row>
    <row r="237" spans="1:15" x14ac:dyDescent="0.3">
      <c r="A237" t="s">
        <v>12</v>
      </c>
      <c r="B237" t="s">
        <v>13</v>
      </c>
      <c r="C237" s="2" t="s">
        <v>200</v>
      </c>
      <c r="D237" s="1" t="str">
        <f t="shared" si="14"/>
        <v>in ('9001911423')</v>
      </c>
      <c r="E237" s="1" t="str">
        <f t="shared" si="15"/>
        <v>not in ('9001911423')</v>
      </c>
      <c r="F237" t="s">
        <v>33</v>
      </c>
      <c r="G237" t="s">
        <v>34</v>
      </c>
      <c r="H237" t="s">
        <v>35</v>
      </c>
      <c r="I237" t="s">
        <v>113</v>
      </c>
      <c r="J237" t="s">
        <v>18</v>
      </c>
      <c r="K237" t="s">
        <v>19</v>
      </c>
      <c r="L237" t="s">
        <v>20</v>
      </c>
      <c r="M237" t="s">
        <v>21</v>
      </c>
      <c r="N237">
        <v>20251001153423</v>
      </c>
      <c r="O237" t="s">
        <v>592</v>
      </c>
    </row>
    <row r="238" spans="1:15" x14ac:dyDescent="0.3">
      <c r="A238" t="s">
        <v>12</v>
      </c>
      <c r="B238" t="s">
        <v>13</v>
      </c>
      <c r="C238" s="2" t="s">
        <v>280</v>
      </c>
      <c r="D238" s="1" t="str">
        <f t="shared" si="14"/>
        <v>in ('8000391312')</v>
      </c>
      <c r="E238" s="1" t="str">
        <f t="shared" si="15"/>
        <v>not in ('8000391312')</v>
      </c>
      <c r="F238" t="s">
        <v>33</v>
      </c>
      <c r="G238" t="s">
        <v>34</v>
      </c>
      <c r="H238" t="s">
        <v>35</v>
      </c>
      <c r="I238" t="s">
        <v>17</v>
      </c>
      <c r="J238" t="s">
        <v>18</v>
      </c>
      <c r="K238" t="s">
        <v>19</v>
      </c>
      <c r="L238" t="s">
        <v>20</v>
      </c>
      <c r="M238" t="s">
        <v>21</v>
      </c>
      <c r="N238">
        <v>20251001153423</v>
      </c>
      <c r="O238" t="s">
        <v>592</v>
      </c>
    </row>
    <row r="239" spans="1:15" x14ac:dyDescent="0.3">
      <c r="A239" t="s">
        <v>12</v>
      </c>
      <c r="B239" t="s">
        <v>13</v>
      </c>
      <c r="C239" s="2" t="s">
        <v>587</v>
      </c>
      <c r="D239" s="1" t="str">
        <f t="shared" si="14"/>
        <v>in ('1700079420')</v>
      </c>
      <c r="E239" s="1" t="str">
        <f t="shared" si="15"/>
        <v>not in ('1700079420')</v>
      </c>
      <c r="F239" t="s">
        <v>588</v>
      </c>
      <c r="G239" t="s">
        <v>73</v>
      </c>
      <c r="H239" t="s">
        <v>74</v>
      </c>
      <c r="I239" t="s">
        <v>96</v>
      </c>
      <c r="J239" t="s">
        <v>18</v>
      </c>
      <c r="K239" t="s">
        <v>589</v>
      </c>
      <c r="L239" t="s">
        <v>20</v>
      </c>
      <c r="M239" t="s">
        <v>21</v>
      </c>
      <c r="N239">
        <v>20251001153423</v>
      </c>
      <c r="O239" t="s">
        <v>592</v>
      </c>
    </row>
    <row r="240" spans="1:15" x14ac:dyDescent="0.3">
      <c r="A240" t="s">
        <v>12</v>
      </c>
      <c r="B240" t="s">
        <v>13</v>
      </c>
      <c r="C240" s="2" t="s">
        <v>71</v>
      </c>
      <c r="D240" s="1" t="str">
        <f t="shared" si="14"/>
        <v>in ('5100006736')</v>
      </c>
      <c r="E240" s="1" t="str">
        <f t="shared" si="15"/>
        <v>not in ('5100006736')</v>
      </c>
      <c r="F240" t="s">
        <v>72</v>
      </c>
      <c r="G240" t="s">
        <v>73</v>
      </c>
      <c r="H240" t="s">
        <v>74</v>
      </c>
      <c r="J240" t="s">
        <v>18</v>
      </c>
      <c r="K240" t="s">
        <v>39</v>
      </c>
      <c r="L240" t="s">
        <v>20</v>
      </c>
      <c r="M240" t="s">
        <v>21</v>
      </c>
      <c r="N240">
        <v>20251001153423</v>
      </c>
      <c r="O240" t="s">
        <v>592</v>
      </c>
    </row>
    <row r="241" spans="1:15" x14ac:dyDescent="0.3">
      <c r="A241" t="s">
        <v>12</v>
      </c>
      <c r="B241" t="s">
        <v>13</v>
      </c>
      <c r="C241" s="2" t="s">
        <v>212</v>
      </c>
      <c r="D241" s="1" t="str">
        <f t="shared" si="14"/>
        <v>in ('7400781266')</v>
      </c>
      <c r="E241" s="1" t="str">
        <f t="shared" si="15"/>
        <v>not in ('7400781266')</v>
      </c>
      <c r="F241" t="s">
        <v>213</v>
      </c>
      <c r="G241" t="s">
        <v>214</v>
      </c>
      <c r="H241" t="s">
        <v>214</v>
      </c>
      <c r="I241" t="s">
        <v>84</v>
      </c>
      <c r="J241" t="s">
        <v>18</v>
      </c>
      <c r="K241" t="s">
        <v>215</v>
      </c>
      <c r="L241" t="s">
        <v>20</v>
      </c>
      <c r="M241" t="s">
        <v>21</v>
      </c>
      <c r="N241">
        <v>20251001153423</v>
      </c>
      <c r="O241" t="s">
        <v>592</v>
      </c>
    </row>
    <row r="242" spans="1:15" x14ac:dyDescent="0.3">
      <c r="A242" t="s">
        <v>12</v>
      </c>
      <c r="B242" t="s">
        <v>13</v>
      </c>
      <c r="C242" s="2" t="s">
        <v>253</v>
      </c>
      <c r="D242" s="1" t="str">
        <f t="shared" si="14"/>
        <v>in ('0000002716')</v>
      </c>
      <c r="E242" s="1" t="str">
        <f t="shared" si="15"/>
        <v>not in ('0000002716')</v>
      </c>
      <c r="F242" t="s">
        <v>254</v>
      </c>
      <c r="G242" t="s">
        <v>255</v>
      </c>
      <c r="H242" t="s">
        <v>255</v>
      </c>
      <c r="J242" t="s">
        <v>18</v>
      </c>
      <c r="K242" t="s">
        <v>256</v>
      </c>
      <c r="L242" t="s">
        <v>20</v>
      </c>
      <c r="M242" t="s">
        <v>21</v>
      </c>
      <c r="N242">
        <v>20251001153423</v>
      </c>
      <c r="O242" t="s">
        <v>592</v>
      </c>
    </row>
    <row r="243" spans="1:15" x14ac:dyDescent="0.3">
      <c r="A243" t="s">
        <v>12</v>
      </c>
      <c r="B243" t="s">
        <v>13</v>
      </c>
      <c r="C243" s="2" t="s">
        <v>268</v>
      </c>
      <c r="D243" s="1" t="str">
        <f t="shared" si="14"/>
        <v>in ('2100170655')</v>
      </c>
      <c r="E243" s="1" t="str">
        <f t="shared" si="15"/>
        <v>not in ('2100170655')</v>
      </c>
      <c r="F243" t="s">
        <v>254</v>
      </c>
      <c r="G243" t="s">
        <v>255</v>
      </c>
      <c r="H243" t="s">
        <v>255</v>
      </c>
      <c r="J243" t="s">
        <v>18</v>
      </c>
      <c r="K243" t="s">
        <v>256</v>
      </c>
      <c r="L243" t="s">
        <v>20</v>
      </c>
      <c r="M243" t="s">
        <v>21</v>
      </c>
      <c r="N243">
        <v>20251001153423</v>
      </c>
      <c r="O243" t="s">
        <v>592</v>
      </c>
    </row>
    <row r="244" spans="1:15" x14ac:dyDescent="0.3">
      <c r="A244" t="s">
        <v>12</v>
      </c>
      <c r="B244" t="s">
        <v>13</v>
      </c>
      <c r="C244" s="2" t="s">
        <v>310</v>
      </c>
      <c r="D244" s="1" t="str">
        <f t="shared" si="14"/>
        <v>in ('8000941336')</v>
      </c>
      <c r="E244" s="1" t="str">
        <f t="shared" si="15"/>
        <v>not in ('8000941336')</v>
      </c>
      <c r="F244" t="s">
        <v>254</v>
      </c>
      <c r="G244" t="s">
        <v>255</v>
      </c>
      <c r="H244" t="s">
        <v>255</v>
      </c>
      <c r="J244" t="s">
        <v>18</v>
      </c>
      <c r="K244" t="s">
        <v>256</v>
      </c>
      <c r="L244" t="s">
        <v>20</v>
      </c>
      <c r="M244" t="s">
        <v>21</v>
      </c>
      <c r="N244">
        <v>20251001153423</v>
      </c>
      <c r="O244" t="s">
        <v>592</v>
      </c>
    </row>
    <row r="245" spans="1:15" x14ac:dyDescent="0.3">
      <c r="A245" t="s">
        <v>12</v>
      </c>
      <c r="B245" t="s">
        <v>13</v>
      </c>
      <c r="C245" s="2" t="s">
        <v>357</v>
      </c>
      <c r="D245" s="1" t="str">
        <f t="shared" si="14"/>
        <v>in ('9000618919')</v>
      </c>
      <c r="E245" s="1" t="str">
        <f t="shared" si="15"/>
        <v>not in ('9000618919')</v>
      </c>
      <c r="F245" t="s">
        <v>254</v>
      </c>
      <c r="G245" t="s">
        <v>255</v>
      </c>
      <c r="H245" t="s">
        <v>255</v>
      </c>
      <c r="J245" t="s">
        <v>18</v>
      </c>
      <c r="K245" t="s">
        <v>256</v>
      </c>
      <c r="L245" t="s">
        <v>20</v>
      </c>
      <c r="M245" t="s">
        <v>21</v>
      </c>
      <c r="N245">
        <v>20251001153423</v>
      </c>
      <c r="O245" t="s">
        <v>592</v>
      </c>
    </row>
    <row r="246" spans="1:15" x14ac:dyDescent="0.3">
      <c r="A246" t="s">
        <v>12</v>
      </c>
      <c r="B246" t="s">
        <v>13</v>
      </c>
      <c r="C246" s="2" t="s">
        <v>471</v>
      </c>
      <c r="D246" s="1" t="str">
        <f t="shared" si="14"/>
        <v>in ('5100261093')</v>
      </c>
      <c r="E246" s="1" t="str">
        <f t="shared" si="15"/>
        <v>not in ('5100261093')</v>
      </c>
      <c r="F246" t="s">
        <v>254</v>
      </c>
      <c r="G246" t="s">
        <v>255</v>
      </c>
      <c r="H246" t="s">
        <v>255</v>
      </c>
      <c r="J246" t="s">
        <v>18</v>
      </c>
      <c r="K246" t="s">
        <v>256</v>
      </c>
      <c r="L246" t="s">
        <v>20</v>
      </c>
      <c r="M246" t="s">
        <v>21</v>
      </c>
      <c r="N246">
        <v>20251001153423</v>
      </c>
      <c r="O246" t="s">
        <v>592</v>
      </c>
    </row>
    <row r="247" spans="1:15" x14ac:dyDescent="0.3">
      <c r="A247" t="s">
        <v>12</v>
      </c>
      <c r="B247" t="s">
        <v>13</v>
      </c>
      <c r="C247" s="2" t="s">
        <v>133</v>
      </c>
      <c r="D247" s="1" t="str">
        <f t="shared" si="14"/>
        <v>in ('7400223681')</v>
      </c>
      <c r="E247" s="1" t="str">
        <f t="shared" si="15"/>
        <v>not in ('7400223681')</v>
      </c>
      <c r="F247" t="s">
        <v>134</v>
      </c>
      <c r="G247" t="s">
        <v>135</v>
      </c>
      <c r="H247" t="s">
        <v>136</v>
      </c>
      <c r="I247" t="s">
        <v>96</v>
      </c>
      <c r="J247" t="s">
        <v>18</v>
      </c>
      <c r="K247" t="s">
        <v>137</v>
      </c>
      <c r="L247" t="s">
        <v>20</v>
      </c>
      <c r="M247" t="s">
        <v>21</v>
      </c>
      <c r="N247">
        <v>20251001153423</v>
      </c>
      <c r="O247" t="s">
        <v>592</v>
      </c>
    </row>
    <row r="248" spans="1:15" x14ac:dyDescent="0.3">
      <c r="A248" t="s">
        <v>12</v>
      </c>
      <c r="B248" t="s">
        <v>13</v>
      </c>
      <c r="C248" s="2" t="s">
        <v>584</v>
      </c>
      <c r="D248" s="1" t="str">
        <f t="shared" si="14"/>
        <v>in ('3481003857')</v>
      </c>
      <c r="E248" s="1" t="str">
        <f t="shared" si="15"/>
        <v>not in ('3481003857')</v>
      </c>
      <c r="F248" t="s">
        <v>134</v>
      </c>
      <c r="G248" t="s">
        <v>135</v>
      </c>
      <c r="H248" t="s">
        <v>136</v>
      </c>
      <c r="I248" t="s">
        <v>96</v>
      </c>
      <c r="J248" t="s">
        <v>18</v>
      </c>
      <c r="K248" t="s">
        <v>137</v>
      </c>
      <c r="L248" t="s">
        <v>20</v>
      </c>
      <c r="M248" t="s">
        <v>21</v>
      </c>
      <c r="N248">
        <v>20251001153423</v>
      </c>
      <c r="O248" t="s">
        <v>592</v>
      </c>
    </row>
  </sheetData>
  <autoFilter ref="A1:O248" xr:uid="{00000000-0001-0000-0000-000000000000}">
    <filterColumn colId="14">
      <filters>
        <filter val="Sim"/>
      </filters>
    </filterColumn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B9A5E792D2446B8986FAE34BEC557" ma:contentTypeVersion="13" ma:contentTypeDescription="Create a new document." ma:contentTypeScope="" ma:versionID="1bd2bbbdbde722e982e91dda7950abd0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63ef47364dd259a6898af9a94ded95aa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DEF517-2E4F-4D5B-AA9E-0BE154ECE8E5}"/>
</file>

<file path=customXml/itemProps2.xml><?xml version="1.0" encoding="utf-8"?>
<ds:datastoreItem xmlns:ds="http://schemas.openxmlformats.org/officeDocument/2006/customXml" ds:itemID="{9AD2E63E-D9FF-4A1B-BD72-8FE841B9BF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39D040-C7AF-4E4A-905B-9260BC1351B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9d3dac3-f296-4107-b579-4b1e37be6169"/>
    <ds:schemaRef ds:uri="5ad20f8b-9281-4829-a9aa-2b5a878ba2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Luís Filipe da Silva Pragosa</cp:lastModifiedBy>
  <cp:revision/>
  <dcterms:created xsi:type="dcterms:W3CDTF">2025-09-21T04:24:34Z</dcterms:created>
  <dcterms:modified xsi:type="dcterms:W3CDTF">2025-10-27T15:48:35Z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2025-10-17T15:05:35Z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e26e735e-1194-443a-bbac-2430e8c299de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SV_QUERY_LIST_4F35BF76-6C0D-4D9B-82B2-816C12CF3733">
    <vt:lpwstr>empty_477D106A-C0D6-4607-AEBD-E2C9D60EA279</vt:lpwstr>
  </property>
  <property fmtid="{D5CDD505-2E9C-101B-9397-08002B2CF9AE}" pid="11" name="SV_HIDDEN_GRID_QUERY_LIST_4F35BF76-6C0D-4D9B-82B2-816C12CF3733">
    <vt:lpwstr>empty_477D106A-C0D6-4607-AEBD-E2C9D60EA279</vt:lpwstr>
  </property>
  <property fmtid="{D5CDD505-2E9C-101B-9397-08002B2CF9AE}" pid="12" name="ContentTypeId">
    <vt:lpwstr>0x0101000B6B9A5E792D2446B8986FAE34BEC557</vt:lpwstr>
  </property>
  <property fmtid="{D5CDD505-2E9C-101B-9397-08002B2CF9AE}" pid="13" name="MediaServiceImageTags">
    <vt:lpwstr/>
  </property>
</Properties>
</file>