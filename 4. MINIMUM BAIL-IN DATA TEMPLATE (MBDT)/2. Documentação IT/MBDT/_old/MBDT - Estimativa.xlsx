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"/>
    </mc:Choice>
  </mc:AlternateContent>
  <xr:revisionPtr revIDLastSave="296" documentId="11_290F5871623494935F8B9174649EF1300047D48A" xr6:coauthVersionLast="47" xr6:coauthVersionMax="47" xr10:uidLastSave="{150B4267-BDD7-477F-879F-A30D6E360156}"/>
  <bookViews>
    <workbookView xWindow="-108" yWindow="-108" windowWidth="23256" windowHeight="12456" firstSheet="1" xr2:uid="{00000000-000D-0000-FFFF-FFFF00000000}"/>
  </bookViews>
  <sheets>
    <sheet name="Sheet1" sheetId="1" r:id="rId1"/>
    <sheet name="Fo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C4" i="2"/>
  <c r="B4" i="2"/>
  <c r="D3" i="1"/>
  <c r="D11" i="1"/>
  <c r="D12" i="1"/>
  <c r="D4" i="1"/>
  <c r="D14" i="1" l="1"/>
  <c r="D15" i="1" s="1"/>
  <c r="D16" i="1" s="1"/>
</calcChain>
</file>

<file path=xl/sharedStrings.xml><?xml version="1.0" encoding="utf-8"?>
<sst xmlns="http://schemas.openxmlformats.org/spreadsheetml/2006/main" count="45" uniqueCount="44">
  <si>
    <t>Universo: 113 campos</t>
  </si>
  <si>
    <t>Tarefa</t>
  </si>
  <si>
    <t>Factor</t>
  </si>
  <si>
    <t>Horas</t>
  </si>
  <si>
    <t>Dias</t>
  </si>
  <si>
    <t>Comentários</t>
  </si>
  <si>
    <t>WG + Arquitetura</t>
  </si>
  <si>
    <t>Preparação de documentação para pedido de ingestas, pedido de tabelas de output, reuniões WG, reuniões Arquitetura</t>
  </si>
  <si>
    <t>Análise/Especificação dos campos com a Área Financeira (Sem MCD)</t>
  </si>
  <si>
    <t>30 campos por semana</t>
  </si>
  <si>
    <t>Componente MCD</t>
  </si>
  <si>
    <t>40 campos vêm do MCD</t>
  </si>
  <si>
    <t>Ingestas Cópia On-prem Cloud</t>
  </si>
  <si>
    <t>Ingestas de Inputs do Bail-in Antigo: 14 (8 não estão na Cloud, 6 estão na Cloud) 
fr001_univ_saldo (não está)
fr004_cto (está mas não está rotinado, só tem dados de 2022) 
fr802_pl_contas (não está) 
kt_chaves_finrep (não está)
ct610_titulos (está segundo o Luís Barata)
ct003_univ_cli (está segundo o Luís Barata)
tat91_tabelas (está segundo o Luís Barata)
al029_cnt_core_m (está segundo o Luís Barata)
al602_repos_alm (não está)
kt_chaves_alm_m (está segundo o Luís Barata)
out_sme_2003_361 (não está)
clientes_intragrupo (não encontrada)
perímetro (não encontrada)
gt018_rateio_aval (está segundo o Alexandre Esteves está mas não tem as colunas todas)
Ingestas de Inputs novas (desconhecidas): 5
8 + 5= 13 ingestas: 1600 eur x 13 = 20800 eur; 20800/50= 416</t>
  </si>
  <si>
    <t>Desenvolvimento</t>
  </si>
  <si>
    <t>5 horas por campo -&gt; 113 campos: 565 horas 
255 horas / 24 campos: 10,6 horas por campo (estimativa Mariana para os 24 campos do Valuation)</t>
  </si>
  <si>
    <t>Desenvolvimento resultante de ajustes à especificação - Origem Área Financeira</t>
  </si>
  <si>
    <t>2 horas por campo -&gt; 40 campos: 80 horas</t>
  </si>
  <si>
    <t>Re-Análise/Re-Especificação dos campos - Origem CDO</t>
  </si>
  <si>
    <t xml:space="preserve">5 horas por campo -&gt; 60 campos: 300 horas </t>
  </si>
  <si>
    <t>Desenvolvimento resultante de ajustes à especificação - Origem CDO</t>
  </si>
  <si>
    <t>Releases</t>
  </si>
  <si>
    <t>Testes</t>
  </si>
  <si>
    <t>Documentação</t>
  </si>
  <si>
    <t>Total</t>
  </si>
  <si>
    <t>Total C/ Margem 20% Cloud</t>
  </si>
  <si>
    <t>Pressupostos:</t>
  </si>
  <si>
    <t>Tem de haver OK do WG às ingestas de Cópia para a Cloud</t>
  </si>
  <si>
    <t>Tem de haver OK do WG à criação das 4 tabelas de Output</t>
  </si>
  <si>
    <t>O Report será gerado via job mensal a planificar no Control-M em determinado dia do mês</t>
  </si>
  <si>
    <t>A exportação para CSV será feita pelo Utilizador diretamente no databricks (tal como é possível no Impala)</t>
  </si>
  <si>
    <t xml:space="preserve">Caso seja para usar o MCD terá de haver disponibilidade de alguém de CDO (João Godinho?) que possa acompanhar/indicar onde está a informação e se pode ser usada </t>
  </si>
  <si>
    <t>Não está incluída a re-análise e a re-desenvolvimento resultante dos Testes de CDO</t>
  </si>
  <si>
    <t>Junho</t>
  </si>
  <si>
    <t>Julho</t>
  </si>
  <si>
    <t>Agosto</t>
  </si>
  <si>
    <t>Setembro</t>
  </si>
  <si>
    <t>Outubro</t>
  </si>
  <si>
    <t>PR</t>
  </si>
  <si>
    <t>9 Junho; 16 a 20 Junho;</t>
  </si>
  <si>
    <t>1 a 15 Agosto;</t>
  </si>
  <si>
    <t>LP</t>
  </si>
  <si>
    <t>30 Junho a 11 Julho;</t>
  </si>
  <si>
    <t>1 Setembro a 5 Setembro;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</si>
</sst>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vertical="top" wrapText="1"/>
    </xf>
    <xf numFmtId="0" fontId="0" fillId="2" borderId="2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8"/>
  <sheetViews>
    <sheetView tabSelected="1" topLeftCell="B1" workbookViewId="0">
      <selection activeCell="D6" sqref="D6"/>
    </sheetView>
  </sheetViews>
  <sheetFormatPr defaultColWidth="8.88671875" defaultRowHeight="15" customHeight="1" x14ac:dyDescent="0.3"/>
  <cols>
    <col min="1" max="1" width="2.88671875" style="1" customWidth="1"/>
    <col min="2" max="2" width="70" style="1" customWidth="1"/>
    <col min="3" max="3" width="6.6640625" style="2" customWidth="1"/>
    <col min="4" max="4" width="12.44140625" style="2" bestFit="1" customWidth="1"/>
    <col min="5" max="5" width="6.6640625" style="2" customWidth="1"/>
    <col min="6" max="6" width="130.33203125" style="1" bestFit="1" customWidth="1"/>
    <col min="7" max="16384" width="8.88671875" style="1"/>
  </cols>
  <sheetData>
    <row r="1" spans="2:6" ht="14.4" x14ac:dyDescent="0.3">
      <c r="B1" s="1" t="s">
        <v>0</v>
      </c>
    </row>
    <row r="2" spans="2:6" ht="14.4" x14ac:dyDescent="0.3">
      <c r="B2" s="31" t="s">
        <v>1</v>
      </c>
      <c r="C2" s="32" t="s">
        <v>2</v>
      </c>
      <c r="D2" s="32" t="s">
        <v>3</v>
      </c>
      <c r="E2" s="32" t="s">
        <v>4</v>
      </c>
      <c r="F2" s="33" t="s">
        <v>5</v>
      </c>
    </row>
    <row r="3" spans="2:6" ht="14.4" x14ac:dyDescent="0.3">
      <c r="B3" s="4" t="s">
        <v>6</v>
      </c>
      <c r="C3" s="3">
        <v>8</v>
      </c>
      <c r="D3" s="18">
        <f>C3*E3</f>
        <v>80</v>
      </c>
      <c r="E3" s="3">
        <v>10</v>
      </c>
      <c r="F3" s="5" t="s">
        <v>7</v>
      </c>
    </row>
    <row r="4" spans="2:6" ht="14.4" x14ac:dyDescent="0.3">
      <c r="B4" s="4" t="s">
        <v>8</v>
      </c>
      <c r="C4" s="3">
        <v>16</v>
      </c>
      <c r="D4" s="18">
        <f>E4*C4</f>
        <v>320</v>
      </c>
      <c r="E4" s="3">
        <v>20</v>
      </c>
      <c r="F4" s="5" t="s">
        <v>9</v>
      </c>
    </row>
    <row r="5" spans="2:6" ht="14.4" x14ac:dyDescent="0.3">
      <c r="B5" s="23" t="s">
        <v>10</v>
      </c>
      <c r="C5" s="24"/>
      <c r="D5" s="25">
        <v>0</v>
      </c>
      <c r="E5" s="24"/>
      <c r="F5" s="26" t="s">
        <v>11</v>
      </c>
    </row>
    <row r="6" spans="2:6" ht="65.25" customHeight="1" x14ac:dyDescent="0.3">
      <c r="B6" s="4" t="s">
        <v>12</v>
      </c>
      <c r="C6" s="3"/>
      <c r="D6" s="18">
        <v>416</v>
      </c>
      <c r="E6" s="3"/>
      <c r="F6" s="22" t="s">
        <v>13</v>
      </c>
    </row>
    <row r="7" spans="2:6" ht="43.2" x14ac:dyDescent="0.3">
      <c r="B7" s="4" t="s">
        <v>14</v>
      </c>
      <c r="C7" s="3"/>
      <c r="D7" s="18">
        <v>621</v>
      </c>
      <c r="E7" s="3"/>
      <c r="F7" s="6" t="s">
        <v>15</v>
      </c>
    </row>
    <row r="8" spans="2:6" ht="14.4" x14ac:dyDescent="0.3">
      <c r="B8" s="4" t="s">
        <v>16</v>
      </c>
      <c r="C8" s="3"/>
      <c r="D8" s="18">
        <v>80</v>
      </c>
      <c r="E8" s="3"/>
      <c r="F8" s="5" t="s">
        <v>17</v>
      </c>
    </row>
    <row r="9" spans="2:6" ht="14.4" x14ac:dyDescent="0.3">
      <c r="B9" s="23" t="s">
        <v>18</v>
      </c>
      <c r="C9" s="24"/>
      <c r="D9" s="25">
        <v>0</v>
      </c>
      <c r="E9" s="24"/>
      <c r="F9" s="26" t="s">
        <v>19</v>
      </c>
    </row>
    <row r="10" spans="2:6" ht="14.4" x14ac:dyDescent="0.3">
      <c r="B10" s="23" t="s">
        <v>20</v>
      </c>
      <c r="C10" s="24"/>
      <c r="D10" s="25">
        <v>0</v>
      </c>
      <c r="E10" s="24"/>
      <c r="F10" s="26" t="s">
        <v>19</v>
      </c>
    </row>
    <row r="11" spans="2:6" ht="14.4" x14ac:dyDescent="0.3">
      <c r="B11" s="4" t="s">
        <v>21</v>
      </c>
      <c r="C11" s="3">
        <v>8</v>
      </c>
      <c r="D11" s="18">
        <f>C11*E11</f>
        <v>40</v>
      </c>
      <c r="E11" s="3">
        <v>5</v>
      </c>
      <c r="F11" s="5"/>
    </row>
    <row r="12" spans="2:6" ht="14.4" x14ac:dyDescent="0.3">
      <c r="B12" s="4" t="s">
        <v>22</v>
      </c>
      <c r="C12" s="3">
        <v>16</v>
      </c>
      <c r="D12" s="18">
        <f>E12*C12</f>
        <v>64</v>
      </c>
      <c r="E12" s="3">
        <v>4</v>
      </c>
      <c r="F12" s="5"/>
    </row>
    <row r="13" spans="2:6" ht="14.4" x14ac:dyDescent="0.3">
      <c r="B13" s="7" t="s">
        <v>23</v>
      </c>
      <c r="C13" s="8"/>
      <c r="D13" s="19">
        <v>16</v>
      </c>
      <c r="E13" s="8"/>
      <c r="F13" s="9"/>
    </row>
    <row r="14" spans="2:6" ht="14.4" x14ac:dyDescent="0.3">
      <c r="B14" s="10" t="s">
        <v>24</v>
      </c>
      <c r="C14" s="11"/>
      <c r="D14" s="16">
        <f>SUM(D3:D13)</f>
        <v>1637</v>
      </c>
      <c r="E14" s="11"/>
      <c r="F14" s="10"/>
    </row>
    <row r="15" spans="2:6" ht="14.4" x14ac:dyDescent="0.3">
      <c r="B15" s="12" t="s">
        <v>25</v>
      </c>
      <c r="C15" s="13"/>
      <c r="D15" s="17">
        <f>D14*1.2</f>
        <v>1964.3999999999999</v>
      </c>
      <c r="E15" s="13"/>
      <c r="F15" s="12"/>
    </row>
    <row r="16" spans="2:6" ht="14.4" x14ac:dyDescent="0.3">
      <c r="C16" s="1"/>
      <c r="D16" s="15">
        <f>D15*50</f>
        <v>98220</v>
      </c>
    </row>
    <row r="17" spans="2:6" ht="14.4" x14ac:dyDescent="0.3">
      <c r="B17" s="30" t="s">
        <v>26</v>
      </c>
      <c r="C17" s="1"/>
    </row>
    <row r="18" spans="2:6" ht="14.4" x14ac:dyDescent="0.3">
      <c r="B18" s="29" t="s">
        <v>27</v>
      </c>
      <c r="C18" s="28"/>
      <c r="D18" s="28"/>
      <c r="E18" s="28"/>
      <c r="F18" s="27"/>
    </row>
    <row r="19" spans="2:6" ht="14.4" x14ac:dyDescent="0.3">
      <c r="B19" s="29" t="s">
        <v>28</v>
      </c>
      <c r="C19" s="28"/>
      <c r="D19" s="28"/>
      <c r="E19" s="28"/>
      <c r="F19" s="27"/>
    </row>
    <row r="20" spans="2:6" ht="14.4" x14ac:dyDescent="0.3">
      <c r="B20" s="29" t="s">
        <v>29</v>
      </c>
      <c r="C20" s="28"/>
      <c r="D20" s="28"/>
      <c r="E20" s="28"/>
      <c r="F20" s="27"/>
    </row>
    <row r="21" spans="2:6" ht="14.4" x14ac:dyDescent="0.3">
      <c r="B21" s="29" t="s">
        <v>30</v>
      </c>
      <c r="C21" s="28"/>
      <c r="D21" s="28"/>
      <c r="E21" s="28"/>
      <c r="F21" s="27"/>
    </row>
    <row r="22" spans="2:6" ht="14.4" x14ac:dyDescent="0.3">
      <c r="B22" s="29" t="s">
        <v>31</v>
      </c>
      <c r="C22" s="28"/>
      <c r="D22" s="28"/>
      <c r="E22" s="28"/>
      <c r="F22" s="27"/>
    </row>
    <row r="23" spans="2:6" ht="15" customHeight="1" x14ac:dyDescent="0.3">
      <c r="B23" s="29" t="s">
        <v>32</v>
      </c>
      <c r="C23" s="28"/>
      <c r="D23" s="28"/>
      <c r="E23" s="28"/>
      <c r="F23" s="27"/>
    </row>
    <row r="24" spans="2:6" ht="15" customHeight="1" x14ac:dyDescent="0.3">
      <c r="B24" s="2"/>
    </row>
    <row r="25" spans="2:6" ht="14.4" x14ac:dyDescent="0.3">
      <c r="B25" s="2"/>
      <c r="D25" s="14"/>
    </row>
    <row r="26" spans="2:6" ht="15" customHeight="1" x14ac:dyDescent="0.3">
      <c r="B26" s="14"/>
    </row>
    <row r="27" spans="2:6" ht="15" customHeight="1" x14ac:dyDescent="0.3">
      <c r="C27" s="1"/>
    </row>
    <row r="28" spans="2:6" ht="14.4" x14ac:dyDescent="0.3">
      <c r="C2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9210-7AD8-4D8B-96C1-C76A3C0FE73B}">
  <dimension ref="A1:F17"/>
  <sheetViews>
    <sheetView workbookViewId="0">
      <selection activeCell="A16" sqref="A16"/>
    </sheetView>
  </sheetViews>
  <sheetFormatPr defaultRowHeight="14.4" x14ac:dyDescent="0.3"/>
  <cols>
    <col min="2" max="6" width="9.109375" style="20"/>
  </cols>
  <sheetData>
    <row r="1" spans="1:6" x14ac:dyDescent="0.3">
      <c r="B1" s="20" t="s">
        <v>33</v>
      </c>
      <c r="C1" s="20" t="s">
        <v>34</v>
      </c>
      <c r="D1" s="20" t="s">
        <v>35</v>
      </c>
      <c r="E1" s="20" t="s">
        <v>36</v>
      </c>
      <c r="F1" s="20" t="s">
        <v>37</v>
      </c>
    </row>
    <row r="2" spans="1:6" x14ac:dyDescent="0.3">
      <c r="B2" s="20">
        <v>176</v>
      </c>
      <c r="C2" s="20">
        <v>176</v>
      </c>
      <c r="D2" s="20">
        <v>176</v>
      </c>
      <c r="E2" s="20">
        <v>176</v>
      </c>
      <c r="F2" s="20">
        <v>176</v>
      </c>
    </row>
    <row r="3" spans="1:6" x14ac:dyDescent="0.3">
      <c r="B3" s="20">
        <v>176</v>
      </c>
      <c r="C3" s="20">
        <v>176</v>
      </c>
      <c r="D3" s="20">
        <v>176</v>
      </c>
      <c r="E3" s="20">
        <v>176</v>
      </c>
      <c r="F3" s="20">
        <v>176</v>
      </c>
    </row>
    <row r="4" spans="1:6" x14ac:dyDescent="0.3">
      <c r="B4" s="21">
        <f>SUM(B2:B3)</f>
        <v>352</v>
      </c>
      <c r="C4" s="21">
        <f>SUM(C2:C3)</f>
        <v>352</v>
      </c>
      <c r="D4" s="21">
        <f>SUM(D2:D3)</f>
        <v>352</v>
      </c>
      <c r="E4" s="21"/>
      <c r="F4" s="21"/>
    </row>
    <row r="7" spans="1:6" x14ac:dyDescent="0.3">
      <c r="A7">
        <v>1221</v>
      </c>
    </row>
    <row r="11" spans="1:6" x14ac:dyDescent="0.3">
      <c r="A11" t="s">
        <v>38</v>
      </c>
    </row>
    <row r="12" spans="1:6" x14ac:dyDescent="0.3">
      <c r="A12" s="34" t="s">
        <v>39</v>
      </c>
    </row>
    <row r="13" spans="1:6" x14ac:dyDescent="0.3">
      <c r="A13" s="34" t="s">
        <v>40</v>
      </c>
    </row>
    <row r="15" spans="1:6" x14ac:dyDescent="0.3">
      <c r="A15" t="s">
        <v>41</v>
      </c>
    </row>
    <row r="16" spans="1:6" x14ac:dyDescent="0.3">
      <c r="A16" s="34" t="s">
        <v>42</v>
      </c>
    </row>
    <row r="17" spans="1:1" x14ac:dyDescent="0.3">
      <c r="A17" s="34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76c42d233f396c620dfe843c8ada89d5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ee5843f5cb2ee2b6912e5b34715a9ac2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B73E9D-BB84-463C-9FF6-52EBCA436556}"/>
</file>

<file path=customXml/itemProps2.xml><?xml version="1.0" encoding="utf-8"?>
<ds:datastoreItem xmlns:ds="http://schemas.openxmlformats.org/officeDocument/2006/customXml" ds:itemID="{D77C258B-ADEB-40DD-BF9C-046BA196549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d3dac3-f296-4107-b579-4b1e37be6169"/>
    <ds:schemaRef ds:uri="5ad20f8b-9281-4829-a9aa-2b5a878ba2cc"/>
  </ds:schemaRefs>
</ds:datastoreItem>
</file>

<file path=customXml/itemProps3.xml><?xml version="1.0" encoding="utf-8"?>
<ds:datastoreItem xmlns:ds="http://schemas.openxmlformats.org/officeDocument/2006/customXml" ds:itemID="{C52DC46A-5954-444C-8DC3-2ADAC993F0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Folha1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Luís Filipe da Silva Pragosa</dc:creator>
  <cp:keywords/>
  <dc:description/>
  <cp:lastModifiedBy>Luís Filipe da Silva Pragosa</cp:lastModifiedBy>
  <cp:revision/>
  <dcterms:created xsi:type="dcterms:W3CDTF">2025-05-12T09:08:31Z</dcterms:created>
  <dcterms:modified xsi:type="dcterms:W3CDTF">2025-12-15T15:35:49Z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2025-05-12T10:03:44Z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abef999e-2c2b-4124-8851-bbc3ba5aed12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