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"/>
    </mc:Choice>
  </mc:AlternateContent>
  <bookViews>
    <workbookView xWindow="-120" yWindow="-120" windowWidth="29040" windowHeight="15720" tabRatio="750" activeTab="7"/>
  </bookViews>
  <sheets>
    <sheet name="BA_BST individual (ifrs9)" sheetId="2" r:id="rId1"/>
    <sheet name="EMISSÕES" sheetId="1" r:id="rId2"/>
    <sheet name="MBDT -----&gt;" sheetId="3" r:id="rId3"/>
    <sheet name="B9900" sheetId="4" r:id="rId4"/>
    <sheet name="VALIDATIONS -----&gt;" sheetId="7" r:id="rId5"/>
    <sheet name="Lists" sheetId="11" r:id="rId6"/>
    <sheet name="Sheet13" sheetId="13" r:id="rId7"/>
    <sheet name="B0200" sheetId="5" r:id="rId8"/>
    <sheet name="B9000" sheetId="6" r:id="rId9"/>
    <sheet name="VALIDATIONS" sheetId="12" r:id="rId10"/>
    <sheet name="Level 1 Guidance" sheetId="8" r:id="rId11"/>
    <sheet name="Aux Validations" sheetId="14" r:id="rId12"/>
    <sheet name="Level 2 Guidance" sheetId="9" r:id="rId13"/>
    <sheet name="Data types" sheetId="10" r:id="rId14"/>
  </sheets>
  <externalReferences>
    <externalReference r:id="rId15"/>
    <externalReference r:id="rId16"/>
  </externalReferences>
  <definedNames>
    <definedName name="_xlnm._FilterDatabase" localSheetId="7" hidden="1">'B0200'!$A$7:$CD$7</definedName>
    <definedName name="_xlnm._FilterDatabase" localSheetId="13" hidden="1">'Data types'!$A$1:$J$153</definedName>
    <definedName name="_xlnm._FilterDatabase" localSheetId="1" hidden="1">EMISSÕES!$A$4:$AB$4</definedName>
    <definedName name="_xlnm._FilterDatabase" localSheetId="10" hidden="1">'Level 1 Guidance'!$A$2:$K$42</definedName>
    <definedName name="_xlnm._FilterDatabase" localSheetId="12" hidden="1">'Level 2 Guidance'!$A$2:$K$42</definedName>
    <definedName name="_ftnref1_50">'[1]Table 39_'!#REF!</definedName>
    <definedName name="_ftnref1_51">'[1]Table 39_'!#REF!</definedName>
    <definedName name="_ftref1_50">'[1]Table 39_'!#REF!</definedName>
    <definedName name="Carlos">#REF!</definedName>
    <definedName name="DataPointIDs">#REF!</definedName>
    <definedName name="DataPointTooltips">#REF!</definedName>
    <definedName name="DBName">#REF!</definedName>
    <definedName name="dsa">#REF!</definedName>
    <definedName name="F20.04">#REF!</definedName>
    <definedName name="F20.04ES">#REF!</definedName>
    <definedName name="F20.06">#REF!</definedName>
    <definedName name="F20.061">#REF!</definedName>
    <definedName name="F20.062">#REF!</definedName>
    <definedName name="fdsg">'[1]Table 39_'!#REF!</definedName>
    <definedName name="ho">#REF!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LE_LINK11" localSheetId="0">'BA_BST individual (ifrs9)'!#REF!</definedName>
    <definedName name="_xlnm.Print_Area" localSheetId="0">'BA_BST individual (ifrs9)'!$AQ$5:$BN$46</definedName>
    <definedName name="_xlnm.Print_Area" localSheetId="1">EMISSÕES!$A$4:$Z$4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 localSheetId="1">EMISSÕES!$C:$G,EMISSÕES!$2:$4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rfgf">'[1]Table 39_'!#REF!</definedName>
    <definedName name="Template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5" l="1"/>
  <c r="M10" i="5"/>
  <c r="M11" i="5"/>
  <c r="M12" i="5"/>
  <c r="M13" i="5"/>
  <c r="M14" i="5"/>
  <c r="M15" i="5"/>
  <c r="M8" i="5"/>
  <c r="AO11" i="12" l="1"/>
  <c r="AO10" i="12"/>
  <c r="AO9" i="12"/>
  <c r="AO8" i="12"/>
  <c r="AO7" i="12"/>
  <c r="AO6" i="12"/>
  <c r="AO5" i="12"/>
  <c r="AO4" i="12"/>
  <c r="AN11" i="12"/>
  <c r="AN10" i="12"/>
  <c r="AN9" i="12"/>
  <c r="AN8" i="12"/>
  <c r="AN7" i="12"/>
  <c r="AN6" i="12"/>
  <c r="AN5" i="12"/>
  <c r="AN4" i="12"/>
  <c r="AM11" i="12"/>
  <c r="AM10" i="12"/>
  <c r="AM9" i="12"/>
  <c r="AM8" i="12"/>
  <c r="AM7" i="12"/>
  <c r="AM6" i="12"/>
  <c r="AM5" i="12"/>
  <c r="AM4" i="12"/>
  <c r="AT10" i="5"/>
  <c r="AJ11" i="12"/>
  <c r="AJ10" i="12"/>
  <c r="AJ9" i="12"/>
  <c r="AJ8" i="12"/>
  <c r="AJ7" i="12"/>
  <c r="AJ6" i="12"/>
  <c r="AJ5" i="12"/>
  <c r="AJ4" i="12"/>
  <c r="AG11" i="12"/>
  <c r="AG10" i="12"/>
  <c r="AG9" i="12"/>
  <c r="AG8" i="12"/>
  <c r="AG7" i="12"/>
  <c r="AG6" i="12"/>
  <c r="AG5" i="12"/>
  <c r="AG4" i="12"/>
  <c r="AP10" i="5"/>
  <c r="AP9" i="5"/>
  <c r="AE4" i="12"/>
  <c r="AE11" i="12"/>
  <c r="AE10" i="12"/>
  <c r="AE9" i="12"/>
  <c r="AE8" i="12"/>
  <c r="AE7" i="12"/>
  <c r="AE6" i="12"/>
  <c r="AE5" i="12"/>
  <c r="AD11" i="12"/>
  <c r="AD10" i="12"/>
  <c r="AD9" i="12"/>
  <c r="AD8" i="12"/>
  <c r="AD7" i="12"/>
  <c r="AD6" i="12"/>
  <c r="AD5" i="12"/>
  <c r="AD4" i="12"/>
  <c r="AC11" i="12"/>
  <c r="AB11" i="12"/>
  <c r="AC10" i="12"/>
  <c r="AB10" i="12"/>
  <c r="AC9" i="12"/>
  <c r="AB9" i="12"/>
  <c r="AC8" i="12"/>
  <c r="AB8" i="12"/>
  <c r="AC7" i="12"/>
  <c r="AB7" i="12"/>
  <c r="AC6" i="12"/>
  <c r="AB6" i="12"/>
  <c r="AC5" i="12"/>
  <c r="AB5" i="12"/>
  <c r="AC4" i="12"/>
  <c r="AB4" i="12"/>
  <c r="AA11" i="12"/>
  <c r="AA10" i="12"/>
  <c r="AA9" i="12"/>
  <c r="AA8" i="12"/>
  <c r="AA7" i="12"/>
  <c r="AA6" i="12"/>
  <c r="AA5" i="12"/>
  <c r="AA4" i="12"/>
  <c r="Z11" i="12"/>
  <c r="Z10" i="12"/>
  <c r="Z9" i="12"/>
  <c r="Z8" i="12"/>
  <c r="Z7" i="12"/>
  <c r="Z6" i="12"/>
  <c r="Z5" i="12"/>
  <c r="Z4" i="12"/>
  <c r="Y11" i="12"/>
  <c r="Y10" i="12"/>
  <c r="Y9" i="12"/>
  <c r="Y8" i="12"/>
  <c r="Y7" i="12"/>
  <c r="Y6" i="12"/>
  <c r="Y5" i="12"/>
  <c r="Y4" i="12"/>
  <c r="X5" i="12"/>
  <c r="X6" i="12"/>
  <c r="X7" i="12"/>
  <c r="X8" i="12"/>
  <c r="X9" i="12"/>
  <c r="X10" i="12"/>
  <c r="X11" i="12"/>
  <c r="X4" i="12"/>
  <c r="W11" i="12"/>
  <c r="W10" i="12"/>
  <c r="W9" i="12"/>
  <c r="W8" i="12"/>
  <c r="W7" i="12"/>
  <c r="W6" i="12"/>
  <c r="W5" i="12"/>
  <c r="W4" i="12"/>
  <c r="V11" i="12"/>
  <c r="V10" i="12"/>
  <c r="V9" i="12"/>
  <c r="V8" i="12"/>
  <c r="V7" i="12"/>
  <c r="V6" i="12"/>
  <c r="V5" i="12"/>
  <c r="V4" i="12"/>
  <c r="O11" i="12"/>
  <c r="O10" i="12"/>
  <c r="O9" i="12"/>
  <c r="O8" i="12"/>
  <c r="O7" i="12"/>
  <c r="O6" i="12"/>
  <c r="O5" i="12"/>
  <c r="O4" i="12"/>
  <c r="N11" i="12"/>
  <c r="N10" i="12"/>
  <c r="N9" i="12"/>
  <c r="N8" i="12"/>
  <c r="N7" i="12"/>
  <c r="N6" i="12"/>
  <c r="N5" i="12"/>
  <c r="N4" i="12"/>
  <c r="H11" i="12"/>
  <c r="H10" i="12"/>
  <c r="H9" i="12"/>
  <c r="H8" i="12"/>
  <c r="H7" i="12"/>
  <c r="H5" i="12"/>
  <c r="H4" i="12"/>
  <c r="J10" i="5"/>
  <c r="I10" i="5"/>
  <c r="H6" i="12" s="1"/>
  <c r="C10" i="5"/>
  <c r="E11" i="12"/>
  <c r="E10" i="12"/>
  <c r="E9" i="12"/>
  <c r="E8" i="12"/>
  <c r="E7" i="12"/>
  <c r="E6" i="12"/>
  <c r="E5" i="12"/>
  <c r="E4" i="12"/>
  <c r="D11" i="12"/>
  <c r="D10" i="12"/>
  <c r="D9" i="12"/>
  <c r="D8" i="12"/>
  <c r="D7" i="12"/>
  <c r="D6" i="12"/>
  <c r="D5" i="12"/>
  <c r="D4" i="12"/>
  <c r="A11" i="6" l="1"/>
  <c r="A12" i="6" s="1"/>
  <c r="A13" i="6" s="1"/>
  <c r="A14" i="6" s="1"/>
  <c r="A15" i="6" s="1"/>
  <c r="A10" i="6"/>
  <c r="A9" i="6"/>
  <c r="F15" i="6" a="1"/>
  <c r="F15" i="6" s="1"/>
  <c r="E15" i="6" a="1"/>
  <c r="E15" i="6" s="1"/>
  <c r="F14" i="6" a="1"/>
  <c r="F14" i="6" s="1"/>
  <c r="E14" i="6" a="1"/>
  <c r="E14" i="6" s="1"/>
  <c r="F13" i="6" a="1"/>
  <c r="F13" i="6" s="1"/>
  <c r="E13" i="6" a="1"/>
  <c r="E13" i="6" s="1"/>
  <c r="F12" i="6" a="1"/>
  <c r="F12" i="6" s="1"/>
  <c r="E12" i="6" a="1"/>
  <c r="E12" i="6" s="1"/>
  <c r="F11" i="6" a="1"/>
  <c r="F11" i="6" s="1"/>
  <c r="E11" i="6" a="1"/>
  <c r="E11" i="6" s="1"/>
  <c r="F10" i="6" a="1"/>
  <c r="F10" i="6" s="1"/>
  <c r="E10" i="6" a="1"/>
  <c r="E10" i="6" s="1"/>
  <c r="F9" i="6" a="1"/>
  <c r="F9" i="6" s="1"/>
  <c r="E9" i="6" a="1"/>
  <c r="E9" i="6" s="1"/>
  <c r="F8" i="6" a="1"/>
  <c r="F8" i="6" s="1"/>
  <c r="E8" i="6" a="1"/>
  <c r="E8" i="6" s="1"/>
  <c r="BK8" i="5"/>
  <c r="BJ8" i="5"/>
  <c r="BK14" i="5"/>
  <c r="BJ14" i="5"/>
  <c r="BK11" i="5"/>
  <c r="BJ11" i="5"/>
  <c r="BK15" i="5"/>
  <c r="BJ15" i="5"/>
  <c r="BK12" i="5"/>
  <c r="BJ12" i="5"/>
  <c r="BK13" i="5"/>
  <c r="BJ13" i="5"/>
  <c r="BK9" i="5"/>
  <c r="BJ9" i="5"/>
  <c r="BK10" i="5"/>
  <c r="BJ10" i="5"/>
  <c r="Y10" i="5"/>
  <c r="I6" i="1"/>
  <c r="BT8" i="5"/>
  <c r="BT14" i="5"/>
  <c r="BT11" i="5"/>
  <c r="BT15" i="5"/>
  <c r="BT12" i="5"/>
  <c r="BT13" i="5"/>
  <c r="BT9" i="5"/>
  <c r="BT10" i="5"/>
  <c r="AD22" i="1"/>
  <c r="AD20" i="1"/>
  <c r="W10" i="5" l="1"/>
  <c r="AT8" i="5"/>
  <c r="AT14" i="5"/>
  <c r="AT11" i="5"/>
  <c r="AT15" i="5"/>
  <c r="AT12" i="5"/>
  <c r="AT13" i="5"/>
  <c r="AT9" i="5"/>
  <c r="AS11" i="5"/>
  <c r="AS15" i="5"/>
  <c r="AS12" i="5"/>
  <c r="AI8" i="12" s="1"/>
  <c r="AR8" i="5"/>
  <c r="AR14" i="5"/>
  <c r="AR11" i="5"/>
  <c r="AR15" i="5"/>
  <c r="AH11" i="12" s="1"/>
  <c r="AR12" i="5"/>
  <c r="AH8" i="12" s="1"/>
  <c r="AR13" i="5"/>
  <c r="AH9" i="12" s="1"/>
  <c r="AR9" i="5"/>
  <c r="AH5" i="12" s="1"/>
  <c r="AR10" i="5"/>
  <c r="AQ8" i="5"/>
  <c r="AQ14" i="5"/>
  <c r="AQ11" i="5"/>
  <c r="AQ15" i="5"/>
  <c r="AQ12" i="5"/>
  <c r="AQ13" i="5"/>
  <c r="AQ9" i="5"/>
  <c r="AQ10" i="5"/>
  <c r="AP8" i="5"/>
  <c r="AP14" i="5"/>
  <c r="AP11" i="5"/>
  <c r="AP15" i="5"/>
  <c r="AF11" i="12" s="1"/>
  <c r="AP12" i="5"/>
  <c r="AF8" i="12" s="1"/>
  <c r="AP13" i="5"/>
  <c r="AF4" i="12" l="1"/>
  <c r="AF10" i="12"/>
  <c r="AF5" i="12"/>
  <c r="AH6" i="12"/>
  <c r="AF7" i="12"/>
  <c r="AI7" i="12"/>
  <c r="AH7" i="12"/>
  <c r="AH10" i="12"/>
  <c r="AH4" i="12"/>
  <c r="AS10" i="5"/>
  <c r="AI6" i="12" s="1"/>
  <c r="AS9" i="5"/>
  <c r="AI5" i="12" s="1"/>
  <c r="AF9" i="12"/>
  <c r="AF6" i="12"/>
  <c r="AS13" i="5"/>
  <c r="AS14" i="5"/>
  <c r="AS8" i="5"/>
  <c r="AI4" i="12" s="1"/>
  <c r="Y8" i="5"/>
  <c r="Y14" i="5"/>
  <c r="Y11" i="5"/>
  <c r="Y15" i="5"/>
  <c r="Y12" i="5"/>
  <c r="Y13" i="5"/>
  <c r="U6" i="12" s="1"/>
  <c r="Y9" i="5"/>
  <c r="V8" i="5"/>
  <c r="V14" i="5"/>
  <c r="V11" i="5"/>
  <c r="V15" i="5"/>
  <c r="V12" i="5"/>
  <c r="V13" i="5"/>
  <c r="V9" i="5"/>
  <c r="V10" i="5"/>
  <c r="U8" i="5"/>
  <c r="U14" i="5"/>
  <c r="U11" i="5"/>
  <c r="U15" i="5"/>
  <c r="U12" i="5"/>
  <c r="U13" i="5"/>
  <c r="U9" i="5"/>
  <c r="U10" i="5"/>
  <c r="R8" i="5"/>
  <c r="R14" i="5"/>
  <c r="P10" i="12" s="1"/>
  <c r="R11" i="5"/>
  <c r="P7" i="12" s="1"/>
  <c r="R15" i="5"/>
  <c r="P11" i="12" s="1"/>
  <c r="R12" i="5"/>
  <c r="T12" i="5" s="1"/>
  <c r="R13" i="5"/>
  <c r="T13" i="5" s="1"/>
  <c r="R9" i="5"/>
  <c r="T9" i="5" s="1"/>
  <c r="R10" i="5"/>
  <c r="P6" i="12" s="1"/>
  <c r="Q8" i="5"/>
  <c r="Q14" i="5"/>
  <c r="Q11" i="5"/>
  <c r="Q15" i="5"/>
  <c r="Q12" i="5"/>
  <c r="Q13" i="5"/>
  <c r="Q9" i="5"/>
  <c r="Q10" i="5"/>
  <c r="H8" i="5"/>
  <c r="H14" i="5"/>
  <c r="H11" i="5"/>
  <c r="H15" i="5"/>
  <c r="H12" i="5"/>
  <c r="H13" i="5"/>
  <c r="H9" i="5"/>
  <c r="J8" i="5"/>
  <c r="J14" i="5"/>
  <c r="J11" i="5"/>
  <c r="J15" i="5"/>
  <c r="J12" i="5"/>
  <c r="J13" i="5"/>
  <c r="J9" i="5"/>
  <c r="AM13" i="1"/>
  <c r="AM12" i="1"/>
  <c r="AM11" i="1"/>
  <c r="AM10" i="1"/>
  <c r="AM9" i="1"/>
  <c r="AM8" i="1"/>
  <c r="AM7" i="1"/>
  <c r="AM6" i="1"/>
  <c r="H10" i="5" s="1"/>
  <c r="E8" i="5"/>
  <c r="BQ8" i="5" s="1"/>
  <c r="E14" i="5"/>
  <c r="BQ14" i="5" s="1"/>
  <c r="E11" i="5"/>
  <c r="E15" i="5"/>
  <c r="E12" i="5"/>
  <c r="E13" i="5"/>
  <c r="E9" i="5"/>
  <c r="L9" i="5" s="1"/>
  <c r="E10" i="5"/>
  <c r="BQ10" i="5" s="1"/>
  <c r="C8" i="5"/>
  <c r="C14" i="5"/>
  <c r="C11" i="5"/>
  <c r="C15" i="5"/>
  <c r="B15" i="5"/>
  <c r="C12" i="5"/>
  <c r="C13" i="5"/>
  <c r="B13" i="5"/>
  <c r="C9" i="5"/>
  <c r="B9" i="5"/>
  <c r="K6" i="1"/>
  <c r="AL6" i="1"/>
  <c r="AK6" i="1"/>
  <c r="B10" i="5" s="1"/>
  <c r="AL13" i="1"/>
  <c r="AL12" i="1"/>
  <c r="AL11" i="1"/>
  <c r="AL10" i="1"/>
  <c r="AL9" i="1"/>
  <c r="AL8" i="1"/>
  <c r="AL7" i="1"/>
  <c r="AK13" i="1"/>
  <c r="B8" i="5" s="1"/>
  <c r="AK12" i="1"/>
  <c r="B14" i="5" s="1"/>
  <c r="AK11" i="1"/>
  <c r="B11" i="5" s="1"/>
  <c r="AK10" i="1"/>
  <c r="AK9" i="1"/>
  <c r="B12" i="5" s="1"/>
  <c r="AK8" i="1"/>
  <c r="AK7" i="1"/>
  <c r="T10" i="5" l="1"/>
  <c r="Q6" i="12" s="1"/>
  <c r="BQ13" i="5"/>
  <c r="Q9" i="12"/>
  <c r="P4" i="12"/>
  <c r="AI10" i="12"/>
  <c r="AI9" i="12"/>
  <c r="BQ12" i="5"/>
  <c r="P5" i="12"/>
  <c r="BQ15" i="5"/>
  <c r="P9" i="12"/>
  <c r="C6" i="12"/>
  <c r="C10" i="6"/>
  <c r="BQ11" i="5"/>
  <c r="J6" i="12"/>
  <c r="I6" i="12"/>
  <c r="P8" i="12"/>
  <c r="AI11" i="12"/>
  <c r="U8" i="12"/>
  <c r="W12" i="5"/>
  <c r="C9" i="12"/>
  <c r="C13" i="6"/>
  <c r="I9" i="12"/>
  <c r="J9" i="12"/>
  <c r="F4" i="12"/>
  <c r="G4" i="12"/>
  <c r="N8" i="5"/>
  <c r="BY8" i="5"/>
  <c r="U11" i="12"/>
  <c r="W15" i="5"/>
  <c r="C8" i="12"/>
  <c r="C12" i="6"/>
  <c r="I8" i="12"/>
  <c r="J8" i="12"/>
  <c r="S6" i="12"/>
  <c r="R6" i="12"/>
  <c r="X10" i="5"/>
  <c r="U7" i="12"/>
  <c r="W11" i="5"/>
  <c r="C10" i="12"/>
  <c r="C14" i="6"/>
  <c r="J4" i="12"/>
  <c r="I4" i="12"/>
  <c r="L11" i="5"/>
  <c r="T11" i="5"/>
  <c r="Q7" i="12" s="1"/>
  <c r="S5" i="12"/>
  <c r="R5" i="12"/>
  <c r="U10" i="12"/>
  <c r="W14" i="5"/>
  <c r="S4" i="12"/>
  <c r="R4" i="12"/>
  <c r="U9" i="12"/>
  <c r="W13" i="5"/>
  <c r="J11" i="12"/>
  <c r="I11" i="12"/>
  <c r="L13" i="5"/>
  <c r="R9" i="12"/>
  <c r="S9" i="12"/>
  <c r="U4" i="12"/>
  <c r="W8" i="5"/>
  <c r="R7" i="12"/>
  <c r="S7" i="12"/>
  <c r="C5" i="12"/>
  <c r="C9" i="6"/>
  <c r="G7" i="12"/>
  <c r="F7" i="12"/>
  <c r="N11" i="5"/>
  <c r="BY11" i="5"/>
  <c r="U5" i="12"/>
  <c r="W9" i="5"/>
  <c r="C11" i="12"/>
  <c r="C15" i="6"/>
  <c r="BY10" i="5"/>
  <c r="G6" i="12"/>
  <c r="F6" i="12"/>
  <c r="N10" i="5"/>
  <c r="I7" i="12"/>
  <c r="J7" i="12"/>
  <c r="L12" i="5"/>
  <c r="C7" i="12"/>
  <c r="C11" i="6"/>
  <c r="I10" i="12"/>
  <c r="J10" i="12"/>
  <c r="L15" i="5"/>
  <c r="T15" i="5"/>
  <c r="C4" i="12"/>
  <c r="C8" i="6"/>
  <c r="F5" i="12"/>
  <c r="G5" i="12"/>
  <c r="BY9" i="5"/>
  <c r="N9" i="5"/>
  <c r="L14" i="5"/>
  <c r="K5" i="12" s="1"/>
  <c r="T14" i="5"/>
  <c r="Q10" i="12" s="1"/>
  <c r="F9" i="12"/>
  <c r="G9" i="12"/>
  <c r="BY13" i="5"/>
  <c r="N13" i="5"/>
  <c r="L8" i="5"/>
  <c r="T8" i="5"/>
  <c r="Q4" i="12" s="1"/>
  <c r="R8" i="12"/>
  <c r="S8" i="12"/>
  <c r="F11" i="12"/>
  <c r="G11" i="12"/>
  <c r="N15" i="5"/>
  <c r="BY15" i="5"/>
  <c r="R10" i="12"/>
  <c r="S10" i="12"/>
  <c r="J5" i="12"/>
  <c r="I5" i="12"/>
  <c r="F10" i="12"/>
  <c r="G10" i="12"/>
  <c r="N14" i="5"/>
  <c r="BY14" i="5"/>
  <c r="F8" i="12"/>
  <c r="G8" i="12"/>
  <c r="BY12" i="5"/>
  <c r="N12" i="5"/>
  <c r="S11" i="12"/>
  <c r="R11" i="12"/>
  <c r="L10" i="5"/>
  <c r="L5" i="12" l="1"/>
  <c r="Q8" i="12"/>
  <c r="Q5" i="12"/>
  <c r="Q11" i="12"/>
  <c r="M9" i="12"/>
  <c r="K13" i="6"/>
  <c r="M4" i="12"/>
  <c r="K8" i="6"/>
  <c r="AL9" i="12"/>
  <c r="CA13" i="5"/>
  <c r="AL11" i="12"/>
  <c r="CA15" i="5"/>
  <c r="CA10" i="5"/>
  <c r="AL6" i="12"/>
  <c r="K6" i="12"/>
  <c r="L6" i="12"/>
  <c r="L10" i="12"/>
  <c r="K10" i="12"/>
  <c r="M10" i="12"/>
  <c r="K14" i="6"/>
  <c r="M6" i="12"/>
  <c r="K10" i="6"/>
  <c r="AL4" i="12"/>
  <c r="CA8" i="5"/>
  <c r="K4" i="12"/>
  <c r="L4" i="12"/>
  <c r="K11" i="12"/>
  <c r="L11" i="12"/>
  <c r="M8" i="12"/>
  <c r="K12" i="6"/>
  <c r="AL8" i="12"/>
  <c r="CA12" i="5"/>
  <c r="M11" i="12"/>
  <c r="K15" i="6"/>
  <c r="AL7" i="12"/>
  <c r="CA11" i="5"/>
  <c r="L9" i="12"/>
  <c r="K9" i="12"/>
  <c r="L7" i="12"/>
  <c r="K7" i="12"/>
  <c r="M5" i="12"/>
  <c r="K9" i="6"/>
  <c r="L8" i="12"/>
  <c r="K8" i="12"/>
  <c r="M7" i="12"/>
  <c r="K11" i="6"/>
  <c r="AL5" i="12"/>
  <c r="CA9" i="5"/>
  <c r="AL10" i="12"/>
  <c r="CA14" i="5"/>
  <c r="F153" i="10" l="1"/>
  <c r="C153" i="10"/>
  <c r="A153" i="10"/>
  <c r="F152" i="10"/>
  <c r="C152" i="10"/>
  <c r="A152" i="10"/>
  <c r="F151" i="10"/>
  <c r="C151" i="10"/>
  <c r="A151" i="10"/>
  <c r="F150" i="10"/>
  <c r="C150" i="10"/>
  <c r="A150" i="10"/>
  <c r="F149" i="10"/>
  <c r="C149" i="10"/>
  <c r="A149" i="10"/>
  <c r="F148" i="10"/>
  <c r="C148" i="10"/>
  <c r="A148" i="10"/>
  <c r="F147" i="10"/>
  <c r="C147" i="10"/>
  <c r="A147" i="10"/>
  <c r="F146" i="10"/>
  <c r="C146" i="10"/>
  <c r="A146" i="10"/>
  <c r="F145" i="10"/>
  <c r="C145" i="10"/>
  <c r="A145" i="10"/>
  <c r="F144" i="10"/>
  <c r="C144" i="10"/>
  <c r="A144" i="10"/>
  <c r="F143" i="10"/>
  <c r="C143" i="10"/>
  <c r="A143" i="10"/>
  <c r="F142" i="10"/>
  <c r="C142" i="10"/>
  <c r="A142" i="10"/>
  <c r="F141" i="10"/>
  <c r="C141" i="10"/>
  <c r="A141" i="10"/>
  <c r="F140" i="10"/>
  <c r="C140" i="10"/>
  <c r="A140" i="10"/>
  <c r="F139" i="10"/>
  <c r="C139" i="10"/>
  <c r="A139" i="10"/>
  <c r="F138" i="10"/>
  <c r="C138" i="10"/>
  <c r="A138" i="10"/>
  <c r="F137" i="10"/>
  <c r="C137" i="10"/>
  <c r="A137" i="10"/>
  <c r="F136" i="10"/>
  <c r="C136" i="10"/>
  <c r="A136" i="10"/>
  <c r="F135" i="10"/>
  <c r="C135" i="10"/>
  <c r="A135" i="10"/>
  <c r="F134" i="10"/>
  <c r="C134" i="10"/>
  <c r="A134" i="10"/>
  <c r="F133" i="10"/>
  <c r="C133" i="10"/>
  <c r="A133" i="10"/>
  <c r="F132" i="10"/>
  <c r="C132" i="10"/>
  <c r="A132" i="10"/>
  <c r="F131" i="10"/>
  <c r="C131" i="10"/>
  <c r="A131" i="10"/>
  <c r="F130" i="10"/>
  <c r="C130" i="10"/>
  <c r="A130" i="10"/>
  <c r="F129" i="10"/>
  <c r="C129" i="10"/>
  <c r="A129" i="10"/>
  <c r="F128" i="10"/>
  <c r="C128" i="10"/>
  <c r="A128" i="10"/>
  <c r="F127" i="10"/>
  <c r="C127" i="10"/>
  <c r="A127" i="10"/>
  <c r="F126" i="10"/>
  <c r="C126" i="10"/>
  <c r="A126" i="10"/>
  <c r="F125" i="10"/>
  <c r="C125" i="10"/>
  <c r="A125" i="10"/>
  <c r="F124" i="10"/>
  <c r="C124" i="10"/>
  <c r="A124" i="10"/>
  <c r="F123" i="10"/>
  <c r="C123" i="10"/>
  <c r="A123" i="10"/>
  <c r="F122" i="10"/>
  <c r="C122" i="10"/>
  <c r="A122" i="10"/>
  <c r="F121" i="10"/>
  <c r="C121" i="10"/>
  <c r="A121" i="10"/>
  <c r="F120" i="10"/>
  <c r="C120" i="10"/>
  <c r="A120" i="10"/>
  <c r="F119" i="10"/>
  <c r="C119" i="10"/>
  <c r="A119" i="10"/>
  <c r="F118" i="10"/>
  <c r="C118" i="10"/>
  <c r="A118" i="10"/>
  <c r="F117" i="10"/>
  <c r="C117" i="10"/>
  <c r="A117" i="10"/>
  <c r="F116" i="10"/>
  <c r="C116" i="10"/>
  <c r="A116" i="10"/>
  <c r="F115" i="10"/>
  <c r="C115" i="10"/>
  <c r="A115" i="10"/>
  <c r="F114" i="10"/>
  <c r="C114" i="10"/>
  <c r="A114" i="10"/>
  <c r="F113" i="10"/>
  <c r="C113" i="10"/>
  <c r="A113" i="10"/>
  <c r="F112" i="10"/>
  <c r="C112" i="10"/>
  <c r="A112" i="10"/>
  <c r="F111" i="10"/>
  <c r="C111" i="10"/>
  <c r="A111" i="10"/>
  <c r="F110" i="10"/>
  <c r="C110" i="10"/>
  <c r="A110" i="10"/>
  <c r="F109" i="10"/>
  <c r="C109" i="10"/>
  <c r="A109" i="10"/>
  <c r="F108" i="10"/>
  <c r="C108" i="10"/>
  <c r="A108" i="10"/>
  <c r="F107" i="10"/>
  <c r="C107" i="10"/>
  <c r="A107" i="10"/>
  <c r="F106" i="10"/>
  <c r="C106" i="10"/>
  <c r="A106" i="10"/>
  <c r="F105" i="10"/>
  <c r="C105" i="10"/>
  <c r="A105" i="10"/>
  <c r="F104" i="10"/>
  <c r="C104" i="10"/>
  <c r="A104" i="10"/>
  <c r="F103" i="10"/>
  <c r="C103" i="10"/>
  <c r="A103" i="10"/>
  <c r="F102" i="10"/>
  <c r="C102" i="10"/>
  <c r="A102" i="10"/>
  <c r="F101" i="10"/>
  <c r="C101" i="10"/>
  <c r="A101" i="10"/>
  <c r="F100" i="10"/>
  <c r="C100" i="10"/>
  <c r="A100" i="10"/>
  <c r="F99" i="10"/>
  <c r="C99" i="10"/>
  <c r="A99" i="10"/>
  <c r="F98" i="10"/>
  <c r="C98" i="10"/>
  <c r="A98" i="10"/>
  <c r="F97" i="10"/>
  <c r="C97" i="10"/>
  <c r="A97" i="10"/>
  <c r="F96" i="10"/>
  <c r="C96" i="10"/>
  <c r="A96" i="10"/>
  <c r="F95" i="10"/>
  <c r="C95" i="10"/>
  <c r="A95" i="10"/>
  <c r="F94" i="10"/>
  <c r="C94" i="10"/>
  <c r="A94" i="10"/>
  <c r="F93" i="10"/>
  <c r="C93" i="10"/>
  <c r="A93" i="10"/>
  <c r="F92" i="10"/>
  <c r="C92" i="10"/>
  <c r="A92" i="10"/>
  <c r="F91" i="10"/>
  <c r="C91" i="10"/>
  <c r="A91" i="10"/>
  <c r="F90" i="10"/>
  <c r="C90" i="10"/>
  <c r="A90" i="10"/>
  <c r="F89" i="10"/>
  <c r="C89" i="10"/>
  <c r="A89" i="10"/>
  <c r="F88" i="10"/>
  <c r="C88" i="10"/>
  <c r="A88" i="10"/>
  <c r="F87" i="10"/>
  <c r="C87" i="10"/>
  <c r="A87" i="10"/>
  <c r="F86" i="10"/>
  <c r="C86" i="10"/>
  <c r="A86" i="10"/>
  <c r="F85" i="10"/>
  <c r="C85" i="10"/>
  <c r="A85" i="10"/>
  <c r="F84" i="10"/>
  <c r="C84" i="10"/>
  <c r="A84" i="10"/>
  <c r="F83" i="10"/>
  <c r="C83" i="10"/>
  <c r="A83" i="10"/>
  <c r="F82" i="10"/>
  <c r="C82" i="10"/>
  <c r="A82" i="10"/>
  <c r="F81" i="10"/>
  <c r="C81" i="10"/>
  <c r="A81" i="10"/>
  <c r="F80" i="10"/>
  <c r="C80" i="10"/>
  <c r="A80" i="10"/>
  <c r="F79" i="10"/>
  <c r="C79" i="10"/>
  <c r="A79" i="10"/>
  <c r="F78" i="10"/>
  <c r="C78" i="10"/>
  <c r="A78" i="10"/>
  <c r="F77" i="10"/>
  <c r="C77" i="10"/>
  <c r="A77" i="10"/>
  <c r="F76" i="10"/>
  <c r="C76" i="10"/>
  <c r="A76" i="10"/>
  <c r="F75" i="10"/>
  <c r="C75" i="10"/>
  <c r="A75" i="10"/>
  <c r="F74" i="10"/>
  <c r="C74" i="10"/>
  <c r="A74" i="10"/>
  <c r="F73" i="10"/>
  <c r="C73" i="10"/>
  <c r="A73" i="10"/>
  <c r="F72" i="10"/>
  <c r="C72" i="10"/>
  <c r="A72" i="10"/>
  <c r="F71" i="10"/>
  <c r="C71" i="10"/>
  <c r="A71" i="10"/>
  <c r="F70" i="10"/>
  <c r="C70" i="10"/>
  <c r="A70" i="10"/>
  <c r="F69" i="10"/>
  <c r="C69" i="10"/>
  <c r="A69" i="10"/>
  <c r="F68" i="10"/>
  <c r="C68" i="10"/>
  <c r="A68" i="10"/>
  <c r="F67" i="10"/>
  <c r="C67" i="10"/>
  <c r="A67" i="10"/>
  <c r="F66" i="10"/>
  <c r="C66" i="10"/>
  <c r="A66" i="10"/>
  <c r="F65" i="10"/>
  <c r="C65" i="10"/>
  <c r="A65" i="10"/>
  <c r="F64" i="10"/>
  <c r="C64" i="10"/>
  <c r="A64" i="10"/>
  <c r="F63" i="10"/>
  <c r="C63" i="10"/>
  <c r="A63" i="10"/>
  <c r="F62" i="10"/>
  <c r="C62" i="10"/>
  <c r="A62" i="10"/>
  <c r="F61" i="10"/>
  <c r="C61" i="10"/>
  <c r="A61" i="10"/>
  <c r="F60" i="10"/>
  <c r="C60" i="10"/>
  <c r="A60" i="10"/>
  <c r="F59" i="10"/>
  <c r="C59" i="10"/>
  <c r="A59" i="10"/>
  <c r="F58" i="10"/>
  <c r="C58" i="10"/>
  <c r="A58" i="10"/>
  <c r="F57" i="10"/>
  <c r="C57" i="10"/>
  <c r="A57" i="10"/>
  <c r="F56" i="10"/>
  <c r="C56" i="10"/>
  <c r="A56" i="10"/>
  <c r="F55" i="10"/>
  <c r="C55" i="10"/>
  <c r="A55" i="10"/>
  <c r="F54" i="10"/>
  <c r="C54" i="10"/>
  <c r="A54" i="10"/>
  <c r="F53" i="10"/>
  <c r="C53" i="10"/>
  <c r="A53" i="10"/>
  <c r="F52" i="10"/>
  <c r="C52" i="10"/>
  <c r="A52" i="10"/>
  <c r="F51" i="10"/>
  <c r="C51" i="10"/>
  <c r="A51" i="10"/>
  <c r="F50" i="10"/>
  <c r="C50" i="10"/>
  <c r="A50" i="10"/>
  <c r="F49" i="10"/>
  <c r="C49" i="10"/>
  <c r="A49" i="10"/>
  <c r="F48" i="10"/>
  <c r="C48" i="10"/>
  <c r="A48" i="10"/>
  <c r="F47" i="10"/>
  <c r="C47" i="10"/>
  <c r="A47" i="10"/>
  <c r="F46" i="10"/>
  <c r="C46" i="10"/>
  <c r="A46" i="10"/>
  <c r="F45" i="10"/>
  <c r="C45" i="10"/>
  <c r="A45" i="10"/>
  <c r="F44" i="10"/>
  <c r="C44" i="10"/>
  <c r="A44" i="10"/>
  <c r="F43" i="10"/>
  <c r="C43" i="10"/>
  <c r="A43" i="10"/>
  <c r="F42" i="10"/>
  <c r="C42" i="10"/>
  <c r="A42" i="10"/>
  <c r="F41" i="10"/>
  <c r="C41" i="10"/>
  <c r="A41" i="10"/>
  <c r="F40" i="10"/>
  <c r="C40" i="10"/>
  <c r="A40" i="10"/>
  <c r="F39" i="10"/>
  <c r="C39" i="10"/>
  <c r="A39" i="10"/>
  <c r="F38" i="10"/>
  <c r="C38" i="10"/>
  <c r="A38" i="10"/>
  <c r="F37" i="10"/>
  <c r="C37" i="10"/>
  <c r="A37" i="10"/>
  <c r="F36" i="10"/>
  <c r="C36" i="10"/>
  <c r="A36" i="10"/>
  <c r="F35" i="10"/>
  <c r="C35" i="10"/>
  <c r="A35" i="10"/>
  <c r="F34" i="10"/>
  <c r="C34" i="10"/>
  <c r="A34" i="10"/>
  <c r="F33" i="10"/>
  <c r="C33" i="10"/>
  <c r="A33" i="10"/>
  <c r="F32" i="10"/>
  <c r="C32" i="10"/>
  <c r="A32" i="10"/>
  <c r="F31" i="10"/>
  <c r="C31" i="10"/>
  <c r="A31" i="10"/>
  <c r="F30" i="10"/>
  <c r="C30" i="10"/>
  <c r="A30" i="10"/>
  <c r="F29" i="10"/>
  <c r="C29" i="10"/>
  <c r="A29" i="10"/>
  <c r="F28" i="10"/>
  <c r="C28" i="10"/>
  <c r="A28" i="10"/>
  <c r="F27" i="10"/>
  <c r="C27" i="10"/>
  <c r="A27" i="10"/>
  <c r="F26" i="10"/>
  <c r="C26" i="10"/>
  <c r="A26" i="10"/>
  <c r="F25" i="10"/>
  <c r="C25" i="10"/>
  <c r="A25" i="10"/>
  <c r="F24" i="10"/>
  <c r="C24" i="10"/>
  <c r="A24" i="10"/>
  <c r="F23" i="10"/>
  <c r="C23" i="10"/>
  <c r="A23" i="10"/>
  <c r="F22" i="10"/>
  <c r="C22" i="10"/>
  <c r="A22" i="10"/>
  <c r="F21" i="10"/>
  <c r="C21" i="10"/>
  <c r="A21" i="10"/>
  <c r="F20" i="10"/>
  <c r="C20" i="10"/>
  <c r="A20" i="10"/>
  <c r="F19" i="10"/>
  <c r="C19" i="10"/>
  <c r="A19" i="10"/>
  <c r="F18" i="10"/>
  <c r="C18" i="10"/>
  <c r="A18" i="10"/>
  <c r="F17" i="10"/>
  <c r="C17" i="10"/>
  <c r="A17" i="10"/>
  <c r="F16" i="10"/>
  <c r="C16" i="10"/>
  <c r="A16" i="10"/>
  <c r="F15" i="10"/>
  <c r="C15" i="10"/>
  <c r="A15" i="10"/>
  <c r="F14" i="10"/>
  <c r="C14" i="10"/>
  <c r="A14" i="10"/>
  <c r="F13" i="10"/>
  <c r="C13" i="10"/>
  <c r="A13" i="10"/>
  <c r="F12" i="10"/>
  <c r="C12" i="10"/>
  <c r="A12" i="10"/>
  <c r="F11" i="10"/>
  <c r="C11" i="10"/>
  <c r="A11" i="10"/>
  <c r="F10" i="10"/>
  <c r="C10" i="10"/>
  <c r="A10" i="10"/>
  <c r="F9" i="10"/>
  <c r="C9" i="10"/>
  <c r="A9" i="10"/>
  <c r="F8" i="10"/>
  <c r="C8" i="10"/>
  <c r="A8" i="10"/>
  <c r="F7" i="10"/>
  <c r="C7" i="10"/>
  <c r="A7" i="10"/>
  <c r="F6" i="10"/>
  <c r="C6" i="10"/>
  <c r="A6" i="10"/>
  <c r="F5" i="10"/>
  <c r="C5" i="10"/>
  <c r="A5" i="10"/>
  <c r="F4" i="10"/>
  <c r="C4" i="10"/>
  <c r="A4" i="10"/>
  <c r="F31" i="9" s="1"/>
  <c r="F3" i="10"/>
  <c r="C3" i="10"/>
  <c r="A3" i="10"/>
  <c r="F2" i="10"/>
  <c r="C2" i="10"/>
  <c r="A2" i="10"/>
  <c r="F42" i="9" s="1"/>
  <c r="B42" i="9"/>
  <c r="B41" i="9"/>
  <c r="F40" i="9"/>
  <c r="D40" i="9"/>
  <c r="B40" i="9"/>
  <c r="B39" i="9"/>
  <c r="B38" i="9"/>
  <c r="F37" i="9"/>
  <c r="D37" i="9"/>
  <c r="B37" i="9"/>
  <c r="B36" i="9"/>
  <c r="D35" i="9"/>
  <c r="B35" i="9"/>
  <c r="B34" i="9"/>
  <c r="F33" i="9"/>
  <c r="D33" i="9"/>
  <c r="B33" i="9"/>
  <c r="B32" i="9"/>
  <c r="D31" i="9"/>
  <c r="B31" i="9"/>
  <c r="B30" i="9"/>
  <c r="F29" i="9"/>
  <c r="D29" i="9"/>
  <c r="B29" i="9"/>
  <c r="B28" i="9"/>
  <c r="D27" i="9"/>
  <c r="B27" i="9"/>
  <c r="B26" i="9"/>
  <c r="F25" i="9"/>
  <c r="D25" i="9"/>
  <c r="B25" i="9"/>
  <c r="B24" i="9"/>
  <c r="D23" i="9"/>
  <c r="B23" i="9"/>
  <c r="B22" i="9"/>
  <c r="F21" i="9"/>
  <c r="D21" i="9"/>
  <c r="B21" i="9"/>
  <c r="B20" i="9"/>
  <c r="D19" i="9"/>
  <c r="B19" i="9"/>
  <c r="B18" i="9"/>
  <c r="F17" i="9"/>
  <c r="D17" i="9"/>
  <c r="B17" i="9"/>
  <c r="B16" i="9"/>
  <c r="D15" i="9"/>
  <c r="B15" i="9"/>
  <c r="B14" i="9"/>
  <c r="F13" i="9"/>
  <c r="D13" i="9"/>
  <c r="B13" i="9"/>
  <c r="B12" i="9"/>
  <c r="D11" i="9"/>
  <c r="B11" i="9"/>
  <c r="B10" i="9"/>
  <c r="F9" i="9"/>
  <c r="D9" i="9"/>
  <c r="B9" i="9"/>
  <c r="B8" i="9"/>
  <c r="D7" i="9"/>
  <c r="B7" i="9"/>
  <c r="B6" i="9"/>
  <c r="F5" i="9"/>
  <c r="D5" i="9"/>
  <c r="B5" i="9"/>
  <c r="B4" i="9"/>
  <c r="D3" i="9"/>
  <c r="B3" i="9"/>
  <c r="B42" i="8"/>
  <c r="D41" i="8"/>
  <c r="B41" i="8"/>
  <c r="B40" i="8"/>
  <c r="F39" i="8"/>
  <c r="D39" i="8"/>
  <c r="B39" i="8"/>
  <c r="D38" i="8"/>
  <c r="B38" i="8"/>
  <c r="D37" i="8"/>
  <c r="B37" i="8"/>
  <c r="B36" i="8"/>
  <c r="F35" i="8"/>
  <c r="D35" i="8"/>
  <c r="B35" i="8"/>
  <c r="D34" i="8"/>
  <c r="B34" i="8"/>
  <c r="D33" i="8"/>
  <c r="B33" i="8"/>
  <c r="B32" i="8"/>
  <c r="F31" i="8"/>
  <c r="D31" i="8"/>
  <c r="B31" i="8"/>
  <c r="D30" i="8"/>
  <c r="B30" i="8"/>
  <c r="D29" i="8"/>
  <c r="B29" i="8"/>
  <c r="B28" i="8"/>
  <c r="F27" i="8"/>
  <c r="D27" i="8"/>
  <c r="B27" i="8"/>
  <c r="D26" i="8"/>
  <c r="B26" i="8"/>
  <c r="D25" i="8"/>
  <c r="B25" i="8"/>
  <c r="B24" i="8"/>
  <c r="F23" i="8"/>
  <c r="D23" i="8"/>
  <c r="B23" i="8"/>
  <c r="D22" i="8"/>
  <c r="B22" i="8"/>
  <c r="D21" i="8"/>
  <c r="B21" i="8"/>
  <c r="B20" i="8"/>
  <c r="F19" i="8"/>
  <c r="D19" i="8"/>
  <c r="B19" i="8"/>
  <c r="D18" i="8"/>
  <c r="B18" i="8"/>
  <c r="D17" i="8"/>
  <c r="B17" i="8"/>
  <c r="B16" i="8"/>
  <c r="F15" i="8"/>
  <c r="D15" i="8"/>
  <c r="B15" i="8"/>
  <c r="D14" i="8"/>
  <c r="B14" i="8"/>
  <c r="D13" i="8"/>
  <c r="B13" i="8"/>
  <c r="B12" i="8"/>
  <c r="F11" i="8"/>
  <c r="D11" i="8"/>
  <c r="B11" i="8"/>
  <c r="D10" i="8"/>
  <c r="B10" i="8"/>
  <c r="D9" i="8"/>
  <c r="B9" i="8"/>
  <c r="B8" i="8"/>
  <c r="F7" i="8"/>
  <c r="D7" i="8"/>
  <c r="B7" i="8"/>
  <c r="D6" i="8"/>
  <c r="B6" i="8"/>
  <c r="D5" i="8"/>
  <c r="B5" i="8"/>
  <c r="B4" i="8"/>
  <c r="F3" i="8"/>
  <c r="D3" i="8"/>
  <c r="B3" i="8"/>
  <c r="AC3" i="12" l="1"/>
  <c r="Q3" i="12"/>
  <c r="E3" i="12"/>
  <c r="J3" i="12"/>
  <c r="T3" i="12"/>
  <c r="R3" i="12"/>
  <c r="AN3" i="12"/>
  <c r="AB3" i="12"/>
  <c r="P3" i="12"/>
  <c r="D3" i="12"/>
  <c r="M3" i="12"/>
  <c r="U3" i="12"/>
  <c r="Y3" i="12"/>
  <c r="X3" i="12"/>
  <c r="V3" i="12"/>
  <c r="I3" i="12"/>
  <c r="H3" i="12"/>
  <c r="F3" i="12"/>
  <c r="AL3" i="12"/>
  <c r="Z3" i="12"/>
  <c r="N3" i="12"/>
  <c r="B3" i="12"/>
  <c r="AK3" i="12"/>
  <c r="AJ3" i="12"/>
  <c r="L3" i="12"/>
  <c r="AH3" i="12"/>
  <c r="AG3" i="12"/>
  <c r="AF3" i="12"/>
  <c r="AD3" i="12"/>
  <c r="F5" i="8"/>
  <c r="F17" i="8"/>
  <c r="F37" i="8"/>
  <c r="D4" i="9"/>
  <c r="D8" i="9"/>
  <c r="D12" i="9"/>
  <c r="D16" i="9"/>
  <c r="D20" i="9"/>
  <c r="D24" i="9"/>
  <c r="D28" i="9"/>
  <c r="D32" i="9"/>
  <c r="D36" i="9"/>
  <c r="D39" i="9"/>
  <c r="F6" i="8"/>
  <c r="F14" i="8"/>
  <c r="F22" i="8"/>
  <c r="F30" i="8"/>
  <c r="F38" i="8"/>
  <c r="F4" i="9"/>
  <c r="F8" i="9"/>
  <c r="F12" i="9"/>
  <c r="F16" i="9"/>
  <c r="F24" i="9"/>
  <c r="F28" i="9"/>
  <c r="F32" i="9"/>
  <c r="F36" i="9"/>
  <c r="F39" i="9"/>
  <c r="F10" i="8"/>
  <c r="F18" i="8"/>
  <c r="F26" i="8"/>
  <c r="F34" i="8"/>
  <c r="F20" i="9"/>
  <c r="D4" i="8"/>
  <c r="C3" i="12" s="1"/>
  <c r="D16" i="8"/>
  <c r="O3" i="12" s="1"/>
  <c r="D28" i="8"/>
  <c r="AA3" i="12" s="1"/>
  <c r="D36" i="8"/>
  <c r="AI3" i="12" s="1"/>
  <c r="D40" i="8"/>
  <c r="AM3" i="12" s="1"/>
  <c r="D42" i="8"/>
  <c r="AO3" i="12" s="1"/>
  <c r="D6" i="9"/>
  <c r="D10" i="9"/>
  <c r="D14" i="9"/>
  <c r="D18" i="9"/>
  <c r="D22" i="9"/>
  <c r="D26" i="9"/>
  <c r="D30" i="9"/>
  <c r="D34" i="9"/>
  <c r="D38" i="9"/>
  <c r="D41" i="9"/>
  <c r="D12" i="8"/>
  <c r="K3" i="12" s="1"/>
  <c r="D32" i="8"/>
  <c r="AE3" i="12" s="1"/>
  <c r="F12" i="8"/>
  <c r="F24" i="8"/>
  <c r="F36" i="8"/>
  <c r="F6" i="9"/>
  <c r="F18" i="9"/>
  <c r="F30" i="9"/>
  <c r="F34" i="9"/>
  <c r="F41" i="9"/>
  <c r="D8" i="8"/>
  <c r="G3" i="12" s="1"/>
  <c r="D20" i="8"/>
  <c r="S3" i="12" s="1"/>
  <c r="D24" i="8"/>
  <c r="W3" i="12" s="1"/>
  <c r="F4" i="8"/>
  <c r="F8" i="8"/>
  <c r="F16" i="8"/>
  <c r="F20" i="8"/>
  <c r="F28" i="8"/>
  <c r="F32" i="8"/>
  <c r="F40" i="8"/>
  <c r="F42" i="8"/>
  <c r="F10" i="9"/>
  <c r="F14" i="9"/>
  <c r="F22" i="9"/>
  <c r="F26" i="9"/>
  <c r="F38" i="9"/>
  <c r="D42" i="9"/>
  <c r="F9" i="8"/>
  <c r="F13" i="8"/>
  <c r="F21" i="8"/>
  <c r="F25" i="8"/>
  <c r="F29" i="8"/>
  <c r="F33" i="8"/>
  <c r="F41" i="8"/>
  <c r="F3" i="9"/>
  <c r="F7" i="9"/>
  <c r="F11" i="9"/>
  <c r="F15" i="9"/>
  <c r="F19" i="9"/>
  <c r="F23" i="9"/>
  <c r="F27" i="9"/>
  <c r="F35" i="9"/>
  <c r="AF10" i="1" l="1"/>
  <c r="AG10" i="1" s="1"/>
  <c r="AF9" i="1"/>
  <c r="AG9" i="1" s="1"/>
  <c r="AF8" i="1"/>
  <c r="AG8" i="1" s="1"/>
  <c r="AF7" i="1"/>
  <c r="AG7" i="1" s="1"/>
  <c r="AC10" i="1"/>
  <c r="AC9" i="1"/>
  <c r="AC8" i="1"/>
  <c r="AC7" i="1"/>
  <c r="AD10" i="1" l="1"/>
  <c r="AE10" i="1" s="1"/>
  <c r="AD9" i="1"/>
  <c r="AE9" i="1" s="1"/>
  <c r="AD8" i="1"/>
  <c r="AE8" i="1" s="1"/>
  <c r="AD7" i="1"/>
  <c r="AE7" i="1" s="1"/>
  <c r="X8" i="5" l="1"/>
  <c r="X9" i="5" l="1"/>
  <c r="T4" i="12"/>
  <c r="T6" i="12"/>
  <c r="X11" i="5" l="1"/>
  <c r="T7" i="12"/>
  <c r="A6" i="12"/>
  <c r="B6" i="12"/>
  <c r="X12" i="5" l="1"/>
  <c r="X13" i="5" s="1"/>
  <c r="A11" i="5"/>
  <c r="A12" i="5" s="1"/>
  <c r="A13" i="5" s="1"/>
  <c r="A9" i="12" l="1"/>
  <c r="B9" i="12"/>
  <c r="A14" i="5"/>
  <c r="B7" i="12"/>
  <c r="A7" i="12"/>
  <c r="X14" i="5"/>
  <c r="T9" i="12"/>
  <c r="T8" i="12"/>
  <c r="A8" i="12"/>
  <c r="B8" i="12"/>
  <c r="T5" i="12" l="1"/>
  <c r="X15" i="5"/>
  <c r="T11" i="12" s="1"/>
  <c r="T10" i="12"/>
  <c r="A10" i="12"/>
  <c r="B10" i="12"/>
  <c r="A15" i="5"/>
  <c r="B11" i="12" l="1"/>
  <c r="A11" i="12"/>
  <c r="A8" i="5"/>
  <c r="A9" i="5"/>
  <c r="A5" i="12"/>
  <c r="B5" i="12"/>
  <c r="A4" i="12"/>
  <c r="B4" i="12"/>
</calcChain>
</file>

<file path=xl/comments1.xml><?xml version="1.0" encoding="utf-8"?>
<comments xmlns="http://schemas.openxmlformats.org/spreadsheetml/2006/main">
  <authors>
    <author>Rui Alexandre Sequeira Castro</author>
    <author>Rui Castro</author>
  </authors>
  <commentList>
    <comment ref="AH13" authorId="0" shapeId="0">
      <text>
        <r>
          <rPr>
            <b/>
            <sz val="9"/>
            <color indexed="81"/>
            <rFont val="Tahoma"/>
            <family val="2"/>
          </rPr>
          <t>Rui Alexandre Sequeira Castro:</t>
        </r>
        <r>
          <rPr>
            <sz val="9"/>
            <color indexed="81"/>
            <rFont val="Tahoma"/>
            <family val="2"/>
          </rPr>
          <t xml:space="preserve">
OK</t>
        </r>
      </text>
    </comment>
    <comment ref="AH19" authorId="0" shapeId="0">
      <text>
        <r>
          <rPr>
            <b/>
            <sz val="9"/>
            <color indexed="81"/>
            <rFont val="Tahoma"/>
            <family val="2"/>
          </rPr>
          <t>Rui Alexandre Sequeira Castro:</t>
        </r>
        <r>
          <rPr>
            <sz val="9"/>
            <color indexed="81"/>
            <rFont val="Tahoma"/>
            <family val="2"/>
          </rPr>
          <t xml:space="preserve">
OK</t>
        </r>
      </text>
    </comment>
    <comment ref="AH26" authorId="0" shapeId="0">
      <text>
        <r>
          <rPr>
            <b/>
            <sz val="9"/>
            <color indexed="81"/>
            <rFont val="Tahoma"/>
            <family val="2"/>
          </rPr>
          <t>Rui Alexandre Sequeira Castro:</t>
        </r>
        <r>
          <rPr>
            <sz val="9"/>
            <color indexed="81"/>
            <rFont val="Tahoma"/>
            <family val="2"/>
          </rPr>
          <t xml:space="preserve">
OK</t>
        </r>
      </text>
    </comment>
    <comment ref="AH27" authorId="0" shapeId="0">
      <text>
        <r>
          <rPr>
            <b/>
            <sz val="9"/>
            <color indexed="81"/>
            <rFont val="Tahoma"/>
            <family val="2"/>
          </rPr>
          <t>Rui Alexandre Sequeira Castro:</t>
        </r>
        <r>
          <rPr>
            <sz val="9"/>
            <color indexed="81"/>
            <rFont val="Tahoma"/>
            <family val="2"/>
          </rPr>
          <t xml:space="preserve">
OK</t>
        </r>
      </text>
    </comment>
    <comment ref="Y33" authorId="1" shapeId="0">
      <text>
        <r>
          <rPr>
            <b/>
            <sz val="9"/>
            <color indexed="81"/>
            <rFont val="Tahoma"/>
            <family val="2"/>
          </rPr>
          <t>Rui Castro:</t>
        </r>
        <r>
          <rPr>
            <sz val="9"/>
            <color indexed="81"/>
            <rFont val="Tahoma"/>
            <family val="2"/>
          </rPr>
          <t xml:space="preserve">
ATENÇÃO VER TAMBÉM FOLHA: Extr_Outros_Activos_Passivos</t>
        </r>
      </text>
    </comment>
    <comment ref="B42" authorId="1" shapeId="0">
      <text>
        <r>
          <rPr>
            <b/>
            <sz val="9"/>
            <color indexed="81"/>
            <rFont val="Tahoma"/>
            <family val="2"/>
          </rPr>
          <t>Rui Castro:</t>
        </r>
        <r>
          <rPr>
            <sz val="9"/>
            <color indexed="81"/>
            <rFont val="Tahoma"/>
            <family val="2"/>
          </rPr>
          <t xml:space="preserve">
ATENÇÃO VER TAMBÉM FOLHA: Extr_Outros_Activos_Passivos</t>
        </r>
      </text>
    </comment>
  </commentList>
</comments>
</file>

<file path=xl/comments2.xml><?xml version="1.0" encoding="utf-8"?>
<comments xmlns="http://schemas.openxmlformats.org/spreadsheetml/2006/main">
  <authors>
    <author>Carlos Miguel Alves Marques</author>
  </authors>
  <commentList>
    <comment ref="Y4" authorId="0" shapeId="0">
      <text>
        <r>
          <rPr>
            <sz val="9"/>
            <color indexed="81"/>
            <rFont val="Tahoma"/>
            <family val="2"/>
          </rPr>
          <t xml:space="preserve">Assegurar que as emissões que não têm valor de cupão anterior estão a zero nesta coluna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<sst xmlns="http://schemas.openxmlformats.org/spreadsheetml/2006/main" count="2664" uniqueCount="752">
  <si>
    <t>V</t>
  </si>
  <si>
    <t>EUR</t>
  </si>
  <si>
    <t>OB.SANTANDER TOTTA/2025-EUR500M FIX RATE PERP</t>
  </si>
  <si>
    <t>PTBSRDOM0037</t>
  </si>
  <si>
    <t>6205</t>
  </si>
  <si>
    <t>OB.SANTANDER TOTTA SGPS SA ADIC TIER 1 PERPET</t>
  </si>
  <si>
    <t>PTSTOGOM0003</t>
  </si>
  <si>
    <t>OB.SANTANDER TOTTA SGPS SA TIER 1 PERPETUAL</t>
  </si>
  <si>
    <t>PTSTOCOM0007</t>
  </si>
  <si>
    <t>Actual/Ãctual</t>
  </si>
  <si>
    <t>F</t>
  </si>
  <si>
    <t>OB.SANTANDER TOTTA SGPS 4.063% 30/07/2030</t>
  </si>
  <si>
    <t>PTSTOHOM0002</t>
  </si>
  <si>
    <t>251019910</t>
  </si>
  <si>
    <t>OB.SANT TOTTA SGPS 3,078% 2028/06/03</t>
  </si>
  <si>
    <t>PTSTOEOM0021</t>
  </si>
  <si>
    <t/>
  </si>
  <si>
    <t>Actual/365</t>
  </si>
  <si>
    <t>x</t>
  </si>
  <si>
    <t>OB.OB.SANTANDER TOTTA SGPS 4.714%  2032/06/09</t>
  </si>
  <si>
    <t>PTSTOFOM0004</t>
  </si>
  <si>
    <t>OB.BANCO SANTANDER TOTTA SA 7.5% 06/10/2026</t>
  </si>
  <si>
    <t>PTBSREOM0028</t>
  </si>
  <si>
    <t>251019900</t>
  </si>
  <si>
    <t xml:space="preserve"> </t>
  </si>
  <si>
    <t>Compra Carteira Propria</t>
  </si>
  <si>
    <t>Base Cálculo</t>
  </si>
  <si>
    <t>Mês</t>
  </si>
  <si>
    <t>Acumulado Mês Anterior</t>
  </si>
  <si>
    <t>Juros Mensualizados</t>
  </si>
  <si>
    <t>Conta IFRS</t>
  </si>
  <si>
    <r>
      <rPr>
        <b/>
        <sz val="9"/>
        <color theme="0"/>
        <rFont val="Arial"/>
        <family val="2"/>
      </rPr>
      <t>Dias Corridos</t>
    </r>
    <r>
      <rPr>
        <b/>
        <sz val="9"/>
        <color theme="6" tint="-0.249977111117893"/>
        <rFont val="Arial"/>
        <family val="2"/>
      </rPr>
      <t xml:space="preserve"> </t>
    </r>
  </si>
  <si>
    <t>Taxa Cupão</t>
  </si>
  <si>
    <t>Data Fim Cupão</t>
  </si>
  <si>
    <t>Data Inicio Cupão</t>
  </si>
  <si>
    <t>Dias total cupão</t>
  </si>
  <si>
    <t>Minimo Garantido Operação Periodo</t>
  </si>
  <si>
    <t>Spread</t>
  </si>
  <si>
    <t>Taxa F/V</t>
  </si>
  <si>
    <t>Data Reembolso</t>
  </si>
  <si>
    <t>Data Inicio Emissão</t>
  </si>
  <si>
    <t>Quantidade</t>
  </si>
  <si>
    <t>Valor Nominal</t>
  </si>
  <si>
    <t>Montante Emissão (EUR)</t>
  </si>
  <si>
    <t>Moeda</t>
  </si>
  <si>
    <t xml:space="preserve">Titulos </t>
  </si>
  <si>
    <t>Cód.Titulo</t>
  </si>
  <si>
    <t>ISIN</t>
  </si>
  <si>
    <t>Estrutura</t>
  </si>
  <si>
    <t>EMP</t>
  </si>
  <si>
    <t>EMISSÕES PRÓPRIAS - BST</t>
  </si>
  <si>
    <t>BANCO SANTANDER TOTTA, S.A.</t>
  </si>
  <si>
    <t>BALANÇO INDIVIDUAL EM 31 DE AGOSTO DE 2025</t>
  </si>
  <si>
    <t>(Montantes expressos em Euros)</t>
  </si>
  <si>
    <t>31-08-2025</t>
  </si>
  <si>
    <t>Valor antes de</t>
  </si>
  <si>
    <t>imparidade e</t>
  </si>
  <si>
    <t>Imparidade</t>
  </si>
  <si>
    <t>Valor</t>
  </si>
  <si>
    <t>Comparação</t>
  </si>
  <si>
    <t>ATIVO</t>
  </si>
  <si>
    <t>amortizações</t>
  </si>
  <si>
    <t>e amortizações</t>
  </si>
  <si>
    <t>líquido</t>
  </si>
  <si>
    <t>com NCA</t>
  </si>
  <si>
    <t>PASSIVO E CAPITAL PRÓPRIO</t>
  </si>
  <si>
    <t>1</t>
  </si>
  <si>
    <t>1A</t>
  </si>
  <si>
    <t>Caixa e disponibilidades em bancos centrais</t>
  </si>
  <si>
    <t>2</t>
  </si>
  <si>
    <t>2A</t>
  </si>
  <si>
    <t>Disponibilidades em outras instituições de crédito</t>
  </si>
  <si>
    <t>#11311 ok igual á Luisa - Nat juridicas</t>
  </si>
  <si>
    <t>Passivos financeiros detidos para negociação</t>
  </si>
  <si>
    <t>3</t>
  </si>
  <si>
    <t>3A</t>
  </si>
  <si>
    <t>Ativos financeiros detidos para negociação</t>
  </si>
  <si>
    <t>ok igual á Luisa - Nat juridicas</t>
  </si>
  <si>
    <t>Passivos financeiros obrigatóriamente ao justo valor através de resultados</t>
  </si>
  <si>
    <t>18B</t>
  </si>
  <si>
    <t>4A</t>
  </si>
  <si>
    <t>Outros ativos financeiros obrigatoriamente ao justo valor através de resultados</t>
  </si>
  <si>
    <t>Passivos financeiros ao custo amortizado</t>
  </si>
  <si>
    <t>4.1</t>
  </si>
  <si>
    <t>4.1A</t>
  </si>
  <si>
    <t>Ativos financeiros contabilizados pelo justo valor através dos resultados</t>
  </si>
  <si>
    <t>Recursos de bancos centrais</t>
  </si>
  <si>
    <t>Outros ativos financeiros ao justo valor através de outro rendimento integral</t>
  </si>
  <si>
    <t>Recursos de outras instituições de crédito</t>
  </si>
  <si>
    <t>5A</t>
  </si>
  <si>
    <t xml:space="preserve">    Aplicações em instituições de crédito</t>
  </si>
  <si>
    <t>Recursos de clientes e outros empréstimos</t>
  </si>
  <si>
    <t>5.1</t>
  </si>
  <si>
    <t>5.1A</t>
  </si>
  <si>
    <t xml:space="preserve">    Instrumentos de capital</t>
  </si>
  <si>
    <t>Responsabilidades representadas por títulos</t>
  </si>
  <si>
    <t>5.2</t>
  </si>
  <si>
    <t>5.2A</t>
  </si>
  <si>
    <t xml:space="preserve">    Títulos de dívida</t>
  </si>
  <si>
    <t>Passivos financeiros associados a ativos transferidos</t>
  </si>
  <si>
    <t>23A</t>
  </si>
  <si>
    <t>5.3</t>
  </si>
  <si>
    <t>5.3A</t>
  </si>
  <si>
    <t xml:space="preserve">    Crédito concedido</t>
  </si>
  <si>
    <t>Outros passivos financeiros</t>
  </si>
  <si>
    <t>23B</t>
  </si>
  <si>
    <t>5.4</t>
  </si>
  <si>
    <t>5.4A</t>
  </si>
  <si>
    <t xml:space="preserve">    Outros saldos a receber</t>
  </si>
  <si>
    <t>Derivados de cobertura</t>
  </si>
  <si>
    <t>Ativos financeiros ao custo amortizado</t>
  </si>
  <si>
    <t>Correções de valor em passivos inseridos em operações de cobertura</t>
  </si>
  <si>
    <t>6A</t>
  </si>
  <si>
    <t>Provisões</t>
  </si>
  <si>
    <t>6.1</t>
  </si>
  <si>
    <t>6.1A</t>
  </si>
  <si>
    <t>Passivos por impostos</t>
  </si>
  <si>
    <t>7A</t>
  </si>
  <si>
    <t>Instrumentos representativos de capital reembolsáveis</t>
  </si>
  <si>
    <t>7.1</t>
  </si>
  <si>
    <t>7.1A</t>
  </si>
  <si>
    <t>Outros passivos</t>
  </si>
  <si>
    <t>8A</t>
  </si>
  <si>
    <t>Investimentos detidos até à maturidade</t>
  </si>
  <si>
    <t xml:space="preserve">   Total do Passivo</t>
  </si>
  <si>
    <t>9A</t>
  </si>
  <si>
    <t>10A</t>
  </si>
  <si>
    <t>Correções de valor em ativos inseridos em operações de cobertura</t>
  </si>
  <si>
    <t>Capital Próprio</t>
  </si>
  <si>
    <t>11A</t>
  </si>
  <si>
    <t>Investimentos em associadas</t>
  </si>
  <si>
    <t>Capital</t>
  </si>
  <si>
    <t>12A</t>
  </si>
  <si>
    <t>Propriedades de investimento</t>
  </si>
  <si>
    <t>Prémios de emissão</t>
  </si>
  <si>
    <t>13A</t>
  </si>
  <si>
    <t>Outros ativos tangíveis</t>
  </si>
  <si>
    <t>Outros instrumentos de capital</t>
  </si>
  <si>
    <t>14A</t>
  </si>
  <si>
    <t>Ativos intangíveis</t>
  </si>
  <si>
    <t>Reservas por rendimento integral acumulado</t>
  </si>
  <si>
    <t>15A</t>
  </si>
  <si>
    <t>Ativos por impostos</t>
  </si>
  <si>
    <t>Outras reservas e resultados transitados</t>
  </si>
  <si>
    <t>16A</t>
  </si>
  <si>
    <t>Outros ativos</t>
  </si>
  <si>
    <t>(Ações próprias)</t>
  </si>
  <si>
    <t>17A</t>
  </si>
  <si>
    <t>Ativos não correntes detidos para venda</t>
  </si>
  <si>
    <t>Resultado Individual do periodo</t>
  </si>
  <si>
    <t>Dividendos antecipados</t>
  </si>
  <si>
    <t xml:space="preserve">   Total Capital Próprio</t>
  </si>
  <si>
    <t xml:space="preserve">   Total do Ativo</t>
  </si>
  <si>
    <t xml:space="preserve">   Total Passivo + Capital Próprio</t>
  </si>
  <si>
    <t>Name of Legal Entity</t>
  </si>
  <si>
    <t>LEI of Legal Entity</t>
  </si>
  <si>
    <t>Country of incorporation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</si>
  <si>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</si>
  <si>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</si>
  <si>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</si>
  <si>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</si>
  <si>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</si>
  <si>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Reference date</t>
  </si>
  <si>
    <t>Reported currency</t>
  </si>
  <si>
    <t>EUR exchange rate</t>
  </si>
  <si>
    <t>0010</t>
  </si>
  <si>
    <t>0020</t>
  </si>
  <si>
    <t>0030</t>
  </si>
  <si>
    <t>0040</t>
  </si>
  <si>
    <t>0041</t>
  </si>
  <si>
    <t>0050</t>
  </si>
  <si>
    <t>0051</t>
  </si>
  <si>
    <t>0060</t>
  </si>
  <si>
    <t>0070</t>
  </si>
  <si>
    <t>0080</t>
  </si>
  <si>
    <t>0090</t>
  </si>
  <si>
    <t>Row number</t>
  </si>
  <si>
    <t>Unique internal identification number</t>
  </si>
  <si>
    <t>Unique identification number (known to the counterparty)</t>
  </si>
  <si>
    <t>Type of the unique identifier (known to the counterparty)</t>
  </si>
  <si>
    <t>Original amount issued in EUR</t>
  </si>
  <si>
    <t>Original amount issued in foreign currency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</si>
  <si>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</si>
  <si>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Outstanding principal amount</t>
  </si>
  <si>
    <t xml:space="preserve">Portion of instrument or liability held by the reporting entity </t>
  </si>
  <si>
    <t xml:space="preserve">Accrued interest </t>
  </si>
  <si>
    <t>Applicable fees and charges</t>
  </si>
  <si>
    <t xml:space="preserve">Outstanding amount </t>
  </si>
  <si>
    <t>Relevant amount for Bail-in/WDC</t>
  </si>
  <si>
    <t>Nature of the liability</t>
  </si>
  <si>
    <t>Nature of the liability (if other)</t>
  </si>
  <si>
    <t>Structurally subordinated</t>
  </si>
  <si>
    <t xml:space="preserve">Insolvency ranking </t>
  </si>
  <si>
    <t>Contractual subordination</t>
  </si>
  <si>
    <t>Bail-in cascade</t>
  </si>
  <si>
    <t>Date of issuance</t>
  </si>
  <si>
    <t xml:space="preserve">Date of the next interest payment </t>
  </si>
  <si>
    <t>Date of the next (partial) redemption payment</t>
  </si>
  <si>
    <t xml:space="preserve">Earliest redemption date </t>
  </si>
  <si>
    <t>Legal maturity</t>
  </si>
  <si>
    <t>Governing law</t>
  </si>
  <si>
    <t>Bail-in recognition clause</t>
  </si>
  <si>
    <t>Zero-Coupon</t>
  </si>
  <si>
    <t>Structured product</t>
  </si>
  <si>
    <t>Guaranteed minimum repayment amount of the structured product</t>
  </si>
  <si>
    <t>Fair value of the structured product</t>
  </si>
  <si>
    <t>Not covered and not preferential deposit</t>
  </si>
  <si>
    <t>Not covered but preferential deposit</t>
  </si>
  <si>
    <t>Covered portion of eligible deposits</t>
  </si>
  <si>
    <t>Secured/Unsecured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</si>
  <si>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</si>
  <si>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Amount of the uncollateralized part</t>
  </si>
  <si>
    <t>Internal identification number of the pledge, lien or collateral/collateral pool</t>
  </si>
  <si>
    <t>Type of the collateral</t>
  </si>
  <si>
    <t>Type of the collateral (if other)</t>
  </si>
  <si>
    <t>Trading method</t>
  </si>
  <si>
    <t>Denomination / Nominal value per security in EUR</t>
  </si>
  <si>
    <t>Denomination / Nominal value per security in original currency</t>
  </si>
  <si>
    <t>Number of securities outstanding not held by the reporting entity</t>
  </si>
  <si>
    <t>Number of securities outstanding held by the reporting entity</t>
  </si>
  <si>
    <t>Accrued interest per security</t>
  </si>
  <si>
    <t>Fees and charges per security</t>
  </si>
  <si>
    <t>Fair value per security</t>
  </si>
  <si>
    <t>Principal amount of the global note in EUR</t>
  </si>
  <si>
    <t>Principal amount of the global note in original currency</t>
  </si>
  <si>
    <t>Nature of the global note</t>
  </si>
  <si>
    <t>Current pool factor</t>
  </si>
  <si>
    <t xml:space="preserve">Central securities depository </t>
  </si>
  <si>
    <t>Central securities depository (LEI)</t>
  </si>
  <si>
    <t>Central securities depository name (if other)</t>
  </si>
  <si>
    <t>(Mandated) paying agent</t>
  </si>
  <si>
    <t>(Mandated) paying agent (LEI)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</si>
  <si>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</si>
  <si>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</si>
  <si>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</si>
  <si>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</si>
  <si>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</si>
  <si>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</si>
  <si>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</si>
  <si>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</si>
  <si>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</si>
  <si>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</si>
  <si>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Type of own funds at individual level</t>
  </si>
  <si>
    <t>Eligible amount for own funds at individual level</t>
  </si>
  <si>
    <t>Type of own funds at consolidated level</t>
  </si>
  <si>
    <t>Eligible amount for own funds at consolidated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</si>
  <si>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</si>
  <si>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</si>
  <si>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</si>
  <si>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</si>
  <si>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</si>
  <si>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</si>
  <si>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</si>
  <si>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</si>
  <si>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Balance sheet item at Resolution entity level according to national GAAP</t>
  </si>
  <si>
    <t>Instrument/liability is issued to or bought by an existing shareholder that is not part of the same resolution group</t>
  </si>
  <si>
    <t>Instrument/liability meets the requirements of Art. 21(7a) SRMR</t>
  </si>
  <si>
    <t>0100</t>
  </si>
  <si>
    <t>0110</t>
  </si>
  <si>
    <t>0120</t>
  </si>
  <si>
    <t>0130</t>
  </si>
  <si>
    <t>0140</t>
  </si>
  <si>
    <t>0141</t>
  </si>
  <si>
    <t>0150</t>
  </si>
  <si>
    <t>0160</t>
  </si>
  <si>
    <t>0161</t>
  </si>
  <si>
    <t>0162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</si>
  <si>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</si>
  <si>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</si>
  <si>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</si>
  <si>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</si>
  <si>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</si>
  <si>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</si>
  <si>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</si>
  <si>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</si>
  <si>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</si>
  <si>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</si>
  <si>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</si>
  <si>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</si>
  <si>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</si>
  <si>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</si>
  <si>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</si>
  <si>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</si>
  <si>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</si>
  <si>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</si>
  <si>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</si>
  <si>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0351</t>
  </si>
  <si>
    <t>0360</t>
  </si>
  <si>
    <t>0370</t>
  </si>
  <si>
    <t>0380</t>
  </si>
  <si>
    <t>0390</t>
  </si>
  <si>
    <t>0391</t>
  </si>
  <si>
    <t>0400</t>
  </si>
  <si>
    <t>0410</t>
  </si>
  <si>
    <t>0420</t>
  </si>
  <si>
    <t>0430</t>
  </si>
  <si>
    <t>0431</t>
  </si>
  <si>
    <t>0440</t>
  </si>
  <si>
    <t>0450</t>
  </si>
  <si>
    <t>0460</t>
  </si>
  <si>
    <t>0461</t>
  </si>
  <si>
    <t>0462</t>
  </si>
  <si>
    <t>0470</t>
  </si>
  <si>
    <t>0471</t>
  </si>
  <si>
    <t>0480</t>
  </si>
  <si>
    <t>0481</t>
  </si>
  <si>
    <t>0490</t>
  </si>
  <si>
    <t>0491</t>
  </si>
  <si>
    <t>0500</t>
  </si>
  <si>
    <t>0501</t>
  </si>
  <si>
    <t>0510</t>
  </si>
  <si>
    <t>0511</t>
  </si>
  <si>
    <t>0520</t>
  </si>
  <si>
    <t>0521</t>
  </si>
  <si>
    <t>0530</t>
  </si>
  <si>
    <t>0540</t>
  </si>
  <si>
    <t>0550</t>
  </si>
  <si>
    <t>0560</t>
  </si>
  <si>
    <t>0570</t>
  </si>
  <si>
    <t>0580</t>
  </si>
  <si>
    <t>0581</t>
  </si>
  <si>
    <t>0590</t>
  </si>
  <si>
    <t>0600</t>
  </si>
  <si>
    <t>0610</t>
  </si>
  <si>
    <t>0620</t>
  </si>
  <si>
    <t>0630</t>
  </si>
  <si>
    <t>0640</t>
  </si>
  <si>
    <t>5000</t>
  </si>
  <si>
    <t>5010</t>
  </si>
  <si>
    <t>Numeric</t>
  </si>
  <si>
    <t>String</t>
  </si>
  <si>
    <t>Date</t>
  </si>
  <si>
    <t>Integer</t>
  </si>
  <si>
    <t>Free text</t>
  </si>
  <si>
    <t>Free text, but fixed values for specific items</t>
  </si>
  <si>
    <t>2 decimals</t>
  </si>
  <si>
    <t>3-letters ISO 4217</t>
  </si>
  <si>
    <t>Drop-down</t>
  </si>
  <si>
    <t>TRUE / FALSE boolean</t>
  </si>
  <si>
    <t>Fixed values</t>
  </si>
  <si>
    <t>yyyy-mm-dd</t>
  </si>
  <si>
    <t>ISO 3166-1 alpha 2 / ISO 3166-2</t>
  </si>
  <si>
    <t>4 decimals</t>
  </si>
  <si>
    <t>Values between 0 and 1, with 9 decimals</t>
  </si>
  <si>
    <t>Tab of origin</t>
  </si>
  <si>
    <t>Counterparty within the resolution group</t>
  </si>
  <si>
    <t>Counterparty name</t>
  </si>
  <si>
    <t>Counterparty identifier (preferably LEI)</t>
  </si>
  <si>
    <t>Type of counterparty identifier</t>
  </si>
  <si>
    <t>Internal identifier of the counterparty</t>
  </si>
  <si>
    <t>Counterparty type</t>
  </si>
  <si>
    <t>Country of the counterparty</t>
  </si>
  <si>
    <t>0011</t>
  </si>
  <si>
    <t xml:space="preserve">ISO 3166-1 </t>
  </si>
  <si>
    <t>MBDT -----&gt;</t>
  </si>
  <si>
    <t>VALIDATIONS -----&gt;</t>
  </si>
  <si>
    <t>MBDT - Level 1 Validation Rules: completeness checks.</t>
  </si>
  <si>
    <t>Check ID</t>
  </si>
  <si>
    <t>Tab</t>
  </si>
  <si>
    <t>Data point (Row/Column)</t>
  </si>
  <si>
    <t>Data point (Label)</t>
  </si>
  <si>
    <t>Data point type</t>
  </si>
  <si>
    <t>High severity (i.e the validation rule should in general not be breached)</t>
  </si>
  <si>
    <t>Warning only (i.e. the validation rule can be breached in certain cases)</t>
  </si>
  <si>
    <t>Type of test
(missing values means "not applicable" or "not available")</t>
  </si>
  <si>
    <t>Prerequisite / Dependency</t>
  </si>
  <si>
    <t>Explanation</t>
  </si>
  <si>
    <t>0001</t>
  </si>
  <si>
    <t>B02.00</t>
  </si>
  <si>
    <t>X</t>
  </si>
  <si>
    <t xml:space="preserve">Test for missing values. </t>
  </si>
  <si>
    <t>Missing value. The field must be reported.</t>
  </si>
  <si>
    <t>0002</t>
  </si>
  <si>
    <t>Test for missing values.</t>
  </si>
  <si>
    <t>0003</t>
  </si>
  <si>
    <t>0004</t>
  </si>
  <si>
    <t xml:space="preserve">Contract Currency </t>
  </si>
  <si>
    <t>0005</t>
  </si>
  <si>
    <t>Rule applicable if c0250 = ("Non-Structured/Vanilla" OR "Other non-standard terms")</t>
  </si>
  <si>
    <t>Missing value. The field must be reported for non-structured liabilities.</t>
  </si>
  <si>
    <t>0006</t>
  </si>
  <si>
    <t>Rule applicable if c0250 = ("Structured" OR "Only structured coupon")</t>
  </si>
  <si>
    <t xml:space="preserve">Missing value (warning only). For structured liabilities, the field has to be reported if the information exists. </t>
  </si>
  <si>
    <t>0007</t>
  </si>
  <si>
    <t>Portion of instrument or liability held by the reporting entity</t>
  </si>
  <si>
    <t>Rule applicable only if c0040 = "ISIN"</t>
  </si>
  <si>
    <t>Missing value. The field must be reported for securities.</t>
  </si>
  <si>
    <t>0008</t>
  </si>
  <si>
    <t>Rule applicable if c0250 = ("Non-Structured" OR "Other non-standard terms") AND c0240 != "ZCB issued at discount"</t>
  </si>
  <si>
    <t>Missing value. For non-structured liabilities that are not zero coupon bonds issued at discount, this field must be reported.</t>
  </si>
  <si>
    <t>0009</t>
  </si>
  <si>
    <t>Rule applicable only if c0250 != ("Structured" OR "Only structured coupon")</t>
  </si>
  <si>
    <t xml:space="preserve">Missing value (warning only). For structured liabilities, the field  has to be reported if the information exists. </t>
  </si>
  <si>
    <t>Missing value. For non-structured liabilities, this field must be reported.</t>
  </si>
  <si>
    <t>0012</t>
  </si>
  <si>
    <t>0013</t>
  </si>
  <si>
    <t>0014</t>
  </si>
  <si>
    <t>Rule applicable only if c0140 = "Other".</t>
  </si>
  <si>
    <t>Missing value. The field must be reported if option "Other" has been selected in c0140.</t>
  </si>
  <si>
    <t>0015</t>
  </si>
  <si>
    <t>0016</t>
  </si>
  <si>
    <t>0017</t>
  </si>
  <si>
    <t>Rule applicable if c0250 = ("Non-Structured/Vanilla" OR "Other non-standard terms") AND c0240 != "ZCB issued at discount"</t>
  </si>
  <si>
    <t>Missing value. For non-structured liabilities that are not zero coupon bonds issued at discount, this field is must be reported.</t>
  </si>
  <si>
    <t>0018</t>
  </si>
  <si>
    <t>Missing value (warning only). For structured liabilities, this field should  be reported only if the information exists..</t>
  </si>
  <si>
    <t>0019</t>
  </si>
  <si>
    <t>Missing value (warning only).  This field needs to be reported if the information exists.</t>
  </si>
  <si>
    <t>Rule applicable if c0140 != "Cash account/saving account".</t>
  </si>
  <si>
    <t>Missing value.For liabilities other than of the type "Cash account/savings account, the field must be reported.</t>
  </si>
  <si>
    <t>0021</t>
  </si>
  <si>
    <t>0022</t>
  </si>
  <si>
    <t>0023</t>
  </si>
  <si>
    <t>Rule applicable only if c0250 = ("Structured" OR "Structured coupon only")</t>
  </si>
  <si>
    <t>Missing value (warning only). For structured liabilities, this field should  be reported if the information exists..</t>
  </si>
  <si>
    <t>0024</t>
  </si>
  <si>
    <t>Missing value. The field must be reported for structured products.</t>
  </si>
  <si>
    <t>0025</t>
  </si>
  <si>
    <t>Rule applicable only if c0280 = "TRUE" or c0290 = "TRUE".</t>
  </si>
  <si>
    <t>Missing value. The field must be reported for eligible deposits. If the value is zero, "0" should be entered.</t>
  </si>
  <si>
    <t>0026</t>
  </si>
  <si>
    <t>0027</t>
  </si>
  <si>
    <t>Amount of pledge, lien or collateral based on the current internal valuation</t>
  </si>
  <si>
    <t>Rule applicable only if c0310 = "Secured"</t>
  </si>
  <si>
    <t>Missing value. The field must be reported for secured products. If the value is zero, "0" should be entered.</t>
  </si>
  <si>
    <t>0028</t>
  </si>
  <si>
    <t>Missing value. The field must be reported for secured products.</t>
  </si>
  <si>
    <t>0029</t>
  </si>
  <si>
    <t>Rule applicable only if c0350 = "Other"</t>
  </si>
  <si>
    <t>Missing value (warning). The field should be reported if c0350 = "Other".</t>
  </si>
  <si>
    <t>0031</t>
  </si>
  <si>
    <t>Rule applicable only if c0040 = "ISIN" and c0360 = "Nominal"</t>
  </si>
  <si>
    <t>Missing value. The field must be reported for securities with trading-method = "Nominal".</t>
  </si>
  <si>
    <t>0032</t>
  </si>
  <si>
    <t>Rule applicable only if c0040 = "ISIN" and c0360 = "Unit"</t>
  </si>
  <si>
    <t>Missing value (warning only). The field should be reported for securities with trading-method = "Unit" if the information exists.</t>
  </si>
  <si>
    <t>0033</t>
  </si>
  <si>
    <t>Rule applicable only if c0040 = "ISIN".</t>
  </si>
  <si>
    <t>Missing value. The field must be reported when c0040 = "ISIN". If the value is zero, "0" must be entered.</t>
  </si>
  <si>
    <t>0034</t>
  </si>
  <si>
    <t>Missing value. The field must be reported for securities. If the value is zero, "0" must be entered.</t>
  </si>
  <si>
    <t>0035</t>
  </si>
  <si>
    <t>Rule applicable if c0040 = "ISIN",  c0250 = ("Non-Structured/Vanilla" OR "Other non-standard terms) AND c0240 != "ZCB issued at discount"</t>
  </si>
  <si>
    <t>Missing value. The field must be reported for non-structured securities that are not zero coupon bonds issued at discount.</t>
  </si>
  <si>
    <t>0036</t>
  </si>
  <si>
    <t>Rule applicable if c0040 = "ISIN",  c0250 != ("Structured" OR "Only structured coupon")</t>
  </si>
  <si>
    <t>Missing value (warning only). This field must be reported for structured securities if the information exists.</t>
  </si>
  <si>
    <t>0037</t>
  </si>
  <si>
    <t>Missing value (warning only). The field must be reported if the information exists, i.e. the entity reports in IFRS.</t>
  </si>
  <si>
    <t>0038</t>
  </si>
  <si>
    <t>if {B99.00;c0060} = "Non-Resolution Entity"</t>
  </si>
  <si>
    <t>Missing value. The field must be reported for Non-Resolution Entities.</t>
  </si>
  <si>
    <t>0039</t>
  </si>
  <si>
    <t>B03.00</t>
  </si>
  <si>
    <t>Unique identification number of the netting set known to the counterparty</t>
  </si>
  <si>
    <t>Insolvency ranking</t>
  </si>
  <si>
    <t>Master agreement ID</t>
  </si>
  <si>
    <t xml:space="preserve">Net mark-to-market value </t>
  </si>
  <si>
    <t xml:space="preserve">Estimated early termination amount </t>
  </si>
  <si>
    <t>CCP cleared</t>
  </si>
  <si>
    <t>B04.00</t>
  </si>
  <si>
    <t>Net mark-to-market value</t>
  </si>
  <si>
    <t>0056</t>
  </si>
  <si>
    <t>B90.00</t>
  </si>
  <si>
    <t xml:space="preserve">Counterparty within the resolution group </t>
  </si>
  <si>
    <t>Level 2 Validation Rules: internal consistency checks.</t>
  </si>
  <si>
    <t>Type of test</t>
  </si>
  <si>
    <t>Prerequisites</t>
  </si>
  <si>
    <t>The field must have the characteristics of an ISIN, e.g., max. 12 characters and start with 2 letters signifying the ISO country code.</t>
  </si>
  <si>
    <t>c0040 = "ISIN"</t>
  </si>
  <si>
    <t>If the ID is an ISIN (c0030 = "ISIN"), then the ID reported in c0020 must have the characteristics of an ISIN, e.g. 12 characters and start with 2 letters signifying the ISO country code.</t>
  </si>
  <si>
    <t>Check if the reported field respect the 3-letters ISO 4217 code.</t>
  </si>
  <si>
    <t>c0020 ≠ (NCNP OR NCBP)</t>
  </si>
  <si>
    <t>Currencies must be reported using the 3-letters ISO 4217 code.</t>
  </si>
  <si>
    <t>Check if the reported field is higher than 0.</t>
  </si>
  <si>
    <t>The reported amount must in general be positive.</t>
  </si>
  <si>
    <t>Check if the reported field is higher than or equal 0.</t>
  </si>
  <si>
    <t>The reported amount must be positive or zero.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</si>
  <si>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</si>
  <si>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</si>
  <si>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The reported amount should be in general positive or zero.</t>
  </si>
  <si>
    <t>The reported amount should be positive.</t>
  </si>
  <si>
    <t>Check if the reported field is equal to c0080 + c0100 + c0110.</t>
  </si>
  <si>
    <t>The reported amount should be equal to: c0080 + c0100 + c0110.</t>
  </si>
  <si>
    <t>Check if the reported field is equal to of: max{0, c0120 - c0300 - c0320}.</t>
  </si>
  <si>
    <t>c0250 = ("Non-structured/Vanilla" OR "Other non-standard terms") &amp; c0240 != "ZCB issued at discount"</t>
  </si>
  <si>
    <t>The reported amount should be equal to: c0120 - c0300 - c0320, besides for Zero Coupon Bonds for which specific provisions may apply.</t>
  </si>
  <si>
    <t>Check if the reported field is either equal to max(0, c0270 - c0300 - c0320) OR equal to max(0, c0120 - c0300 - c0320)</t>
  </si>
  <si>
    <t>c0250 = ( "Structured" OR "Structured coupon only")</t>
  </si>
  <si>
    <t>For structured products, the reported amount should be equal to: (c0270 - c0300 - c0320) if the fair value is used to support the determination of the relevant amount for bail-in, OR (c0120 - c0300 - c0320) if not.</t>
  </si>
  <si>
    <t>Drop down values must be respected.</t>
  </si>
  <si>
    <t>The drop down values must be respected.</t>
  </si>
  <si>
    <t>Numeric integer values from 1 onwards must be reported.</t>
  </si>
  <si>
    <t>Numeric values from 1 onwards must be reported.</t>
  </si>
  <si>
    <t>The reported value must be a date (yyyy-mm-gg).</t>
  </si>
  <si>
    <t>(c0020 ≠ "NCNP" OR "NCBP")</t>
  </si>
  <si>
    <t>The reported value must be before the Date of the next (partial) redemption payment (c0190) and the earliest redemption date (c0200).</t>
  </si>
  <si>
    <t>(c0190 or c0200) are reported &amp; (c0020 ≠ "NCNP" OR "NCBP")</t>
  </si>
  <si>
    <t>The reported value must be after the reference date reported in B99.00 (c0070).</t>
  </si>
  <si>
    <t>{B99.00;c0070} is reported &amp; (c0020 ≠ "NCNP" OR "NCBP")</t>
  </si>
  <si>
    <t>Check if the reported field respects the ISO 3166-1 alpha-2 code or 3166-2</t>
  </si>
  <si>
    <t>Governing law must be reported using the ISO 3166-1 alpha-2 code.</t>
  </si>
  <si>
    <t>Check if the reported field is equal to: max(0,c0120 - c0320.)</t>
  </si>
  <si>
    <t>c0310 = "Secured" &amp; c0250 = ( "Non-structured/Vanilla"OR "Other non-standard terms") AND c0240 !="ZCB issued at discount"</t>
  </si>
  <si>
    <t>The reported field should be equal to: c0120 - c0320.</t>
  </si>
  <si>
    <t>Check if the reported field is either max(0, c0270 - c0320) or max (0, c0120 - c0320)</t>
  </si>
  <si>
    <t>c0310 = "Secured" &amp; c0250 = ("Structured" OR "Only structured coupon")</t>
  </si>
  <si>
    <t>The reported field should be equal to (c0270 - c0320) if the fair value is used, or equal to (c0120 - c0320) otherwise</t>
  </si>
  <si>
    <t>"Not applicable" must be reported.</t>
  </si>
  <si>
    <t>c0310 = "Unsecured"</t>
  </si>
  <si>
    <t>The field must be "Not applicable" if c0310 is unsecured.</t>
  </si>
  <si>
    <t>The reported amount should be positive or zero.</t>
  </si>
  <si>
    <t xml:space="preserve">Eligible amount for own funds at consolidated level </t>
  </si>
  <si>
    <t>ISDA Protocol Resolution Stay of the reporting entity</t>
  </si>
  <si>
    <t>Recognition Resolution Stay of counterparty</t>
  </si>
  <si>
    <t xml:space="preserve">Estimated close-out amount </t>
  </si>
  <si>
    <t>B05.00</t>
  </si>
  <si>
    <t>Type of guarantee</t>
  </si>
  <si>
    <t xml:space="preserve">Maximum amount of the guarantee </t>
  </si>
  <si>
    <t>Guarantee is secured</t>
  </si>
  <si>
    <t>Current value of the collateral</t>
  </si>
  <si>
    <t>0058</t>
  </si>
  <si>
    <t>0059</t>
  </si>
  <si>
    <t>Counterparty Type</t>
  </si>
  <si>
    <t>Check if the reported field respects the ISO 3166-1 alpha-2 code.</t>
  </si>
  <si>
    <t>c0080 ≠ "XX" OR "99"</t>
  </si>
  <si>
    <t>The field must be reported using the ISO 3166-1 alpha-2 code.</t>
  </si>
  <si>
    <t>0061</t>
  </si>
  <si>
    <t>Check if the reported field is  equal 0.</t>
  </si>
  <si>
    <t>c0030 ≠ "No"</t>
  </si>
  <si>
    <t>Positive values are allowed in case intragroup liabilities do not meet the conditions set forth in article 44(2)h BRRD and should be duly justified by the reporting entity</t>
  </si>
  <si>
    <t>Tech</t>
  </si>
  <si>
    <t>DP</t>
  </si>
  <si>
    <t>Column</t>
  </si>
  <si>
    <t>Label</t>
  </si>
  <si>
    <t>Data type label</t>
  </si>
  <si>
    <t>Data type</t>
  </si>
  <si>
    <t>Type of constrain</t>
  </si>
  <si>
    <t>Treatment of "Not applicable" (if cell is grey out, input is not expected)</t>
  </si>
  <si>
    <t>Treatment of "Not available" (if cell is grey out, input is not expected)</t>
  </si>
  <si>
    <t>B99.00</t>
  </si>
  <si>
    <t>yyyy-mm-dd hh:mm:ss</t>
  </si>
  <si>
    <t>B01.00</t>
  </si>
  <si>
    <t>Category</t>
  </si>
  <si>
    <t>Input "Not applicable"</t>
  </si>
  <si>
    <t xml:space="preserve">Amount excluded from Bail-in/WDC </t>
  </si>
  <si>
    <t>Input 999999999999999</t>
  </si>
  <si>
    <t>Original amount issued in original currency</t>
  </si>
  <si>
    <t xml:space="preserve">Contract currency </t>
  </si>
  <si>
    <t>Input "XXX"</t>
  </si>
  <si>
    <t>Leave blank</t>
  </si>
  <si>
    <t>Input "0001-01-01"</t>
  </si>
  <si>
    <t>Input the final legal maturity of the liability (c0210)</t>
  </si>
  <si>
    <t>Input "XX"</t>
  </si>
  <si>
    <t>Input -9999.999999999</t>
  </si>
  <si>
    <t>Trading venue (LEI)</t>
  </si>
  <si>
    <t>Balance sheet item according to national GAAP</t>
  </si>
  <si>
    <t>Drop down</t>
  </si>
  <si>
    <t>Governing law of the Master Agreement</t>
  </si>
  <si>
    <t xml:space="preserve">Net value of collateral posted </t>
  </si>
  <si>
    <t>Estimated close-out amount</t>
  </si>
  <si>
    <t>Estimated early termination amount</t>
  </si>
  <si>
    <t>Unique (internal) identifier of the guarantee provided to the Non-Resolution Entity</t>
  </si>
  <si>
    <t>Guarantee fulfils the requirements pursuant to Art. 12g (3) SRMR</t>
  </si>
  <si>
    <t>Guarantee trigger</t>
  </si>
  <si>
    <t>Legal maturity date of the collateral</t>
  </si>
  <si>
    <t>Identifier of the securities used as a collateral for the guarantee</t>
  </si>
  <si>
    <t>Type of collateralization</t>
  </si>
  <si>
    <t>Value of collateral</t>
  </si>
  <si>
    <t xml:space="preserve">Type of protection value </t>
  </si>
  <si>
    <t>Date of the valuation of the security</t>
  </si>
  <si>
    <t>Protection valuation approach</t>
  </si>
  <si>
    <t>B06.00</t>
  </si>
  <si>
    <t>Identifier of the guarantee</t>
  </si>
  <si>
    <t>Amount of guarantee provided by the Resolution Entity</t>
  </si>
  <si>
    <t>Amount of the external liabilities</t>
  </si>
  <si>
    <t>Identifier of the intragroup liability subscribed by the SPV</t>
  </si>
  <si>
    <t>Input "99"</t>
  </si>
  <si>
    <t>Constrain</t>
  </si>
  <si>
    <t>Banco Santander Totta, SA</t>
  </si>
  <si>
    <t>549300URJH9VSI58CS32</t>
  </si>
  <si>
    <t>Title of ownership</t>
  </si>
  <si>
    <t>Other equity items</t>
  </si>
  <si>
    <t>Liabilities eligible for bail-in</t>
  </si>
  <si>
    <t>Liabilities towards other entities of the resolution group (BRRD art. 44/2/h)</t>
  </si>
  <si>
    <t>Other</t>
  </si>
  <si>
    <t>DGS liabilities (BRRD art. 44/2/g/iv)</t>
  </si>
  <si>
    <t>Non identified, not listed on an exchange platform</t>
  </si>
  <si>
    <t xml:space="preserve">Bill of exchange </t>
  </si>
  <si>
    <t>Tax and social security authorities liabilities, if preferred (BRRD art. 44/2/g/iii)</t>
  </si>
  <si>
    <t>No</t>
  </si>
  <si>
    <t>Non identified, listed on an exchange platform</t>
  </si>
  <si>
    <t>Loan</t>
  </si>
  <si>
    <t>Critical service liabilities (BRRD art. 44/2/g/ii)</t>
  </si>
  <si>
    <t>Aggregated</t>
  </si>
  <si>
    <t>CET1</t>
  </si>
  <si>
    <t>Government, central banks &amp; supranationals</t>
  </si>
  <si>
    <t>Term deposit</t>
  </si>
  <si>
    <t>Employee liabilities (BRRD art. 44/2/g/i)</t>
  </si>
  <si>
    <t>Not applicable</t>
  </si>
  <si>
    <t>Fully Compliant AT1</t>
  </si>
  <si>
    <t>Insurance firms &amp; pension funds</t>
  </si>
  <si>
    <t>Cash account/saving account</t>
  </si>
  <si>
    <t>System (operator) and CCP liabilities &lt; 7 days (BRRD art. 44/2/f)</t>
  </si>
  <si>
    <t>Other protection value</t>
  </si>
  <si>
    <t>No resolution stay recognition</t>
  </si>
  <si>
    <t>300 Total equity</t>
  </si>
  <si>
    <t>Grandfathered AT1</t>
  </si>
  <si>
    <t>Other financial corporations</t>
  </si>
  <si>
    <t>Institution liabilities &lt; 7 days (BRRD art. 44/2/e)</t>
  </si>
  <si>
    <t>B0500</t>
  </si>
  <si>
    <t>Third party valuation</t>
  </si>
  <si>
    <t>Long-term sustainable value</t>
  </si>
  <si>
    <t>Other types of guarantee than issuance guarantees, counterparty guarantees and unlimited guarantees</t>
  </si>
  <si>
    <t>280 Other liabilities</t>
  </si>
  <si>
    <t>Guarantee obligation</t>
  </si>
  <si>
    <t>Partially (A)T1 and T2</t>
  </si>
  <si>
    <t>Institutions</t>
  </si>
  <si>
    <t>Financial</t>
  </si>
  <si>
    <t>Only structured coupon</t>
  </si>
  <si>
    <t>Certificate of Deposit / Commercial paper</t>
  </si>
  <si>
    <t>Fiduciary liabilities, if protected in insolvency (BRRD art. 44/2/d)</t>
  </si>
  <si>
    <t>B0400</t>
  </si>
  <si>
    <t>Creditor valuation</t>
  </si>
  <si>
    <t>Market value</t>
  </si>
  <si>
    <t>Unlimited</t>
  </si>
  <si>
    <t>Yes - Other Agreement for resolution stay recognition</t>
  </si>
  <si>
    <t>Yes - Other</t>
  </si>
  <si>
    <t>110 Financial liabilities at amortized cost</t>
  </si>
  <si>
    <t>Surety</t>
  </si>
  <si>
    <t>Fully Compliant T2</t>
  </si>
  <si>
    <t>Corporates</t>
  </si>
  <si>
    <t xml:space="preserve">Not applicable </t>
  </si>
  <si>
    <t>Aircraft</t>
  </si>
  <si>
    <t>Other non-standard terms</t>
  </si>
  <si>
    <t>No ZCB</t>
  </si>
  <si>
    <t>Borrower Note Loan</t>
  </si>
  <si>
    <t>Client liabilities, if protected in insolvency (BRRD art. 44/2/c)</t>
  </si>
  <si>
    <t>B0300</t>
  </si>
  <si>
    <t>Counterparty estimation</t>
  </si>
  <si>
    <t>Fair value</t>
  </si>
  <si>
    <t>Counterparty</t>
  </si>
  <si>
    <t>Yes - ISDA JMP Module</t>
  </si>
  <si>
    <t>070 Financial liabilities at fair value through profit or loss</t>
  </si>
  <si>
    <t>Guarantee</t>
  </si>
  <si>
    <t>Grandfathered T2</t>
  </si>
  <si>
    <t>Micro &amp; SME</t>
  </si>
  <si>
    <t>CGN</t>
  </si>
  <si>
    <t xml:space="preserve">Unit </t>
  </si>
  <si>
    <t>Ships</t>
  </si>
  <si>
    <t>Unsecured</t>
  </si>
  <si>
    <t>Structured</t>
  </si>
  <si>
    <t>ZCB not issued at discount</t>
  </si>
  <si>
    <t>Yes, not supported by Legal Opinion</t>
  </si>
  <si>
    <t>Bearer Bond</t>
  </si>
  <si>
    <t>Intragroup but not intra-resolution group</t>
  </si>
  <si>
    <t>Secured liabilities - collateralized part (BRRD art. 44/2/b)</t>
  </si>
  <si>
    <t>Non-Resolution Entity</t>
  </si>
  <si>
    <t>B0200</t>
  </si>
  <si>
    <t>Mark-to-market valuation</t>
  </si>
  <si>
    <t>Notional amount</t>
  </si>
  <si>
    <t>Issuance</t>
  </si>
  <si>
    <t>Yes - ISDA Universal Protocol</t>
  </si>
  <si>
    <t>010 Financial liabilities held for trading</t>
  </si>
  <si>
    <t>Lien</t>
  </si>
  <si>
    <t>T2 in phase-out</t>
  </si>
  <si>
    <t>Households</t>
  </si>
  <si>
    <t>NGN</t>
  </si>
  <si>
    <t xml:space="preserve">Nominal </t>
  </si>
  <si>
    <t>Real estate</t>
  </si>
  <si>
    <t>Secured</t>
  </si>
  <si>
    <t>Non-structured/Vanilla</t>
  </si>
  <si>
    <t>ZCB issued at discount</t>
  </si>
  <si>
    <t>Yes, supported by Legal Opinion</t>
  </si>
  <si>
    <t>Registered Bond</t>
  </si>
  <si>
    <t>Intragroup and intra-resolution group</t>
  </si>
  <si>
    <t>Covered deposits (BRRD art. 44/2/a)</t>
  </si>
  <si>
    <t>Resolution Entity</t>
  </si>
  <si>
    <t>MBDT tab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</si>
  <si>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</si>
  <si>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Recognition Resolution Stay of the counterparty</t>
  </si>
  <si>
    <t>ISDA Protocol Resolution Stay – reporting entity</t>
  </si>
  <si>
    <t xml:space="preserve">Type of own funds </t>
  </si>
  <si>
    <t xml:space="preserve">Trading method </t>
  </si>
  <si>
    <t>Zero coupon bond</t>
  </si>
  <si>
    <t xml:space="preserve">Instrument or liability within the resolution group </t>
  </si>
  <si>
    <t>Boolean</t>
  </si>
  <si>
    <t>PT</t>
  </si>
  <si>
    <t>Banco Santander, S.A.</t>
  </si>
  <si>
    <t>5493006QMFDDMYWIAM13</t>
  </si>
  <si>
    <t>Ranking Insolvencia</t>
  </si>
  <si>
    <t>Acao Ordinaria Banco Santander Totta, S.A.</t>
  </si>
  <si>
    <t>PTCPP0AM0007</t>
  </si>
  <si>
    <t>999999999999999</t>
  </si>
  <si>
    <t>Nominal</t>
  </si>
  <si>
    <t xml:space="preserve"> -9999.999999999</t>
  </si>
  <si>
    <t>INTERBOLSA_PT</t>
  </si>
  <si>
    <t>529900LG70TCAGWCXT47</t>
  </si>
  <si>
    <t>0001-01-01</t>
  </si>
  <si>
    <t>1992-01-05</t>
  </si>
  <si>
    <t>LEI</t>
  </si>
  <si>
    <t>ES</t>
  </si>
  <si>
    <t>399904810324780</t>
  </si>
  <si>
    <t>v_1_0001</t>
  </si>
  <si>
    <t>v_1_0002</t>
  </si>
  <si>
    <t>v_1_0003</t>
  </si>
  <si>
    <t>v_1_0004</t>
  </si>
  <si>
    <t>v_1_0005</t>
  </si>
  <si>
    <t>v_1_0006</t>
  </si>
  <si>
    <t>v_1_0007</t>
  </si>
  <si>
    <t>v_1_0008</t>
  </si>
  <si>
    <t>v_1_0009</t>
  </si>
  <si>
    <t>v_1_0010</t>
  </si>
  <si>
    <t>v_1_0011</t>
  </si>
  <si>
    <t>v_1_0012</t>
  </si>
  <si>
    <t>v_1_0013</t>
  </si>
  <si>
    <t>v_1_0014</t>
  </si>
  <si>
    <t>v_1_0015</t>
  </si>
  <si>
    <t>v_1_0016</t>
  </si>
  <si>
    <t>v_1_0017</t>
  </si>
  <si>
    <t>v_1_0018</t>
  </si>
  <si>
    <t>v_1_0019</t>
  </si>
  <si>
    <t>v_1_0020</t>
  </si>
  <si>
    <t>v_1_0021</t>
  </si>
  <si>
    <t>v_1_0022</t>
  </si>
  <si>
    <t>v_1_0023</t>
  </si>
  <si>
    <t>v_1_0024</t>
  </si>
  <si>
    <t>v_1_0025</t>
  </si>
  <si>
    <t>v_1_0026</t>
  </si>
  <si>
    <t>v_1_0027</t>
  </si>
  <si>
    <t>v_1_0028</t>
  </si>
  <si>
    <t>v_1_0029</t>
  </si>
  <si>
    <t>v_1_0030</t>
  </si>
  <si>
    <t>v_1_0031</t>
  </si>
  <si>
    <t>v_1_0032</t>
  </si>
  <si>
    <t>v_1_0033</t>
  </si>
  <si>
    <t>v_1_0034</t>
  </si>
  <si>
    <t>v_1_0035</t>
  </si>
  <si>
    <t>v_1_0036</t>
  </si>
  <si>
    <t>v_1_0037</t>
  </si>
  <si>
    <t>v_1_0038</t>
  </si>
  <si>
    <t>v_1_0039</t>
  </si>
  <si>
    <t>v_1_0056</t>
  </si>
  <si>
    <t>Rule #</t>
  </si>
  <si>
    <t>Não Deveria ser 999999999999999?</t>
  </si>
  <si>
    <t>sequência incorreta</t>
  </si>
  <si>
    <t>Deveria ser cempresa+cbalcao+cnumecta+zdeposit</t>
  </si>
  <si>
    <t>nom_tot_atual - nom_tot_ini_investe (atenção à posiçao do emitente/investidro)</t>
  </si>
  <si>
    <t>Registo a vermelho não bate certo com o nom_tot_inic da ct610 (1391779674.000000)</t>
  </si>
  <si>
    <t>Registo a vermelho não bate certo com o nom_tot_ini_investe do zcliente_investidor 5100011001 (6326736.000000)</t>
  </si>
  <si>
    <t>0121</t>
  </si>
  <si>
    <t xml:space="preserve">Os registos a vermelho não correspondem à soma dos campos 0080, 0100 e 0110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</si>
</sst>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64" formatCode="[$-816]d\-mmm\-yy;@"/>
    <numFmt numFmtId="165" formatCode="0.0000%"/>
    <numFmt numFmtId="166" formatCode="_(* #,##0.00_);_(* \(#,##0.00\);_(* &quot;-&quot;??_);_(@_)"/>
    <numFmt numFmtId="167" formatCode="[$-816]d/mmm/yy;@"/>
    <numFmt numFmtId="168" formatCode="_-* #,##0.00\ _€_-;\-* #,##0.00\ _€_-;_-* &quot;-&quot;??\ _€_-;_-@_-"/>
    <numFmt numFmtId="169" formatCode="#,##0_);\(#,##0\);\-_)"/>
    <numFmt numFmtId="170" formatCode="dd\-mm\-yyyy;@"/>
    <numFmt numFmtId="171" formatCode="#,##0;\(#,##0\);\-"/>
    <numFmt numFmtId="172" formatCode="#,##0;\ &quot;(&quot;#,##0\)"/>
    <numFmt numFmtId="173" formatCode="#.##0;\ \(#.##0\)"/>
    <numFmt numFmtId="174" formatCode="#,###;\ \(#,###\);\-"/>
    <numFmt numFmtId="175" formatCode="yyyy\-mm\-dd\ hh:mm:ss"/>
    <numFmt numFmtId="176" formatCode="0.0000"/>
    <numFmt numFmtId="177" formatCode="0.000000000"/>
    <numFmt numFmtId="178" formatCode="#,##0.0000"/>
  </numFmts>
  <fonts count="53">
    <font>
      <sz val="10"/>
      <color theme="1"/>
      <name val="Santander Text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b/>
      <sz val="8"/>
      <color indexed="9"/>
      <name val="Arial"/>
      <family val="2"/>
    </font>
    <font>
      <b/>
      <sz val="8"/>
      <color indexed="17"/>
      <name val="Arial"/>
      <family val="2"/>
    </font>
    <font>
      <sz val="8"/>
      <color indexed="12"/>
      <name val="Arial Unicode MS"/>
      <family val="3"/>
      <charset val="128"/>
    </font>
    <font>
      <sz val="8"/>
      <name val="Arial Unicode MS"/>
      <family val="3"/>
      <charset val="128"/>
    </font>
    <font>
      <sz val="8"/>
      <name val="Arial Unicode MS"/>
      <family val="2"/>
    </font>
    <font>
      <b/>
      <sz val="8"/>
      <name val="Arial Unicode MS"/>
      <family val="3"/>
      <charset val="128"/>
    </font>
    <font>
      <b/>
      <sz val="9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9"/>
      <color theme="6" tint="0.79998168889431442"/>
      <name val="Arial"/>
      <family val="2"/>
    </font>
    <font>
      <b/>
      <sz val="9"/>
      <color theme="0"/>
      <name val="Arial"/>
      <family val="2"/>
    </font>
    <font>
      <b/>
      <sz val="9"/>
      <color theme="6" tint="-0.249977111117893"/>
      <name val="Arial"/>
      <family val="2"/>
    </font>
    <font>
      <b/>
      <sz val="10"/>
      <color indexed="9"/>
      <name val="Arial"/>
      <family val="2"/>
    </font>
    <font>
      <b/>
      <i/>
      <sz val="8"/>
      <color indexed="10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sz val="8"/>
      <name val="Bookman"/>
    </font>
    <font>
      <b/>
      <u/>
      <sz val="11"/>
      <name val="Arial"/>
      <family val="2"/>
    </font>
    <font>
      <u/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u/>
      <sz val="8"/>
      <name val="Arial"/>
      <family val="2"/>
    </font>
    <font>
      <sz val="8"/>
      <name val="Calibri"/>
      <family val="2"/>
    </font>
    <font>
      <b/>
      <sz val="8"/>
      <color rgb="FFFF0000"/>
      <name val="Arial"/>
      <family val="2"/>
    </font>
    <font>
      <b/>
      <sz val="8"/>
      <color rgb="FFFFFF00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11"/>
      <name val="Times New Roman"/>
      <family val="1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b/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</font>
    <font>
      <sz val="8"/>
      <color rgb="FFFF0000"/>
      <name val="Calibri"/>
      <family val="2"/>
      <scheme val="minor"/>
    </font>
    <font>
      <b/>
      <sz val="72"/>
      <color theme="1"/>
      <name val="Santander Text"/>
      <family val="2"/>
    </font>
    <font>
      <b/>
      <sz val="12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0" tint="-0.14999847407452621"/>
      <name val="Verdana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9"/>
      <color rgb="FF000000"/>
      <name val="Cambria"/>
      <family val="1"/>
    </font>
  </fonts>
  <fills count="1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E7E7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23" fillId="0" borderId="0"/>
    <xf numFmtId="0" fontId="27" fillId="0" borderId="0"/>
    <xf numFmtId="0" fontId="1" fillId="0" borderId="0"/>
  </cellStyleXfs>
  <cellXfs count="267">
    <xf numFmtId="0" fontId="0" fillId="0" borderId="0" xfId="0"/>
    <xf numFmtId="0" fontId="2" fillId="0" borderId="0" xfId="2" applyFont="1" applyAlignment="1" applyProtection="1">
      <alignment vertical="center"/>
      <protection locked="0"/>
    </xf>
    <xf numFmtId="164" fontId="3" fillId="0" borderId="0" xfId="2" applyNumberFormat="1" applyFont="1" applyAlignment="1" applyProtection="1">
      <alignment horizontal="center" vertical="center"/>
      <protection locked="0"/>
    </xf>
    <xf numFmtId="0" fontId="2" fillId="0" borderId="0" xfId="2" applyFont="1" applyAlignment="1" applyProtection="1">
      <alignment horizontal="center" vertical="center"/>
      <protection locked="0"/>
    </xf>
    <xf numFmtId="3" fontId="4" fillId="0" borderId="0" xfId="2" applyNumberFormat="1" applyFont="1" applyAlignment="1" applyProtection="1">
      <alignment horizontal="center" vertical="center"/>
      <protection locked="0"/>
    </xf>
    <xf numFmtId="3" fontId="2" fillId="0" borderId="0" xfId="2" applyNumberFormat="1" applyFont="1" applyAlignment="1" applyProtection="1">
      <alignment horizontal="center" vertical="center"/>
      <protection locked="0"/>
    </xf>
    <xf numFmtId="165" fontId="3" fillId="0" borderId="0" xfId="2" applyNumberFormat="1" applyFont="1" applyAlignment="1" applyProtection="1">
      <alignment horizontal="center" vertical="center"/>
      <protection locked="0"/>
    </xf>
    <xf numFmtId="10" fontId="3" fillId="0" borderId="0" xfId="2" applyNumberFormat="1" applyFont="1" applyAlignment="1" applyProtection="1">
      <alignment horizontal="center" vertical="center"/>
      <protection locked="0"/>
    </xf>
    <xf numFmtId="4" fontId="2" fillId="0" borderId="0" xfId="2" applyNumberFormat="1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vertical="center"/>
      <protection locked="0"/>
    </xf>
    <xf numFmtId="0" fontId="2" fillId="0" borderId="0" xfId="2" applyFont="1" applyAlignment="1" applyProtection="1">
      <alignment horizontal="left" vertical="center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4" fontId="2" fillId="0" borderId="0" xfId="2" applyNumberFormat="1" applyFont="1" applyAlignment="1" applyProtection="1">
      <alignment horizontal="right" vertical="center"/>
      <protection locked="0"/>
    </xf>
    <xf numFmtId="164" fontId="2" fillId="0" borderId="0" xfId="2" applyNumberFormat="1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left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4" fillId="0" borderId="0" xfId="2" quotePrefix="1" applyFont="1" applyAlignment="1" applyProtection="1">
      <alignment vertical="center"/>
      <protection locked="0"/>
    </xf>
    <xf numFmtId="164" fontId="3" fillId="0" borderId="0" xfId="1" applyNumberFormat="1" applyFont="1" applyFill="1" applyAlignment="1" applyProtection="1">
      <alignment horizontal="center" vertical="center"/>
      <protection locked="0"/>
    </xf>
    <xf numFmtId="4" fontId="5" fillId="0" borderId="0" xfId="2" applyNumberFormat="1" applyFont="1" applyAlignment="1" applyProtection="1">
      <alignment horizontal="center" vertical="center"/>
      <protection locked="0"/>
    </xf>
    <xf numFmtId="4" fontId="6" fillId="0" borderId="0" xfId="2" applyNumberFormat="1" applyFont="1" applyAlignment="1" applyProtection="1">
      <alignment horizontal="center" vertical="center"/>
      <protection locked="0"/>
    </xf>
    <xf numFmtId="4" fontId="6" fillId="0" borderId="0" xfId="2" applyNumberFormat="1" applyFont="1" applyAlignment="1" applyProtection="1">
      <alignment horizontal="right" vertical="center"/>
      <protection locked="0"/>
    </xf>
    <xf numFmtId="166" fontId="2" fillId="0" borderId="0" xfId="1" applyFont="1" applyFill="1" applyAlignment="1" applyProtection="1">
      <alignment vertical="center"/>
      <protection locked="0"/>
    </xf>
    <xf numFmtId="0" fontId="4" fillId="0" borderId="0" xfId="2" quotePrefix="1" applyFont="1" applyAlignment="1" applyProtection="1">
      <alignment horizontal="left" vertical="center"/>
      <protection locked="0"/>
    </xf>
    <xf numFmtId="0" fontId="4" fillId="0" borderId="0" xfId="2" quotePrefix="1" applyFont="1" applyAlignment="1" applyProtection="1">
      <alignment horizontal="center" vertical="center"/>
      <protection locked="0"/>
    </xf>
    <xf numFmtId="4" fontId="7" fillId="0" borderId="0" xfId="2" applyNumberFormat="1" applyFont="1" applyAlignment="1" applyProtection="1">
      <alignment horizontal="right" vertical="center"/>
      <protection locked="0"/>
    </xf>
    <xf numFmtId="4" fontId="8" fillId="0" borderId="0" xfId="2" applyNumberFormat="1" applyFont="1" applyAlignment="1" applyProtection="1">
      <alignment horizontal="right" vertical="center"/>
      <protection locked="0"/>
    </xf>
    <xf numFmtId="4" fontId="4" fillId="0" borderId="0" xfId="2" applyNumberFormat="1" applyFont="1" applyAlignment="1" applyProtection="1">
      <alignment horizontal="center" vertical="center"/>
      <protection locked="0"/>
    </xf>
    <xf numFmtId="4" fontId="4" fillId="0" borderId="0" xfId="2" applyNumberFormat="1" applyFont="1" applyAlignment="1" applyProtection="1">
      <alignment vertical="center"/>
      <protection locked="0"/>
    </xf>
    <xf numFmtId="164" fontId="9" fillId="0" borderId="0" xfId="1" quotePrefix="1" applyNumberFormat="1" applyFont="1" applyFill="1" applyAlignment="1" applyProtection="1">
      <alignment horizontal="center" vertical="center"/>
      <protection locked="0"/>
    </xf>
    <xf numFmtId="0" fontId="10" fillId="0" borderId="0" xfId="2" quotePrefix="1" applyFont="1" applyAlignment="1" applyProtection="1">
      <alignment horizontal="center" vertical="center"/>
      <protection locked="0"/>
    </xf>
    <xf numFmtId="165" fontId="2" fillId="0" borderId="0" xfId="2" applyNumberFormat="1" applyFont="1" applyAlignment="1" applyProtection="1">
      <alignment horizontal="center" vertical="center"/>
      <protection locked="0"/>
    </xf>
    <xf numFmtId="164" fontId="9" fillId="0" borderId="0" xfId="1" applyNumberFormat="1" applyFont="1" applyFill="1" applyAlignment="1" applyProtection="1">
      <alignment horizontal="center" vertical="center"/>
      <protection locked="0"/>
    </xf>
    <xf numFmtId="1" fontId="2" fillId="0" borderId="0" xfId="2" applyNumberFormat="1" applyFont="1" applyAlignment="1" applyProtection="1">
      <alignment horizontal="center" vertical="center"/>
      <protection locked="0"/>
    </xf>
    <xf numFmtId="10" fontId="9" fillId="0" borderId="0" xfId="1" applyNumberFormat="1" applyFont="1" applyFill="1" applyAlignment="1" applyProtection="1">
      <alignment horizontal="center" vertical="center"/>
      <protection locked="0"/>
    </xf>
    <xf numFmtId="0" fontId="10" fillId="0" borderId="0" xfId="2" applyFont="1" applyAlignment="1" applyProtection="1">
      <alignment horizontal="center" vertical="center"/>
      <protection locked="0"/>
    </xf>
    <xf numFmtId="167" fontId="10" fillId="0" borderId="0" xfId="2" applyNumberFormat="1" applyFont="1" applyAlignment="1" applyProtection="1">
      <alignment horizontal="center" vertical="center"/>
      <protection locked="0"/>
    </xf>
    <xf numFmtId="167" fontId="10" fillId="0" borderId="0" xfId="1" quotePrefix="1" applyNumberFormat="1" applyFont="1" applyFill="1" applyAlignment="1" applyProtection="1">
      <alignment horizontal="center" vertical="center"/>
      <protection locked="0"/>
    </xf>
    <xf numFmtId="0" fontId="11" fillId="0" borderId="0" xfId="2" applyFont="1" applyAlignment="1" applyProtection="1">
      <alignment vertical="center"/>
      <protection locked="0"/>
    </xf>
    <xf numFmtId="3" fontId="10" fillId="0" borderId="0" xfId="2" applyNumberFormat="1" applyFont="1" applyAlignment="1" applyProtection="1">
      <alignment horizontal="center" vertical="center"/>
      <protection locked="0"/>
    </xf>
    <xf numFmtId="4" fontId="10" fillId="0" borderId="0" xfId="2" applyNumberFormat="1" applyFont="1" applyAlignment="1" applyProtection="1">
      <alignment horizontal="center" vertical="center"/>
      <protection locked="0"/>
    </xf>
    <xf numFmtId="4" fontId="10" fillId="0" borderId="0" xfId="1" quotePrefix="1" applyNumberFormat="1" applyFont="1" applyFill="1" applyAlignment="1" applyProtection="1">
      <alignment horizontal="right" vertical="center"/>
      <protection locked="0"/>
    </xf>
    <xf numFmtId="0" fontId="10" fillId="0" borderId="0" xfId="2" applyFont="1" applyAlignment="1" applyProtection="1">
      <alignment vertical="center"/>
      <protection locked="0"/>
    </xf>
    <xf numFmtId="0" fontId="12" fillId="0" borderId="0" xfId="2" applyFont="1" applyAlignment="1" applyProtection="1">
      <alignment horizontal="left" vertical="center"/>
      <protection locked="0"/>
    </xf>
    <xf numFmtId="0" fontId="12" fillId="0" borderId="0" xfId="2" applyFont="1" applyAlignment="1" applyProtection="1">
      <alignment horizontal="center" vertical="center"/>
      <protection locked="0"/>
    </xf>
    <xf numFmtId="164" fontId="2" fillId="0" borderId="1" xfId="2" applyNumberFormat="1" applyFont="1" applyBorder="1" applyAlignment="1" applyProtection="1">
      <alignment horizontal="center" vertical="center"/>
      <protection locked="0"/>
    </xf>
    <xf numFmtId="0" fontId="2" fillId="0" borderId="1" xfId="2" quotePrefix="1" applyFont="1" applyBorder="1" applyAlignment="1" applyProtection="1">
      <alignment horizontal="center" vertical="center"/>
      <protection locked="0"/>
    </xf>
    <xf numFmtId="4" fontId="2" fillId="0" borderId="1" xfId="2" applyNumberFormat="1" applyFont="1" applyBorder="1" applyAlignment="1" applyProtection="1">
      <alignment horizontal="right" vertical="center"/>
      <protection locked="0"/>
    </xf>
    <xf numFmtId="0" fontId="2" fillId="0" borderId="1" xfId="2" applyFont="1" applyBorder="1" applyAlignment="1" applyProtection="1">
      <alignment horizontal="center" vertical="center"/>
      <protection locked="0"/>
    </xf>
    <xf numFmtId="3" fontId="2" fillId="0" borderId="1" xfId="2" applyNumberFormat="1" applyFont="1" applyBorder="1" applyAlignment="1" applyProtection="1">
      <alignment horizontal="center" vertical="center"/>
      <protection locked="0"/>
    </xf>
    <xf numFmtId="165" fontId="2" fillId="0" borderId="1" xfId="2" applyNumberFormat="1" applyFont="1" applyBorder="1" applyAlignment="1" applyProtection="1">
      <alignment horizontal="center" vertical="center"/>
      <protection locked="0"/>
    </xf>
    <xf numFmtId="164" fontId="2" fillId="3" borderId="1" xfId="2" applyNumberFormat="1" applyFont="1" applyFill="1" applyBorder="1" applyAlignment="1" applyProtection="1">
      <alignment horizontal="center" vertical="center"/>
      <protection locked="0"/>
    </xf>
    <xf numFmtId="10" fontId="2" fillId="0" borderId="1" xfId="2" applyNumberFormat="1" applyFont="1" applyBorder="1" applyAlignment="1" applyProtection="1">
      <alignment horizontal="center" vertical="center"/>
      <protection locked="0"/>
    </xf>
    <xf numFmtId="167" fontId="2" fillId="0" borderId="1" xfId="2" applyNumberFormat="1" applyFont="1" applyBorder="1" applyAlignment="1" applyProtection="1">
      <alignment horizontal="center" vertical="center"/>
      <protection locked="0"/>
    </xf>
    <xf numFmtId="4" fontId="2" fillId="0" borderId="1" xfId="2" applyNumberFormat="1" applyFont="1" applyBorder="1" applyAlignment="1" applyProtection="1">
      <alignment vertical="center"/>
      <protection locked="0"/>
    </xf>
    <xf numFmtId="4" fontId="2" fillId="0" borderId="1" xfId="2" applyNumberFormat="1" applyFont="1" applyBorder="1" applyAlignment="1" applyProtection="1">
      <alignment horizontal="center" vertical="center"/>
      <protection locked="0"/>
    </xf>
    <xf numFmtId="0" fontId="2" fillId="0" borderId="1" xfId="2" applyFont="1" applyBorder="1" applyAlignment="1" applyProtection="1">
      <alignment vertical="center"/>
      <protection locked="0"/>
    </xf>
    <xf numFmtId="0" fontId="2" fillId="0" borderId="1" xfId="2" applyFont="1" applyBorder="1" applyAlignment="1" applyProtection="1">
      <alignment horizontal="left" vertical="center"/>
      <protection locked="0"/>
    </xf>
    <xf numFmtId="164" fontId="4" fillId="0" borderId="0" xfId="2" applyNumberFormat="1" applyFont="1" applyAlignment="1" applyProtection="1">
      <alignment vertical="center"/>
      <protection locked="0"/>
    </xf>
    <xf numFmtId="10" fontId="4" fillId="0" borderId="0" xfId="2" applyNumberFormat="1" applyFont="1" applyAlignment="1" applyProtection="1">
      <alignment vertical="center"/>
      <protection locked="0"/>
    </xf>
    <xf numFmtId="0" fontId="5" fillId="0" borderId="0" xfId="2" applyFont="1" applyAlignment="1" applyProtection="1">
      <alignment vertical="center"/>
      <protection locked="0"/>
    </xf>
    <xf numFmtId="4" fontId="2" fillId="0" borderId="0" xfId="2" applyNumberFormat="1" applyFont="1" applyAlignment="1" applyProtection="1">
      <alignment vertical="center"/>
      <protection locked="0"/>
    </xf>
    <xf numFmtId="164" fontId="2" fillId="0" borderId="0" xfId="2" applyNumberFormat="1" applyFont="1" applyAlignment="1" applyProtection="1">
      <alignment vertical="center"/>
      <protection locked="0"/>
    </xf>
    <xf numFmtId="165" fontId="2" fillId="0" borderId="0" xfId="2" applyNumberFormat="1" applyFont="1" applyAlignment="1" applyProtection="1">
      <alignment vertical="center"/>
      <protection locked="0"/>
    </xf>
    <xf numFmtId="164" fontId="4" fillId="0" borderId="2" xfId="2" applyNumberFormat="1" applyFont="1" applyBorder="1" applyAlignment="1" applyProtection="1">
      <alignment horizontal="center" vertical="center"/>
      <protection locked="0"/>
    </xf>
    <xf numFmtId="167" fontId="4" fillId="0" borderId="2" xfId="2" applyNumberFormat="1" applyFont="1" applyBorder="1" applyAlignment="1" applyProtection="1">
      <alignment horizontal="center" vertical="center"/>
      <protection locked="0"/>
    </xf>
    <xf numFmtId="0" fontId="15" fillId="0" borderId="0" xfId="2" applyFont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 wrapText="1"/>
      <protection locked="0"/>
    </xf>
    <xf numFmtId="0" fontId="16" fillId="2" borderId="3" xfId="2" applyFont="1" applyFill="1" applyBorder="1" applyAlignment="1" applyProtection="1">
      <alignment horizontal="center" vertical="center" wrapText="1"/>
      <protection locked="0"/>
    </xf>
    <xf numFmtId="165" fontId="13" fillId="2" borderId="3" xfId="2" applyNumberFormat="1" applyFont="1" applyFill="1" applyBorder="1" applyAlignment="1" applyProtection="1">
      <alignment horizontal="center" vertical="center" wrapText="1"/>
      <protection locked="0"/>
    </xf>
    <xf numFmtId="0" fontId="19" fillId="2" borderId="3" xfId="2" applyFont="1" applyFill="1" applyBorder="1" applyAlignment="1" applyProtection="1">
      <alignment horizontal="center" vertical="center" wrapText="1"/>
      <protection locked="0"/>
    </xf>
    <xf numFmtId="166" fontId="4" fillId="0" borderId="0" xfId="1" applyFont="1" applyFill="1" applyAlignment="1" applyProtection="1">
      <alignment horizontal="center" vertical="center"/>
      <protection locked="0"/>
    </xf>
    <xf numFmtId="166" fontId="2" fillId="0" borderId="0" xfId="1" applyFont="1" applyFill="1" applyAlignment="1" applyProtection="1">
      <alignment horizontal="center" vertical="center"/>
      <protection locked="0"/>
    </xf>
    <xf numFmtId="0" fontId="14" fillId="0" borderId="0" xfId="2" applyFont="1" applyAlignment="1" applyProtection="1">
      <alignment vertical="center"/>
      <protection locked="0"/>
    </xf>
    <xf numFmtId="15" fontId="14" fillId="0" borderId="0" xfId="2" applyNumberFormat="1" applyFont="1" applyAlignment="1" applyProtection="1">
      <alignment vertical="center"/>
      <protection locked="0"/>
    </xf>
    <xf numFmtId="15" fontId="20" fillId="0" borderId="0" xfId="2" applyNumberFormat="1" applyFont="1" applyAlignment="1" applyProtection="1">
      <alignment horizontal="left" vertical="center"/>
      <protection locked="0"/>
    </xf>
    <xf numFmtId="1" fontId="2" fillId="0" borderId="0" xfId="2" applyNumberFormat="1" applyFont="1"/>
    <xf numFmtId="15" fontId="14" fillId="0" borderId="0" xfId="2" applyNumberFormat="1" applyFont="1" applyAlignment="1" applyProtection="1">
      <alignment horizontal="center" vertical="center"/>
      <protection locked="0"/>
    </xf>
    <xf numFmtId="15" fontId="14" fillId="0" borderId="0" xfId="2" applyNumberFormat="1" applyFont="1" applyAlignment="1" applyProtection="1">
      <alignment horizontal="left" vertical="center"/>
      <protection locked="0"/>
    </xf>
    <xf numFmtId="168" fontId="4" fillId="0" borderId="0" xfId="2" applyNumberFormat="1" applyFont="1" applyAlignment="1" applyProtection="1">
      <alignment vertical="center"/>
      <protection locked="0"/>
    </xf>
    <xf numFmtId="166" fontId="4" fillId="0" borderId="0" xfId="1" applyFont="1" applyFill="1" applyAlignment="1" applyProtection="1">
      <alignment vertical="center"/>
      <protection locked="0"/>
    </xf>
    <xf numFmtId="3" fontId="4" fillId="0" borderId="0" xfId="2" applyNumberFormat="1" applyFont="1" applyAlignment="1" applyProtection="1">
      <alignment vertical="center"/>
      <protection locked="0"/>
    </xf>
    <xf numFmtId="165" fontId="4" fillId="0" borderId="0" xfId="2" applyNumberFormat="1" applyFont="1" applyAlignment="1" applyProtection="1">
      <alignment vertical="center"/>
      <protection locked="0"/>
    </xf>
    <xf numFmtId="1" fontId="4" fillId="0" borderId="0" xfId="2" applyNumberFormat="1" applyFont="1" applyAlignment="1" applyProtection="1">
      <alignment vertical="center"/>
      <protection locked="0"/>
    </xf>
    <xf numFmtId="14" fontId="4" fillId="0" borderId="0" xfId="2" applyNumberFormat="1" applyFont="1" applyAlignment="1" applyProtection="1">
      <alignment vertical="center"/>
      <protection locked="0"/>
    </xf>
    <xf numFmtId="15" fontId="4" fillId="0" borderId="0" xfId="2" applyNumberFormat="1" applyFont="1" applyAlignment="1" applyProtection="1">
      <alignment horizontal="center" vertical="center"/>
      <protection locked="0"/>
    </xf>
    <xf numFmtId="15" fontId="4" fillId="0" borderId="0" xfId="2" applyNumberFormat="1" applyFont="1" applyAlignment="1" applyProtection="1">
      <alignment horizontal="left" vertical="center"/>
      <protection locked="0"/>
    </xf>
    <xf numFmtId="168" fontId="2" fillId="0" borderId="0" xfId="2" applyNumberFormat="1" applyFont="1" applyAlignment="1" applyProtection="1">
      <alignment vertical="center"/>
      <protection locked="0"/>
    </xf>
    <xf numFmtId="0" fontId="21" fillId="0" borderId="0" xfId="2" applyFont="1" applyAlignment="1" applyProtection="1">
      <alignment horizontal="left" vertical="center"/>
      <protection locked="0"/>
    </xf>
    <xf numFmtId="0" fontId="21" fillId="0" borderId="0" xfId="2" applyFont="1" applyAlignment="1" applyProtection="1">
      <alignment horizontal="center" vertical="center"/>
      <protection locked="0"/>
    </xf>
    <xf numFmtId="14" fontId="15" fillId="0" borderId="0" xfId="2" applyNumberFormat="1" applyFont="1" applyAlignment="1" applyProtection="1">
      <alignment horizontal="center" vertical="center"/>
      <protection locked="0"/>
    </xf>
    <xf numFmtId="0" fontId="24" fillId="0" borderId="0" xfId="3" applyFont="1" applyAlignment="1">
      <alignment horizontal="left"/>
    </xf>
    <xf numFmtId="0" fontId="25" fillId="0" borderId="0" xfId="3" applyFont="1" applyAlignment="1">
      <alignment horizontal="centerContinuous"/>
    </xf>
    <xf numFmtId="0" fontId="2" fillId="0" borderId="0" xfId="3" applyFont="1" applyAlignment="1">
      <alignment horizontal="centerContinuous"/>
    </xf>
    <xf numFmtId="0" fontId="2" fillId="0" borderId="0" xfId="3" applyFont="1"/>
    <xf numFmtId="0" fontId="24" fillId="0" borderId="0" xfId="3" applyFont="1" applyAlignment="1">
      <alignment horizontal="center"/>
    </xf>
    <xf numFmtId="0" fontId="2" fillId="0" borderId="0" xfId="3" applyFont="1" applyAlignment="1">
      <alignment horizontal="center"/>
    </xf>
    <xf numFmtId="0" fontId="26" fillId="0" borderId="0" xfId="3" applyFont="1" applyAlignment="1">
      <alignment horizontal="centerContinuous"/>
    </xf>
    <xf numFmtId="0" fontId="27" fillId="0" borderId="0" xfId="4"/>
    <xf numFmtId="0" fontId="26" fillId="0" borderId="0" xfId="3" applyFont="1" applyAlignment="1">
      <alignment horizontal="left"/>
    </xf>
    <xf numFmtId="0" fontId="24" fillId="0" borderId="0" xfId="3" applyFont="1"/>
    <xf numFmtId="0" fontId="28" fillId="0" borderId="0" xfId="3" applyFont="1"/>
    <xf numFmtId="0" fontId="4" fillId="0" borderId="0" xfId="3" applyFont="1"/>
    <xf numFmtId="0" fontId="29" fillId="0" borderId="0" xfId="3" applyFont="1" applyAlignment="1">
      <alignment horizontal="center" readingOrder="1"/>
    </xf>
    <xf numFmtId="0" fontId="26" fillId="0" borderId="0" xfId="3" applyFont="1"/>
    <xf numFmtId="169" fontId="2" fillId="0" borderId="0" xfId="3" applyNumberFormat="1" applyFont="1" applyAlignment="1">
      <alignment horizontal="centerContinuous"/>
    </xf>
    <xf numFmtId="14" fontId="2" fillId="0" borderId="0" xfId="3" quotePrefix="1" applyNumberFormat="1" applyFont="1" applyAlignment="1">
      <alignment horizontal="centerContinuous" wrapText="1"/>
    </xf>
    <xf numFmtId="0" fontId="30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49" fontId="4" fillId="0" borderId="0" xfId="3" applyNumberFormat="1" applyFont="1" applyAlignment="1">
      <alignment horizontal="center"/>
    </xf>
    <xf numFmtId="0" fontId="4" fillId="0" borderId="0" xfId="3" applyFont="1" applyAlignment="1">
      <alignment horizontal="centerContinuous"/>
    </xf>
    <xf numFmtId="170" fontId="4" fillId="0" borderId="0" xfId="3" quotePrefix="1" applyNumberFormat="1" applyFont="1" applyAlignment="1">
      <alignment horizontal="centerContinuous" wrapText="1"/>
    </xf>
    <xf numFmtId="171" fontId="2" fillId="0" borderId="0" xfId="3" applyNumberFormat="1" applyFont="1"/>
    <xf numFmtId="49" fontId="4" fillId="0" borderId="2" xfId="3" applyNumberFormat="1" applyFont="1" applyBorder="1" applyAlignment="1">
      <alignment wrapText="1"/>
    </xf>
    <xf numFmtId="49" fontId="4" fillId="0" borderId="2" xfId="3" applyNumberFormat="1" applyFont="1" applyBorder="1" applyAlignment="1">
      <alignment horizontal="center" wrapText="1"/>
    </xf>
    <xf numFmtId="14" fontId="4" fillId="0" borderId="2" xfId="3" applyNumberFormat="1" applyFont="1" applyBorder="1" applyAlignment="1">
      <alignment horizontal="center" wrapText="1"/>
    </xf>
    <xf numFmtId="49" fontId="4" fillId="0" borderId="2" xfId="3" applyNumberFormat="1" applyFont="1" applyBorder="1"/>
    <xf numFmtId="2" fontId="4" fillId="0" borderId="0" xfId="3" applyNumberFormat="1" applyFont="1" applyAlignment="1">
      <alignment horizontal="center"/>
    </xf>
    <xf numFmtId="0" fontId="31" fillId="0" borderId="0" xfId="3" applyFont="1" applyAlignment="1">
      <alignment horizontal="center"/>
    </xf>
    <xf numFmtId="0" fontId="4" fillId="4" borderId="0" xfId="3" applyFont="1" applyFill="1" applyAlignment="1">
      <alignment horizontal="center"/>
    </xf>
    <xf numFmtId="0" fontId="27" fillId="4" borderId="0" xfId="4" applyFill="1"/>
    <xf numFmtId="14" fontId="4" fillId="0" borderId="0" xfId="3" quotePrefix="1" applyNumberFormat="1" applyFont="1" applyAlignment="1">
      <alignment horizontal="centerContinuous" wrapText="1"/>
    </xf>
    <xf numFmtId="0" fontId="4" fillId="0" borderId="0" xfId="5" applyFont="1"/>
    <xf numFmtId="49" fontId="4" fillId="0" borderId="0" xfId="3" applyNumberFormat="1" applyFont="1" applyAlignment="1">
      <alignment horizontal="centerContinuous"/>
    </xf>
    <xf numFmtId="170" fontId="4" fillId="0" borderId="0" xfId="3" applyNumberFormat="1" applyFont="1" applyAlignment="1">
      <alignment horizontal="centerContinuous"/>
    </xf>
    <xf numFmtId="0" fontId="4" fillId="0" borderId="2" xfId="3" applyFont="1" applyBorder="1" applyAlignment="1">
      <alignment horizontal="center"/>
    </xf>
    <xf numFmtId="2" fontId="4" fillId="0" borderId="2" xfId="3" applyNumberFormat="1" applyFont="1" applyBorder="1" applyAlignment="1">
      <alignment horizontal="center"/>
    </xf>
    <xf numFmtId="0" fontId="4" fillId="4" borderId="2" xfId="3" applyFont="1" applyFill="1" applyBorder="1" applyAlignment="1">
      <alignment horizontal="center"/>
    </xf>
    <xf numFmtId="49" fontId="4" fillId="0" borderId="2" xfId="3" applyNumberFormat="1" applyFont="1" applyBorder="1" applyAlignment="1">
      <alignment horizontal="center"/>
    </xf>
    <xf numFmtId="14" fontId="4" fillId="0" borderId="2" xfId="3" applyNumberFormat="1" applyFont="1" applyBorder="1" applyAlignment="1">
      <alignment horizontal="center"/>
    </xf>
    <xf numFmtId="0" fontId="2" fillId="4" borderId="0" xfId="3" applyFont="1" applyFill="1"/>
    <xf numFmtId="0" fontId="32" fillId="4" borderId="0" xfId="4" applyFont="1" applyFill="1"/>
    <xf numFmtId="0" fontId="30" fillId="0" borderId="0" xfId="5" quotePrefix="1" applyFont="1"/>
    <xf numFmtId="0" fontId="2" fillId="0" borderId="0" xfId="3" quotePrefix="1" applyFont="1" applyAlignment="1">
      <alignment horizontal="left"/>
    </xf>
    <xf numFmtId="0" fontId="2" fillId="0" borderId="0" xfId="3" applyFont="1" applyAlignment="1">
      <alignment horizontal="left"/>
    </xf>
    <xf numFmtId="171" fontId="2" fillId="0" borderId="0" xfId="3" applyNumberFormat="1" applyFont="1" applyAlignment="1">
      <alignment horizontal="right"/>
    </xf>
    <xf numFmtId="171" fontId="2" fillId="0" borderId="0" xfId="3" applyNumberFormat="1" applyFont="1" applyAlignment="1">
      <alignment horizontal="center"/>
    </xf>
    <xf numFmtId="172" fontId="2" fillId="0" borderId="0" xfId="3" applyNumberFormat="1" applyFont="1" applyAlignment="1">
      <alignment horizontal="center"/>
    </xf>
    <xf numFmtId="3" fontId="2" fillId="0" borderId="0" xfId="3" applyNumberFormat="1" applyFont="1"/>
    <xf numFmtId="0" fontId="2" fillId="5" borderId="0" xfId="3" quotePrefix="1" applyFont="1" applyFill="1" applyAlignment="1">
      <alignment horizontal="left"/>
    </xf>
    <xf numFmtId="0" fontId="2" fillId="5" borderId="0" xfId="3" applyFont="1" applyFill="1" applyAlignment="1">
      <alignment horizontal="left"/>
    </xf>
    <xf numFmtId="3" fontId="2" fillId="4" borderId="0" xfId="3" applyNumberFormat="1" applyFont="1" applyFill="1"/>
    <xf numFmtId="0" fontId="2" fillId="6" borderId="0" xfId="3" applyFont="1" applyFill="1"/>
    <xf numFmtId="171" fontId="32" fillId="4" borderId="0" xfId="4" applyNumberFormat="1" applyFont="1" applyFill="1"/>
    <xf numFmtId="173" fontId="5" fillId="0" borderId="0" xfId="3" applyNumberFormat="1" applyFont="1" applyAlignment="1">
      <alignment horizontal="left" indent="2"/>
    </xf>
    <xf numFmtId="171" fontId="30" fillId="0" borderId="0" xfId="3" applyNumberFormat="1" applyFont="1"/>
    <xf numFmtId="0" fontId="30" fillId="0" borderId="0" xfId="3" applyFont="1"/>
    <xf numFmtId="171" fontId="33" fillId="0" borderId="0" xfId="3" applyNumberFormat="1" applyFont="1" applyAlignment="1">
      <alignment vertical="center"/>
    </xf>
    <xf numFmtId="173" fontId="2" fillId="0" borderId="0" xfId="3" applyNumberFormat="1" applyFont="1"/>
    <xf numFmtId="171" fontId="33" fillId="0" borderId="0" xfId="3" applyNumberFormat="1" applyFont="1"/>
    <xf numFmtId="171" fontId="2" fillId="0" borderId="0" xfId="3" applyNumberFormat="1" applyFont="1" applyAlignment="1">
      <alignment horizontal="left"/>
    </xf>
    <xf numFmtId="171" fontId="23" fillId="0" borderId="0" xfId="3" applyNumberFormat="1"/>
    <xf numFmtId="0" fontId="5" fillId="0" borderId="0" xfId="3" applyFont="1"/>
    <xf numFmtId="171" fontId="5" fillId="0" borderId="0" xfId="3" applyNumberFormat="1" applyFont="1"/>
    <xf numFmtId="171" fontId="34" fillId="0" borderId="0" xfId="3" applyNumberFormat="1" applyFont="1" applyAlignment="1">
      <alignment vertical="center"/>
    </xf>
    <xf numFmtId="173" fontId="4" fillId="0" borderId="0" xfId="3" applyNumberFormat="1" applyFont="1"/>
    <xf numFmtId="171" fontId="2" fillId="0" borderId="1" xfId="3" applyNumberFormat="1" applyFont="1" applyBorder="1" applyAlignment="1">
      <alignment horizontal="right"/>
    </xf>
    <xf numFmtId="3" fontId="35" fillId="4" borderId="1" xfId="4" applyNumberFormat="1" applyFont="1" applyFill="1" applyBorder="1"/>
    <xf numFmtId="174" fontId="2" fillId="0" borderId="0" xfId="3" applyNumberFormat="1" applyFont="1"/>
    <xf numFmtId="171" fontId="32" fillId="4" borderId="2" xfId="4" applyNumberFormat="1" applyFont="1" applyFill="1" applyBorder="1"/>
    <xf numFmtId="0" fontId="2" fillId="0" borderId="2" xfId="3" applyFont="1" applyBorder="1"/>
    <xf numFmtId="3" fontId="2" fillId="0" borderId="2" xfId="3" applyNumberFormat="1" applyFont="1" applyBorder="1"/>
    <xf numFmtId="3" fontId="4" fillId="4" borderId="0" xfId="3" applyNumberFormat="1" applyFont="1" applyFill="1"/>
    <xf numFmtId="169" fontId="2" fillId="0" borderId="0" xfId="3" applyNumberFormat="1" applyFont="1" applyAlignment="1">
      <alignment horizontal="right"/>
    </xf>
    <xf numFmtId="171" fontId="4" fillId="0" borderId="4" xfId="3" applyNumberFormat="1" applyFont="1" applyBorder="1" applyAlignment="1">
      <alignment horizontal="right"/>
    </xf>
    <xf numFmtId="3" fontId="4" fillId="0" borderId="0" xfId="3" applyNumberFormat="1" applyFont="1"/>
    <xf numFmtId="3" fontId="4" fillId="4" borderId="4" xfId="3" applyNumberFormat="1" applyFont="1" applyFill="1" applyBorder="1"/>
    <xf numFmtId="171" fontId="4" fillId="4" borderId="4" xfId="3" applyNumberFormat="1" applyFont="1" applyFill="1" applyBorder="1" applyAlignment="1">
      <alignment horizontal="right"/>
    </xf>
    <xf numFmtId="3" fontId="33" fillId="0" borderId="0" xfId="3" applyNumberFormat="1" applyFont="1" applyAlignment="1">
      <alignment vertical="center"/>
    </xf>
    <xf numFmtId="0" fontId="23" fillId="0" borderId="0" xfId="3"/>
    <xf numFmtId="0" fontId="34" fillId="0" borderId="0" xfId="3" applyFont="1" applyAlignment="1">
      <alignment vertical="center"/>
    </xf>
    <xf numFmtId="3" fontId="33" fillId="0" borderId="0" xfId="3" applyNumberFormat="1" applyFont="1"/>
    <xf numFmtId="0" fontId="37" fillId="7" borderId="5" xfId="0" applyFont="1" applyFill="1" applyBorder="1" applyAlignment="1">
      <alignment horizontal="center" vertical="center" wrapText="1"/>
    </xf>
    <xf numFmtId="0" fontId="38" fillId="8" borderId="6" xfId="0" applyFont="1" applyFill="1" applyBorder="1" applyAlignment="1">
      <alignment horizontal="center" vertical="center" wrapText="1"/>
    </xf>
    <xf numFmtId="0" fontId="38" fillId="8" borderId="7" xfId="0" applyFont="1" applyFill="1" applyBorder="1" applyAlignment="1">
      <alignment horizontal="center" vertical="center" wrapText="1"/>
    </xf>
    <xf numFmtId="0" fontId="38" fillId="8" borderId="8" xfId="0" applyFont="1" applyFill="1" applyBorder="1" applyAlignment="1">
      <alignment horizontal="center" vertical="center" wrapText="1"/>
    </xf>
    <xf numFmtId="49" fontId="37" fillId="9" borderId="9" xfId="0" applyNumberFormat="1" applyFont="1" applyFill="1" applyBorder="1" applyAlignment="1">
      <alignment horizontal="left" vertical="center" wrapText="1"/>
    </xf>
    <xf numFmtId="49" fontId="37" fillId="9" borderId="10" xfId="0" applyNumberFormat="1" applyFont="1" applyFill="1" applyBorder="1" applyAlignment="1">
      <alignment horizontal="left" vertical="center" wrapText="1"/>
    </xf>
    <xf numFmtId="49" fontId="37" fillId="9" borderId="10" xfId="0" applyNumberFormat="1" applyFont="1" applyFill="1" applyBorder="1" applyAlignment="1">
      <alignment horizontal="left" vertical="center"/>
    </xf>
    <xf numFmtId="49" fontId="0" fillId="10" borderId="10" xfId="0" applyNumberFormat="1" applyFill="1" applyBorder="1"/>
    <xf numFmtId="175" fontId="37" fillId="9" borderId="10" xfId="0" applyNumberFormat="1" applyFont="1" applyFill="1" applyBorder="1" applyAlignment="1">
      <alignment horizontal="left" vertical="center"/>
    </xf>
    <xf numFmtId="176" fontId="37" fillId="9" borderId="11" xfId="0" applyNumberFormat="1" applyFont="1" applyFill="1" applyBorder="1" applyAlignment="1">
      <alignment horizontal="left" vertical="center"/>
    </xf>
    <xf numFmtId="0" fontId="37" fillId="7" borderId="14" xfId="0" applyFont="1" applyFill="1" applyBorder="1" applyAlignment="1">
      <alignment horizontal="center" vertical="center" wrapText="1"/>
    </xf>
    <xf numFmtId="0" fontId="37" fillId="11" borderId="14" xfId="0" applyFont="1" applyFill="1" applyBorder="1" applyAlignment="1">
      <alignment horizontal="center" vertical="center" wrapText="1"/>
    </xf>
    <xf numFmtId="0" fontId="44" fillId="7" borderId="14" xfId="0" applyFont="1" applyFill="1" applyBorder="1" applyAlignment="1">
      <alignment horizontal="center" vertical="center" wrapText="1"/>
    </xf>
    <xf numFmtId="0" fontId="29" fillId="7" borderId="14" xfId="0" applyFont="1" applyFill="1" applyBorder="1" applyAlignment="1">
      <alignment horizontal="center" vertical="center" wrapText="1"/>
    </xf>
    <xf numFmtId="0" fontId="41" fillId="7" borderId="14" xfId="0" applyFont="1" applyFill="1" applyBorder="1" applyAlignment="1">
      <alignment horizontal="center" vertical="center" wrapText="1"/>
    </xf>
    <xf numFmtId="0" fontId="39" fillId="8" borderId="15" xfId="0" applyFont="1" applyFill="1" applyBorder="1" applyAlignment="1">
      <alignment horizontal="center" vertical="center" wrapText="1"/>
    </xf>
    <xf numFmtId="0" fontId="39" fillId="8" borderId="15" xfId="0" quotePrefix="1" applyFont="1" applyFill="1" applyBorder="1" applyAlignment="1">
      <alignment horizontal="center" vertical="center" wrapText="1"/>
    </xf>
    <xf numFmtId="1" fontId="0" fillId="12" borderId="13" xfId="0" applyNumberFormat="1" applyFill="1" applyBorder="1"/>
    <xf numFmtId="49" fontId="0" fillId="12" borderId="11" xfId="0" applyNumberFormat="1" applyFill="1" applyBorder="1"/>
    <xf numFmtId="2" fontId="0" fillId="12" borderId="11" xfId="0" applyNumberFormat="1" applyFill="1" applyBorder="1"/>
    <xf numFmtId="49" fontId="0" fillId="10" borderId="11" xfId="0" applyNumberFormat="1" applyFill="1" applyBorder="1"/>
    <xf numFmtId="1" fontId="0" fillId="12" borderId="11" xfId="0" applyNumberFormat="1" applyFill="1" applyBorder="1"/>
    <xf numFmtId="14" fontId="0" fillId="12" borderId="11" xfId="0" applyNumberFormat="1" applyFill="1" applyBorder="1"/>
    <xf numFmtId="176" fontId="0" fillId="12" borderId="11" xfId="0" applyNumberFormat="1" applyFill="1" applyBorder="1"/>
    <xf numFmtId="177" fontId="0" fillId="12" borderId="11" xfId="0" applyNumberFormat="1" applyFill="1" applyBorder="1"/>
    <xf numFmtId="16" fontId="45" fillId="13" borderId="0" xfId="0" quotePrefix="1" applyNumberFormat="1" applyFont="1" applyFill="1" applyAlignment="1">
      <alignment horizontal="center" vertical="center"/>
    </xf>
    <xf numFmtId="16" fontId="41" fillId="13" borderId="0" xfId="0" quotePrefix="1" applyNumberFormat="1" applyFont="1" applyFill="1" applyAlignment="1">
      <alignment horizontal="center" vertical="center"/>
    </xf>
    <xf numFmtId="0" fontId="41" fillId="13" borderId="0" xfId="0" applyFont="1" applyFill="1" applyAlignment="1">
      <alignment horizontal="center" vertical="center"/>
    </xf>
    <xf numFmtId="17" fontId="41" fillId="13" borderId="0" xfId="0" quotePrefix="1" applyNumberFormat="1" applyFont="1" applyFill="1" applyAlignment="1">
      <alignment horizontal="center" vertical="center"/>
    </xf>
    <xf numFmtId="16" fontId="41" fillId="13" borderId="0" xfId="0" applyNumberFormat="1" applyFont="1" applyFill="1" applyAlignment="1">
      <alignment horizontal="center" vertical="center"/>
    </xf>
    <xf numFmtId="0" fontId="41" fillId="13" borderId="0" xfId="0" applyFont="1" applyFill="1" applyAlignment="1">
      <alignment vertical="center"/>
    </xf>
    <xf numFmtId="0" fontId="0" fillId="13" borderId="0" xfId="0" applyFill="1"/>
    <xf numFmtId="16" fontId="41" fillId="13" borderId="16" xfId="0" quotePrefix="1" applyNumberFormat="1" applyFont="1" applyFill="1" applyBorder="1" applyAlignment="1">
      <alignment horizontal="center" vertical="center"/>
    </xf>
    <xf numFmtId="0" fontId="41" fillId="13" borderId="16" xfId="0" applyFont="1" applyFill="1" applyBorder="1" applyAlignment="1">
      <alignment horizontal="center" vertical="center"/>
    </xf>
    <xf numFmtId="16" fontId="41" fillId="13" borderId="16" xfId="0" quotePrefix="1" applyNumberFormat="1" applyFont="1" applyFill="1" applyBorder="1" applyAlignment="1">
      <alignment horizontal="center" vertical="center" wrapText="1"/>
    </xf>
    <xf numFmtId="0" fontId="41" fillId="13" borderId="16" xfId="0" applyFont="1" applyFill="1" applyBorder="1" applyAlignment="1">
      <alignment horizontal="center" vertical="center" wrapText="1"/>
    </xf>
    <xf numFmtId="0" fontId="39" fillId="8" borderId="0" xfId="0" quotePrefix="1" applyFont="1" applyFill="1" applyAlignment="1">
      <alignment horizontal="center" vertical="center" wrapText="1"/>
    </xf>
    <xf numFmtId="1" fontId="0" fillId="12" borderId="9" xfId="0" applyNumberFormat="1" applyFill="1" applyBorder="1"/>
    <xf numFmtId="49" fontId="0" fillId="12" borderId="10" xfId="0" applyNumberFormat="1" applyFill="1" applyBorder="1"/>
    <xf numFmtId="2" fontId="0" fillId="12" borderId="10" xfId="0" applyNumberFormat="1" applyFill="1" applyBorder="1"/>
    <xf numFmtId="16" fontId="45" fillId="13" borderId="17" xfId="0" quotePrefix="1" applyNumberFormat="1" applyFont="1" applyFill="1" applyBorder="1" applyAlignment="1">
      <alignment horizontal="center" vertical="center"/>
    </xf>
    <xf numFmtId="16" fontId="41" fillId="13" borderId="17" xfId="0" quotePrefix="1" applyNumberFormat="1" applyFont="1" applyFill="1" applyBorder="1" applyAlignment="1">
      <alignment horizontal="center" vertical="center"/>
    </xf>
    <xf numFmtId="0" fontId="41" fillId="13" borderId="17" xfId="0" applyFont="1" applyFill="1" applyBorder="1" applyAlignment="1">
      <alignment horizontal="center" vertical="center"/>
    </xf>
    <xf numFmtId="0" fontId="46" fillId="0" borderId="0" xfId="0" applyFont="1"/>
    <xf numFmtId="0" fontId="47" fillId="0" borderId="17" xfId="4" applyFont="1" applyBorder="1" applyAlignment="1">
      <alignment vertical="center"/>
    </xf>
    <xf numFmtId="0" fontId="47" fillId="0" borderId="17" xfId="4" applyFont="1" applyBorder="1" applyAlignment="1">
      <alignment vertical="center" wrapText="1"/>
    </xf>
    <xf numFmtId="0" fontId="48" fillId="0" borderId="0" xfId="4" applyFont="1"/>
    <xf numFmtId="0" fontId="48" fillId="14" borderId="12" xfId="4" applyFont="1" applyFill="1" applyBorder="1" applyAlignment="1">
      <alignment vertical="center" wrapText="1"/>
    </xf>
    <xf numFmtId="0" fontId="49" fillId="0" borderId="0" xfId="4" quotePrefix="1" applyFont="1"/>
    <xf numFmtId="0" fontId="48" fillId="0" borderId="12" xfId="4" applyFont="1" applyBorder="1" applyAlignment="1">
      <alignment horizontal="left" vertical="center"/>
    </xf>
    <xf numFmtId="0" fontId="48" fillId="0" borderId="12" xfId="4" applyFont="1" applyBorder="1" applyAlignment="1">
      <alignment horizontal="left" vertical="center" wrapText="1"/>
    </xf>
    <xf numFmtId="0" fontId="48" fillId="0" borderId="12" xfId="4" applyFont="1" applyBorder="1" applyAlignment="1">
      <alignment horizontal="center" vertical="center" wrapText="1"/>
    </xf>
    <xf numFmtId="0" fontId="27" fillId="0" borderId="0" xfId="4" applyAlignment="1">
      <alignment horizontal="center"/>
    </xf>
    <xf numFmtId="0" fontId="47" fillId="0" borderId="0" xfId="4" applyFont="1" applyAlignment="1">
      <alignment vertical="center"/>
    </xf>
    <xf numFmtId="0" fontId="48" fillId="13" borderId="12" xfId="4" applyFont="1" applyFill="1" applyBorder="1" applyAlignment="1">
      <alignment horizontal="left" vertical="center"/>
    </xf>
    <xf numFmtId="0" fontId="48" fillId="13" borderId="12" xfId="4" applyFont="1" applyFill="1" applyBorder="1" applyAlignment="1">
      <alignment horizontal="left" vertical="center" wrapText="1"/>
    </xf>
    <xf numFmtId="0" fontId="50" fillId="6" borderId="0" xfId="4" applyFont="1" applyFill="1" applyAlignment="1">
      <alignment horizontal="left" vertical="center" wrapText="1"/>
    </xf>
    <xf numFmtId="0" fontId="50" fillId="6" borderId="0" xfId="4" applyFont="1" applyFill="1" applyAlignment="1">
      <alignment vertical="center" wrapText="1"/>
    </xf>
    <xf numFmtId="0" fontId="50" fillId="15" borderId="0" xfId="4" applyFont="1" applyFill="1" applyAlignment="1">
      <alignment vertical="center" wrapText="1"/>
    </xf>
    <xf numFmtId="0" fontId="50" fillId="11" borderId="0" xfId="4" applyFont="1" applyFill="1" applyAlignment="1">
      <alignment vertical="center" wrapText="1"/>
    </xf>
    <xf numFmtId="0" fontId="27" fillId="0" borderId="0" xfId="4" applyAlignment="1">
      <alignment wrapText="1"/>
    </xf>
    <xf numFmtId="0" fontId="27" fillId="0" borderId="0" xfId="4" applyAlignment="1">
      <alignment horizontal="left" vertical="top"/>
    </xf>
    <xf numFmtId="0" fontId="27" fillId="3" borderId="0" xfId="4" applyFill="1"/>
    <xf numFmtId="0" fontId="27" fillId="0" borderId="0" xfId="4" quotePrefix="1"/>
    <xf numFmtId="16" fontId="41" fillId="13" borderId="17" xfId="0" quotePrefix="1" applyNumberFormat="1" applyFont="1" applyFill="1" applyBorder="1" applyAlignment="1">
      <alignment horizontal="center" vertical="center" wrapText="1"/>
    </xf>
    <xf numFmtId="0" fontId="41" fillId="13" borderId="0" xfId="0" applyFont="1" applyFill="1" applyAlignment="1">
      <alignment horizontal="left" vertical="center"/>
    </xf>
    <xf numFmtId="0" fontId="47" fillId="0" borderId="0" xfId="4" applyFont="1" applyAlignment="1">
      <alignment horizontal="center" vertical="center" wrapText="1"/>
    </xf>
    <xf numFmtId="0" fontId="51" fillId="7" borderId="0" xfId="4" applyFont="1" applyFill="1" applyAlignment="1">
      <alignment horizontal="center" vertical="center" wrapText="1"/>
    </xf>
    <xf numFmtId="0" fontId="15" fillId="0" borderId="0" xfId="2" applyFont="1" applyAlignment="1" applyProtection="1">
      <alignment horizontal="center" vertical="center" wrapText="1"/>
      <protection locked="0"/>
    </xf>
    <xf numFmtId="4" fontId="0" fillId="0" borderId="0" xfId="0" applyNumberFormat="1"/>
    <xf numFmtId="0" fontId="0" fillId="0" borderId="0" xfId="0" quotePrefix="1"/>
    <xf numFmtId="3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9" fillId="16" borderId="0" xfId="4" quotePrefix="1" applyFont="1" applyFill="1"/>
    <xf numFmtId="0" fontId="48" fillId="16" borderId="12" xfId="4" applyFont="1" applyFill="1" applyBorder="1" applyAlignment="1">
      <alignment horizontal="left" vertical="center"/>
    </xf>
    <xf numFmtId="0" fontId="48" fillId="16" borderId="12" xfId="4" applyFont="1" applyFill="1" applyBorder="1" applyAlignment="1">
      <alignment horizontal="left" vertical="center" wrapText="1"/>
    </xf>
    <xf numFmtId="0" fontId="48" fillId="16" borderId="12" xfId="4" applyFont="1" applyFill="1" applyBorder="1" applyAlignment="1">
      <alignment horizontal="center" vertical="center" wrapText="1"/>
    </xf>
    <xf numFmtId="0" fontId="27" fillId="16" borderId="12" xfId="4" applyFill="1" applyBorder="1" applyAlignment="1">
      <alignment horizontal="left" vertical="center" wrapText="1"/>
    </xf>
    <xf numFmtId="0" fontId="27" fillId="16" borderId="0" xfId="4" applyFill="1"/>
    <xf numFmtId="0" fontId="4" fillId="0" borderId="0" xfId="3" applyFont="1" applyAlignment="1">
      <alignment horizontal="center"/>
    </xf>
    <xf numFmtId="0" fontId="0" fillId="17" borderId="0" xfId="0" applyFill="1"/>
    <xf numFmtId="0" fontId="0" fillId="18" borderId="0" xfId="0" applyFill="1"/>
    <xf numFmtId="4" fontId="0" fillId="18" borderId="0" xfId="0" applyNumberFormat="1" applyFill="1"/>
    <xf numFmtId="4" fontId="0" fillId="17" borderId="0" xfId="0" applyNumberFormat="1" applyFill="1"/>
    <xf numFmtId="0" fontId="0" fillId="5" borderId="0" xfId="0" applyFill="1"/>
    <xf numFmtId="0" fontId="27" fillId="17" borderId="0" xfId="4" applyFill="1"/>
    <xf numFmtId="0" fontId="27" fillId="18" borderId="0" xfId="4" applyFill="1"/>
    <xf numFmtId="0" fontId="0" fillId="18" borderId="0" xfId="0" quotePrefix="1" applyFill="1"/>
    <xf numFmtId="14" fontId="0" fillId="18" borderId="0" xfId="0" applyNumberFormat="1" applyFill="1"/>
    <xf numFmtId="14" fontId="0" fillId="17" borderId="0" xfId="0" applyNumberFormat="1" applyFill="1"/>
    <xf numFmtId="14" fontId="0" fillId="5" borderId="0" xfId="0" applyNumberFormat="1" applyFill="1"/>
    <xf numFmtId="0" fontId="0" fillId="17" borderId="0" xfId="0" quotePrefix="1" applyFill="1"/>
    <xf numFmtId="4" fontId="0" fillId="0" borderId="0" xfId="0" applyNumberFormat="1" applyFill="1"/>
    <xf numFmtId="0" fontId="0" fillId="0" borderId="0" xfId="0" applyAlignment="1">
      <alignment vertical="top" wrapText="1"/>
    </xf>
    <xf numFmtId="178" fontId="0" fillId="17" borderId="0" xfId="0" applyNumberFormat="1" applyFill="1"/>
  </cellXfs>
  <cellStyles count="6">
    <cellStyle name="Comma" xfId="1" builtinId="3"/>
    <cellStyle name="l]_x000d__x000a_Path=M:\RIOCEN01_x000d__x000a_Name=Carlos Emilio Brousse_x000d__x000a_DDEApps=nsf,nsg,nsh,ntf,ns2,ors,org_x000d__x000a_SmartIcons=Todos_x000d__x000a_ 2" xfId="2"/>
    <cellStyle name="Normal" xfId="0" builtinId="0"/>
    <cellStyle name="Normal 10" xfId="3"/>
    <cellStyle name="Normal 2" xfId="4"/>
    <cellStyle name="Normal_Copy of Balanco_DR_NCA_30062005" xfId="5"/>
  </cellStyles>
  <dxfs count="120"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7" formatCode="0.00000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76" formatCode="0.000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75" formatCode="yyyy\-mm\-dd\ hh:mm:ss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610357\Downloads\query-impala-495934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2 Balance sheet"/>
      <sheetName val="Valores"/>
      <sheetName val="Lista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E1" t="str">
            <v>isin</v>
          </cell>
          <cell r="F1" t="str">
            <v>zdeposit</v>
          </cell>
        </row>
        <row r="2">
          <cell r="E2" t="str">
            <v>PTBSROOM0018</v>
          </cell>
          <cell r="F2" t="str">
            <v>PTBSROOM0018000</v>
          </cell>
        </row>
        <row r="3">
          <cell r="E3" t="str">
            <v>PTBSRDOM0037</v>
          </cell>
          <cell r="F3" t="str">
            <v>PTBSRDOM0037000</v>
          </cell>
        </row>
        <row r="4">
          <cell r="E4" t="str">
            <v>PTBSQAOM0031</v>
          </cell>
          <cell r="F4" t="str">
            <v>PTBSQAOM0031000</v>
          </cell>
        </row>
        <row r="5">
          <cell r="E5" t="str">
            <v>PTSTOGOM0003</v>
          </cell>
          <cell r="F5" t="str">
            <v>PTSTOGOM0003000</v>
          </cell>
        </row>
        <row r="6">
          <cell r="E6" t="str">
            <v>PRSUPLSTSGPS</v>
          </cell>
          <cell r="F6" t="str">
            <v>PTCPP0AM0007000</v>
          </cell>
        </row>
        <row r="7">
          <cell r="E7" t="str">
            <v>PTSTOFOM0004</v>
          </cell>
          <cell r="F7" t="str">
            <v>PTSTOFOM0004000</v>
          </cell>
        </row>
        <row r="8">
          <cell r="E8" t="str">
            <v>PTSTOCOM0007</v>
          </cell>
          <cell r="F8" t="str">
            <v>PTSTOCOM0007000</v>
          </cell>
        </row>
        <row r="9">
          <cell r="E9" t="str">
            <v>PTBTAGOE0008</v>
          </cell>
          <cell r="F9" t="str">
            <v>PTBTAGOE0008000</v>
          </cell>
        </row>
        <row r="10">
          <cell r="E10" t="str">
            <v>PTBSP7OE0000</v>
          </cell>
          <cell r="F10" t="str">
            <v>PTBSP7OE0000000</v>
          </cell>
        </row>
        <row r="11">
          <cell r="E11" t="str">
            <v>PTBSRPOM0033</v>
          </cell>
          <cell r="F11" t="str">
            <v>PTBSRPOM0033000</v>
          </cell>
        </row>
        <row r="12">
          <cell r="E12" t="str">
            <v>PTBSP9OM0024</v>
          </cell>
          <cell r="F12" t="str">
            <v>PTBSP9OM0024000</v>
          </cell>
        </row>
        <row r="13">
          <cell r="E13" t="str">
            <v>PTBSP7OE0000</v>
          </cell>
          <cell r="F13" t="str">
            <v>PTBSP7OE0000000</v>
          </cell>
        </row>
        <row r="14">
          <cell r="E14" t="str">
            <v>PTSTOEOM0021</v>
          </cell>
          <cell r="F14" t="str">
            <v>PTSTOEOM0021000</v>
          </cell>
        </row>
        <row r="15">
          <cell r="E15" t="str">
            <v>PTMCABOE0009</v>
          </cell>
          <cell r="F15" t="str">
            <v>PTMCABOE0009000</v>
          </cell>
        </row>
        <row r="16">
          <cell r="E16" t="str">
            <v>PTBSREOM0028</v>
          </cell>
          <cell r="F16" t="str">
            <v>PTBSREOM0028000</v>
          </cell>
        </row>
        <row r="17">
          <cell r="E17" t="str">
            <v>PTBTAGOE0008</v>
          </cell>
          <cell r="F17" t="str">
            <v>PTBTAGOE0008000</v>
          </cell>
        </row>
        <row r="18">
          <cell r="E18" t="str">
            <v>PTSTOAOM0009</v>
          </cell>
          <cell r="F18" t="str">
            <v>PTSTOAOM0009000</v>
          </cell>
        </row>
        <row r="19">
          <cell r="E19" t="str">
            <v>PTCPP0AM0007</v>
          </cell>
          <cell r="F19" t="str">
            <v>PTCPP0AM0007000</v>
          </cell>
        </row>
        <row r="20">
          <cell r="E20" t="str">
            <v>PTSTOHOM0002</v>
          </cell>
          <cell r="F20" t="str">
            <v>PTSTOHOM0002000</v>
          </cell>
        </row>
        <row r="21">
          <cell r="E21" t="str">
            <v>PTSTO0AM0008</v>
          </cell>
          <cell r="F21" t="str">
            <v>PTSTO0AM0008000</v>
          </cell>
        </row>
        <row r="22">
          <cell r="E22" t="str">
            <v>PTBSQAOM0031</v>
          </cell>
          <cell r="F22" t="str">
            <v>PTBSQAOM0031000</v>
          </cell>
        </row>
        <row r="23">
          <cell r="E23" t="str">
            <v>PTMCABOE0009</v>
          </cell>
          <cell r="F23" t="str">
            <v>PTMCABOE0009000</v>
          </cell>
        </row>
        <row r="24">
          <cell r="E24" t="str">
            <v>PTCPPOOE0004</v>
          </cell>
          <cell r="F24" t="str">
            <v>PTCPPOOE0004000</v>
          </cell>
        </row>
      </sheetData>
    </sheetDataSet>
  </externalBook>
</externalLink>
</file>

<file path=xl/tables/table1.xml><?xml version="1.0" encoding="utf-8"?>
<table xmlns="http://schemas.openxmlformats.org/spreadsheetml/2006/main" id="1" name="B99.00" displayName="B99.00" ref="A2:K3" totalsRowShown="0" headerRowDxfId="119" dataDxfId="117" headerRowBorderDxfId="118" tableBorderDxfId="116" totalsRowBorderDxfId="115">
  <autoFilter ref="A2:K3"/>
  <tableColumns count="11">
    <tableColumn id="1" name="0010" dataDxfId="114"/>
    <tableColumn id="2" name="0020" dataDxfId="113"/>
    <tableColumn id="3" name="0030" dataDxfId="112"/>
    <tableColumn id="5" name="0040" dataDxfId="111"/>
    <tableColumn id="4" name="0041" dataDxfId="110"/>
    <tableColumn id="6" name="0050" dataDxfId="109"/>
    <tableColumn id="11" name="0051" dataDxfId="108"/>
    <tableColumn id="7" name="0060" dataDxfId="107"/>
    <tableColumn id="8" name="0070" dataDxfId="106"/>
    <tableColumn id="9" name="0080" dataDxfId="105"/>
    <tableColumn id="10" name="0090" dataDxfId="1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02.00" displayName="B02.00" ref="A2:CD3" totalsRowShown="0" headerRowDxfId="103" dataDxfId="102" tableBorderDxfId="101">
  <autoFilter ref="A2:CD3"/>
  <tableColumns count="82">
    <tableColumn id="1" name="0010" dataDxfId="100"/>
    <tableColumn id="2" name="0020" dataDxfId="99"/>
    <tableColumn id="3" name="0030" dataDxfId="98"/>
    <tableColumn id="4" name="0040" dataDxfId="97"/>
    <tableColumn id="6" name="0050" dataDxfId="96"/>
    <tableColumn id="7" name="0060" dataDxfId="95"/>
    <tableColumn id="8" name="0070" dataDxfId="94"/>
    <tableColumn id="9" name="0080" dataDxfId="93"/>
    <tableColumn id="10" name="0090" dataDxfId="92"/>
    <tableColumn id="11" name="0100" dataDxfId="91"/>
    <tableColumn id="12" name="0110" dataDxfId="90"/>
    <tableColumn id="13" name="0120" dataDxfId="89"/>
    <tableColumn id="5" name="0121" dataDxfId="0"/>
    <tableColumn id="14" name="0130" dataDxfId="88"/>
    <tableColumn id="15" name="0140" dataDxfId="87"/>
    <tableColumn id="16" name="0141" dataDxfId="86"/>
    <tableColumn id="17" name="0150" dataDxfId="85"/>
    <tableColumn id="18" name="0160" dataDxfId="84"/>
    <tableColumn id="19" name="0161" dataDxfId="83"/>
    <tableColumn id="20" name="0162" dataDxfId="82"/>
    <tableColumn id="21" name="0170" dataDxfId="81"/>
    <tableColumn id="22" name="0180" dataDxfId="80"/>
    <tableColumn id="23" name="0190" dataDxfId="79"/>
    <tableColumn id="24" name="0200" dataDxfId="78"/>
    <tableColumn id="25" name="0210" dataDxfId="77"/>
    <tableColumn id="26" name="0220" dataDxfId="76"/>
    <tableColumn id="27" name="0230" dataDxfId="75"/>
    <tableColumn id="28" name="0240" dataDxfId="74"/>
    <tableColumn id="29" name="0250" dataDxfId="73"/>
    <tableColumn id="30" name="0260" dataDxfId="72"/>
    <tableColumn id="31" name="0270" dataDxfId="71"/>
    <tableColumn id="32" name="0280" dataDxfId="70"/>
    <tableColumn id="33" name="0290" dataDxfId="69"/>
    <tableColumn id="34" name="0300" dataDxfId="68"/>
    <tableColumn id="35" name="0310" dataDxfId="67"/>
    <tableColumn id="36" name="0320" dataDxfId="66"/>
    <tableColumn id="37" name="0330" dataDxfId="65"/>
    <tableColumn id="38" name="0340" dataDxfId="64"/>
    <tableColumn id="39" name="0350" dataDxfId="63"/>
    <tableColumn id="40" name="0351" dataDxfId="62"/>
    <tableColumn id="41" name="0360" dataDxfId="61"/>
    <tableColumn id="42" name="0370" dataDxfId="60"/>
    <tableColumn id="43" name="0380" dataDxfId="59"/>
    <tableColumn id="44" name="0390" dataDxfId="58"/>
    <tableColumn id="45" name="0391" dataDxfId="57"/>
    <tableColumn id="46" name="0400" dataDxfId="56"/>
    <tableColumn id="47" name="0410" dataDxfId="55"/>
    <tableColumn id="48" name="0420" dataDxfId="54"/>
    <tableColumn id="49" name="0430" dataDxfId="53"/>
    <tableColumn id="50" name="0431" dataDxfId="52"/>
    <tableColumn id="51" name="0440" dataDxfId="51"/>
    <tableColumn id="52" name="0450" dataDxfId="50"/>
    <tableColumn id="53" name="0460" dataDxfId="49"/>
    <tableColumn id="54" name="0461" dataDxfId="48"/>
    <tableColumn id="55" name="0462" dataDxfId="47"/>
    <tableColumn id="56" name="0470" dataDxfId="46"/>
    <tableColumn id="57" name="0471" dataDxfId="45"/>
    <tableColumn id="58" name="0480" dataDxfId="44"/>
    <tableColumn id="59" name="0481" dataDxfId="43"/>
    <tableColumn id="60" name="0490" dataDxfId="42"/>
    <tableColumn id="61" name="0491" dataDxfId="41"/>
    <tableColumn id="62" name="0500" dataDxfId="40"/>
    <tableColumn id="63" name="0501" dataDxfId="39"/>
    <tableColumn id="64" name="0510" dataDxfId="38"/>
    <tableColumn id="65" name="0511" dataDxfId="37"/>
    <tableColumn id="66" name="0520" dataDxfId="36"/>
    <tableColumn id="67" name="0521" dataDxfId="35"/>
    <tableColumn id="74" name="0530" dataDxfId="34"/>
    <tableColumn id="75" name="0540" dataDxfId="33"/>
    <tableColumn id="76" name="0550" dataDxfId="32"/>
    <tableColumn id="77" name="0560" dataDxfId="31"/>
    <tableColumn id="78" name="0570" dataDxfId="30"/>
    <tableColumn id="79" name="0580" dataDxfId="29"/>
    <tableColumn id="80" name="0581" dataDxfId="28"/>
    <tableColumn id="81" name="0590" dataDxfId="27"/>
    <tableColumn id="82" name="0600" dataDxfId="26"/>
    <tableColumn id="83" name="0610" dataDxfId="25"/>
    <tableColumn id="84" name="0620" dataDxfId="24"/>
    <tableColumn id="85" name="0630" dataDxfId="23"/>
    <tableColumn id="86" name="0640" dataDxfId="22"/>
    <tableColumn id="87" name="5000" dataDxfId="21"/>
    <tableColumn id="88" name="5010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90.00" displayName="B90.00" ref="A2:K3" totalsRowShown="0" headerRowDxfId="19" dataDxfId="18" tableBorderDxfId="17">
  <autoFilter ref="A2:K3"/>
  <tableColumns count="11">
    <tableColumn id="1" name="0010" dataDxfId="16"/>
    <tableColumn id="2" name="0011" dataDxfId="15"/>
    <tableColumn id="3" name="0020" dataDxfId="14"/>
    <tableColumn id="11" name="0030" dataDxfId="13"/>
    <tableColumn id="4" name="0040" dataDxfId="12"/>
    <tableColumn id="5" name="0050" dataDxfId="11"/>
    <tableColumn id="6" name="0060" dataDxfId="10"/>
    <tableColumn id="7" name="0070" dataDxfId="9"/>
    <tableColumn id="8" name="0080" dataDxfId="8"/>
    <tableColumn id="9" name="0090" dataDxfId="7"/>
    <tableColumn id="10" name="0100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N54"/>
  <sheetViews>
    <sheetView topLeftCell="AQ15" zoomScaleNormal="100" zoomScaleSheetLayoutView="90" workbookViewId="0">
      <selection activeCell="BJ38" sqref="BJ38"/>
    </sheetView>
  </sheetViews>
  <sheetFormatPr defaultColWidth="6" defaultRowHeight="14.4"/>
  <cols>
    <col min="1" max="1" width="17.88671875" style="93" hidden="1" customWidth="1"/>
    <col min="2" max="2" width="3.109375" style="93" hidden="1" customWidth="1"/>
    <col min="3" max="3" width="4.33203125" style="93" hidden="1" customWidth="1"/>
    <col min="4" max="4" width="46.6640625" style="93" hidden="1" customWidth="1"/>
    <col min="5" max="5" width="0.88671875" style="93" hidden="1" customWidth="1"/>
    <col min="6" max="6" width="5" style="95" hidden="1" customWidth="1"/>
    <col min="7" max="7" width="0.6640625" style="93" hidden="1" customWidth="1"/>
    <col min="8" max="8" width="11.6640625" style="93" hidden="1" customWidth="1"/>
    <col min="9" max="9" width="0.6640625" style="93" hidden="1" customWidth="1"/>
    <col min="10" max="10" width="17.88671875" style="93" hidden="1" customWidth="1"/>
    <col min="11" max="11" width="0.6640625" style="93" hidden="1" customWidth="1"/>
    <col min="12" max="12" width="12.88671875" style="93" hidden="1" customWidth="1"/>
    <col min="13" max="13" width="0.6640625" style="93" hidden="1" customWidth="1"/>
    <col min="14" max="14" width="9" style="93" hidden="1" customWidth="1"/>
    <col min="15" max="15" width="0.6640625" style="93" hidden="1" customWidth="1"/>
    <col min="16" max="16" width="39.33203125" style="93" hidden="1" customWidth="1"/>
    <col min="17" max="17" width="0.6640625" style="93" hidden="1" customWidth="1"/>
    <col min="18" max="18" width="5" style="95" hidden="1" customWidth="1"/>
    <col min="19" max="19" width="0.6640625" style="93" hidden="1" customWidth="1"/>
    <col min="20" max="20" width="11.88671875" style="95" hidden="1" customWidth="1"/>
    <col min="21" max="21" width="0.6640625" style="93" hidden="1" customWidth="1"/>
    <col min="22" max="22" width="13.5546875" style="95" hidden="1" customWidth="1"/>
    <col min="23" max="24" width="0.6640625" style="93" hidden="1" customWidth="1"/>
    <col min="25" max="25" width="3.33203125" style="93" hidden="1" customWidth="1"/>
    <col min="26" max="26" width="3.88671875" style="93" hidden="1" customWidth="1"/>
    <col min="27" max="27" width="75.33203125" style="93" hidden="1" customWidth="1"/>
    <col min="28" max="28" width="11.6640625" style="93" hidden="1" customWidth="1"/>
    <col min="29" max="29" width="6" style="93" hidden="1" customWidth="1"/>
    <col min="30" max="32" width="1.5546875" style="93" hidden="1" customWidth="1"/>
    <col min="33" max="33" width="11.88671875" style="93" hidden="1" customWidth="1"/>
    <col min="34" max="34" width="11.109375" style="93" hidden="1" customWidth="1"/>
    <col min="35" max="35" width="12.88671875" style="93" hidden="1" customWidth="1"/>
    <col min="36" max="36" width="10.88671875" style="93" hidden="1" customWidth="1"/>
    <col min="37" max="42" width="2.6640625" style="93" hidden="1" customWidth="1"/>
    <col min="43" max="44" width="4" style="93" customWidth="1"/>
    <col min="45" max="45" width="35" style="93" customWidth="1"/>
    <col min="46" max="46" width="0.6640625" style="93" customWidth="1"/>
    <col min="47" max="47" width="12.44140625" style="93" bestFit="1" customWidth="1"/>
    <col min="48" max="48" width="0.6640625" style="93" customWidth="1"/>
    <col min="49" max="49" width="13.33203125" style="93" bestFit="1" customWidth="1"/>
    <col min="50" max="50" width="0.6640625" style="93" customWidth="1"/>
    <col min="51" max="51" width="11.6640625" style="93" bestFit="1" customWidth="1"/>
    <col min="52" max="52" width="0.6640625" style="93" customWidth="1"/>
    <col min="53" max="53" width="13.88671875" style="93" customWidth="1"/>
    <col min="54" max="54" width="12.44140625" style="93" hidden="1" customWidth="1"/>
    <col min="55" max="55" width="0.6640625" style="93" hidden="1" customWidth="1"/>
    <col min="56" max="56" width="11.44140625" style="93" hidden="1" customWidth="1"/>
    <col min="57" max="57" width="0.6640625" style="93" hidden="1" customWidth="1"/>
    <col min="58" max="58" width="12.5546875" style="93" hidden="1" customWidth="1"/>
    <col min="59" max="59" width="19" style="93" hidden="1" customWidth="1"/>
    <col min="60" max="60" width="39.5546875" style="93" customWidth="1"/>
    <col min="61" max="61" width="0.6640625" style="93" customWidth="1"/>
    <col min="62" max="62" width="13.5546875" style="93" bestFit="1" customWidth="1"/>
    <col min="63" max="63" width="0.6640625" style="93" customWidth="1"/>
    <col min="64" max="64" width="13.5546875" style="93" bestFit="1" customWidth="1"/>
    <col min="65" max="65" width="11.44140625" style="97" hidden="1" customWidth="1"/>
    <col min="66" max="66" width="3.5546875" style="93" bestFit="1" customWidth="1"/>
    <col min="67" max="16384" width="6" style="93"/>
  </cols>
  <sheetData>
    <row r="1" spans="2:65" ht="30" customHeight="1">
      <c r="B1" s="90"/>
      <c r="C1" s="91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BM1" s="93"/>
    </row>
    <row r="2" spans="2:65" ht="13.8">
      <c r="B2" s="94"/>
      <c r="C2" s="91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5"/>
      <c r="Q2" s="92"/>
      <c r="R2" s="92"/>
      <c r="S2" s="92"/>
      <c r="T2" s="92"/>
      <c r="U2" s="92"/>
      <c r="V2" s="92"/>
      <c r="W2" s="92"/>
      <c r="X2" s="92"/>
      <c r="BM2" s="93"/>
    </row>
    <row r="3" spans="2:65" ht="13.2" customHeight="1">
      <c r="B3" s="90"/>
      <c r="C3" s="91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BM3" s="93"/>
    </row>
    <row r="4" spans="2:65">
      <c r="B4" s="96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5"/>
      <c r="Q4" s="92"/>
      <c r="R4" s="92"/>
      <c r="S4" s="92"/>
      <c r="T4" s="92"/>
      <c r="U4" s="92"/>
      <c r="V4" s="92"/>
      <c r="W4" s="92"/>
      <c r="X4" s="92"/>
    </row>
    <row r="5" spans="2:65">
      <c r="B5" s="98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AS5" s="99" t="s">
        <v>51</v>
      </c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</row>
    <row r="6" spans="2:65"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5"/>
      <c r="Q6" s="92"/>
      <c r="R6" s="92"/>
      <c r="S6" s="92"/>
      <c r="T6" s="92"/>
      <c r="U6" s="92"/>
      <c r="V6" s="92"/>
      <c r="W6" s="92"/>
      <c r="X6" s="92"/>
      <c r="AS6" s="90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</row>
    <row r="7" spans="2:65"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102"/>
      <c r="Q7" s="92"/>
      <c r="R7" s="92"/>
      <c r="S7" s="92"/>
      <c r="T7" s="92"/>
      <c r="U7" s="92"/>
      <c r="V7" s="92"/>
      <c r="W7" s="92"/>
      <c r="X7" s="92"/>
      <c r="AS7" s="99" t="s">
        <v>52</v>
      </c>
      <c r="AT7" s="100"/>
      <c r="AU7" s="100"/>
      <c r="AV7" s="100"/>
      <c r="AW7" s="100"/>
      <c r="AX7" s="100"/>
      <c r="AY7" s="100"/>
      <c r="AZ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</row>
    <row r="8" spans="2:65"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102"/>
      <c r="Q8" s="92"/>
      <c r="R8" s="92"/>
      <c r="S8" s="92"/>
      <c r="T8" s="92"/>
      <c r="U8" s="92"/>
      <c r="V8" s="92"/>
      <c r="W8" s="92"/>
      <c r="X8" s="92"/>
      <c r="AS8" s="98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</row>
    <row r="9" spans="2:65"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5"/>
      <c r="Q9" s="92"/>
      <c r="R9" s="92"/>
      <c r="S9" s="92"/>
      <c r="T9" s="92"/>
      <c r="U9" s="92"/>
      <c r="V9" s="92"/>
      <c r="W9" s="92"/>
      <c r="X9" s="92"/>
      <c r="AS9" s="103" t="s">
        <v>53</v>
      </c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</row>
    <row r="10" spans="2:65"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104"/>
      <c r="O10" s="92"/>
      <c r="P10" s="95"/>
      <c r="Q10" s="92"/>
      <c r="R10" s="92"/>
      <c r="S10" s="92"/>
      <c r="T10" s="92"/>
      <c r="U10" s="92"/>
      <c r="V10" s="92"/>
      <c r="W10" s="92"/>
      <c r="X10" s="92"/>
    </row>
    <row r="11" spans="2:65"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5"/>
      <c r="O11" s="92"/>
      <c r="P11" s="95"/>
      <c r="Q11" s="92"/>
      <c r="R11" s="92"/>
      <c r="S11" s="92"/>
      <c r="T11" s="92"/>
      <c r="U11" s="92"/>
      <c r="V11" s="92"/>
      <c r="W11" s="92"/>
      <c r="X11" s="92"/>
    </row>
    <row r="12" spans="2:65"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105"/>
      <c r="O12" s="95"/>
      <c r="P12" s="95"/>
      <c r="Q12" s="92"/>
      <c r="R12" s="92"/>
      <c r="S12" s="92"/>
      <c r="T12" s="92"/>
      <c r="U12" s="92"/>
      <c r="V12" s="92"/>
      <c r="W12" s="92"/>
      <c r="X12" s="92"/>
      <c r="BD12" s="106"/>
    </row>
    <row r="13" spans="2:65">
      <c r="B13" s="101"/>
      <c r="C13" s="101"/>
      <c r="D13" s="101"/>
      <c r="E13" s="101"/>
      <c r="F13" s="107"/>
      <c r="G13" s="101"/>
      <c r="H13" s="108"/>
      <c r="I13" s="109"/>
      <c r="J13" s="108"/>
      <c r="K13" s="109"/>
      <c r="L13" s="109"/>
      <c r="M13" s="101"/>
      <c r="N13" s="110"/>
      <c r="O13" s="101"/>
      <c r="P13" s="101"/>
      <c r="Q13" s="101"/>
      <c r="R13" s="107"/>
      <c r="S13" s="101"/>
      <c r="T13" s="107"/>
      <c r="U13" s="101"/>
      <c r="V13" s="107"/>
      <c r="W13" s="101"/>
      <c r="X13" s="107"/>
      <c r="Y13" s="101"/>
      <c r="AH13" s="111"/>
      <c r="AU13" s="112"/>
      <c r="AV13" s="112"/>
      <c r="AW13" s="113" t="s">
        <v>54</v>
      </c>
      <c r="AX13" s="112"/>
      <c r="AY13" s="112"/>
      <c r="AZ13" s="112"/>
      <c r="BA13" s="114">
        <v>45535</v>
      </c>
      <c r="BB13" s="115"/>
      <c r="BC13" s="115"/>
      <c r="BD13" s="113"/>
      <c r="BE13" s="115"/>
      <c r="BF13" s="115"/>
    </row>
    <row r="14" spans="2:65" s="95" customFormat="1"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16"/>
      <c r="N14" s="107"/>
      <c r="O14" s="116"/>
      <c r="P14" s="107"/>
      <c r="Q14" s="107"/>
      <c r="R14" s="107"/>
      <c r="S14" s="107"/>
      <c r="T14" s="101"/>
      <c r="U14" s="107"/>
      <c r="V14" s="117"/>
      <c r="W14" s="107"/>
      <c r="X14" s="107"/>
      <c r="Y14" s="107"/>
      <c r="AS14" s="93"/>
      <c r="AU14" s="107" t="s">
        <v>55</v>
      </c>
      <c r="AV14" s="107"/>
      <c r="AW14" s="107"/>
      <c r="AX14" s="107"/>
      <c r="AY14" s="107"/>
      <c r="AZ14" s="107"/>
      <c r="BA14" s="107"/>
      <c r="BB14" s="118"/>
      <c r="BC14" s="107"/>
      <c r="BD14" s="118"/>
      <c r="BE14" s="107"/>
      <c r="BF14" s="118"/>
      <c r="BH14" s="93"/>
      <c r="BJ14" s="93"/>
      <c r="BK14" s="93"/>
      <c r="BL14" s="93"/>
      <c r="BM14" s="119"/>
    </row>
    <row r="15" spans="2:65" s="95" customFormat="1" ht="10.199999999999999">
      <c r="B15" s="107"/>
      <c r="C15" s="107"/>
      <c r="D15" s="107"/>
      <c r="E15" s="107"/>
      <c r="F15" s="107"/>
      <c r="G15" s="107"/>
      <c r="H15" s="107"/>
      <c r="I15" s="107"/>
      <c r="J15" s="116"/>
      <c r="K15" s="107"/>
      <c r="L15" s="116"/>
      <c r="M15" s="116"/>
      <c r="N15" s="116"/>
      <c r="O15" s="116"/>
      <c r="P15" s="107"/>
      <c r="Q15" s="107"/>
      <c r="R15" s="107"/>
      <c r="S15" s="107"/>
      <c r="T15" s="101"/>
      <c r="U15" s="107"/>
      <c r="V15" s="120"/>
      <c r="W15" s="107"/>
      <c r="X15" s="107"/>
      <c r="Y15" s="107"/>
      <c r="AG15" s="121"/>
      <c r="AI15" s="121"/>
      <c r="AU15" s="107" t="s">
        <v>56</v>
      </c>
      <c r="AV15" s="107"/>
      <c r="AW15" s="116" t="s">
        <v>57</v>
      </c>
      <c r="AX15" s="116"/>
      <c r="AY15" s="116" t="s">
        <v>58</v>
      </c>
      <c r="AZ15" s="116"/>
      <c r="BA15" s="116" t="s">
        <v>58</v>
      </c>
      <c r="BB15" s="118" t="s">
        <v>59</v>
      </c>
      <c r="BC15" s="107"/>
      <c r="BD15" s="118" t="s">
        <v>59</v>
      </c>
      <c r="BE15" s="107"/>
      <c r="BF15" s="118" t="s">
        <v>59</v>
      </c>
      <c r="BM15" s="118" t="s">
        <v>59</v>
      </c>
    </row>
    <row r="16" spans="2:65" s="95" customFormat="1" ht="10.199999999999999">
      <c r="B16" s="251"/>
      <c r="C16" s="251"/>
      <c r="D16" s="251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22"/>
      <c r="U16" s="107"/>
      <c r="V16" s="123"/>
      <c r="W16" s="107"/>
      <c r="X16" s="107"/>
      <c r="Y16" s="107"/>
      <c r="AG16" s="107"/>
      <c r="AH16" s="107"/>
      <c r="AI16" s="107"/>
      <c r="AJ16" s="107"/>
      <c r="AS16" s="124" t="s">
        <v>60</v>
      </c>
      <c r="AU16" s="124" t="s">
        <v>61</v>
      </c>
      <c r="AV16" s="107"/>
      <c r="AW16" s="124" t="s">
        <v>62</v>
      </c>
      <c r="AX16" s="107"/>
      <c r="AY16" s="125" t="s">
        <v>63</v>
      </c>
      <c r="AZ16" s="125"/>
      <c r="BA16" s="125" t="s">
        <v>63</v>
      </c>
      <c r="BB16" s="126" t="s">
        <v>64</v>
      </c>
      <c r="BC16" s="107"/>
      <c r="BD16" s="126" t="s">
        <v>64</v>
      </c>
      <c r="BE16" s="107"/>
      <c r="BF16" s="126" t="s">
        <v>64</v>
      </c>
      <c r="BH16" s="124" t="s">
        <v>65</v>
      </c>
      <c r="BI16" s="107"/>
      <c r="BJ16" s="127" t="s">
        <v>54</v>
      </c>
      <c r="BK16" s="127"/>
      <c r="BL16" s="128">
        <v>45535</v>
      </c>
      <c r="BM16" s="126" t="s">
        <v>64</v>
      </c>
    </row>
    <row r="17" spans="1:66" ht="5.85" customHeight="1">
      <c r="BB17" s="129"/>
      <c r="BD17" s="129"/>
      <c r="BF17" s="129"/>
      <c r="BM17" s="130"/>
    </row>
    <row r="18" spans="1:66">
      <c r="A18" s="131"/>
      <c r="B18" s="132"/>
      <c r="C18" s="133"/>
      <c r="G18" s="111"/>
      <c r="H18" s="111"/>
      <c r="I18" s="111"/>
      <c r="J18" s="111"/>
      <c r="K18" s="111"/>
      <c r="L18" s="134"/>
      <c r="M18" s="134"/>
      <c r="N18" s="134"/>
      <c r="O18" s="134"/>
      <c r="P18" s="101"/>
      <c r="T18" s="135"/>
      <c r="V18" s="135"/>
      <c r="X18" s="136"/>
      <c r="Z18" s="111"/>
      <c r="AD18" s="111"/>
      <c r="AG18" s="137"/>
      <c r="AH18" s="111"/>
      <c r="AQ18" s="138" t="s">
        <v>66</v>
      </c>
      <c r="AR18" s="139" t="s">
        <v>67</v>
      </c>
      <c r="AS18" s="133" t="s">
        <v>68</v>
      </c>
      <c r="AT18" s="133"/>
      <c r="AU18" s="137">
        <v>2390252510</v>
      </c>
      <c r="AV18" s="137"/>
      <c r="AW18" s="137">
        <v>0</v>
      </c>
      <c r="AX18" s="137"/>
      <c r="AY18" s="137">
        <v>2390252510</v>
      </c>
      <c r="AZ18" s="137"/>
      <c r="BA18" s="137">
        <v>4769740374</v>
      </c>
      <c r="BB18" s="140">
        <v>2390252510</v>
      </c>
      <c r="BC18" s="137"/>
      <c r="BD18" s="140">
        <v>0</v>
      </c>
      <c r="BE18" s="137"/>
      <c r="BF18" s="140">
        <v>2390252510</v>
      </c>
      <c r="BJ18" s="101"/>
      <c r="BK18" s="101"/>
      <c r="BL18" s="101"/>
      <c r="BM18" s="119"/>
    </row>
    <row r="19" spans="1:66" ht="11.25" customHeight="1">
      <c r="A19" s="131"/>
      <c r="B19" s="132"/>
      <c r="C19" s="133"/>
      <c r="G19" s="111"/>
      <c r="H19" s="111"/>
      <c r="I19" s="111"/>
      <c r="J19" s="111"/>
      <c r="K19" s="111"/>
      <c r="L19" s="134"/>
      <c r="M19" s="134"/>
      <c r="N19" s="134"/>
      <c r="O19" s="134"/>
      <c r="T19" s="111"/>
      <c r="U19" s="111"/>
      <c r="V19" s="134"/>
      <c r="W19" s="111"/>
      <c r="X19" s="136"/>
      <c r="Y19" s="132"/>
      <c r="Z19" s="111"/>
      <c r="AA19" s="131"/>
      <c r="AD19" s="111"/>
      <c r="AG19" s="137"/>
      <c r="AH19" s="111"/>
      <c r="AI19" s="137"/>
      <c r="AJ19" s="111"/>
      <c r="AQ19" s="138" t="s">
        <v>69</v>
      </c>
      <c r="AR19" s="139" t="s">
        <v>70</v>
      </c>
      <c r="AS19" s="133" t="s">
        <v>71</v>
      </c>
      <c r="AT19" s="133"/>
      <c r="AU19" s="137">
        <v>145948864</v>
      </c>
      <c r="AV19" s="137"/>
      <c r="AW19" s="137">
        <v>0</v>
      </c>
      <c r="AX19" s="137"/>
      <c r="AY19" s="137">
        <v>145948864</v>
      </c>
      <c r="AZ19" s="137"/>
      <c r="BA19" s="137">
        <v>121759491</v>
      </c>
      <c r="BB19" s="140">
        <v>145948864</v>
      </c>
      <c r="BC19" s="137"/>
      <c r="BD19" s="140">
        <v>0</v>
      </c>
      <c r="BE19" s="137"/>
      <c r="BF19" s="140">
        <v>145948864</v>
      </c>
      <c r="BG19" s="141" t="s">
        <v>72</v>
      </c>
      <c r="BH19" s="93" t="s">
        <v>73</v>
      </c>
      <c r="BJ19" s="137">
        <v>1032943916</v>
      </c>
      <c r="BK19" s="137"/>
      <c r="BL19" s="137">
        <v>1769856402</v>
      </c>
      <c r="BM19" s="142">
        <v>1032943916</v>
      </c>
      <c r="BN19" s="138">
        <v>18</v>
      </c>
    </row>
    <row r="20" spans="1:66" ht="11.25" customHeight="1">
      <c r="A20" s="131"/>
      <c r="B20" s="132"/>
      <c r="C20" s="133"/>
      <c r="G20" s="111"/>
      <c r="H20" s="111"/>
      <c r="I20" s="111"/>
      <c r="J20" s="111"/>
      <c r="K20" s="111"/>
      <c r="L20" s="134"/>
      <c r="M20" s="134"/>
      <c r="N20" s="134"/>
      <c r="O20" s="134"/>
      <c r="T20" s="111"/>
      <c r="Y20" s="132"/>
      <c r="AB20" s="111"/>
      <c r="AC20" s="111"/>
      <c r="AD20" s="111"/>
      <c r="AG20" s="137"/>
      <c r="AH20" s="111"/>
      <c r="AI20" s="137"/>
      <c r="AJ20" s="111"/>
      <c r="AQ20" s="138" t="s">
        <v>74</v>
      </c>
      <c r="AR20" s="139" t="s">
        <v>75</v>
      </c>
      <c r="AS20" s="133" t="s">
        <v>76</v>
      </c>
      <c r="AT20" s="133"/>
      <c r="AU20" s="137">
        <v>1025183417</v>
      </c>
      <c r="AV20" s="137"/>
      <c r="AW20" s="137">
        <v>0</v>
      </c>
      <c r="AX20" s="137"/>
      <c r="AY20" s="137">
        <v>1025183417</v>
      </c>
      <c r="AZ20" s="137"/>
      <c r="BA20" s="137">
        <v>1752471502</v>
      </c>
      <c r="BB20" s="140">
        <v>1025183417</v>
      </c>
      <c r="BC20" s="137"/>
      <c r="BD20" s="140">
        <v>0</v>
      </c>
      <c r="BE20" s="137"/>
      <c r="BF20" s="140">
        <v>1025183417</v>
      </c>
      <c r="BG20" s="141" t="s">
        <v>77</v>
      </c>
      <c r="BH20" s="93" t="s">
        <v>78</v>
      </c>
      <c r="BJ20" s="137">
        <v>0</v>
      </c>
      <c r="BK20" s="137"/>
      <c r="BL20" s="137">
        <v>0</v>
      </c>
      <c r="BM20" s="142">
        <v>0</v>
      </c>
      <c r="BN20" s="139" t="s">
        <v>79</v>
      </c>
    </row>
    <row r="21" spans="1:66" ht="11.25" customHeight="1">
      <c r="A21" s="131"/>
      <c r="B21" s="133"/>
      <c r="C21" s="133"/>
      <c r="H21" s="111"/>
      <c r="I21" s="111"/>
      <c r="J21" s="111"/>
      <c r="L21" s="134"/>
      <c r="N21" s="134"/>
      <c r="O21" s="134"/>
      <c r="W21" s="111"/>
      <c r="X21" s="136"/>
      <c r="Y21" s="111"/>
      <c r="Z21" s="111"/>
      <c r="AA21" s="131"/>
      <c r="AB21" s="111"/>
      <c r="AC21" s="111"/>
      <c r="AD21" s="111"/>
      <c r="AG21" s="137"/>
      <c r="AH21" s="111"/>
      <c r="AI21" s="137"/>
      <c r="AJ21" s="111"/>
      <c r="AQ21" s="139">
        <v>4</v>
      </c>
      <c r="AR21" s="139" t="s">
        <v>80</v>
      </c>
      <c r="AS21" s="133" t="s">
        <v>81</v>
      </c>
      <c r="AT21" s="133"/>
      <c r="AU21" s="137">
        <v>1351822724</v>
      </c>
      <c r="AV21" s="137"/>
      <c r="AW21" s="137">
        <v>0</v>
      </c>
      <c r="AX21" s="137"/>
      <c r="AY21" s="137">
        <v>1351822724</v>
      </c>
      <c r="AZ21" s="137"/>
      <c r="BA21" s="137">
        <v>974195873</v>
      </c>
      <c r="BB21" s="140">
        <v>1351822724</v>
      </c>
      <c r="BC21" s="137"/>
      <c r="BD21" s="140">
        <v>0</v>
      </c>
      <c r="BE21" s="137"/>
      <c r="BF21" s="140">
        <v>1351822724</v>
      </c>
      <c r="BH21" s="93" t="s">
        <v>82</v>
      </c>
      <c r="BJ21" s="95"/>
      <c r="BK21" s="95"/>
      <c r="BL21" s="95"/>
      <c r="BM21" s="130"/>
      <c r="BN21" s="111"/>
    </row>
    <row r="22" spans="1:66" ht="10.199999999999999">
      <c r="A22" s="131"/>
      <c r="B22" s="133"/>
      <c r="C22" s="133"/>
      <c r="H22" s="111"/>
      <c r="I22" s="111"/>
      <c r="J22" s="111"/>
      <c r="L22" s="134"/>
      <c r="O22" s="134"/>
      <c r="P22" s="143"/>
      <c r="T22" s="111"/>
      <c r="U22" s="111"/>
      <c r="V22" s="134"/>
      <c r="W22" s="111"/>
      <c r="X22" s="136"/>
      <c r="Y22" s="132"/>
      <c r="Z22" s="111"/>
      <c r="AA22" s="144"/>
      <c r="AD22" s="111"/>
      <c r="AG22" s="137"/>
      <c r="AH22" s="111"/>
      <c r="AQ22" s="139" t="s">
        <v>83</v>
      </c>
      <c r="AR22" s="139" t="s">
        <v>84</v>
      </c>
      <c r="AS22" s="93" t="s">
        <v>85</v>
      </c>
      <c r="AU22" s="137">
        <v>0</v>
      </c>
      <c r="AV22" s="137"/>
      <c r="AW22" s="137">
        <v>0</v>
      </c>
      <c r="AX22" s="137"/>
      <c r="AY22" s="137">
        <v>0</v>
      </c>
      <c r="AZ22" s="137"/>
      <c r="BA22" s="137">
        <v>0</v>
      </c>
      <c r="BB22" s="140">
        <v>0</v>
      </c>
      <c r="BC22" s="137"/>
      <c r="BD22" s="140">
        <v>0</v>
      </c>
      <c r="BE22" s="137"/>
      <c r="BF22" s="140">
        <v>0</v>
      </c>
      <c r="BH22" s="143" t="s">
        <v>86</v>
      </c>
      <c r="BI22" s="143"/>
      <c r="BJ22" s="137">
        <v>0</v>
      </c>
      <c r="BK22" s="137"/>
      <c r="BL22" s="137">
        <v>0</v>
      </c>
      <c r="BM22" s="142">
        <v>0</v>
      </c>
      <c r="BN22" s="138">
        <v>19</v>
      </c>
    </row>
    <row r="23" spans="1:66" ht="11.25" customHeight="1">
      <c r="A23" s="131"/>
      <c r="B23" s="133"/>
      <c r="C23" s="133"/>
      <c r="G23" s="111"/>
      <c r="H23" s="111"/>
      <c r="I23" s="111"/>
      <c r="J23" s="111"/>
      <c r="K23" s="111"/>
      <c r="L23" s="134"/>
      <c r="M23" s="134"/>
      <c r="N23" s="134"/>
      <c r="O23" s="134"/>
      <c r="P23" s="143"/>
      <c r="T23" s="111"/>
      <c r="U23" s="111"/>
      <c r="V23" s="134"/>
      <c r="W23" s="111"/>
      <c r="X23" s="136"/>
      <c r="Y23" s="132"/>
      <c r="Z23" s="111"/>
      <c r="AA23" s="145"/>
      <c r="AB23" s="111"/>
      <c r="AD23" s="111"/>
      <c r="AG23" s="137"/>
      <c r="AH23" s="111"/>
      <c r="AQ23" s="139"/>
      <c r="AR23" s="139"/>
      <c r="AS23" s="133" t="s">
        <v>87</v>
      </c>
      <c r="AT23" s="133"/>
      <c r="AU23" s="137"/>
      <c r="AV23" s="137"/>
      <c r="AW23" s="137"/>
      <c r="AX23" s="137"/>
      <c r="AY23" s="137"/>
      <c r="AZ23" s="137"/>
      <c r="BA23" s="137"/>
      <c r="BB23" s="140"/>
      <c r="BC23" s="137"/>
      <c r="BD23" s="140"/>
      <c r="BE23" s="137"/>
      <c r="BF23" s="140"/>
      <c r="BH23" s="143" t="s">
        <v>88</v>
      </c>
      <c r="BI23" s="143"/>
      <c r="BJ23" s="137">
        <v>4460030364</v>
      </c>
      <c r="BK23" s="137"/>
      <c r="BL23" s="137">
        <v>4969377880</v>
      </c>
      <c r="BM23" s="142">
        <v>4460030364</v>
      </c>
      <c r="BN23" s="138">
        <v>20</v>
      </c>
    </row>
    <row r="24" spans="1:66" ht="11.25" customHeight="1">
      <c r="B24" s="133"/>
      <c r="C24" s="133"/>
      <c r="D24" s="133"/>
      <c r="H24" s="111"/>
      <c r="I24" s="111"/>
      <c r="J24" s="111"/>
      <c r="K24" s="111"/>
      <c r="L24" s="134"/>
      <c r="O24" s="134"/>
      <c r="P24" s="143"/>
      <c r="T24" s="111"/>
      <c r="U24" s="111"/>
      <c r="V24" s="134"/>
      <c r="W24" s="111"/>
      <c r="X24" s="136"/>
      <c r="Y24" s="132"/>
      <c r="Z24" s="111"/>
      <c r="AA24" s="144"/>
      <c r="AB24" s="111"/>
      <c r="AD24" s="111"/>
      <c r="AG24" s="137"/>
      <c r="AH24" s="111"/>
      <c r="AQ24" s="139">
        <v>5</v>
      </c>
      <c r="AR24" s="139" t="s">
        <v>89</v>
      </c>
      <c r="AS24" s="133" t="s">
        <v>90</v>
      </c>
      <c r="AU24" s="137">
        <v>0</v>
      </c>
      <c r="AV24" s="137"/>
      <c r="AW24" s="137">
        <v>0</v>
      </c>
      <c r="AX24" s="137"/>
      <c r="AY24" s="137">
        <v>0</v>
      </c>
      <c r="AZ24" s="137"/>
      <c r="BA24" s="137">
        <v>0</v>
      </c>
      <c r="BB24" s="140">
        <v>0</v>
      </c>
      <c r="BC24" s="137"/>
      <c r="BD24" s="140">
        <v>0</v>
      </c>
      <c r="BE24" s="137"/>
      <c r="BF24" s="140">
        <v>0</v>
      </c>
      <c r="BH24" s="143" t="s">
        <v>91</v>
      </c>
      <c r="BI24" s="143"/>
      <c r="BJ24" s="137">
        <v>39318871565</v>
      </c>
      <c r="BK24" s="137"/>
      <c r="BL24" s="137">
        <v>38836200910</v>
      </c>
      <c r="BM24" s="142">
        <v>39318871565</v>
      </c>
      <c r="BN24" s="138">
        <v>21</v>
      </c>
    </row>
    <row r="25" spans="1:66" ht="11.25" customHeight="1">
      <c r="A25" s="131"/>
      <c r="B25" s="133"/>
      <c r="C25" s="133"/>
      <c r="H25" s="111"/>
      <c r="I25" s="111"/>
      <c r="J25" s="111"/>
      <c r="K25" s="111"/>
      <c r="L25" s="134"/>
      <c r="O25" s="134"/>
      <c r="P25" s="143"/>
      <c r="T25" s="111"/>
      <c r="U25" s="111"/>
      <c r="V25" s="134"/>
      <c r="W25" s="111"/>
      <c r="X25" s="136"/>
      <c r="Y25" s="132"/>
      <c r="Z25" s="111"/>
      <c r="AA25" s="144"/>
      <c r="AG25" s="137"/>
      <c r="AH25" s="111"/>
      <c r="AQ25" s="139" t="s">
        <v>92</v>
      </c>
      <c r="AR25" s="139" t="s">
        <v>93</v>
      </c>
      <c r="AS25" s="93" t="s">
        <v>94</v>
      </c>
      <c r="AU25" s="137">
        <v>169698614</v>
      </c>
      <c r="AV25" s="137"/>
      <c r="AW25" s="137">
        <v>0</v>
      </c>
      <c r="AX25" s="137"/>
      <c r="AY25" s="137">
        <v>169698614</v>
      </c>
      <c r="AZ25" s="137"/>
      <c r="BA25" s="137">
        <v>173452663</v>
      </c>
      <c r="BB25" s="140">
        <v>169698614</v>
      </c>
      <c r="BC25" s="137"/>
      <c r="BD25" s="140">
        <v>0</v>
      </c>
      <c r="BE25" s="137"/>
      <c r="BF25" s="140">
        <v>169698614</v>
      </c>
      <c r="BH25" s="143" t="s">
        <v>95</v>
      </c>
      <c r="BI25" s="143"/>
      <c r="BJ25" s="137">
        <v>6840218617</v>
      </c>
      <c r="BK25" s="137"/>
      <c r="BL25" s="137">
        <v>5201077047</v>
      </c>
      <c r="BM25" s="142">
        <v>6840218617</v>
      </c>
      <c r="BN25" s="138">
        <v>22</v>
      </c>
    </row>
    <row r="26" spans="1:66" ht="11.25" customHeight="1">
      <c r="A26" s="131"/>
      <c r="B26" s="133"/>
      <c r="C26" s="133"/>
      <c r="H26" s="111"/>
      <c r="I26" s="111"/>
      <c r="J26" s="111"/>
      <c r="K26" s="111"/>
      <c r="L26" s="134"/>
      <c r="O26" s="111"/>
      <c r="P26" s="143"/>
      <c r="T26" s="111"/>
      <c r="Y26" s="132"/>
      <c r="AA26" s="144"/>
      <c r="AB26" s="111"/>
      <c r="AD26" s="111"/>
      <c r="AG26" s="137"/>
      <c r="AH26" s="111"/>
      <c r="AQ26" s="139" t="s">
        <v>96</v>
      </c>
      <c r="AR26" s="139" t="s">
        <v>97</v>
      </c>
      <c r="AS26" s="93" t="s">
        <v>98</v>
      </c>
      <c r="AU26" s="137">
        <v>1222852426</v>
      </c>
      <c r="AV26" s="137"/>
      <c r="AW26" s="137">
        <v>0</v>
      </c>
      <c r="AX26" s="137"/>
      <c r="AY26" s="137">
        <v>1222852426</v>
      </c>
      <c r="AZ26" s="137"/>
      <c r="BA26" s="137">
        <v>1224622352</v>
      </c>
      <c r="BB26" s="140">
        <v>1222852426</v>
      </c>
      <c r="BC26" s="137"/>
      <c r="BD26" s="140">
        <v>0</v>
      </c>
      <c r="BE26" s="137"/>
      <c r="BF26" s="140">
        <v>1222852426</v>
      </c>
      <c r="BH26" s="143" t="s">
        <v>99</v>
      </c>
      <c r="BI26" s="143"/>
      <c r="BJ26" s="137">
        <v>3633062456</v>
      </c>
      <c r="BK26" s="137"/>
      <c r="BL26" s="137">
        <v>2141339429</v>
      </c>
      <c r="BM26" s="142">
        <v>3633062456</v>
      </c>
      <c r="BN26" s="138" t="s">
        <v>100</v>
      </c>
    </row>
    <row r="27" spans="1:66" ht="12">
      <c r="A27" s="131"/>
      <c r="B27" s="133"/>
      <c r="C27" s="133"/>
      <c r="D27" s="133"/>
      <c r="H27" s="111"/>
      <c r="I27" s="111"/>
      <c r="J27" s="111"/>
      <c r="K27" s="111"/>
      <c r="L27" s="134"/>
      <c r="O27" s="111"/>
      <c r="P27" s="143"/>
      <c r="T27" s="111"/>
      <c r="U27" s="111"/>
      <c r="V27" s="134"/>
      <c r="W27" s="111"/>
      <c r="X27" s="136"/>
      <c r="Y27" s="132"/>
      <c r="Z27" s="111"/>
      <c r="AA27" s="144"/>
      <c r="AB27" s="146"/>
      <c r="AD27" s="111"/>
      <c r="AG27" s="137"/>
      <c r="AH27" s="111"/>
      <c r="AQ27" s="139" t="s">
        <v>101</v>
      </c>
      <c r="AR27" s="139" t="s">
        <v>102</v>
      </c>
      <c r="AS27" s="133" t="s">
        <v>103</v>
      </c>
      <c r="AU27" s="137">
        <v>2364589478</v>
      </c>
      <c r="AV27" s="137"/>
      <c r="AW27" s="137">
        <v>0</v>
      </c>
      <c r="AX27" s="137"/>
      <c r="AY27" s="137">
        <v>2364589478</v>
      </c>
      <c r="AZ27" s="137"/>
      <c r="BA27" s="137">
        <v>2386481110</v>
      </c>
      <c r="BB27" s="140">
        <v>2364589478</v>
      </c>
      <c r="BC27" s="137"/>
      <c r="BD27" s="140">
        <v>0</v>
      </c>
      <c r="BE27" s="137"/>
      <c r="BF27" s="140">
        <v>2364589478</v>
      </c>
      <c r="BH27" s="143" t="s">
        <v>104</v>
      </c>
      <c r="BI27" s="143"/>
      <c r="BJ27" s="137">
        <v>312671155</v>
      </c>
      <c r="BK27" s="137"/>
      <c r="BL27" s="137">
        <v>234890036</v>
      </c>
      <c r="BM27" s="142">
        <v>312671155</v>
      </c>
      <c r="BN27" s="138" t="s">
        <v>105</v>
      </c>
    </row>
    <row r="28" spans="1:66" ht="11.25" customHeight="1">
      <c r="A28" s="131"/>
      <c r="B28" s="133"/>
      <c r="C28" s="133"/>
      <c r="H28" s="111"/>
      <c r="I28" s="111"/>
      <c r="J28" s="111"/>
      <c r="K28" s="111"/>
      <c r="L28" s="134"/>
      <c r="O28" s="134"/>
      <c r="P28" s="147"/>
      <c r="T28" s="111"/>
      <c r="U28" s="111"/>
      <c r="V28" s="134"/>
      <c r="W28" s="111"/>
      <c r="X28" s="136"/>
      <c r="Y28" s="132"/>
      <c r="Z28" s="148"/>
      <c r="AA28" s="131"/>
      <c r="AB28" s="146"/>
      <c r="AD28" s="111"/>
      <c r="AI28" s="137"/>
      <c r="AJ28" s="111"/>
      <c r="AQ28" s="139" t="s">
        <v>106</v>
      </c>
      <c r="AR28" s="139" t="s">
        <v>107</v>
      </c>
      <c r="AS28" s="93" t="s">
        <v>108</v>
      </c>
      <c r="AU28" s="137">
        <v>0</v>
      </c>
      <c r="AV28" s="137"/>
      <c r="AW28" s="137">
        <v>0</v>
      </c>
      <c r="AX28" s="137"/>
      <c r="AY28" s="137">
        <v>0</v>
      </c>
      <c r="AZ28" s="137"/>
      <c r="BA28" s="137">
        <v>0</v>
      </c>
      <c r="BB28" s="140">
        <v>0</v>
      </c>
      <c r="BC28" s="137"/>
      <c r="BD28" s="140">
        <v>0</v>
      </c>
      <c r="BE28" s="137"/>
      <c r="BF28" s="140">
        <v>0</v>
      </c>
      <c r="BH28" s="147" t="s">
        <v>109</v>
      </c>
      <c r="BI28" s="147"/>
      <c r="BJ28" s="137">
        <v>37571213</v>
      </c>
      <c r="BK28" s="137"/>
      <c r="BL28" s="137">
        <v>16653614</v>
      </c>
      <c r="BM28" s="142">
        <v>37571213</v>
      </c>
      <c r="BN28" s="138">
        <v>24</v>
      </c>
    </row>
    <row r="29" spans="1:66" ht="11.25" customHeight="1">
      <c r="A29" s="149"/>
      <c r="B29" s="133"/>
      <c r="C29" s="133"/>
      <c r="H29" s="111"/>
      <c r="I29" s="111"/>
      <c r="J29" s="111"/>
      <c r="K29" s="111"/>
      <c r="L29" s="134"/>
      <c r="N29" s="134"/>
      <c r="O29" s="134"/>
      <c r="T29" s="111"/>
      <c r="U29" s="111"/>
      <c r="V29" s="134"/>
      <c r="X29" s="136"/>
      <c r="Y29" s="132"/>
      <c r="Z29" s="111"/>
      <c r="AA29" s="144"/>
      <c r="AB29" s="150"/>
      <c r="AD29" s="111"/>
      <c r="AI29" s="137"/>
      <c r="AJ29" s="111"/>
      <c r="AQ29" s="139"/>
      <c r="AR29" s="139"/>
      <c r="AS29" s="133" t="s">
        <v>110</v>
      </c>
      <c r="AT29" s="133"/>
      <c r="AU29" s="137"/>
      <c r="AV29" s="137"/>
      <c r="AW29" s="137"/>
      <c r="AX29" s="137"/>
      <c r="AY29" s="137"/>
      <c r="AZ29" s="137"/>
      <c r="BA29" s="137"/>
      <c r="BB29" s="140"/>
      <c r="BC29" s="137"/>
      <c r="BD29" s="140"/>
      <c r="BE29" s="137"/>
      <c r="BF29" s="140"/>
      <c r="BH29" s="93" t="s">
        <v>111</v>
      </c>
      <c r="BJ29" s="137">
        <v>0</v>
      </c>
      <c r="BK29" s="137"/>
      <c r="BL29" s="137">
        <v>0</v>
      </c>
      <c r="BM29" s="142">
        <v>0</v>
      </c>
      <c r="BN29" s="138">
        <v>25</v>
      </c>
    </row>
    <row r="30" spans="1:66" ht="11.25" customHeight="1">
      <c r="A30" s="131"/>
      <c r="B30" s="133"/>
      <c r="C30" s="133"/>
      <c r="D30" s="133"/>
      <c r="E30" s="151"/>
      <c r="G30" s="152"/>
      <c r="H30" s="111"/>
      <c r="I30" s="111"/>
      <c r="J30" s="111"/>
      <c r="K30" s="111"/>
      <c r="L30" s="134"/>
      <c r="M30" s="134"/>
      <c r="N30" s="134"/>
      <c r="O30" s="134"/>
      <c r="P30" s="147"/>
      <c r="T30" s="111"/>
      <c r="U30" s="111"/>
      <c r="V30" s="134"/>
      <c r="W30" s="111"/>
      <c r="X30" s="136"/>
      <c r="Y30" s="132"/>
      <c r="Z30" s="146"/>
      <c r="AA30" s="131"/>
      <c r="AB30" s="148"/>
      <c r="AD30" s="111"/>
      <c r="AG30" s="137"/>
      <c r="AH30" s="111"/>
      <c r="AI30" s="137"/>
      <c r="AJ30" s="111"/>
      <c r="AQ30" s="139">
        <v>6</v>
      </c>
      <c r="AR30" s="139" t="s">
        <v>112</v>
      </c>
      <c r="AS30" s="133" t="s">
        <v>90</v>
      </c>
      <c r="AT30" s="133"/>
      <c r="AU30" s="137">
        <v>59394085</v>
      </c>
      <c r="AV30" s="137"/>
      <c r="AW30" s="137">
        <v>145567</v>
      </c>
      <c r="AX30" s="137"/>
      <c r="AY30" s="137">
        <v>59248518</v>
      </c>
      <c r="AZ30" s="137"/>
      <c r="BA30" s="137">
        <v>2895979</v>
      </c>
      <c r="BB30" s="140">
        <v>59394085</v>
      </c>
      <c r="BC30" s="137"/>
      <c r="BD30" s="140">
        <v>145567</v>
      </c>
      <c r="BE30" s="137"/>
      <c r="BF30" s="140">
        <v>59248518</v>
      </c>
      <c r="BG30" s="141" t="s">
        <v>72</v>
      </c>
      <c r="BH30" s="147" t="s">
        <v>113</v>
      </c>
      <c r="BI30" s="147"/>
      <c r="BJ30" s="137">
        <v>120776624</v>
      </c>
      <c r="BK30" s="137"/>
      <c r="BL30" s="137">
        <v>114830529</v>
      </c>
      <c r="BM30" s="142">
        <v>120776624</v>
      </c>
      <c r="BN30" s="138">
        <v>26</v>
      </c>
    </row>
    <row r="31" spans="1:66" ht="11.25" customHeight="1">
      <c r="A31" s="131"/>
      <c r="B31" s="133"/>
      <c r="C31" s="133"/>
      <c r="H31" s="111"/>
      <c r="I31" s="111"/>
      <c r="J31" s="111"/>
      <c r="K31" s="111"/>
      <c r="L31" s="134"/>
      <c r="O31" s="134"/>
      <c r="P31" s="147"/>
      <c r="T31" s="111"/>
      <c r="U31" s="111"/>
      <c r="V31" s="134"/>
      <c r="X31" s="136"/>
      <c r="Y31" s="132"/>
      <c r="Z31" s="153"/>
      <c r="AA31" s="131"/>
      <c r="AD31" s="111"/>
      <c r="AG31" s="137"/>
      <c r="AH31" s="111"/>
      <c r="AQ31" s="139" t="s">
        <v>114</v>
      </c>
      <c r="AR31" s="139" t="s">
        <v>115</v>
      </c>
      <c r="AS31" s="93" t="s">
        <v>98</v>
      </c>
      <c r="AU31" s="137">
        <v>13461888846</v>
      </c>
      <c r="AV31" s="137"/>
      <c r="AW31" s="137">
        <v>4782964</v>
      </c>
      <c r="AX31" s="137"/>
      <c r="AY31" s="137">
        <v>13457105882</v>
      </c>
      <c r="AZ31" s="137"/>
      <c r="BA31" s="137">
        <v>10070811828</v>
      </c>
      <c r="BB31" s="140">
        <v>13461888846</v>
      </c>
      <c r="BC31" s="137"/>
      <c r="BD31" s="140">
        <v>4782964</v>
      </c>
      <c r="BE31" s="137"/>
      <c r="BF31" s="140">
        <v>13457105882</v>
      </c>
      <c r="BH31" s="147" t="s">
        <v>116</v>
      </c>
      <c r="BI31" s="147"/>
      <c r="BJ31" s="137">
        <v>212779714</v>
      </c>
      <c r="BK31" s="137"/>
      <c r="BL31" s="137">
        <v>419576132</v>
      </c>
      <c r="BM31" s="142">
        <v>212779714</v>
      </c>
      <c r="BN31" s="138">
        <v>27</v>
      </c>
    </row>
    <row r="32" spans="1:66" ht="11.25" customHeight="1">
      <c r="A32" s="131"/>
      <c r="B32" s="133"/>
      <c r="C32" s="133"/>
      <c r="D32" s="133"/>
      <c r="E32" s="151"/>
      <c r="G32" s="152"/>
      <c r="H32" s="111"/>
      <c r="I32" s="111"/>
      <c r="J32" s="111"/>
      <c r="K32" s="111"/>
      <c r="L32" s="134"/>
      <c r="M32" s="134"/>
      <c r="N32" s="134"/>
      <c r="O32" s="134"/>
      <c r="T32" s="111"/>
      <c r="V32" s="134"/>
      <c r="W32" s="111"/>
      <c r="X32" s="136"/>
      <c r="Y32" s="132"/>
      <c r="Z32" s="148"/>
      <c r="AB32" s="111"/>
      <c r="AD32" s="111"/>
      <c r="AG32" s="137"/>
      <c r="AH32" s="111"/>
      <c r="AI32" s="137"/>
      <c r="AJ32" s="111"/>
      <c r="AQ32" s="139">
        <v>7</v>
      </c>
      <c r="AR32" s="139" t="s">
        <v>117</v>
      </c>
      <c r="AS32" s="133" t="s">
        <v>103</v>
      </c>
      <c r="AT32" s="133"/>
      <c r="AU32" s="137">
        <v>37345717909</v>
      </c>
      <c r="AV32" s="137"/>
      <c r="AW32" s="137">
        <v>717087457</v>
      </c>
      <c r="AX32" s="137"/>
      <c r="AY32" s="137">
        <v>36628630452</v>
      </c>
      <c r="AZ32" s="137"/>
      <c r="BA32" s="137">
        <v>34677756016</v>
      </c>
      <c r="BB32" s="140">
        <v>37345717909</v>
      </c>
      <c r="BC32" s="137"/>
      <c r="BD32" s="140">
        <v>717087457</v>
      </c>
      <c r="BE32" s="137"/>
      <c r="BF32" s="140">
        <v>36628630452</v>
      </c>
      <c r="BG32" s="141" t="s">
        <v>77</v>
      </c>
      <c r="BH32" s="93" t="s">
        <v>118</v>
      </c>
      <c r="BJ32" s="137">
        <v>0</v>
      </c>
      <c r="BK32" s="137"/>
      <c r="BL32" s="137">
        <v>0</v>
      </c>
      <c r="BM32" s="142">
        <v>0</v>
      </c>
      <c r="BN32" s="138">
        <v>28</v>
      </c>
    </row>
    <row r="33" spans="1:66" ht="11.25" customHeight="1">
      <c r="A33" s="131"/>
      <c r="B33" s="133"/>
      <c r="C33" s="133"/>
      <c r="H33" s="111"/>
      <c r="I33" s="111"/>
      <c r="J33" s="111"/>
      <c r="K33" s="111"/>
      <c r="L33" s="134"/>
      <c r="O33" s="134"/>
      <c r="P33" s="147"/>
      <c r="T33" s="111"/>
      <c r="U33" s="111"/>
      <c r="V33" s="134"/>
      <c r="W33" s="111"/>
      <c r="X33" s="136"/>
      <c r="Y33" s="132"/>
      <c r="Z33" s="111"/>
      <c r="AA33" s="131"/>
      <c r="AD33" s="111"/>
      <c r="AG33" s="137"/>
      <c r="AH33" s="111"/>
      <c r="AQ33" s="139" t="s">
        <v>119</v>
      </c>
      <c r="AR33" s="139" t="s">
        <v>120</v>
      </c>
      <c r="AS33" s="93" t="s">
        <v>108</v>
      </c>
      <c r="AU33" s="137">
        <v>482504824</v>
      </c>
      <c r="AV33" s="137"/>
      <c r="AW33" s="137">
        <v>6400170</v>
      </c>
      <c r="AX33" s="137"/>
      <c r="AY33" s="137">
        <v>476104654</v>
      </c>
      <c r="AZ33" s="137"/>
      <c r="BA33" s="137">
        <v>523444450</v>
      </c>
      <c r="BB33" s="140">
        <v>482504824</v>
      </c>
      <c r="BC33" s="137"/>
      <c r="BD33" s="140">
        <v>6400170</v>
      </c>
      <c r="BE33" s="137"/>
      <c r="BF33" s="140">
        <v>476104654</v>
      </c>
      <c r="BH33" s="147" t="s">
        <v>121</v>
      </c>
      <c r="BI33" s="147"/>
      <c r="BJ33" s="137">
        <v>468042601</v>
      </c>
      <c r="BK33" s="137"/>
      <c r="BL33" s="137">
        <v>539829673</v>
      </c>
      <c r="BM33" s="142">
        <v>468042601</v>
      </c>
      <c r="BN33" s="138">
        <v>29</v>
      </c>
    </row>
    <row r="34" spans="1:66" ht="11.25" customHeight="1">
      <c r="B34" s="133"/>
      <c r="C34" s="133"/>
      <c r="G34" s="111"/>
      <c r="H34" s="111"/>
      <c r="I34" s="111"/>
      <c r="J34" s="111"/>
      <c r="K34" s="111"/>
      <c r="L34" s="134"/>
      <c r="M34" s="134"/>
      <c r="N34" s="134"/>
      <c r="P34" s="147"/>
      <c r="T34" s="134"/>
      <c r="U34" s="111"/>
      <c r="V34" s="134"/>
      <c r="W34" s="111"/>
      <c r="X34" s="136"/>
      <c r="Z34" s="111"/>
      <c r="AD34" s="111"/>
      <c r="AG34" s="137"/>
      <c r="AH34" s="111"/>
      <c r="AQ34" s="139">
        <v>8</v>
      </c>
      <c r="AR34" s="139" t="s">
        <v>122</v>
      </c>
      <c r="AS34" s="93" t="s">
        <v>123</v>
      </c>
      <c r="AU34" s="137">
        <v>0</v>
      </c>
      <c r="AV34" s="137"/>
      <c r="AW34" s="137">
        <v>0</v>
      </c>
      <c r="AX34" s="137"/>
      <c r="AY34" s="137">
        <v>0</v>
      </c>
      <c r="AZ34" s="137"/>
      <c r="BA34" s="137">
        <v>0</v>
      </c>
      <c r="BB34" s="140">
        <v>0</v>
      </c>
      <c r="BC34" s="137"/>
      <c r="BD34" s="140">
        <v>0</v>
      </c>
      <c r="BE34" s="137"/>
      <c r="BF34" s="140">
        <v>0</v>
      </c>
      <c r="BH34" s="154" t="s">
        <v>124</v>
      </c>
      <c r="BI34" s="154"/>
      <c r="BJ34" s="155">
        <v>56436968225</v>
      </c>
      <c r="BK34" s="155"/>
      <c r="BL34" s="155">
        <v>54243631652</v>
      </c>
      <c r="BM34" s="156">
        <v>56436968225</v>
      </c>
    </row>
    <row r="35" spans="1:66" ht="11.25" customHeight="1">
      <c r="A35" s="131"/>
      <c r="B35" s="133"/>
      <c r="C35" s="133"/>
      <c r="G35" s="111"/>
      <c r="H35" s="111"/>
      <c r="I35" s="111"/>
      <c r="J35" s="111"/>
      <c r="K35" s="111"/>
      <c r="L35" s="134"/>
      <c r="M35" s="134"/>
      <c r="N35" s="134"/>
      <c r="R35" s="93"/>
      <c r="T35" s="93"/>
      <c r="V35" s="93"/>
      <c r="W35" s="111"/>
      <c r="X35" s="136"/>
      <c r="Z35" s="111"/>
      <c r="AD35" s="111"/>
      <c r="AG35" s="137"/>
      <c r="AH35" s="111"/>
      <c r="AI35" s="101"/>
      <c r="AQ35" s="138">
        <v>9</v>
      </c>
      <c r="AR35" s="138" t="s">
        <v>125</v>
      </c>
      <c r="AS35" s="133" t="s">
        <v>109</v>
      </c>
      <c r="AT35" s="133"/>
      <c r="AU35" s="137">
        <v>99620948</v>
      </c>
      <c r="AV35" s="137"/>
      <c r="AW35" s="137">
        <v>0</v>
      </c>
      <c r="AX35" s="137"/>
      <c r="AY35" s="137">
        <v>99620948</v>
      </c>
      <c r="AZ35" s="137"/>
      <c r="BA35" s="137">
        <v>161633777</v>
      </c>
      <c r="BB35" s="140">
        <v>99620948</v>
      </c>
      <c r="BC35" s="137"/>
      <c r="BD35" s="140">
        <v>0</v>
      </c>
      <c r="BE35" s="137"/>
      <c r="BF35" s="140">
        <v>99620948</v>
      </c>
      <c r="BM35" s="130"/>
    </row>
    <row r="36" spans="1:66" ht="11.25" customHeight="1">
      <c r="A36" s="131"/>
      <c r="B36" s="133"/>
      <c r="C36" s="133"/>
      <c r="H36" s="111"/>
      <c r="J36" s="111"/>
      <c r="K36" s="111"/>
      <c r="L36" s="134"/>
      <c r="N36" s="134"/>
      <c r="P36" s="154"/>
      <c r="T36" s="134"/>
      <c r="U36" s="111"/>
      <c r="V36" s="134"/>
      <c r="W36" s="111"/>
      <c r="X36" s="136"/>
      <c r="Z36" s="111"/>
      <c r="AD36" s="111"/>
      <c r="AG36" s="137"/>
      <c r="AH36" s="111"/>
      <c r="AI36" s="137"/>
      <c r="AJ36" s="111"/>
      <c r="AQ36" s="139">
        <v>10</v>
      </c>
      <c r="AR36" s="139" t="s">
        <v>126</v>
      </c>
      <c r="AS36" s="133" t="s">
        <v>127</v>
      </c>
      <c r="AT36" s="133"/>
      <c r="AU36" s="137">
        <v>0</v>
      </c>
      <c r="AV36" s="137"/>
      <c r="AW36" s="137">
        <v>0</v>
      </c>
      <c r="AX36" s="137"/>
      <c r="AY36" s="137">
        <v>0</v>
      </c>
      <c r="AZ36" s="137"/>
      <c r="BA36" s="137">
        <v>0</v>
      </c>
      <c r="BB36" s="140">
        <v>0</v>
      </c>
      <c r="BC36" s="137"/>
      <c r="BD36" s="140">
        <v>0</v>
      </c>
      <c r="BE36" s="137"/>
      <c r="BF36" s="140">
        <v>0</v>
      </c>
      <c r="BH36" s="154" t="s">
        <v>128</v>
      </c>
      <c r="BI36" s="154"/>
      <c r="BJ36" s="134"/>
      <c r="BK36" s="134"/>
      <c r="BL36" s="134"/>
      <c r="BM36" s="130"/>
    </row>
    <row r="37" spans="1:66" ht="11.25" customHeight="1">
      <c r="A37" s="131"/>
      <c r="B37" s="133"/>
      <c r="C37" s="133"/>
      <c r="G37" s="111"/>
      <c r="H37" s="111"/>
      <c r="I37" s="111"/>
      <c r="J37" s="111"/>
      <c r="K37" s="111"/>
      <c r="L37" s="134"/>
      <c r="M37" s="134"/>
      <c r="N37" s="134"/>
      <c r="P37" s="147"/>
      <c r="T37" s="111"/>
      <c r="U37" s="111"/>
      <c r="V37" s="134"/>
      <c r="W37" s="111"/>
      <c r="X37" s="136"/>
      <c r="Y37" s="132"/>
      <c r="Z37" s="111"/>
      <c r="AA37" s="131"/>
      <c r="AD37" s="111"/>
      <c r="AG37" s="137"/>
      <c r="AH37" s="111"/>
      <c r="AI37" s="137"/>
      <c r="AJ37" s="111"/>
      <c r="AQ37" s="139">
        <v>11</v>
      </c>
      <c r="AR37" s="139" t="s">
        <v>129</v>
      </c>
      <c r="AS37" s="133" t="s">
        <v>130</v>
      </c>
      <c r="AT37" s="133"/>
      <c r="AU37" s="137">
        <v>558558076</v>
      </c>
      <c r="AV37" s="137"/>
      <c r="AW37" s="137">
        <v>11000000</v>
      </c>
      <c r="AX37" s="137"/>
      <c r="AY37" s="137">
        <v>547558076</v>
      </c>
      <c r="AZ37" s="137"/>
      <c r="BA37" s="137">
        <v>548607576</v>
      </c>
      <c r="BB37" s="140">
        <v>558558076</v>
      </c>
      <c r="BC37" s="137"/>
      <c r="BD37" s="140">
        <v>11000000</v>
      </c>
      <c r="BE37" s="137"/>
      <c r="BF37" s="140">
        <v>547558076</v>
      </c>
      <c r="BH37" s="147" t="s">
        <v>131</v>
      </c>
      <c r="BI37" s="147"/>
      <c r="BJ37" s="137">
        <v>1391779674</v>
      </c>
      <c r="BK37" s="137"/>
      <c r="BL37" s="137">
        <v>1391779674</v>
      </c>
      <c r="BM37" s="142">
        <v>1391779674</v>
      </c>
      <c r="BN37" s="138">
        <v>30</v>
      </c>
    </row>
    <row r="38" spans="1:66" ht="11.25" customHeight="1">
      <c r="A38" s="131"/>
      <c r="B38" s="133"/>
      <c r="C38" s="133"/>
      <c r="G38" s="111"/>
      <c r="H38" s="111"/>
      <c r="I38" s="111"/>
      <c r="J38" s="111"/>
      <c r="K38" s="111"/>
      <c r="L38" s="134"/>
      <c r="M38" s="111"/>
      <c r="N38" s="134"/>
      <c r="P38" s="147"/>
      <c r="T38" s="111"/>
      <c r="U38" s="111"/>
      <c r="V38" s="134"/>
      <c r="W38" s="111"/>
      <c r="X38" s="136"/>
      <c r="Y38" s="132"/>
      <c r="Z38" s="111"/>
      <c r="AA38" s="131"/>
      <c r="AD38" s="111"/>
      <c r="AG38" s="137"/>
      <c r="AH38" s="111"/>
      <c r="AI38" s="137"/>
      <c r="AJ38" s="111"/>
      <c r="AQ38" s="139">
        <v>12</v>
      </c>
      <c r="AR38" s="139" t="s">
        <v>132</v>
      </c>
      <c r="AS38" s="133" t="s">
        <v>133</v>
      </c>
      <c r="AT38" s="133"/>
      <c r="AU38" s="137">
        <v>0</v>
      </c>
      <c r="AV38" s="137"/>
      <c r="AW38" s="137">
        <v>0</v>
      </c>
      <c r="AX38" s="137"/>
      <c r="AY38" s="137">
        <v>0</v>
      </c>
      <c r="AZ38" s="137"/>
      <c r="BA38" s="137">
        <v>0</v>
      </c>
      <c r="BB38" s="140">
        <v>0</v>
      </c>
      <c r="BC38" s="137"/>
      <c r="BD38" s="140">
        <v>0</v>
      </c>
      <c r="BE38" s="137"/>
      <c r="BF38" s="140">
        <v>0</v>
      </c>
      <c r="BH38" s="147" t="s">
        <v>134</v>
      </c>
      <c r="BI38" s="147"/>
      <c r="BJ38" s="137">
        <v>193389954</v>
      </c>
      <c r="BK38" s="137"/>
      <c r="BL38" s="137">
        <v>193389954</v>
      </c>
      <c r="BM38" s="142">
        <v>193389954</v>
      </c>
      <c r="BN38" s="138">
        <v>31</v>
      </c>
    </row>
    <row r="39" spans="1:66" ht="11.25" customHeight="1">
      <c r="A39" s="131"/>
      <c r="B39" s="133"/>
      <c r="C39" s="133"/>
      <c r="G39" s="111"/>
      <c r="H39" s="111"/>
      <c r="I39" s="111"/>
      <c r="J39" s="111"/>
      <c r="K39" s="111"/>
      <c r="L39" s="134"/>
      <c r="M39" s="134"/>
      <c r="N39" s="134"/>
      <c r="P39" s="147"/>
      <c r="T39" s="111"/>
      <c r="U39" s="111"/>
      <c r="V39" s="134"/>
      <c r="W39" s="111"/>
      <c r="X39" s="136"/>
      <c r="Y39" s="132"/>
      <c r="Z39" s="111"/>
      <c r="AA39" s="131"/>
      <c r="AD39" s="111"/>
      <c r="AI39" s="137"/>
      <c r="AJ39" s="111"/>
      <c r="AQ39" s="139">
        <v>13</v>
      </c>
      <c r="AR39" s="139" t="s">
        <v>135</v>
      </c>
      <c r="AS39" s="133" t="s">
        <v>136</v>
      </c>
      <c r="AT39" s="133"/>
      <c r="AU39" s="137">
        <v>493216147</v>
      </c>
      <c r="AV39" s="137"/>
      <c r="AW39" s="137">
        <v>240466323</v>
      </c>
      <c r="AX39" s="137"/>
      <c r="AY39" s="137">
        <v>252749824</v>
      </c>
      <c r="AZ39" s="137"/>
      <c r="BA39" s="137">
        <v>255604388</v>
      </c>
      <c r="BB39" s="140">
        <v>493216147</v>
      </c>
      <c r="BC39" s="137"/>
      <c r="BD39" s="140">
        <v>240466323</v>
      </c>
      <c r="BE39" s="137"/>
      <c r="BF39" s="140">
        <v>252749824</v>
      </c>
      <c r="BH39" s="147" t="s">
        <v>137</v>
      </c>
      <c r="BI39" s="147"/>
      <c r="BJ39" s="137">
        <v>1200000000</v>
      </c>
      <c r="BK39" s="137"/>
      <c r="BL39" s="137">
        <v>400000000</v>
      </c>
      <c r="BM39" s="142">
        <v>1200000000</v>
      </c>
      <c r="BN39" s="138">
        <v>32</v>
      </c>
    </row>
    <row r="40" spans="1:66" ht="11.25" customHeight="1">
      <c r="A40" s="131"/>
      <c r="B40" s="133"/>
      <c r="C40" s="133"/>
      <c r="G40" s="111"/>
      <c r="H40" s="111"/>
      <c r="I40" s="111"/>
      <c r="J40" s="111"/>
      <c r="K40" s="111"/>
      <c r="L40" s="134"/>
      <c r="M40" s="134"/>
      <c r="N40" s="134"/>
      <c r="P40" s="147"/>
      <c r="T40" s="111"/>
      <c r="U40" s="111"/>
      <c r="V40" s="134"/>
      <c r="W40" s="111"/>
      <c r="X40" s="136"/>
      <c r="Y40" s="132"/>
      <c r="Z40" s="111"/>
      <c r="AA40" s="131"/>
      <c r="AD40" s="111"/>
      <c r="AI40" s="137"/>
      <c r="AJ40" s="111"/>
      <c r="AQ40" s="139">
        <v>14</v>
      </c>
      <c r="AR40" s="139" t="s">
        <v>138</v>
      </c>
      <c r="AS40" s="133" t="s">
        <v>139</v>
      </c>
      <c r="AT40" s="133"/>
      <c r="AU40" s="137">
        <v>142757281</v>
      </c>
      <c r="AV40" s="137"/>
      <c r="AW40" s="137">
        <v>103221776</v>
      </c>
      <c r="AX40" s="137"/>
      <c r="AY40" s="137">
        <v>39535505</v>
      </c>
      <c r="AZ40" s="137"/>
      <c r="BA40" s="137">
        <v>31998127</v>
      </c>
      <c r="BB40" s="140">
        <v>142757281</v>
      </c>
      <c r="BC40" s="137"/>
      <c r="BD40" s="140">
        <v>103221776</v>
      </c>
      <c r="BE40" s="137"/>
      <c r="BF40" s="140">
        <v>39535505</v>
      </c>
      <c r="BH40" s="147" t="s">
        <v>140</v>
      </c>
      <c r="BI40" s="147"/>
      <c r="BJ40" s="157">
        <v>-292128382</v>
      </c>
      <c r="BK40" s="157"/>
      <c r="BL40" s="157">
        <v>-211938705</v>
      </c>
      <c r="BM40" s="142">
        <v>-292128382</v>
      </c>
      <c r="BN40" s="138">
        <v>33</v>
      </c>
    </row>
    <row r="41" spans="1:66" ht="11.25" customHeight="1">
      <c r="A41" s="131"/>
      <c r="B41" s="133"/>
      <c r="C41" s="133"/>
      <c r="G41" s="111"/>
      <c r="H41" s="111"/>
      <c r="I41" s="111"/>
      <c r="J41" s="111"/>
      <c r="K41" s="111"/>
      <c r="L41" s="134"/>
      <c r="M41" s="134"/>
      <c r="N41" s="134"/>
      <c r="P41" s="147"/>
      <c r="T41" s="111"/>
      <c r="U41" s="111"/>
      <c r="V41" s="134"/>
      <c r="W41" s="111"/>
      <c r="X41" s="136"/>
      <c r="Y41" s="132"/>
      <c r="Z41" s="111"/>
      <c r="AA41" s="131"/>
      <c r="AD41" s="111"/>
      <c r="AI41" s="137"/>
      <c r="AJ41" s="111"/>
      <c r="AQ41" s="139">
        <v>15</v>
      </c>
      <c r="AR41" s="139" t="s">
        <v>141</v>
      </c>
      <c r="AS41" s="133" t="s">
        <v>142</v>
      </c>
      <c r="AT41" s="133"/>
      <c r="AU41" s="137">
        <v>110932357</v>
      </c>
      <c r="AV41" s="137"/>
      <c r="AW41" s="137">
        <v>0</v>
      </c>
      <c r="AX41" s="137"/>
      <c r="AY41" s="137">
        <v>110932357</v>
      </c>
      <c r="AZ41" s="137"/>
      <c r="BA41" s="137">
        <v>131526792</v>
      </c>
      <c r="BB41" s="140">
        <v>110932357</v>
      </c>
      <c r="BC41" s="137"/>
      <c r="BD41" s="140">
        <v>0</v>
      </c>
      <c r="BE41" s="137"/>
      <c r="BF41" s="140">
        <v>110932357</v>
      </c>
      <c r="BH41" s="147" t="s">
        <v>143</v>
      </c>
      <c r="BI41" s="147"/>
      <c r="BJ41" s="137">
        <v>1127394251</v>
      </c>
      <c r="BK41" s="137"/>
      <c r="BL41" s="137">
        <v>1346162051</v>
      </c>
      <c r="BM41" s="142">
        <v>1127394251</v>
      </c>
      <c r="BN41" s="138">
        <v>34</v>
      </c>
    </row>
    <row r="42" spans="1:66" ht="11.25" customHeight="1">
      <c r="A42" s="131"/>
      <c r="B42" s="133"/>
      <c r="C42" s="133"/>
      <c r="G42" s="111"/>
      <c r="H42" s="111"/>
      <c r="I42" s="111"/>
      <c r="J42" s="111"/>
      <c r="K42" s="111"/>
      <c r="L42" s="134"/>
      <c r="M42" s="134"/>
      <c r="N42" s="134"/>
      <c r="P42" s="147"/>
      <c r="T42" s="111"/>
      <c r="U42" s="111"/>
      <c r="V42" s="134"/>
      <c r="W42" s="111"/>
      <c r="X42" s="136"/>
      <c r="Y42" s="132"/>
      <c r="Z42" s="111"/>
      <c r="AA42" s="131"/>
      <c r="AD42" s="111"/>
      <c r="AQ42" s="139">
        <v>16</v>
      </c>
      <c r="AR42" s="139" t="s">
        <v>144</v>
      </c>
      <c r="AS42" s="133" t="s">
        <v>145</v>
      </c>
      <c r="AT42" s="133"/>
      <c r="AU42" s="137">
        <v>346781254</v>
      </c>
      <c r="AV42" s="137"/>
      <c r="AW42" s="137">
        <v>24567538</v>
      </c>
      <c r="AX42" s="137"/>
      <c r="AY42" s="137">
        <v>322213716</v>
      </c>
      <c r="AZ42" s="137"/>
      <c r="BA42" s="137">
        <v>243676529</v>
      </c>
      <c r="BB42" s="140">
        <v>346781254</v>
      </c>
      <c r="BC42" s="137"/>
      <c r="BD42" s="140">
        <v>24567538</v>
      </c>
      <c r="BE42" s="137"/>
      <c r="BF42" s="140">
        <v>322213716</v>
      </c>
      <c r="BH42" s="147" t="s">
        <v>146</v>
      </c>
      <c r="BI42" s="147"/>
      <c r="BJ42" s="157">
        <v>-19146966</v>
      </c>
      <c r="BK42" s="157"/>
      <c r="BL42" s="157">
        <v>-2239096</v>
      </c>
      <c r="BM42" s="142">
        <v>-19146966</v>
      </c>
      <c r="BN42" s="138">
        <v>35</v>
      </c>
    </row>
    <row r="43" spans="1:66" ht="11.25" customHeight="1">
      <c r="A43" s="131"/>
      <c r="B43" s="133"/>
      <c r="C43" s="133"/>
      <c r="G43" s="111"/>
      <c r="H43" s="111"/>
      <c r="I43" s="111"/>
      <c r="J43" s="111"/>
      <c r="K43" s="111"/>
      <c r="L43" s="134"/>
      <c r="M43" s="111"/>
      <c r="N43" s="134"/>
      <c r="P43" s="147"/>
      <c r="T43" s="111"/>
      <c r="U43" s="111"/>
      <c r="V43" s="134"/>
      <c r="W43" s="111"/>
      <c r="X43" s="136"/>
      <c r="Y43" s="132"/>
      <c r="Z43" s="111"/>
      <c r="AD43" s="111"/>
      <c r="AQ43" s="139">
        <v>17</v>
      </c>
      <c r="AR43" s="139" t="s">
        <v>147</v>
      </c>
      <c r="AS43" s="133" t="s">
        <v>148</v>
      </c>
      <c r="AT43" s="133"/>
      <c r="AU43" s="137">
        <v>24217238</v>
      </c>
      <c r="AV43" s="137"/>
      <c r="AW43" s="137">
        <v>9664038</v>
      </c>
      <c r="AX43" s="137"/>
      <c r="AY43" s="137">
        <v>14553200</v>
      </c>
      <c r="AZ43" s="137"/>
      <c r="BA43" s="137">
        <v>30584109</v>
      </c>
      <c r="BB43" s="140">
        <v>24217238</v>
      </c>
      <c r="BC43" s="137"/>
      <c r="BD43" s="140">
        <v>9664038</v>
      </c>
      <c r="BE43" s="137"/>
      <c r="BF43" s="140">
        <v>14553200</v>
      </c>
      <c r="BH43" s="93" t="s">
        <v>149</v>
      </c>
      <c r="BJ43" s="137">
        <v>640344409</v>
      </c>
      <c r="BK43" s="137"/>
      <c r="BL43" s="137">
        <v>720477406</v>
      </c>
      <c r="BM43" s="158">
        <v>640344409</v>
      </c>
    </row>
    <row r="44" spans="1:66" ht="10.199999999999999">
      <c r="F44" s="93"/>
      <c r="P44" s="147"/>
      <c r="T44" s="134"/>
      <c r="U44" s="111"/>
      <c r="V44" s="134"/>
      <c r="W44" s="111"/>
      <c r="X44" s="136"/>
      <c r="Y44" s="111"/>
      <c r="Z44" s="111"/>
      <c r="AD44" s="111"/>
      <c r="BB44" s="129"/>
      <c r="BD44" s="129"/>
      <c r="BF44" s="129"/>
      <c r="BH44" s="93" t="s">
        <v>150</v>
      </c>
      <c r="BJ44" s="159">
        <v>0</v>
      </c>
      <c r="BK44" s="159"/>
      <c r="BL44" s="160">
        <v>0</v>
      </c>
      <c r="BM44" s="161">
        <v>4241632940</v>
      </c>
      <c r="BN44" s="138"/>
    </row>
    <row r="45" spans="1:66" ht="10.199999999999999">
      <c r="B45" s="95"/>
      <c r="C45" s="95"/>
      <c r="P45" s="147"/>
      <c r="T45" s="134"/>
      <c r="U45" s="111"/>
      <c r="V45" s="134"/>
      <c r="W45" s="111"/>
      <c r="X45" s="136"/>
      <c r="Y45" s="132"/>
      <c r="Z45" s="111"/>
      <c r="BB45" s="129"/>
      <c r="BD45" s="129"/>
      <c r="BF45" s="129"/>
      <c r="BH45" s="154" t="s">
        <v>151</v>
      </c>
      <c r="BI45" s="154"/>
      <c r="BJ45" s="137">
        <v>4241632940</v>
      </c>
      <c r="BK45" s="137"/>
      <c r="BL45" s="137">
        <v>3837631284</v>
      </c>
      <c r="BM45" s="130"/>
      <c r="BN45" s="111"/>
    </row>
    <row r="46" spans="1:66" ht="10.8" thickBot="1">
      <c r="B46" s="95"/>
      <c r="C46" s="95"/>
      <c r="O46" s="162"/>
      <c r="P46" s="147"/>
      <c r="T46" s="134"/>
      <c r="U46" s="111"/>
      <c r="V46" s="134"/>
      <c r="X46" s="136"/>
      <c r="AS46" s="101" t="s">
        <v>152</v>
      </c>
      <c r="AT46" s="101"/>
      <c r="AU46" s="163">
        <v>61795936998</v>
      </c>
      <c r="AV46" s="164"/>
      <c r="AW46" s="163">
        <v>1117335833</v>
      </c>
      <c r="AX46" s="164"/>
      <c r="AY46" s="163">
        <v>60678601165</v>
      </c>
      <c r="AZ46" s="163"/>
      <c r="BA46" s="163">
        <v>58081262936</v>
      </c>
      <c r="BB46" s="165">
        <v>61795936998</v>
      </c>
      <c r="BC46" s="164"/>
      <c r="BD46" s="165">
        <v>1117335833</v>
      </c>
      <c r="BE46" s="164"/>
      <c r="BF46" s="165">
        <v>60678601165</v>
      </c>
      <c r="BG46" s="101"/>
      <c r="BH46" s="154" t="s">
        <v>153</v>
      </c>
      <c r="BI46" s="154"/>
      <c r="BJ46" s="163">
        <v>60678601165</v>
      </c>
      <c r="BK46" s="163"/>
      <c r="BL46" s="163">
        <v>58081262936</v>
      </c>
      <c r="BM46" s="166">
        <v>60678601165</v>
      </c>
      <c r="BN46" s="132"/>
    </row>
    <row r="47" spans="1:66" ht="15" thickTop="1">
      <c r="H47" s="167"/>
      <c r="I47" s="168"/>
    </row>
    <row r="48" spans="1:66">
      <c r="H48" s="167"/>
      <c r="I48" s="168"/>
    </row>
    <row r="49" spans="8:9">
      <c r="H49" s="169"/>
      <c r="I49" s="168"/>
    </row>
    <row r="50" spans="8:9">
      <c r="H50" s="167"/>
      <c r="I50" s="168"/>
    </row>
    <row r="51" spans="8:9">
      <c r="H51" s="167"/>
      <c r="I51" s="168"/>
    </row>
    <row r="52" spans="8:9">
      <c r="H52" s="167"/>
      <c r="I52" s="168"/>
    </row>
    <row r="53" spans="8:9">
      <c r="H53" s="167"/>
    </row>
    <row r="54" spans="8:9">
      <c r="H54" s="170"/>
      <c r="I54" s="168"/>
    </row>
  </sheetData>
  <mergeCells count="1">
    <mergeCell ref="B16:D16"/>
  </mergeCells>
  <printOptions horizontalCentered="1"/>
  <pageMargins left="0" right="0" top="0.78740157480314965" bottom="0.19685039370078741" header="0" footer="0"/>
  <pageSetup paperSize="9" scale="87" firstPageNumber="40" orientation="landscape" useFirstPageNumber="1" r:id="rId1"/>
  <headerFooter alignWithMargins="0">
    <oddHeader>&amp;L&amp;"Calibri"&amp;10&amp;K000000Confidential&amp;1#_x000D_&amp;"Calibri"&amp;11&amp;K000000</oddHeader>
    <oddFooter>&amp;R&amp;P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M26"/>
  <sheetViews>
    <sheetView showWhiteSpace="0" zoomScale="98" zoomScaleNormal="100" workbookViewId="0">
      <selection activeCell="M6" sqref="M6"/>
    </sheetView>
  </sheetViews>
  <sheetFormatPr defaultColWidth="12.109375" defaultRowHeight="10.199999999999999"/>
  <cols>
    <col min="1" max="1" width="4.5546875" style="10" customWidth="1"/>
    <col min="2" max="2" width="9.88671875" style="3" bestFit="1" customWidth="1"/>
    <col min="3" max="3" width="39.5546875" style="10" bestFit="1" customWidth="1"/>
    <col min="4" max="4" width="5.88671875" style="3" bestFit="1" customWidth="1"/>
    <col min="5" max="5" width="13" style="1" bestFit="1" customWidth="1"/>
    <col min="6" max="6" width="9.6640625" style="10" bestFit="1" customWidth="1"/>
    <col min="7" max="7" width="40.88671875" style="9" bestFit="1" customWidth="1"/>
    <col min="8" max="8" width="6.5546875" style="3" bestFit="1" customWidth="1"/>
    <col min="9" max="9" width="16.44140625" style="1" bestFit="1" customWidth="1"/>
    <col min="10" max="10" width="8.6640625" style="8" bestFit="1" customWidth="1"/>
    <col min="11" max="11" width="10.44140625" style="3" bestFit="1" customWidth="1"/>
    <col min="12" max="12" width="2.88671875" style="3" customWidth="1"/>
    <col min="13" max="13" width="9.5546875" style="3" bestFit="1" customWidth="1"/>
    <col min="14" max="14" width="10.109375" style="3" customWidth="1"/>
    <col min="15" max="15" width="5.109375" style="3" bestFit="1" customWidth="1"/>
    <col min="16" max="16" width="6.88671875" style="7" customWidth="1"/>
    <col min="17" max="17" width="15.5546875" style="6" bestFit="1" customWidth="1"/>
    <col min="18" max="18" width="8.6640625" style="3" bestFit="1" customWidth="1"/>
    <col min="19" max="19" width="9.5546875" style="2" customWidth="1"/>
    <col min="20" max="20" width="8.33203125" style="2" bestFit="1" customWidth="1"/>
    <col min="21" max="21" width="10.6640625" style="6" bestFit="1" customWidth="1"/>
    <col min="22" max="22" width="12.33203125" style="5" bestFit="1" customWidth="1"/>
    <col min="23" max="23" width="9.88671875" style="4" bestFit="1" customWidth="1"/>
    <col min="24" max="24" width="13.5546875" style="3" bestFit="1" customWidth="1"/>
    <col min="25" max="25" width="14.44140625" style="3" bestFit="1" customWidth="1"/>
    <col min="26" max="26" width="10" style="3" bestFit="1" customWidth="1"/>
    <col min="27" max="27" width="11.88671875" style="1" bestFit="1" customWidth="1"/>
    <col min="28" max="28" width="7.6640625" style="2" bestFit="1" customWidth="1"/>
    <col min="29" max="29" width="10" style="1" bestFit="1" customWidth="1"/>
    <col min="30" max="30" width="11.6640625" style="1" bestFit="1" customWidth="1"/>
    <col min="31" max="31" width="4.109375" style="1" bestFit="1" customWidth="1"/>
    <col min="32" max="33" width="10" style="1" bestFit="1" customWidth="1"/>
    <col min="34" max="34" width="12.109375" style="1"/>
    <col min="35" max="35" width="10.33203125" style="1" bestFit="1" customWidth="1"/>
    <col min="36" max="36" width="12.109375" style="1"/>
    <col min="37" max="37" width="15.6640625" style="1" bestFit="1" customWidth="1"/>
    <col min="38" max="38" width="18.109375" style="1" bestFit="1" customWidth="1"/>
    <col min="39" max="39" width="13.109375" style="1" bestFit="1" customWidth="1"/>
    <col min="40" max="16384" width="12.109375" style="1"/>
  </cols>
  <sheetData>
    <row r="1" spans="1:39" ht="18" customHeight="1">
      <c r="A1" s="87"/>
      <c r="B1" s="88"/>
      <c r="C1" s="87" t="s">
        <v>50</v>
      </c>
      <c r="I1" s="21"/>
      <c r="L1" s="15"/>
      <c r="M1" s="8"/>
      <c r="P1" s="3"/>
      <c r="Y1" s="8"/>
      <c r="Z1" s="8"/>
      <c r="AA1" s="86"/>
    </row>
    <row r="2" spans="1:39">
      <c r="A2" s="85"/>
      <c r="B2" s="84"/>
      <c r="C2" s="84">
        <v>45900</v>
      </c>
      <c r="D2" s="1"/>
      <c r="F2" s="14"/>
      <c r="G2" s="83"/>
      <c r="H2" s="9"/>
      <c r="I2" s="21"/>
      <c r="L2" s="15"/>
      <c r="M2" s="60"/>
      <c r="N2" s="9"/>
      <c r="O2" s="15"/>
      <c r="P2" s="58"/>
      <c r="Q2" s="81"/>
      <c r="R2" s="9"/>
      <c r="S2" s="57"/>
      <c r="T2" s="82"/>
      <c r="U2" s="81"/>
      <c r="V2" s="80"/>
      <c r="W2" s="80"/>
      <c r="X2" s="27"/>
      <c r="Y2" s="79"/>
      <c r="Z2" s="78"/>
      <c r="AA2" s="78"/>
      <c r="AB2" s="57"/>
    </row>
    <row r="3" spans="1:39">
      <c r="A3" s="77"/>
      <c r="B3" s="76"/>
      <c r="C3" s="75"/>
      <c r="F3" s="74"/>
      <c r="G3" s="73"/>
      <c r="H3" s="72"/>
      <c r="I3" s="21"/>
      <c r="L3" s="71"/>
      <c r="M3" s="9"/>
      <c r="X3" s="70"/>
      <c r="Y3" s="26"/>
      <c r="Z3" s="15"/>
    </row>
    <row r="4" spans="1:39" s="65" customFormat="1" ht="45.75" customHeight="1">
      <c r="A4" s="66" t="s">
        <v>49</v>
      </c>
      <c r="B4" s="66" t="s">
        <v>30</v>
      </c>
      <c r="C4" s="66" t="s">
        <v>48</v>
      </c>
      <c r="D4" s="66" t="s">
        <v>30</v>
      </c>
      <c r="E4" s="69" t="s">
        <v>47</v>
      </c>
      <c r="F4" s="66" t="s">
        <v>46</v>
      </c>
      <c r="G4" s="66" t="s">
        <v>45</v>
      </c>
      <c r="H4" s="66" t="s">
        <v>44</v>
      </c>
      <c r="I4" s="66" t="s">
        <v>43</v>
      </c>
      <c r="J4" s="66" t="s">
        <v>42</v>
      </c>
      <c r="K4" s="66" t="s">
        <v>41</v>
      </c>
      <c r="L4" s="66"/>
      <c r="M4" s="66" t="s">
        <v>40</v>
      </c>
      <c r="N4" s="66" t="s">
        <v>39</v>
      </c>
      <c r="O4" s="66" t="s">
        <v>38</v>
      </c>
      <c r="P4" s="66" t="s">
        <v>37</v>
      </c>
      <c r="Q4" s="68" t="s">
        <v>36</v>
      </c>
      <c r="R4" s="66" t="s">
        <v>35</v>
      </c>
      <c r="S4" s="66" t="s">
        <v>34</v>
      </c>
      <c r="T4" s="66" t="s">
        <v>33</v>
      </c>
      <c r="U4" s="68" t="s">
        <v>32</v>
      </c>
      <c r="V4" s="66" t="s">
        <v>31</v>
      </c>
      <c r="W4" s="66" t="s">
        <v>30</v>
      </c>
      <c r="X4" s="67" t="s">
        <v>29</v>
      </c>
      <c r="Y4" s="66" t="s">
        <v>28</v>
      </c>
      <c r="Z4" s="66" t="s">
        <v>27</v>
      </c>
      <c r="AA4" s="66" t="s">
        <v>26</v>
      </c>
      <c r="AB4" s="66" t="s">
        <v>25</v>
      </c>
      <c r="AC4" s="89">
        <v>45900</v>
      </c>
      <c r="AF4" s="89">
        <v>45919</v>
      </c>
      <c r="AI4" s="239" t="s">
        <v>690</v>
      </c>
      <c r="AK4" s="239" t="s">
        <v>177</v>
      </c>
      <c r="AL4" s="239" t="s">
        <v>178</v>
      </c>
    </row>
    <row r="5" spans="1:39">
      <c r="A5" s="14"/>
      <c r="B5" s="15"/>
      <c r="C5" s="14"/>
      <c r="D5" s="15"/>
      <c r="E5" s="59"/>
      <c r="G5" s="1"/>
      <c r="H5" s="1"/>
      <c r="J5" s="3"/>
      <c r="K5" s="3" t="s">
        <v>24</v>
      </c>
      <c r="L5" s="1"/>
      <c r="M5" s="1"/>
      <c r="N5" s="1"/>
      <c r="O5" s="1"/>
      <c r="P5" s="1"/>
      <c r="Q5" s="62"/>
      <c r="R5" s="1"/>
      <c r="S5" s="64"/>
      <c r="T5" s="63"/>
      <c r="U5" s="62"/>
      <c r="V5" s="1"/>
      <c r="W5" s="9"/>
      <c r="X5" s="1"/>
      <c r="Y5" s="1"/>
      <c r="Z5" s="1"/>
      <c r="AB5" s="61"/>
    </row>
    <row r="6" spans="1:39">
      <c r="A6" s="56">
        <v>31</v>
      </c>
      <c r="B6" s="47" t="s">
        <v>23</v>
      </c>
      <c r="C6" s="56"/>
      <c r="D6" s="47">
        <v>9994</v>
      </c>
      <c r="E6" s="47" t="s">
        <v>692</v>
      </c>
      <c r="F6" s="47"/>
      <c r="G6" s="55" t="s">
        <v>691</v>
      </c>
      <c r="H6" s="47" t="s">
        <v>1</v>
      </c>
      <c r="I6" s="53">
        <f>+'BA_BST individual (ifrs9)'!BJ37+'BA_BST individual (ifrs9)'!BJ38</f>
        <v>1585169628</v>
      </c>
      <c r="J6" s="54">
        <v>1000</v>
      </c>
      <c r="K6" s="48">
        <f>+I6/J6</f>
        <v>1585169.628</v>
      </c>
      <c r="L6" s="53" t="s">
        <v>16</v>
      </c>
      <c r="M6" s="52" t="s">
        <v>699</v>
      </c>
      <c r="N6" s="52">
        <v>72716</v>
      </c>
      <c r="O6" s="47"/>
      <c r="P6" s="51"/>
      <c r="Q6" s="49"/>
      <c r="R6" s="47"/>
      <c r="S6" s="44"/>
      <c r="T6" s="52" t="s">
        <v>698</v>
      </c>
      <c r="U6" s="49"/>
      <c r="V6" s="48"/>
      <c r="W6" s="47"/>
      <c r="X6" s="46"/>
      <c r="Y6" s="46"/>
      <c r="Z6" s="46"/>
      <c r="AA6" s="45"/>
      <c r="AB6" s="44"/>
      <c r="AC6" s="60"/>
      <c r="AD6" s="60"/>
      <c r="AE6" s="60"/>
      <c r="AF6" s="60"/>
      <c r="AG6" s="60"/>
      <c r="AH6" s="60"/>
      <c r="AI6" s="1">
        <v>1</v>
      </c>
      <c r="AK6" s="1" t="str">
        <f>+VLOOKUP(E6,[2]Sheet!$E:$F,2,0)</f>
        <v>PTCPP0AM0007000</v>
      </c>
      <c r="AL6" s="1" t="str">
        <f t="shared" ref="AL6:AL13" si="0">+E6</f>
        <v>PTCPP0AM0007</v>
      </c>
      <c r="AM6" s="60">
        <f>+AG6+I6</f>
        <v>1585169628</v>
      </c>
    </row>
    <row r="7" spans="1:39">
      <c r="A7" s="56">
        <v>31</v>
      </c>
      <c r="B7" s="47" t="s">
        <v>23</v>
      </c>
      <c r="C7" s="56"/>
      <c r="D7" s="47">
        <v>9994</v>
      </c>
      <c r="E7" s="47" t="s">
        <v>22</v>
      </c>
      <c r="F7" s="47">
        <v>9220004322</v>
      </c>
      <c r="G7" s="55" t="s">
        <v>21</v>
      </c>
      <c r="H7" s="47" t="s">
        <v>1</v>
      </c>
      <c r="I7" s="53">
        <v>7599000</v>
      </c>
      <c r="J7" s="54">
        <v>1000</v>
      </c>
      <c r="K7" s="48">
        <v>7599</v>
      </c>
      <c r="L7" s="53" t="s">
        <v>16</v>
      </c>
      <c r="M7" s="52">
        <v>42649</v>
      </c>
      <c r="N7" s="52">
        <v>46301</v>
      </c>
      <c r="O7" s="47" t="s">
        <v>10</v>
      </c>
      <c r="P7" s="51">
        <v>0</v>
      </c>
      <c r="Q7" s="49">
        <v>7.4999999999999997E-2</v>
      </c>
      <c r="R7" s="47">
        <v>365</v>
      </c>
      <c r="S7" s="44">
        <v>45571</v>
      </c>
      <c r="T7" s="44">
        <v>45936</v>
      </c>
      <c r="U7" s="49">
        <v>7.4999999999999997E-2</v>
      </c>
      <c r="V7" s="48">
        <v>330</v>
      </c>
      <c r="W7" s="47">
        <v>251019901</v>
      </c>
      <c r="X7" s="46">
        <v>515274.65753424657</v>
      </c>
      <c r="Y7" s="46">
        <v>466870.0684931507</v>
      </c>
      <c r="Z7" s="46">
        <v>48404.589041095867</v>
      </c>
      <c r="AA7" s="45" t="s">
        <v>17</v>
      </c>
      <c r="AB7" s="44" t="s">
        <v>16</v>
      </c>
      <c r="AC7" s="60">
        <f>+$AC$4-S7+1</f>
        <v>330</v>
      </c>
      <c r="AD7" s="60">
        <f>+I7*Q7*AC7/365</f>
        <v>515274.65753424657</v>
      </c>
      <c r="AE7" s="60">
        <f>+AD7-X7</f>
        <v>0</v>
      </c>
      <c r="AF7" s="60">
        <f>+$AF$4-S7+1</f>
        <v>349</v>
      </c>
      <c r="AG7" s="60">
        <f>+I7*Q7*AF7/365</f>
        <v>544941.98630136985</v>
      </c>
      <c r="AH7" s="60"/>
      <c r="AI7" s="1">
        <v>3</v>
      </c>
      <c r="AK7" s="1" t="str">
        <f>+VLOOKUP(E7,[2]Sheet!$E:$F,2,0)</f>
        <v>PTBSREOM0028000</v>
      </c>
      <c r="AL7" s="1" t="str">
        <f t="shared" si="0"/>
        <v>PTBSREOM0028</v>
      </c>
      <c r="AM7" s="60">
        <f t="shared" ref="AM7:AM13" si="1">+AG7+I7</f>
        <v>8143941.98630137</v>
      </c>
    </row>
    <row r="8" spans="1:39">
      <c r="A8" s="56">
        <v>31</v>
      </c>
      <c r="B8" s="47">
        <v>251019900</v>
      </c>
      <c r="C8" s="56"/>
      <c r="D8" s="47">
        <v>9994</v>
      </c>
      <c r="E8" s="47" t="s">
        <v>20</v>
      </c>
      <c r="F8" s="47">
        <v>9220014986</v>
      </c>
      <c r="G8" s="55" t="s">
        <v>19</v>
      </c>
      <c r="H8" s="47" t="s">
        <v>1</v>
      </c>
      <c r="I8" s="53">
        <v>200000000</v>
      </c>
      <c r="J8" s="54">
        <v>100000</v>
      </c>
      <c r="K8" s="48">
        <v>2000</v>
      </c>
      <c r="L8" s="53" t="s">
        <v>16</v>
      </c>
      <c r="M8" s="52">
        <v>44721</v>
      </c>
      <c r="N8" s="52">
        <v>48374</v>
      </c>
      <c r="O8" s="47" t="s">
        <v>10</v>
      </c>
      <c r="P8" s="51">
        <v>0</v>
      </c>
      <c r="Q8" s="49">
        <v>4.7140000000000001E-2</v>
      </c>
      <c r="R8" s="47">
        <v>365</v>
      </c>
      <c r="S8" s="44">
        <v>45817</v>
      </c>
      <c r="T8" s="44">
        <v>46182</v>
      </c>
      <c r="U8" s="49">
        <v>4.7140000000000001E-2</v>
      </c>
      <c r="V8" s="48">
        <v>84</v>
      </c>
      <c r="W8" s="47">
        <v>251019901</v>
      </c>
      <c r="X8" s="46">
        <v>2169731.506849315</v>
      </c>
      <c r="Y8" s="46">
        <v>1368997.2602739725</v>
      </c>
      <c r="Z8" s="46">
        <v>800734.24657534249</v>
      </c>
      <c r="AA8" s="45" t="s">
        <v>17</v>
      </c>
      <c r="AB8" s="44" t="s">
        <v>16</v>
      </c>
      <c r="AC8" s="60">
        <f>+$AC$4-S8+1</f>
        <v>84</v>
      </c>
      <c r="AD8" s="60">
        <f>+I8*Q8*AC8/365</f>
        <v>2169731.506849315</v>
      </c>
      <c r="AE8" s="60">
        <f>+AD8-X8</f>
        <v>0</v>
      </c>
      <c r="AF8" s="60">
        <f>+$AF$4-S8+1</f>
        <v>103</v>
      </c>
      <c r="AG8" s="60">
        <f>+I8*Q8*AF8/365</f>
        <v>2660504.1095890412</v>
      </c>
      <c r="AH8" s="60"/>
      <c r="AI8" s="1">
        <v>3</v>
      </c>
      <c r="AK8" s="1" t="str">
        <f>+VLOOKUP(E8,[2]Sheet!$E:$F,2,0)</f>
        <v>PTSTOFOM0004000</v>
      </c>
      <c r="AL8" s="1" t="str">
        <f t="shared" si="0"/>
        <v>PTSTOFOM0004</v>
      </c>
      <c r="AM8" s="60">
        <f t="shared" si="1"/>
        <v>202660504.10958904</v>
      </c>
    </row>
    <row r="9" spans="1:39">
      <c r="A9" s="56">
        <v>31</v>
      </c>
      <c r="B9" s="47">
        <v>251019910</v>
      </c>
      <c r="C9" s="56"/>
      <c r="D9" s="47">
        <v>9991</v>
      </c>
      <c r="E9" s="47" t="s">
        <v>15</v>
      </c>
      <c r="F9" s="47">
        <v>9220014975</v>
      </c>
      <c r="G9" s="55" t="s">
        <v>14</v>
      </c>
      <c r="H9" s="47" t="s">
        <v>1</v>
      </c>
      <c r="I9" s="53">
        <v>600000000</v>
      </c>
      <c r="J9" s="54">
        <v>100000</v>
      </c>
      <c r="K9" s="48">
        <v>6000</v>
      </c>
      <c r="L9" s="53"/>
      <c r="M9" s="52">
        <v>44715</v>
      </c>
      <c r="N9" s="52">
        <v>46907</v>
      </c>
      <c r="O9" s="47" t="s">
        <v>10</v>
      </c>
      <c r="P9" s="51">
        <v>0</v>
      </c>
      <c r="Q9" s="49">
        <v>3.0779999999999998E-2</v>
      </c>
      <c r="R9" s="47">
        <v>365</v>
      </c>
      <c r="S9" s="44">
        <v>45811</v>
      </c>
      <c r="T9" s="44">
        <v>46176</v>
      </c>
      <c r="U9" s="49">
        <v>3.0779999999999998E-2</v>
      </c>
      <c r="V9" s="48">
        <v>90</v>
      </c>
      <c r="W9" s="47">
        <v>251019911</v>
      </c>
      <c r="X9" s="46">
        <v>4553753.4246575339</v>
      </c>
      <c r="Y9" s="46">
        <v>2985238.3561643837</v>
      </c>
      <c r="Z9" s="46">
        <v>1568515.0684931502</v>
      </c>
      <c r="AA9" s="45" t="s">
        <v>9</v>
      </c>
      <c r="AB9" s="44"/>
      <c r="AC9" s="60">
        <f>+$AC$4-S9+1</f>
        <v>90</v>
      </c>
      <c r="AD9" s="60">
        <f>+I9*Q9*AC9/365</f>
        <v>4553753.4246575339</v>
      </c>
      <c r="AE9" s="60">
        <f>+AD9-X9</f>
        <v>0</v>
      </c>
      <c r="AF9" s="60">
        <f>+$AF$4-S9+1</f>
        <v>109</v>
      </c>
      <c r="AG9" s="60">
        <f>+I9*Q9*AF9/365</f>
        <v>5515101.3698630137</v>
      </c>
      <c r="AH9" s="60"/>
      <c r="AI9" s="1">
        <v>8</v>
      </c>
      <c r="AK9" s="1" t="str">
        <f>+VLOOKUP(E9,[2]Sheet!$E:$F,2,0)</f>
        <v>PTSTOEOM0021000</v>
      </c>
      <c r="AL9" s="1" t="str">
        <f t="shared" si="0"/>
        <v>PTSTOEOM0021</v>
      </c>
      <c r="AM9" s="60">
        <f t="shared" si="1"/>
        <v>605515101.36986303</v>
      </c>
    </row>
    <row r="10" spans="1:39" s="41" customFormat="1">
      <c r="A10" s="56">
        <v>31</v>
      </c>
      <c r="B10" s="47" t="s">
        <v>13</v>
      </c>
      <c r="C10" s="56"/>
      <c r="D10" s="47">
        <v>9991</v>
      </c>
      <c r="E10" s="47" t="s">
        <v>12</v>
      </c>
      <c r="F10" s="47">
        <v>9220017520</v>
      </c>
      <c r="G10" s="55" t="s">
        <v>11</v>
      </c>
      <c r="H10" s="47" t="s">
        <v>1</v>
      </c>
      <c r="I10" s="53">
        <v>500000000</v>
      </c>
      <c r="J10" s="54">
        <v>100000</v>
      </c>
      <c r="K10" s="48">
        <v>5000</v>
      </c>
      <c r="L10" s="53"/>
      <c r="M10" s="52">
        <v>45503</v>
      </c>
      <c r="N10" s="52">
        <v>47694</v>
      </c>
      <c r="O10" s="47" t="s">
        <v>10</v>
      </c>
      <c r="P10" s="51">
        <v>0</v>
      </c>
      <c r="Q10" s="49">
        <v>4.0629999999999999E-2</v>
      </c>
      <c r="R10" s="47">
        <v>365</v>
      </c>
      <c r="S10" s="44">
        <v>45868</v>
      </c>
      <c r="T10" s="44">
        <v>46233</v>
      </c>
      <c r="U10" s="49">
        <v>4.0629999999999999E-2</v>
      </c>
      <c r="V10" s="48">
        <v>33</v>
      </c>
      <c r="W10" s="47">
        <v>251019911</v>
      </c>
      <c r="X10" s="46">
        <v>1836698.6301369863</v>
      </c>
      <c r="Y10" s="46">
        <v>111315.06849315068</v>
      </c>
      <c r="Z10" s="46">
        <v>1725383.5616438356</v>
      </c>
      <c r="AA10" s="45" t="s">
        <v>9</v>
      </c>
      <c r="AB10" s="44"/>
      <c r="AC10" s="60">
        <f>+$AC$4-S10+1</f>
        <v>33</v>
      </c>
      <c r="AD10" s="60">
        <f>+I10*Q10*AC10/365</f>
        <v>1836698.6301369863</v>
      </c>
      <c r="AE10" s="60">
        <f>+AD10-X10</f>
        <v>0</v>
      </c>
      <c r="AF10" s="60">
        <f>+$AF$4-S10+1</f>
        <v>52</v>
      </c>
      <c r="AG10" s="60">
        <f>+I10*Q10*AF10/365</f>
        <v>2894191.7808219176</v>
      </c>
      <c r="AH10" s="60"/>
      <c r="AI10" s="41">
        <v>8</v>
      </c>
      <c r="AK10" s="1" t="str">
        <f>+VLOOKUP(E10,[2]Sheet!$E:$F,2,0)</f>
        <v>PTSTOHOM0002000</v>
      </c>
      <c r="AL10" s="1" t="str">
        <f t="shared" si="0"/>
        <v>PTSTOHOM0002</v>
      </c>
      <c r="AM10" s="60">
        <f t="shared" si="1"/>
        <v>502894191.78082192</v>
      </c>
    </row>
    <row r="11" spans="1:39">
      <c r="A11" s="56">
        <v>31</v>
      </c>
      <c r="B11" s="47" t="s">
        <v>4</v>
      </c>
      <c r="C11" s="56"/>
      <c r="D11" s="47"/>
      <c r="E11" s="47" t="s">
        <v>8</v>
      </c>
      <c r="F11" s="47">
        <v>9220014350</v>
      </c>
      <c r="G11" s="55" t="s">
        <v>7</v>
      </c>
      <c r="H11" s="47" t="s">
        <v>1</v>
      </c>
      <c r="I11" s="53">
        <v>400000000</v>
      </c>
      <c r="J11" s="54">
        <v>100000</v>
      </c>
      <c r="K11" s="48">
        <v>4000</v>
      </c>
      <c r="L11" s="53"/>
      <c r="M11" s="52">
        <v>44210</v>
      </c>
      <c r="N11" s="52">
        <v>72716</v>
      </c>
      <c r="O11" s="47" t="s">
        <v>0</v>
      </c>
      <c r="P11" s="51">
        <v>0</v>
      </c>
      <c r="Q11" s="49"/>
      <c r="R11" s="47">
        <v>0</v>
      </c>
      <c r="S11" s="50"/>
      <c r="T11" s="52" t="s">
        <v>698</v>
      </c>
      <c r="U11" s="49">
        <v>0</v>
      </c>
      <c r="V11" s="48">
        <v>45901</v>
      </c>
      <c r="W11" s="47"/>
      <c r="X11" s="46">
        <v>0</v>
      </c>
      <c r="Y11" s="46">
        <v>0</v>
      </c>
      <c r="Z11" s="46">
        <v>0</v>
      </c>
      <c r="AA11" s="45"/>
      <c r="AB11" s="44"/>
      <c r="AC11" s="60"/>
      <c r="AF11" s="60"/>
      <c r="AI11" s="1">
        <v>2</v>
      </c>
      <c r="AK11" s="1" t="str">
        <f>+VLOOKUP(E11,[2]Sheet!$E:$F,2,0)</f>
        <v>PTSTOCOM0007000</v>
      </c>
      <c r="AL11" s="1" t="str">
        <f t="shared" si="0"/>
        <v>PTSTOCOM0007</v>
      </c>
      <c r="AM11" s="60">
        <f t="shared" si="1"/>
        <v>400000000</v>
      </c>
    </row>
    <row r="12" spans="1:39" s="41" customFormat="1">
      <c r="A12" s="56">
        <v>31</v>
      </c>
      <c r="B12" s="47" t="s">
        <v>4</v>
      </c>
      <c r="C12" s="56"/>
      <c r="D12" s="47"/>
      <c r="E12" s="47" t="s">
        <v>6</v>
      </c>
      <c r="F12" s="47">
        <v>9220015021</v>
      </c>
      <c r="G12" s="55" t="s">
        <v>5</v>
      </c>
      <c r="H12" s="47" t="s">
        <v>1</v>
      </c>
      <c r="I12" s="53">
        <v>300000000</v>
      </c>
      <c r="J12" s="54">
        <v>100000</v>
      </c>
      <c r="K12" s="48">
        <v>3000</v>
      </c>
      <c r="L12" s="53"/>
      <c r="M12" s="52">
        <v>45344</v>
      </c>
      <c r="N12" s="52">
        <v>72716</v>
      </c>
      <c r="O12" s="47" t="s">
        <v>0</v>
      </c>
      <c r="P12" s="51">
        <v>0</v>
      </c>
      <c r="Q12" s="49"/>
      <c r="R12" s="47">
        <v>0</v>
      </c>
      <c r="S12" s="50"/>
      <c r="T12" s="52" t="s">
        <v>698</v>
      </c>
      <c r="U12" s="49">
        <v>0</v>
      </c>
      <c r="V12" s="48">
        <v>45901</v>
      </c>
      <c r="W12" s="47"/>
      <c r="X12" s="46">
        <v>0</v>
      </c>
      <c r="Y12" s="46">
        <v>0</v>
      </c>
      <c r="Z12" s="46">
        <v>0</v>
      </c>
      <c r="AA12" s="45"/>
      <c r="AB12" s="44"/>
      <c r="AC12" s="60"/>
      <c r="AF12" s="60"/>
      <c r="AI12" s="1">
        <v>2</v>
      </c>
      <c r="AK12" s="1" t="str">
        <f>+VLOOKUP(E12,[2]Sheet!$E:$F,2,0)</f>
        <v>PTSTOGOM0003000</v>
      </c>
      <c r="AL12" s="1" t="str">
        <f t="shared" si="0"/>
        <v>PTSTOGOM0003</v>
      </c>
      <c r="AM12" s="60">
        <f t="shared" si="1"/>
        <v>300000000</v>
      </c>
    </row>
    <row r="13" spans="1:39" s="9" customFormat="1">
      <c r="A13" s="56">
        <v>31</v>
      </c>
      <c r="B13" s="47" t="s">
        <v>4</v>
      </c>
      <c r="C13" s="56"/>
      <c r="D13" s="47"/>
      <c r="E13" s="47" t="s">
        <v>3</v>
      </c>
      <c r="F13" s="47">
        <v>9220018358</v>
      </c>
      <c r="G13" s="55" t="s">
        <v>2</v>
      </c>
      <c r="H13" s="47" t="s">
        <v>1</v>
      </c>
      <c r="I13" s="53">
        <v>500000000</v>
      </c>
      <c r="J13" s="54">
        <v>100000</v>
      </c>
      <c r="K13" s="48">
        <v>5000</v>
      </c>
      <c r="L13" s="53"/>
      <c r="M13" s="52">
        <v>45806</v>
      </c>
      <c r="N13" s="52">
        <v>72716</v>
      </c>
      <c r="O13" s="47" t="s">
        <v>0</v>
      </c>
      <c r="P13" s="51">
        <v>0</v>
      </c>
      <c r="Q13" s="49"/>
      <c r="R13" s="47">
        <v>365</v>
      </c>
      <c r="S13" s="50"/>
      <c r="T13" s="52" t="s">
        <v>698</v>
      </c>
      <c r="U13" s="49">
        <v>0</v>
      </c>
      <c r="V13" s="48">
        <v>95</v>
      </c>
      <c r="W13" s="47"/>
      <c r="X13" s="46">
        <v>0</v>
      </c>
      <c r="Y13" s="46">
        <v>0</v>
      </c>
      <c r="Z13" s="46">
        <v>0</v>
      </c>
      <c r="AA13" s="45"/>
      <c r="AB13" s="44"/>
      <c r="AC13" s="60"/>
      <c r="AF13" s="60"/>
      <c r="AI13" s="1">
        <v>2</v>
      </c>
      <c r="AK13" s="1" t="str">
        <f>+VLOOKUP(E13,[2]Sheet!$E:$F,2,0)</f>
        <v>PTBSRDOM0037000</v>
      </c>
      <c r="AL13" s="1" t="str">
        <f t="shared" si="0"/>
        <v>PTBSRDOM0037</v>
      </c>
      <c r="AM13" s="60">
        <f t="shared" si="1"/>
        <v>500000000</v>
      </c>
    </row>
    <row r="14" spans="1:39" s="9" customFormat="1">
      <c r="A14" s="42"/>
      <c r="B14" s="43"/>
      <c r="C14" s="42"/>
      <c r="D14" s="34"/>
      <c r="E14" s="41"/>
      <c r="F14" s="10"/>
      <c r="G14" s="37"/>
      <c r="H14" s="29"/>
      <c r="I14" s="40"/>
      <c r="J14" s="39"/>
      <c r="K14" s="38"/>
      <c r="L14" s="37"/>
      <c r="M14" s="36"/>
      <c r="N14" s="35"/>
      <c r="O14" s="34"/>
      <c r="P14" s="33"/>
      <c r="Q14" s="6"/>
      <c r="R14" s="32"/>
      <c r="S14" s="28"/>
      <c r="T14" s="31"/>
      <c r="U14" s="30"/>
      <c r="V14" s="5"/>
      <c r="W14" s="4"/>
      <c r="X14" s="12"/>
      <c r="Y14" s="12"/>
      <c r="Z14" s="12"/>
      <c r="AA14" s="29"/>
      <c r="AB14" s="28"/>
    </row>
    <row r="15" spans="1:39">
      <c r="A15" s="14"/>
      <c r="B15" s="15"/>
      <c r="C15" s="14"/>
      <c r="H15" s="1"/>
      <c r="I15" s="21"/>
      <c r="J15" s="26"/>
      <c r="K15" s="15"/>
      <c r="L15" s="21"/>
      <c r="M15" s="13"/>
      <c r="N15" s="13"/>
      <c r="S15" s="17"/>
      <c r="V15" s="4"/>
      <c r="X15" s="25"/>
      <c r="Y15" s="24"/>
      <c r="Z15" s="18"/>
      <c r="AB15" s="17"/>
    </row>
    <row r="16" spans="1:39">
      <c r="A16" s="22"/>
      <c r="B16" s="23"/>
      <c r="C16" s="22"/>
      <c r="H16" s="1"/>
      <c r="I16" s="21"/>
      <c r="L16" s="21"/>
      <c r="M16" s="13"/>
      <c r="N16" s="13"/>
      <c r="S16" s="17"/>
      <c r="V16" s="4"/>
      <c r="X16" s="20"/>
      <c r="Y16" s="19"/>
      <c r="Z16" s="18"/>
      <c r="AB16" s="17"/>
    </row>
    <row r="17" spans="1:30">
      <c r="G17" s="16"/>
      <c r="L17" s="1"/>
      <c r="M17" s="13"/>
      <c r="N17" s="13"/>
      <c r="X17" s="12"/>
      <c r="Y17" s="8"/>
      <c r="Z17" s="11"/>
    </row>
    <row r="18" spans="1:30">
      <c r="A18" s="14"/>
      <c r="B18" s="15"/>
      <c r="C18" s="14"/>
      <c r="K18" s="8"/>
      <c r="L18" s="1"/>
      <c r="M18" s="13"/>
      <c r="N18" s="13"/>
      <c r="X18" s="12"/>
      <c r="Y18" s="12"/>
      <c r="Z18" s="11"/>
    </row>
    <row r="20" spans="1:30">
      <c r="AD20" s="60">
        <f>+I8+AD8</f>
        <v>202169731.50684932</v>
      </c>
    </row>
    <row r="21" spans="1:30">
      <c r="AD21" s="1">
        <v>203839200.99000001</v>
      </c>
    </row>
    <row r="22" spans="1:30">
      <c r="AD22" s="60">
        <f>+AD21-AD20</f>
        <v>1669469.4831506908</v>
      </c>
    </row>
    <row r="24" spans="1:30" ht="10.5" customHeight="1"/>
    <row r="26" spans="1:30" ht="10.5" customHeight="1"/>
  </sheetData>
  <conditionalFormatting sqref="G6:G18">
    <cfRule type="cellIs" dxfId="4" priority="5" stopIfTrue="1" operator="equal">
      <formula>"*Readquiridos*"</formula>
    </cfRule>
  </conditionalFormatting>
  <conditionalFormatting sqref="G1:G3">
    <cfRule type="cellIs" dxfId="3" priority="13" stopIfTrue="1" operator="equal">
      <formula>"*Readquiridos*"</formula>
    </cfRule>
  </conditionalFormatting>
  <pageMargins left="0.23622047244094491" right="0.19685039370078741" top="0.15748031496062992" bottom="0.19685039370078741" header="0.15748031496062992" footer="0.19685039370078741"/>
  <pageSetup paperSize="9" scale="34" orientation="landscape" horizontalDpi="4294967295" verticalDpi="4294967295" r:id="rId1"/>
  <headerFooter alignWithMargins="0">
    <oddHeader>&amp;L&amp;"Calibri"&amp;10&amp;K000000Confidential&amp;1#_x000D_&amp;"Calibri"&amp;11&amp;K000000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C3"/>
  <sheetViews>
    <sheetView showGridLines="0" workbookViewId="0">
      <selection activeCell="H21" sqref="H21"/>
    </sheetView>
  </sheetViews>
  <sheetFormatPr defaultRowHeight="16.2"/>
  <sheetData>
    <row r="3" spans="3:3" ht="114">
      <c r="C3" s="214" t="s">
        <v>354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M11"/>
  <sheetViews>
    <sheetView workbookViewId="0">
      <selection activeCell="I11" sqref="I11"/>
    </sheetView>
  </sheetViews>
  <sheetFormatPr defaultRowHeight="16.2"/>
  <cols>
    <col min="1" max="11" width="19.6640625" customWidth="1"/>
  </cols>
  <sheetData>
    <row r="1" spans="1:13" ht="20.399999999999999">
      <c r="A1" s="171" t="s">
        <v>154</v>
      </c>
      <c r="B1" s="171" t="s">
        <v>155</v>
      </c>
      <c r="C1" s="171" t="s">
        <v>156</v>
      </c>
      <c r="D1" s="171" t="s">
        <v>157</v>
      </c>
      <c r="E1" s="171" t="s">
        <v>158</v>
      </c>
      <c r="F1" s="171" t="s">
        <v>159</v>
      </c>
      <c r="G1" s="171" t="s">
        <v>160</v>
      </c>
      <c r="H1" s="171" t="s">
        <v>161</v>
      </c>
      <c r="I1" s="171" t="s">
        <v>162</v>
      </c>
      <c r="J1" s="171" t="s">
        <v>163</v>
      </c>
      <c r="K1" s="171" t="s">
        <v>164</v>
      </c>
    </row>
    <row r="2" spans="1:13">
      <c r="A2" s="172" t="s">
        <v>165</v>
      </c>
      <c r="B2" s="173" t="s">
        <v>166</v>
      </c>
      <c r="C2" s="173" t="s">
        <v>167</v>
      </c>
      <c r="D2" s="173" t="s">
        <v>168</v>
      </c>
      <c r="E2" s="173" t="s">
        <v>169</v>
      </c>
      <c r="F2" s="173" t="s">
        <v>170</v>
      </c>
      <c r="G2" s="173" t="s">
        <v>171</v>
      </c>
      <c r="H2" s="173" t="s">
        <v>172</v>
      </c>
      <c r="I2" s="173" t="s">
        <v>173</v>
      </c>
      <c r="J2" s="173" t="s">
        <v>174</v>
      </c>
      <c r="K2" s="174" t="s">
        <v>175</v>
      </c>
    </row>
    <row r="3" spans="1:13">
      <c r="A3" s="175" t="s">
        <v>579</v>
      </c>
      <c r="B3" s="176" t="s">
        <v>580</v>
      </c>
      <c r="C3" s="177" t="s">
        <v>687</v>
      </c>
      <c r="D3" s="176" t="s">
        <v>688</v>
      </c>
      <c r="E3" s="176" t="s">
        <v>689</v>
      </c>
      <c r="F3" s="176" t="s">
        <v>688</v>
      </c>
      <c r="G3" s="176" t="s">
        <v>689</v>
      </c>
      <c r="H3" s="178" t="s">
        <v>657</v>
      </c>
      <c r="I3" s="179">
        <v>45919.999988425923</v>
      </c>
      <c r="J3" s="177" t="s">
        <v>1</v>
      </c>
      <c r="K3" s="180">
        <v>1</v>
      </c>
    </row>
    <row r="8" spans="1:13">
      <c r="A8" s="203" t="s">
        <v>330</v>
      </c>
      <c r="B8" s="203" t="s">
        <v>330</v>
      </c>
      <c r="C8" s="203" t="s">
        <v>330</v>
      </c>
      <c r="D8" s="203" t="s">
        <v>330</v>
      </c>
      <c r="E8" s="203" t="s">
        <v>330</v>
      </c>
      <c r="F8" s="203" t="s">
        <v>330</v>
      </c>
      <c r="G8" s="203" t="s">
        <v>330</v>
      </c>
      <c r="H8" s="203" t="s">
        <v>330</v>
      </c>
      <c r="I8" s="203" t="s">
        <v>331</v>
      </c>
      <c r="J8" s="203" t="s">
        <v>330</v>
      </c>
      <c r="K8" s="204" t="s">
        <v>329</v>
      </c>
      <c r="M8" s="236" t="s">
        <v>536</v>
      </c>
    </row>
    <row r="9" spans="1:13">
      <c r="A9" s="212" t="s">
        <v>333</v>
      </c>
      <c r="B9" s="212" t="s">
        <v>333</v>
      </c>
      <c r="C9" s="212" t="s">
        <v>353</v>
      </c>
      <c r="D9" s="212" t="s">
        <v>333</v>
      </c>
      <c r="E9" s="212" t="s">
        <v>333</v>
      </c>
      <c r="F9" s="212" t="s">
        <v>333</v>
      </c>
      <c r="G9" s="212" t="s">
        <v>333</v>
      </c>
      <c r="H9" s="212" t="s">
        <v>337</v>
      </c>
      <c r="I9" s="212" t="s">
        <v>541</v>
      </c>
      <c r="J9" s="235" t="s">
        <v>336</v>
      </c>
      <c r="K9" s="213" t="s">
        <v>342</v>
      </c>
      <c r="M9" s="236" t="s">
        <v>578</v>
      </c>
    </row>
    <row r="11" spans="1:13">
      <c r="A11" t="s">
        <v>579</v>
      </c>
      <c r="B11" t="s">
        <v>580</v>
      </c>
      <c r="C11" t="s">
        <v>687</v>
      </c>
      <c r="D11" t="s">
        <v>688</v>
      </c>
      <c r="E11" t="s">
        <v>689</v>
      </c>
      <c r="F11" t="s">
        <v>688</v>
      </c>
      <c r="G11" t="s">
        <v>689</v>
      </c>
      <c r="H11" t="s">
        <v>657</v>
      </c>
      <c r="I11">
        <v>45919.999988425923</v>
      </c>
      <c r="J11" t="s">
        <v>1</v>
      </c>
      <c r="K11">
        <v>1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C3"/>
  <sheetViews>
    <sheetView showGridLines="0" workbookViewId="0">
      <selection activeCell="C3" sqref="C3"/>
    </sheetView>
  </sheetViews>
  <sheetFormatPr defaultRowHeight="16.2"/>
  <sheetData>
    <row r="3" spans="3:3" ht="114">
      <c r="C3" s="214" t="s">
        <v>355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zoomScale="70" zoomScaleNormal="70" workbookViewId="0">
      <selection activeCell="J7" sqref="J7"/>
    </sheetView>
  </sheetViews>
  <sheetFormatPr defaultColWidth="9.109375" defaultRowHeight="14.4"/>
  <cols>
    <col min="1" max="1" width="22.109375" style="97" bestFit="1" customWidth="1"/>
    <col min="2" max="2" width="10.5546875" style="97" bestFit="1" customWidth="1"/>
    <col min="3" max="3" width="73.5546875" style="97" bestFit="1" customWidth="1"/>
    <col min="4" max="4" width="39.5546875" style="97" bestFit="1" customWidth="1"/>
    <col min="5" max="5" width="40.109375" style="97" bestFit="1" customWidth="1"/>
    <col min="6" max="6" width="36" style="97" bestFit="1" customWidth="1"/>
    <col min="7" max="7" width="26.88671875" style="97" bestFit="1" customWidth="1"/>
    <col min="8" max="8" width="26" style="97" bestFit="1" customWidth="1"/>
    <col min="9" max="9" width="12.44140625" style="97" customWidth="1"/>
    <col min="10" max="10" width="14.88671875" style="97" bestFit="1" customWidth="1"/>
    <col min="11" max="11" width="15.33203125" style="97" bestFit="1" customWidth="1"/>
    <col min="12" max="12" width="14.88671875" style="97" bestFit="1" customWidth="1"/>
    <col min="13" max="13" width="48.6640625" style="97" bestFit="1" customWidth="1"/>
    <col min="14" max="14" width="21" style="97" bestFit="1" customWidth="1"/>
    <col min="15" max="15" width="21.5546875" style="97" bestFit="1" customWidth="1"/>
    <col min="16" max="16" width="54" style="97" bestFit="1" customWidth="1"/>
    <col min="17" max="17" width="29.5546875" style="97" bestFit="1" customWidth="1"/>
    <col min="18" max="18" width="52.44140625" style="97" bestFit="1" customWidth="1"/>
    <col min="19" max="19" width="101.44140625" style="97" bestFit="1" customWidth="1"/>
    <col min="20" max="20" width="28.6640625" style="97" bestFit="1" customWidth="1"/>
    <col min="21" max="21" width="25.44140625" style="97" bestFit="1" customWidth="1"/>
    <col min="22" max="22" width="12.44140625" style="97" customWidth="1"/>
    <col min="23" max="16384" width="9.109375" style="97"/>
  </cols>
  <sheetData>
    <row r="1" spans="1:22" s="237" customFormat="1" ht="27.6">
      <c r="A1" s="238" t="s">
        <v>161</v>
      </c>
      <c r="B1" s="238" t="s">
        <v>686</v>
      </c>
      <c r="C1" s="238" t="s">
        <v>543</v>
      </c>
      <c r="D1" s="238" t="s">
        <v>685</v>
      </c>
      <c r="E1" s="238" t="s">
        <v>189</v>
      </c>
      <c r="F1" s="238" t="s">
        <v>201</v>
      </c>
      <c r="G1" s="238" t="s">
        <v>684</v>
      </c>
      <c r="H1" s="238" t="s">
        <v>203</v>
      </c>
      <c r="I1" s="238" t="s">
        <v>209</v>
      </c>
      <c r="J1" s="238" t="s">
        <v>213</v>
      </c>
      <c r="K1" s="238" t="s">
        <v>683</v>
      </c>
      <c r="L1" s="238" t="s">
        <v>225</v>
      </c>
      <c r="M1" s="238" t="s">
        <v>523</v>
      </c>
      <c r="N1" s="238" t="s">
        <v>682</v>
      </c>
      <c r="O1" s="238" t="s">
        <v>249</v>
      </c>
      <c r="P1" s="238" t="s">
        <v>252</v>
      </c>
      <c r="Q1" s="238" t="s">
        <v>681</v>
      </c>
      <c r="R1" s="238" t="s">
        <v>680</v>
      </c>
      <c r="S1" s="238" t="s">
        <v>517</v>
      </c>
      <c r="T1" s="238" t="s">
        <v>679</v>
      </c>
      <c r="U1" s="238" t="s">
        <v>571</v>
      </c>
      <c r="V1" s="238" t="s">
        <v>678</v>
      </c>
    </row>
    <row r="2" spans="1:22">
      <c r="A2" s="97" t="s">
        <v>677</v>
      </c>
      <c r="B2" s="234" t="b">
        <v>1</v>
      </c>
      <c r="C2" s="97" t="s">
        <v>676</v>
      </c>
      <c r="D2" s="97" t="s">
        <v>675</v>
      </c>
      <c r="E2" s="97" t="s">
        <v>674</v>
      </c>
      <c r="F2" s="97" t="s">
        <v>673</v>
      </c>
      <c r="G2" s="97" t="s">
        <v>672</v>
      </c>
      <c r="H2" s="97" t="s">
        <v>671</v>
      </c>
      <c r="I2" s="97" t="s">
        <v>670</v>
      </c>
      <c r="J2" s="97" t="s">
        <v>669</v>
      </c>
      <c r="K2" s="97" t="s">
        <v>668</v>
      </c>
      <c r="L2" s="97" t="s">
        <v>667</v>
      </c>
      <c r="M2" s="97" t="s">
        <v>666</v>
      </c>
      <c r="N2" s="97" t="s">
        <v>665</v>
      </c>
      <c r="O2" s="97" t="s">
        <v>664</v>
      </c>
      <c r="P2" s="97" t="s">
        <v>663</v>
      </c>
      <c r="Q2" s="97" t="s">
        <v>662</v>
      </c>
      <c r="R2" s="97" t="s">
        <v>662</v>
      </c>
      <c r="S2" s="97" t="s">
        <v>661</v>
      </c>
      <c r="T2" s="97" t="s">
        <v>660</v>
      </c>
      <c r="U2" s="97" t="s">
        <v>659</v>
      </c>
      <c r="V2" s="97" t="s">
        <v>658</v>
      </c>
    </row>
    <row r="3" spans="1:22">
      <c r="A3" s="97" t="s">
        <v>657</v>
      </c>
      <c r="B3" s="234" t="b">
        <v>0</v>
      </c>
      <c r="C3" s="97" t="s">
        <v>656</v>
      </c>
      <c r="D3" s="97" t="s">
        <v>655</v>
      </c>
      <c r="E3" s="97" t="s">
        <v>654</v>
      </c>
      <c r="F3" s="97" t="s">
        <v>653</v>
      </c>
      <c r="G3" s="97" t="s">
        <v>652</v>
      </c>
      <c r="H3" s="97" t="s">
        <v>651</v>
      </c>
      <c r="I3" s="97" t="s">
        <v>650</v>
      </c>
      <c r="J3" s="97" t="s">
        <v>649</v>
      </c>
      <c r="K3" s="97" t="s">
        <v>648</v>
      </c>
      <c r="L3" s="97" t="s">
        <v>647</v>
      </c>
      <c r="M3" s="97" t="s">
        <v>646</v>
      </c>
      <c r="N3" s="97" t="s">
        <v>645</v>
      </c>
      <c r="O3" s="97" t="s">
        <v>644</v>
      </c>
      <c r="P3" s="97" t="s">
        <v>643</v>
      </c>
      <c r="Q3" s="97" t="s">
        <v>642</v>
      </c>
      <c r="R3" s="97" t="s">
        <v>642</v>
      </c>
      <c r="S3" s="97" t="s">
        <v>641</v>
      </c>
      <c r="T3" s="97" t="s">
        <v>640</v>
      </c>
      <c r="U3" s="97" t="s">
        <v>639</v>
      </c>
      <c r="V3" s="97" t="s">
        <v>638</v>
      </c>
    </row>
    <row r="4" spans="1:22">
      <c r="C4" s="97" t="s">
        <v>637</v>
      </c>
      <c r="D4" s="97" t="s">
        <v>590</v>
      </c>
      <c r="E4" s="97" t="s">
        <v>636</v>
      </c>
      <c r="F4" s="97" t="s">
        <v>590</v>
      </c>
      <c r="G4" s="97" t="s">
        <v>635</v>
      </c>
      <c r="H4" s="97" t="s">
        <v>634</v>
      </c>
      <c r="J4" s="97" t="s">
        <v>633</v>
      </c>
      <c r="K4" s="97" t="s">
        <v>632</v>
      </c>
      <c r="L4" s="97" t="s">
        <v>599</v>
      </c>
      <c r="M4" s="97" t="s">
        <v>631</v>
      </c>
      <c r="N4" s="97" t="s">
        <v>630</v>
      </c>
      <c r="O4" s="97" t="s">
        <v>629</v>
      </c>
      <c r="P4" s="97" t="s">
        <v>628</v>
      </c>
      <c r="Q4" s="97" t="s">
        <v>627</v>
      </c>
      <c r="R4" s="97" t="s">
        <v>626</v>
      </c>
      <c r="S4" s="97" t="s">
        <v>625</v>
      </c>
      <c r="T4" s="97" t="s">
        <v>624</v>
      </c>
      <c r="U4" s="97" t="s">
        <v>623</v>
      </c>
      <c r="V4" s="97" t="s">
        <v>622</v>
      </c>
    </row>
    <row r="5" spans="1:22">
      <c r="C5" s="97" t="s">
        <v>621</v>
      </c>
      <c r="E5" s="97" t="s">
        <v>620</v>
      </c>
      <c r="F5" s="97" t="s">
        <v>599</v>
      </c>
      <c r="G5" s="97" t="s">
        <v>594</v>
      </c>
      <c r="H5" s="97" t="s">
        <v>619</v>
      </c>
      <c r="J5" s="97" t="s">
        <v>618</v>
      </c>
      <c r="M5" s="97" t="s">
        <v>617</v>
      </c>
      <c r="N5" s="97" t="s">
        <v>616</v>
      </c>
      <c r="O5" s="97" t="s">
        <v>615</v>
      </c>
      <c r="P5" s="97" t="s">
        <v>614</v>
      </c>
      <c r="Q5" s="97" t="s">
        <v>599</v>
      </c>
      <c r="R5" s="97" t="s">
        <v>599</v>
      </c>
      <c r="S5" s="97" t="s">
        <v>613</v>
      </c>
      <c r="T5" s="97" t="s">
        <v>612</v>
      </c>
      <c r="U5" s="97" t="s">
        <v>611</v>
      </c>
      <c r="V5" s="97" t="s">
        <v>610</v>
      </c>
    </row>
    <row r="6" spans="1:22">
      <c r="C6" s="97" t="s">
        <v>609</v>
      </c>
      <c r="E6" s="97" t="s">
        <v>581</v>
      </c>
      <c r="F6" s="97" t="s">
        <v>594</v>
      </c>
      <c r="H6" s="97" t="s">
        <v>594</v>
      </c>
      <c r="J6" s="97" t="s">
        <v>585</v>
      </c>
      <c r="M6" s="97" t="s">
        <v>608</v>
      </c>
      <c r="N6" s="97" t="s">
        <v>607</v>
      </c>
      <c r="O6" s="97" t="s">
        <v>585</v>
      </c>
      <c r="P6" s="97" t="s">
        <v>606</v>
      </c>
      <c r="Q6" s="97" t="s">
        <v>605</v>
      </c>
      <c r="R6" s="97" t="s">
        <v>605</v>
      </c>
      <c r="T6" s="97" t="s">
        <v>604</v>
      </c>
    </row>
    <row r="7" spans="1:22">
      <c r="C7" s="97" t="s">
        <v>603</v>
      </c>
      <c r="E7" s="97" t="s">
        <v>602</v>
      </c>
      <c r="J7" s="97" t="s">
        <v>599</v>
      </c>
      <c r="M7" s="97" t="s">
        <v>601</v>
      </c>
      <c r="N7" s="97" t="s">
        <v>600</v>
      </c>
      <c r="O7" s="97" t="s">
        <v>599</v>
      </c>
    </row>
    <row r="8" spans="1:22">
      <c r="C8" s="97" t="s">
        <v>598</v>
      </c>
      <c r="E8" s="97" t="s">
        <v>597</v>
      </c>
      <c r="M8" s="97" t="s">
        <v>596</v>
      </c>
      <c r="N8" s="97" t="s">
        <v>595</v>
      </c>
      <c r="O8" s="97" t="s">
        <v>594</v>
      </c>
    </row>
    <row r="9" spans="1:22">
      <c r="C9" s="97" t="s">
        <v>593</v>
      </c>
      <c r="E9" s="97" t="s">
        <v>592</v>
      </c>
      <c r="M9" s="97" t="s">
        <v>591</v>
      </c>
      <c r="N9" s="97" t="s">
        <v>590</v>
      </c>
    </row>
    <row r="10" spans="1:22">
      <c r="C10" s="97" t="s">
        <v>589</v>
      </c>
      <c r="E10" s="97" t="s">
        <v>588</v>
      </c>
      <c r="M10" s="97" t="s">
        <v>587</v>
      </c>
    </row>
    <row r="11" spans="1:22">
      <c r="C11" s="97" t="s">
        <v>586</v>
      </c>
      <c r="E11" s="97" t="s">
        <v>585</v>
      </c>
    </row>
    <row r="12" spans="1:22">
      <c r="C12" s="97" t="s">
        <v>584</v>
      </c>
    </row>
    <row r="13" spans="1:22">
      <c r="C13" s="97" t="s">
        <v>583</v>
      </c>
    </row>
    <row r="14" spans="1:22">
      <c r="C14" s="97" t="s">
        <v>582</v>
      </c>
    </row>
    <row r="15" spans="1:22">
      <c r="C15" s="97" t="s">
        <v>581</v>
      </c>
    </row>
  </sheetData>
  <pageMargins left="0.7" right="0.7" top="0.75" bottom="0.75" header="0.3" footer="0.3"/>
  <pageSetup orientation="portrait" r:id="rId1"/>
  <headerFooter>
    <oddHeader>&amp;L&amp;"Calibri"&amp;10&amp;K000000Confidential&amp;1#_x000D_&amp;"Calibri"&amp;11&amp;K000000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/>
  <sheetData/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CD18"/>
  <sheetViews>
    <sheetView tabSelected="1" workbookViewId="0">
      <selection activeCell="CB8" sqref="CB8"/>
    </sheetView>
  </sheetViews>
  <sheetFormatPr defaultRowHeight="16.2"/>
  <cols>
    <col min="1" max="1" width="9" bestFit="1" customWidth="1"/>
    <col min="2" max="2" width="17.6640625" bestFit="1" customWidth="1"/>
    <col min="3" max="3" width="15.88671875" bestFit="1" customWidth="1"/>
    <col min="5" max="5" width="14.88671875" bestFit="1" customWidth="1"/>
    <col min="6" max="6" width="11.44140625" customWidth="1"/>
    <col min="7" max="7" width="9" bestFit="1" customWidth="1"/>
    <col min="8" max="8" width="14.88671875" bestFit="1" customWidth="1"/>
    <col min="9" max="9" width="16.109375" customWidth="1"/>
    <col min="10" max="10" width="11.33203125" bestFit="1" customWidth="1"/>
    <col min="11" max="11" width="9" bestFit="1" customWidth="1"/>
    <col min="12" max="12" width="14.88671875" bestFit="1" customWidth="1"/>
    <col min="13" max="13" width="14.88671875" hidden="1" customWidth="1"/>
    <col min="14" max="14" width="14.88671875" bestFit="1" customWidth="1"/>
    <col min="15" max="15" width="16.5546875" customWidth="1"/>
    <col min="16" max="17" width="12.6640625" bestFit="1" customWidth="1"/>
    <col min="18" max="18" width="9" bestFit="1" customWidth="1"/>
    <col min="19" max="19" width="19.109375" bestFit="1" customWidth="1"/>
    <col min="20" max="20" width="9.33203125" bestFit="1" customWidth="1"/>
    <col min="21" max="21" width="10.44140625" bestFit="1" customWidth="1"/>
    <col min="22" max="22" width="10.21875" customWidth="1"/>
    <col min="23" max="23" width="12" customWidth="1"/>
    <col min="24" max="24" width="10.33203125" bestFit="1" customWidth="1"/>
    <col min="25" max="25" width="10.44140625" bestFit="1" customWidth="1"/>
    <col min="26" max="26" width="9" bestFit="1" customWidth="1"/>
    <col min="27" max="27" width="27.109375" bestFit="1" customWidth="1"/>
    <col min="28" max="28" width="9" bestFit="1" customWidth="1"/>
    <col min="29" max="29" width="19.88671875" bestFit="1" customWidth="1"/>
    <col min="30" max="31" width="16.109375" bestFit="1" customWidth="1"/>
    <col min="32" max="33" width="12.6640625" bestFit="1" customWidth="1"/>
    <col min="34" max="34" width="16.109375" bestFit="1" customWidth="1"/>
    <col min="35" max="35" width="9.5546875" bestFit="1" customWidth="1"/>
    <col min="36" max="37" width="16.109375" bestFit="1" customWidth="1"/>
    <col min="38" max="40" width="12.6640625" bestFit="1" customWidth="1"/>
    <col min="41" max="41" width="9" bestFit="1" customWidth="1"/>
    <col min="42" max="42" width="14.88671875" bestFit="1" customWidth="1"/>
    <col min="43" max="43" width="11.33203125" bestFit="1" customWidth="1"/>
    <col min="44" max="44" width="9.88671875" bestFit="1" customWidth="1"/>
    <col min="46" max="46" width="13.44140625" bestFit="1" customWidth="1"/>
    <col min="47" max="47" width="9" bestFit="1" customWidth="1"/>
    <col min="48" max="50" width="16.109375" bestFit="1" customWidth="1"/>
    <col min="51" max="51" width="12.6640625" bestFit="1" customWidth="1"/>
    <col min="52" max="52" width="15.6640625" bestFit="1" customWidth="1"/>
    <col min="53" max="53" width="14.33203125" bestFit="1" customWidth="1"/>
    <col min="54" max="54" width="22.44140625" bestFit="1" customWidth="1"/>
    <col min="55" max="61" width="12.6640625" bestFit="1" customWidth="1"/>
    <col min="62" max="62" width="14.21875" bestFit="1" customWidth="1"/>
    <col min="63" max="63" width="22.5546875" bestFit="1" customWidth="1"/>
    <col min="64" max="67" width="12.6640625" bestFit="1" customWidth="1"/>
    <col min="68" max="68" width="17.33203125" bestFit="1" customWidth="1"/>
    <col min="69" max="69" width="14.88671875" bestFit="1" customWidth="1"/>
    <col min="70" max="70" width="12.6640625" bestFit="1" customWidth="1"/>
    <col min="71" max="71" width="16.109375" bestFit="1" customWidth="1"/>
    <col min="72" max="72" width="9" bestFit="1" customWidth="1"/>
    <col min="73" max="76" width="12.6640625" bestFit="1" customWidth="1"/>
    <col min="77" max="77" width="14.88671875" bestFit="1" customWidth="1"/>
    <col min="78" max="78" width="34.44140625" bestFit="1" customWidth="1"/>
    <col min="79" max="79" width="14.88671875" bestFit="1" customWidth="1"/>
    <col min="80" max="80" width="34.44140625" bestFit="1" customWidth="1"/>
  </cols>
  <sheetData>
    <row r="1" spans="1:82" ht="81.599999999999994" customHeight="1">
      <c r="A1" s="181" t="s">
        <v>176</v>
      </c>
      <c r="B1" s="181" t="s">
        <v>177</v>
      </c>
      <c r="C1" s="181" t="s">
        <v>178</v>
      </c>
      <c r="D1" s="181" t="s">
        <v>179</v>
      </c>
      <c r="E1" s="181" t="s">
        <v>180</v>
      </c>
      <c r="F1" s="182" t="s">
        <v>181</v>
      </c>
      <c r="G1" s="182" t="s">
        <v>182</v>
      </c>
      <c r="H1" s="181" t="s">
        <v>183</v>
      </c>
      <c r="I1" s="181" t="s">
        <v>184</v>
      </c>
      <c r="J1" s="181" t="s">
        <v>185</v>
      </c>
      <c r="K1" s="181" t="s">
        <v>186</v>
      </c>
      <c r="L1" s="181" t="s">
        <v>187</v>
      </c>
      <c r="M1" s="181"/>
      <c r="N1" s="181" t="s">
        <v>188</v>
      </c>
      <c r="O1" s="181" t="s">
        <v>189</v>
      </c>
      <c r="P1" s="182" t="s">
        <v>190</v>
      </c>
      <c r="Q1" s="181" t="s">
        <v>191</v>
      </c>
      <c r="R1" s="181" t="s">
        <v>192</v>
      </c>
      <c r="S1" s="181" t="s">
        <v>193</v>
      </c>
      <c r="T1" s="181" t="s">
        <v>194</v>
      </c>
      <c r="U1" s="181" t="s">
        <v>195</v>
      </c>
      <c r="V1" s="181" t="s">
        <v>196</v>
      </c>
      <c r="W1" s="181" t="s">
        <v>197</v>
      </c>
      <c r="X1" s="181" t="s">
        <v>198</v>
      </c>
      <c r="Y1" s="181" t="s">
        <v>199</v>
      </c>
      <c r="Z1" s="181" t="s">
        <v>200</v>
      </c>
      <c r="AA1" s="181" t="s">
        <v>201</v>
      </c>
      <c r="AB1" s="181" t="s">
        <v>202</v>
      </c>
      <c r="AC1" s="181" t="s">
        <v>203</v>
      </c>
      <c r="AD1" s="181" t="s">
        <v>204</v>
      </c>
      <c r="AE1" s="181" t="s">
        <v>205</v>
      </c>
      <c r="AF1" s="181" t="s">
        <v>206</v>
      </c>
      <c r="AG1" s="181" t="s">
        <v>207</v>
      </c>
      <c r="AH1" s="181" t="s">
        <v>208</v>
      </c>
      <c r="AI1" s="181" t="s">
        <v>209</v>
      </c>
      <c r="AJ1" s="181" t="s">
        <v>210</v>
      </c>
      <c r="AK1" s="181" t="s">
        <v>211</v>
      </c>
      <c r="AL1" s="181" t="s">
        <v>212</v>
      </c>
      <c r="AM1" s="182" t="s">
        <v>213</v>
      </c>
      <c r="AN1" s="181" t="s">
        <v>214</v>
      </c>
      <c r="AO1" s="181" t="s">
        <v>215</v>
      </c>
      <c r="AP1" s="183" t="s">
        <v>216</v>
      </c>
      <c r="AQ1" s="183" t="s">
        <v>217</v>
      </c>
      <c r="AR1" s="183" t="s">
        <v>218</v>
      </c>
      <c r="AS1" s="183" t="s">
        <v>219</v>
      </c>
      <c r="AT1" s="183" t="s">
        <v>220</v>
      </c>
      <c r="AU1" s="183" t="s">
        <v>221</v>
      </c>
      <c r="AV1" s="183" t="s">
        <v>222</v>
      </c>
      <c r="AW1" s="183" t="s">
        <v>223</v>
      </c>
      <c r="AX1" s="183" t="s">
        <v>224</v>
      </c>
      <c r="AY1" s="183" t="s">
        <v>225</v>
      </c>
      <c r="AZ1" s="182" t="s">
        <v>226</v>
      </c>
      <c r="BA1" s="182" t="s">
        <v>227</v>
      </c>
      <c r="BB1" s="181" t="s">
        <v>228</v>
      </c>
      <c r="BC1" s="181" t="s">
        <v>229</v>
      </c>
      <c r="BD1" s="181" t="s">
        <v>230</v>
      </c>
      <c r="BE1" s="181" t="s">
        <v>231</v>
      </c>
      <c r="BF1" s="181" t="s">
        <v>232</v>
      </c>
      <c r="BG1" s="181" t="s">
        <v>233</v>
      </c>
      <c r="BH1" s="181" t="s">
        <v>234</v>
      </c>
      <c r="BI1" s="181" t="s">
        <v>235</v>
      </c>
      <c r="BJ1" s="181" t="s">
        <v>236</v>
      </c>
      <c r="BK1" s="181" t="s">
        <v>237</v>
      </c>
      <c r="BL1" s="181" t="s">
        <v>238</v>
      </c>
      <c r="BM1" s="181" t="s">
        <v>239</v>
      </c>
      <c r="BN1" s="181" t="s">
        <v>240</v>
      </c>
      <c r="BO1" s="181" t="s">
        <v>241</v>
      </c>
      <c r="BP1" s="181" t="s">
        <v>242</v>
      </c>
      <c r="BQ1" s="181" t="s">
        <v>243</v>
      </c>
      <c r="BR1" s="181" t="s">
        <v>244</v>
      </c>
      <c r="BS1" s="181" t="s">
        <v>245</v>
      </c>
      <c r="BT1" s="183" t="s">
        <v>246</v>
      </c>
      <c r="BU1" s="183" t="s">
        <v>247</v>
      </c>
      <c r="BV1" s="183" t="s">
        <v>248</v>
      </c>
      <c r="BW1" s="183" t="s">
        <v>249</v>
      </c>
      <c r="BX1" s="181" t="s">
        <v>250</v>
      </c>
      <c r="BY1" s="184" t="s">
        <v>251</v>
      </c>
      <c r="BZ1" s="184" t="s">
        <v>252</v>
      </c>
      <c r="CA1" s="184" t="s">
        <v>253</v>
      </c>
      <c r="CB1" s="184" t="s">
        <v>254</v>
      </c>
      <c r="CC1" s="184" t="s">
        <v>255</v>
      </c>
      <c r="CD1" s="185" t="s">
        <v>256</v>
      </c>
    </row>
    <row r="2" spans="1:82">
      <c r="A2" s="186" t="s">
        <v>165</v>
      </c>
      <c r="B2" s="186" t="s">
        <v>166</v>
      </c>
      <c r="C2" s="186" t="s">
        <v>167</v>
      </c>
      <c r="D2" s="187" t="s">
        <v>168</v>
      </c>
      <c r="E2" s="186" t="s">
        <v>170</v>
      </c>
      <c r="F2" s="186" t="s">
        <v>172</v>
      </c>
      <c r="G2" s="186" t="s">
        <v>173</v>
      </c>
      <c r="H2" s="186" t="s">
        <v>174</v>
      </c>
      <c r="I2" s="186" t="s">
        <v>175</v>
      </c>
      <c r="J2" s="186" t="s">
        <v>257</v>
      </c>
      <c r="K2" s="186" t="s">
        <v>258</v>
      </c>
      <c r="L2" s="186" t="s">
        <v>259</v>
      </c>
      <c r="M2" s="186" t="s">
        <v>750</v>
      </c>
      <c r="N2" s="186" t="s">
        <v>260</v>
      </c>
      <c r="O2" s="186" t="s">
        <v>261</v>
      </c>
      <c r="P2" s="186" t="s">
        <v>262</v>
      </c>
      <c r="Q2" s="186" t="s">
        <v>263</v>
      </c>
      <c r="R2" s="186" t="s">
        <v>264</v>
      </c>
      <c r="S2" s="186" t="s">
        <v>265</v>
      </c>
      <c r="T2" s="186" t="s">
        <v>266</v>
      </c>
      <c r="U2" s="186" t="s">
        <v>267</v>
      </c>
      <c r="V2" s="186" t="s">
        <v>268</v>
      </c>
      <c r="W2" s="186" t="s">
        <v>269</v>
      </c>
      <c r="X2" s="186" t="s">
        <v>270</v>
      </c>
      <c r="Y2" s="186" t="s">
        <v>271</v>
      </c>
      <c r="Z2" s="186" t="s">
        <v>272</v>
      </c>
      <c r="AA2" s="186" t="s">
        <v>273</v>
      </c>
      <c r="AB2" s="186" t="s">
        <v>274</v>
      </c>
      <c r="AC2" s="186" t="s">
        <v>275</v>
      </c>
      <c r="AD2" s="186" t="s">
        <v>276</v>
      </c>
      <c r="AE2" s="186" t="s">
        <v>277</v>
      </c>
      <c r="AF2" s="186" t="s">
        <v>278</v>
      </c>
      <c r="AG2" s="186" t="s">
        <v>279</v>
      </c>
      <c r="AH2" s="186" t="s">
        <v>280</v>
      </c>
      <c r="AI2" s="186" t="s">
        <v>281</v>
      </c>
      <c r="AJ2" s="186" t="s">
        <v>282</v>
      </c>
      <c r="AK2" s="186" t="s">
        <v>283</v>
      </c>
      <c r="AL2" s="186" t="s">
        <v>284</v>
      </c>
      <c r="AM2" s="186" t="s">
        <v>285</v>
      </c>
      <c r="AN2" s="186" t="s">
        <v>286</v>
      </c>
      <c r="AO2" s="186" t="s">
        <v>287</v>
      </c>
      <c r="AP2" s="186" t="s">
        <v>288</v>
      </c>
      <c r="AQ2" s="186" t="s">
        <v>289</v>
      </c>
      <c r="AR2" s="186" t="s">
        <v>290</v>
      </c>
      <c r="AS2" s="186" t="s">
        <v>291</v>
      </c>
      <c r="AT2" s="186" t="s">
        <v>292</v>
      </c>
      <c r="AU2" s="186" t="s">
        <v>293</v>
      </c>
      <c r="AV2" s="186" t="s">
        <v>294</v>
      </c>
      <c r="AW2" s="186" t="s">
        <v>295</v>
      </c>
      <c r="AX2" s="186" t="s">
        <v>296</v>
      </c>
      <c r="AY2" s="186" t="s">
        <v>297</v>
      </c>
      <c r="AZ2" s="186" t="s">
        <v>298</v>
      </c>
      <c r="BA2" s="186" t="s">
        <v>299</v>
      </c>
      <c r="BB2" s="186" t="s">
        <v>300</v>
      </c>
      <c r="BC2" s="186" t="s">
        <v>301</v>
      </c>
      <c r="BD2" s="186" t="s">
        <v>302</v>
      </c>
      <c r="BE2" s="186" t="s">
        <v>303</v>
      </c>
      <c r="BF2" s="186" t="s">
        <v>304</v>
      </c>
      <c r="BG2" s="186" t="s">
        <v>305</v>
      </c>
      <c r="BH2" s="186" t="s">
        <v>306</v>
      </c>
      <c r="BI2" s="186" t="s">
        <v>307</v>
      </c>
      <c r="BJ2" s="186" t="s">
        <v>308</v>
      </c>
      <c r="BK2" s="186" t="s">
        <v>309</v>
      </c>
      <c r="BL2" s="186" t="s">
        <v>310</v>
      </c>
      <c r="BM2" s="186" t="s">
        <v>311</v>
      </c>
      <c r="BN2" s="186" t="s">
        <v>312</v>
      </c>
      <c r="BO2" s="186" t="s">
        <v>313</v>
      </c>
      <c r="BP2" s="186" t="s">
        <v>314</v>
      </c>
      <c r="BQ2" s="186" t="s">
        <v>315</v>
      </c>
      <c r="BR2" s="186" t="s">
        <v>316</v>
      </c>
      <c r="BS2" s="186" t="s">
        <v>317</v>
      </c>
      <c r="BT2" s="186" t="s">
        <v>318</v>
      </c>
      <c r="BU2" s="186" t="s">
        <v>319</v>
      </c>
      <c r="BV2" s="186" t="s">
        <v>320</v>
      </c>
      <c r="BW2" s="186" t="s">
        <v>321</v>
      </c>
      <c r="BX2" s="186" t="s">
        <v>322</v>
      </c>
      <c r="BY2" s="186" t="s">
        <v>323</v>
      </c>
      <c r="BZ2" s="186" t="s">
        <v>324</v>
      </c>
      <c r="CA2" s="186" t="s">
        <v>325</v>
      </c>
      <c r="CB2" s="186" t="s">
        <v>326</v>
      </c>
      <c r="CC2" s="186" t="s">
        <v>327</v>
      </c>
      <c r="CD2" s="186" t="s">
        <v>328</v>
      </c>
    </row>
    <row r="3" spans="1:82">
      <c r="A3" s="188"/>
      <c r="B3" s="189"/>
      <c r="C3" s="189"/>
      <c r="D3" s="189"/>
      <c r="E3" s="190"/>
      <c r="F3" s="190"/>
      <c r="G3" s="189"/>
      <c r="H3" s="190"/>
      <c r="I3" s="190"/>
      <c r="J3" s="190"/>
      <c r="K3" s="190"/>
      <c r="L3" s="190"/>
      <c r="M3" s="190"/>
      <c r="N3" s="190"/>
      <c r="O3" s="191"/>
      <c r="P3" s="189"/>
      <c r="Q3" s="191"/>
      <c r="R3" s="192"/>
      <c r="S3" s="190"/>
      <c r="T3" s="189"/>
      <c r="U3" s="193"/>
      <c r="V3" s="193"/>
      <c r="W3" s="193"/>
      <c r="X3" s="193"/>
      <c r="Y3" s="193"/>
      <c r="Z3" s="189"/>
      <c r="AA3" s="191"/>
      <c r="AB3" s="191"/>
      <c r="AC3" s="191"/>
      <c r="AD3" s="190"/>
      <c r="AE3" s="190"/>
      <c r="AF3" s="191"/>
      <c r="AG3" s="191"/>
      <c r="AH3" s="190"/>
      <c r="AI3" s="191"/>
      <c r="AJ3" s="190"/>
      <c r="AK3" s="190"/>
      <c r="AL3" s="189"/>
      <c r="AM3" s="191"/>
      <c r="AN3" s="189"/>
      <c r="AO3" s="191"/>
      <c r="AP3" s="190"/>
      <c r="AQ3" s="190"/>
      <c r="AR3" s="192"/>
      <c r="AS3" s="192"/>
      <c r="AT3" s="194"/>
      <c r="AU3" s="194"/>
      <c r="AV3" s="194"/>
      <c r="AW3" s="190"/>
      <c r="AX3" s="190"/>
      <c r="AY3" s="191"/>
      <c r="AZ3" s="195"/>
      <c r="BA3" s="189"/>
      <c r="BB3" s="189"/>
      <c r="BC3" s="189"/>
      <c r="BD3" s="189"/>
      <c r="BE3" s="189"/>
      <c r="BF3" s="189"/>
      <c r="BG3" s="189"/>
      <c r="BH3" s="189"/>
      <c r="BI3" s="189"/>
      <c r="BJ3" s="189"/>
      <c r="BK3" s="189"/>
      <c r="BL3" s="189"/>
      <c r="BM3" s="189"/>
      <c r="BN3" s="189"/>
      <c r="BO3" s="189"/>
      <c r="BP3" s="191"/>
      <c r="BQ3" s="190"/>
      <c r="BR3" s="191"/>
      <c r="BS3" s="190"/>
      <c r="BT3" s="190"/>
      <c r="BU3" s="189"/>
      <c r="BV3" s="189"/>
      <c r="BW3" s="191"/>
      <c r="BX3" s="191"/>
      <c r="BY3" s="190"/>
      <c r="BZ3" s="191"/>
      <c r="CA3" s="190"/>
      <c r="CB3" s="189"/>
      <c r="CC3" s="191"/>
      <c r="CD3" s="191"/>
    </row>
    <row r="4" spans="1:82">
      <c r="A4" s="196"/>
      <c r="B4" s="196"/>
      <c r="C4" s="196"/>
      <c r="D4" s="197"/>
      <c r="E4" s="198"/>
      <c r="F4" s="198"/>
      <c r="G4" s="198"/>
      <c r="H4" s="199"/>
      <c r="I4" s="198"/>
      <c r="J4" s="198"/>
      <c r="K4" s="198"/>
      <c r="L4" s="198"/>
      <c r="M4" s="198"/>
      <c r="N4" s="198"/>
      <c r="O4" s="200"/>
      <c r="P4" s="200"/>
      <c r="Q4" s="200"/>
      <c r="R4" s="197"/>
      <c r="S4" s="197"/>
      <c r="T4" s="197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201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8"/>
      <c r="BL4" s="198"/>
      <c r="BM4" s="198"/>
      <c r="BN4" s="198"/>
      <c r="BO4" s="198"/>
      <c r="BP4" s="202"/>
      <c r="BQ4" s="202"/>
      <c r="BR4" s="202"/>
      <c r="BS4" s="202"/>
      <c r="BT4" s="202"/>
      <c r="BU4" s="202"/>
      <c r="BV4" s="202"/>
      <c r="BW4" s="202"/>
      <c r="BX4" s="202"/>
      <c r="BY4" s="202"/>
      <c r="BZ4" s="202"/>
      <c r="CA4" s="202"/>
      <c r="CB4" s="202"/>
      <c r="CC4" s="202"/>
      <c r="CD4" s="202"/>
    </row>
    <row r="5" spans="1:82">
      <c r="A5" s="203" t="s">
        <v>329</v>
      </c>
      <c r="B5" s="203" t="s">
        <v>330</v>
      </c>
      <c r="C5" s="203" t="s">
        <v>330</v>
      </c>
      <c r="D5" s="203" t="s">
        <v>330</v>
      </c>
      <c r="E5" s="204" t="s">
        <v>329</v>
      </c>
      <c r="F5" s="204" t="s">
        <v>329</v>
      </c>
      <c r="G5" s="203" t="s">
        <v>330</v>
      </c>
      <c r="H5" s="204" t="s">
        <v>329</v>
      </c>
      <c r="I5" s="204" t="s">
        <v>329</v>
      </c>
      <c r="J5" s="204" t="s">
        <v>329</v>
      </c>
      <c r="K5" s="204" t="s">
        <v>329</v>
      </c>
      <c r="L5" s="204" t="s">
        <v>329</v>
      </c>
      <c r="M5" s="204"/>
      <c r="N5" s="204" t="s">
        <v>329</v>
      </c>
      <c r="O5" s="203" t="s">
        <v>330</v>
      </c>
      <c r="P5" s="203" t="s">
        <v>330</v>
      </c>
      <c r="Q5" s="203" t="s">
        <v>330</v>
      </c>
      <c r="R5" s="204" t="s">
        <v>329</v>
      </c>
      <c r="S5" s="204" t="s">
        <v>329</v>
      </c>
      <c r="T5" s="203" t="s">
        <v>330</v>
      </c>
      <c r="U5" s="204" t="s">
        <v>331</v>
      </c>
      <c r="V5" s="204" t="s">
        <v>331</v>
      </c>
      <c r="W5" s="204" t="s">
        <v>331</v>
      </c>
      <c r="X5" s="204" t="s">
        <v>331</v>
      </c>
      <c r="Y5" s="204" t="s">
        <v>331</v>
      </c>
      <c r="Z5" s="203" t="s">
        <v>330</v>
      </c>
      <c r="AA5" s="203" t="s">
        <v>330</v>
      </c>
      <c r="AB5" s="203" t="s">
        <v>330</v>
      </c>
      <c r="AC5" s="203" t="s">
        <v>330</v>
      </c>
      <c r="AD5" s="204" t="s">
        <v>329</v>
      </c>
      <c r="AE5" s="204" t="s">
        <v>329</v>
      </c>
      <c r="AF5" s="203" t="s">
        <v>330</v>
      </c>
      <c r="AG5" s="203" t="s">
        <v>330</v>
      </c>
      <c r="AH5" s="204" t="s">
        <v>329</v>
      </c>
      <c r="AI5" s="203" t="s">
        <v>330</v>
      </c>
      <c r="AJ5" s="204" t="s">
        <v>329</v>
      </c>
      <c r="AK5" s="204" t="s">
        <v>329</v>
      </c>
      <c r="AL5" s="203" t="s">
        <v>330</v>
      </c>
      <c r="AM5" s="203" t="s">
        <v>330</v>
      </c>
      <c r="AN5" s="203" t="s">
        <v>330</v>
      </c>
      <c r="AO5" s="203" t="s">
        <v>330</v>
      </c>
      <c r="AP5" s="204" t="s">
        <v>329</v>
      </c>
      <c r="AQ5" s="204" t="s">
        <v>329</v>
      </c>
      <c r="AR5" s="204" t="s">
        <v>329</v>
      </c>
      <c r="AS5" s="204" t="s">
        <v>329</v>
      </c>
      <c r="AT5" s="204" t="s">
        <v>329</v>
      </c>
      <c r="AU5" s="204" t="s">
        <v>329</v>
      </c>
      <c r="AV5" s="204" t="s">
        <v>329</v>
      </c>
      <c r="AW5" s="204" t="s">
        <v>329</v>
      </c>
      <c r="AX5" s="204" t="s">
        <v>329</v>
      </c>
      <c r="AY5" s="203" t="s">
        <v>330</v>
      </c>
      <c r="AZ5" s="204" t="s">
        <v>329</v>
      </c>
      <c r="BA5" s="203" t="s">
        <v>330</v>
      </c>
      <c r="BB5" s="203" t="s">
        <v>330</v>
      </c>
      <c r="BC5" s="203" t="s">
        <v>330</v>
      </c>
      <c r="BD5" s="203" t="s">
        <v>330</v>
      </c>
      <c r="BE5" s="203" t="s">
        <v>330</v>
      </c>
      <c r="BF5" s="203" t="s">
        <v>330</v>
      </c>
      <c r="BG5" s="203" t="s">
        <v>330</v>
      </c>
      <c r="BH5" s="203" t="s">
        <v>330</v>
      </c>
      <c r="BI5" s="203" t="s">
        <v>330</v>
      </c>
      <c r="BJ5" s="203" t="s">
        <v>330</v>
      </c>
      <c r="BK5" s="203" t="s">
        <v>330</v>
      </c>
      <c r="BL5" s="203" t="s">
        <v>330</v>
      </c>
      <c r="BM5" s="203" t="s">
        <v>330</v>
      </c>
      <c r="BN5" s="203" t="s">
        <v>330</v>
      </c>
      <c r="BO5" s="203" t="s">
        <v>330</v>
      </c>
      <c r="BP5" s="203" t="s">
        <v>330</v>
      </c>
      <c r="BQ5" s="204" t="s">
        <v>329</v>
      </c>
      <c r="BR5" s="203" t="s">
        <v>330</v>
      </c>
      <c r="BS5" s="204" t="s">
        <v>329</v>
      </c>
      <c r="BT5" s="204" t="s">
        <v>329</v>
      </c>
      <c r="BU5" s="203" t="s">
        <v>330</v>
      </c>
      <c r="BV5" s="203" t="s">
        <v>330</v>
      </c>
      <c r="BW5" s="203" t="s">
        <v>330</v>
      </c>
      <c r="BX5" s="203" t="s">
        <v>330</v>
      </c>
      <c r="BY5" s="204" t="s">
        <v>329</v>
      </c>
      <c r="BZ5" s="203" t="s">
        <v>330</v>
      </c>
      <c r="CA5" s="204" t="s">
        <v>329</v>
      </c>
      <c r="CB5" s="203" t="s">
        <v>330</v>
      </c>
      <c r="CC5" s="203" t="s">
        <v>330</v>
      </c>
      <c r="CD5" s="203" t="s">
        <v>330</v>
      </c>
    </row>
    <row r="6" spans="1:82" ht="40.799999999999997">
      <c r="A6" s="203" t="s">
        <v>332</v>
      </c>
      <c r="B6" s="203" t="s">
        <v>333</v>
      </c>
      <c r="C6" s="203" t="s">
        <v>333</v>
      </c>
      <c r="D6" s="205" t="s">
        <v>334</v>
      </c>
      <c r="E6" s="204" t="s">
        <v>335</v>
      </c>
      <c r="F6" s="204" t="s">
        <v>335</v>
      </c>
      <c r="G6" s="205" t="s">
        <v>336</v>
      </c>
      <c r="H6" s="204" t="s">
        <v>335</v>
      </c>
      <c r="I6" s="204" t="s">
        <v>335</v>
      </c>
      <c r="J6" s="204" t="s">
        <v>335</v>
      </c>
      <c r="K6" s="204" t="s">
        <v>335</v>
      </c>
      <c r="L6" s="204" t="s">
        <v>335</v>
      </c>
      <c r="M6" s="204"/>
      <c r="N6" s="204" t="s">
        <v>335</v>
      </c>
      <c r="O6" s="203" t="s">
        <v>337</v>
      </c>
      <c r="P6" s="203" t="s">
        <v>333</v>
      </c>
      <c r="Q6" s="205" t="s">
        <v>338</v>
      </c>
      <c r="R6" s="203" t="s">
        <v>332</v>
      </c>
      <c r="S6" s="204" t="s">
        <v>335</v>
      </c>
      <c r="T6" s="203" t="s">
        <v>339</v>
      </c>
      <c r="U6" s="204" t="s">
        <v>340</v>
      </c>
      <c r="V6" s="206" t="s">
        <v>340</v>
      </c>
      <c r="W6" s="204" t="s">
        <v>340</v>
      </c>
      <c r="X6" s="204" t="s">
        <v>340</v>
      </c>
      <c r="Y6" s="204" t="s">
        <v>340</v>
      </c>
      <c r="Z6" s="206" t="s">
        <v>341</v>
      </c>
      <c r="AA6" s="203" t="s">
        <v>337</v>
      </c>
      <c r="AB6" s="203" t="s">
        <v>337</v>
      </c>
      <c r="AC6" s="203" t="s">
        <v>337</v>
      </c>
      <c r="AD6" s="204" t="s">
        <v>335</v>
      </c>
      <c r="AE6" s="204" t="s">
        <v>335</v>
      </c>
      <c r="AF6" s="205" t="s">
        <v>338</v>
      </c>
      <c r="AG6" s="205" t="s">
        <v>338</v>
      </c>
      <c r="AH6" s="204" t="s">
        <v>335</v>
      </c>
      <c r="AI6" s="203" t="s">
        <v>337</v>
      </c>
      <c r="AJ6" s="204" t="s">
        <v>335</v>
      </c>
      <c r="AK6" s="204" t="s">
        <v>335</v>
      </c>
      <c r="AL6" s="203" t="s">
        <v>333</v>
      </c>
      <c r="AM6" s="203" t="s">
        <v>337</v>
      </c>
      <c r="AN6" s="203" t="s">
        <v>333</v>
      </c>
      <c r="AO6" s="203" t="s">
        <v>337</v>
      </c>
      <c r="AP6" s="204" t="s">
        <v>335</v>
      </c>
      <c r="AQ6" s="204" t="s">
        <v>335</v>
      </c>
      <c r="AR6" s="204" t="s">
        <v>332</v>
      </c>
      <c r="AS6" s="204" t="s">
        <v>332</v>
      </c>
      <c r="AT6" s="204" t="s">
        <v>342</v>
      </c>
      <c r="AU6" s="204" t="s">
        <v>342</v>
      </c>
      <c r="AV6" s="204" t="s">
        <v>342</v>
      </c>
      <c r="AW6" s="204" t="s">
        <v>335</v>
      </c>
      <c r="AX6" s="204" t="s">
        <v>335</v>
      </c>
      <c r="AY6" s="203" t="s">
        <v>337</v>
      </c>
      <c r="AZ6" s="206" t="s">
        <v>343</v>
      </c>
      <c r="BA6" s="203" t="s">
        <v>339</v>
      </c>
      <c r="BB6" s="203" t="s">
        <v>333</v>
      </c>
      <c r="BC6" s="203" t="s">
        <v>333</v>
      </c>
      <c r="BD6" s="203" t="s">
        <v>333</v>
      </c>
      <c r="BE6" s="203" t="s">
        <v>333</v>
      </c>
      <c r="BF6" s="203" t="s">
        <v>333</v>
      </c>
      <c r="BG6" s="203" t="s">
        <v>333</v>
      </c>
      <c r="BH6" s="203" t="s">
        <v>333</v>
      </c>
      <c r="BI6" s="203" t="s">
        <v>333</v>
      </c>
      <c r="BJ6" s="203" t="s">
        <v>333</v>
      </c>
      <c r="BK6" s="203" t="s">
        <v>333</v>
      </c>
      <c r="BL6" s="203" t="s">
        <v>333</v>
      </c>
      <c r="BM6" s="203" t="s">
        <v>333</v>
      </c>
      <c r="BN6" s="203" t="s">
        <v>333</v>
      </c>
      <c r="BO6" s="203" t="s">
        <v>333</v>
      </c>
      <c r="BP6" s="203" t="s">
        <v>337</v>
      </c>
      <c r="BQ6" s="204" t="s">
        <v>335</v>
      </c>
      <c r="BR6" s="203" t="s">
        <v>337</v>
      </c>
      <c r="BS6" s="204" t="s">
        <v>335</v>
      </c>
      <c r="BT6" s="204" t="s">
        <v>335</v>
      </c>
      <c r="BU6" s="203" t="s">
        <v>333</v>
      </c>
      <c r="BV6" s="203" t="s">
        <v>333</v>
      </c>
      <c r="BW6" s="203" t="s">
        <v>337</v>
      </c>
      <c r="BX6" s="205" t="s">
        <v>338</v>
      </c>
      <c r="BY6" s="204" t="s">
        <v>335</v>
      </c>
      <c r="BZ6" s="203" t="s">
        <v>337</v>
      </c>
      <c r="CA6" s="204" t="s">
        <v>335</v>
      </c>
      <c r="CB6" s="203" t="s">
        <v>333</v>
      </c>
      <c r="CC6" s="205" t="s">
        <v>338</v>
      </c>
      <c r="CD6" s="205" t="s">
        <v>338</v>
      </c>
    </row>
    <row r="8" spans="1:82">
      <c r="A8" s="252">
        <f>+A7+1</f>
        <v>1</v>
      </c>
      <c r="B8" s="252" t="str">
        <f>+EMISSÕES!AK13</f>
        <v>PTBSRDOM0037000</v>
      </c>
      <c r="C8" s="253" t="str">
        <f>+EMISSÕES!AL13</f>
        <v>PTBSRDOM0037</v>
      </c>
      <c r="D8" s="253" t="s">
        <v>47</v>
      </c>
      <c r="E8" s="254">
        <f>+EMISSÕES!I13</f>
        <v>500000000</v>
      </c>
      <c r="F8" s="255">
        <v>0</v>
      </c>
      <c r="G8" s="253" t="s">
        <v>1</v>
      </c>
      <c r="H8" s="254">
        <f>+ROUND(EMISSÕES!AM13,2)</f>
        <v>500000000</v>
      </c>
      <c r="I8" s="253">
        <v>0</v>
      </c>
      <c r="J8" s="240">
        <f>+ROUND(EMISSÕES!AG13,2)</f>
        <v>0</v>
      </c>
      <c r="K8" s="254">
        <v>0</v>
      </c>
      <c r="L8" s="254">
        <f>+E8</f>
        <v>500000000</v>
      </c>
      <c r="M8" s="240">
        <f>H8+J8+K8</f>
        <v>500000000</v>
      </c>
      <c r="N8" s="240">
        <f>+H8</f>
        <v>500000000</v>
      </c>
      <c r="O8" s="257" t="s">
        <v>674</v>
      </c>
      <c r="P8" s="253" t="s">
        <v>599</v>
      </c>
      <c r="Q8" s="253" t="str">
        <f>+P8</f>
        <v>Not applicable</v>
      </c>
      <c r="R8" s="253">
        <f>+EMISSÕES!AI13</f>
        <v>2</v>
      </c>
      <c r="S8" s="259" t="s">
        <v>693</v>
      </c>
      <c r="T8" s="253">
        <f>+R8</f>
        <v>2</v>
      </c>
      <c r="U8" s="260" t="str">
        <f>+TEXT(EMISSÕES!M13,"AAAA-MM-DD")</f>
        <v>2025-05-29</v>
      </c>
      <c r="V8" s="261" t="str">
        <f>+TEXT(EMISSÕES!T13,"AAAA-MM-DD")</f>
        <v>0001-01-01</v>
      </c>
      <c r="W8" s="261" t="str">
        <f>+Y8</f>
        <v>2099-01-31</v>
      </c>
      <c r="X8" s="261">
        <f>+X7</f>
        <v>0</v>
      </c>
      <c r="Y8" s="261" t="str">
        <f>+TEXT(EMISSÕES!N13,"AAAA-MM-DD")</f>
        <v>2099-01-31</v>
      </c>
      <c r="Z8" s="253" t="s">
        <v>687</v>
      </c>
      <c r="AA8" s="253" t="s">
        <v>673</v>
      </c>
      <c r="AB8" s="253" t="s">
        <v>635</v>
      </c>
      <c r="AC8" s="253" t="s">
        <v>671</v>
      </c>
      <c r="AD8" s="259" t="s">
        <v>693</v>
      </c>
      <c r="AE8" s="259" t="s">
        <v>693</v>
      </c>
      <c r="AF8" s="253" t="b">
        <v>0</v>
      </c>
      <c r="AG8" s="253" t="b">
        <v>0</v>
      </c>
      <c r="AH8" s="259" t="s">
        <v>693</v>
      </c>
      <c r="AI8" s="252" t="s">
        <v>650</v>
      </c>
      <c r="AJ8" s="259" t="s">
        <v>693</v>
      </c>
      <c r="AK8" s="259" t="s">
        <v>693</v>
      </c>
      <c r="AL8" s="253" t="s">
        <v>599</v>
      </c>
      <c r="AM8" s="253" t="s">
        <v>599</v>
      </c>
      <c r="AN8" s="253" t="s">
        <v>599</v>
      </c>
      <c r="AO8" t="s">
        <v>694</v>
      </c>
      <c r="AP8" s="255">
        <f>+EMISSÕES!I13</f>
        <v>500000000</v>
      </c>
      <c r="AQ8" s="255">
        <f>+EMISSÕES!I13/EMISSÕES!J13</f>
        <v>5000</v>
      </c>
      <c r="AR8" s="242">
        <f>+ROUND(EMISSÕES!J13,0)</f>
        <v>100000</v>
      </c>
      <c r="AS8" s="242">
        <f>+AR8</f>
        <v>100000</v>
      </c>
      <c r="AT8" s="266">
        <f>+ROUND(EMISSÕES!AG13,4)</f>
        <v>0</v>
      </c>
      <c r="AU8">
        <v>0</v>
      </c>
      <c r="AV8" s="241" t="s">
        <v>693</v>
      </c>
      <c r="AW8" s="259" t="s">
        <v>693</v>
      </c>
      <c r="AX8" s="259" t="s">
        <v>693</v>
      </c>
      <c r="AY8" s="253" t="s">
        <v>599</v>
      </c>
      <c r="AZ8" s="253" t="s">
        <v>695</v>
      </c>
      <c r="BA8" s="253" t="s">
        <v>696</v>
      </c>
      <c r="BB8" s="253" t="s">
        <v>697</v>
      </c>
      <c r="BC8" s="253" t="s">
        <v>599</v>
      </c>
      <c r="BD8" s="252" t="s">
        <v>599</v>
      </c>
      <c r="BE8" s="252" t="s">
        <v>599</v>
      </c>
      <c r="BF8" s="253" t="s">
        <v>599</v>
      </c>
      <c r="BG8" s="253" t="s">
        <v>599</v>
      </c>
      <c r="BH8" s="252" t="s">
        <v>599</v>
      </c>
      <c r="BI8" s="252" t="s">
        <v>599</v>
      </c>
      <c r="BJ8" s="253" t="str">
        <f>+BA8</f>
        <v>INTERBOLSA_PT</v>
      </c>
      <c r="BK8" s="253" t="str">
        <f>+BB8</f>
        <v>529900LG70TCAGWCXT47</v>
      </c>
      <c r="BL8" s="253" t="s">
        <v>599</v>
      </c>
      <c r="BM8" s="253" t="s">
        <v>599</v>
      </c>
      <c r="BN8" s="253" t="s">
        <v>599</v>
      </c>
      <c r="BO8" s="253" t="s">
        <v>599</v>
      </c>
      <c r="BP8" s="253" t="s">
        <v>600</v>
      </c>
      <c r="BQ8" s="254">
        <f>+E8+J8</f>
        <v>500000000</v>
      </c>
      <c r="BR8" s="252" t="s">
        <v>599</v>
      </c>
      <c r="BS8" s="263" t="s">
        <v>693</v>
      </c>
      <c r="BT8" s="254">
        <f>+ROUND(0,2)</f>
        <v>0</v>
      </c>
      <c r="BU8" s="253" t="s">
        <v>599</v>
      </c>
      <c r="BV8" s="253" t="s">
        <v>599</v>
      </c>
      <c r="BW8" s="253" t="s">
        <v>599</v>
      </c>
      <c r="BX8" s="252" t="s">
        <v>599</v>
      </c>
      <c r="BY8" s="264">
        <f>+H8-I8</f>
        <v>500000000</v>
      </c>
      <c r="BZ8" s="252" t="s">
        <v>628</v>
      </c>
      <c r="CA8" s="255">
        <f>+BY8</f>
        <v>500000000</v>
      </c>
      <c r="CB8" s="252" t="s">
        <v>628</v>
      </c>
      <c r="CC8" s="253" t="b">
        <v>0</v>
      </c>
      <c r="CD8" s="253" t="b">
        <v>1</v>
      </c>
    </row>
    <row r="9" spans="1:82">
      <c r="A9" s="252">
        <f>+A8+1</f>
        <v>2</v>
      </c>
      <c r="B9" s="252" t="str">
        <f>+EMISSÕES!AK7</f>
        <v>PTBSREOM0028000</v>
      </c>
      <c r="C9" s="253" t="str">
        <f>+EMISSÕES!AL7</f>
        <v>PTBSREOM0028</v>
      </c>
      <c r="D9" s="253" t="s">
        <v>47</v>
      </c>
      <c r="E9" s="254">
        <f>+EMISSÕES!I7</f>
        <v>7599000</v>
      </c>
      <c r="F9" s="255">
        <v>0</v>
      </c>
      <c r="G9" s="253" t="s">
        <v>1</v>
      </c>
      <c r="H9" s="255">
        <f>+ROUND(EMISSÕES!AM7,2)</f>
        <v>8143941.9900000002</v>
      </c>
      <c r="I9" s="253">
        <v>0</v>
      </c>
      <c r="J9" s="240">
        <f>+ROUND(EMISSÕES!AG7,2)</f>
        <v>544941.99</v>
      </c>
      <c r="K9" s="254">
        <v>0</v>
      </c>
      <c r="L9" s="255">
        <f>+E9</f>
        <v>7599000</v>
      </c>
      <c r="M9" s="240">
        <f t="shared" ref="M9:M15" si="0">H9+J9+K9</f>
        <v>8688883.9800000004</v>
      </c>
      <c r="N9" s="240">
        <f>+H9</f>
        <v>8143941.9900000002</v>
      </c>
      <c r="O9" s="258" t="s">
        <v>674</v>
      </c>
      <c r="P9" s="253" t="s">
        <v>599</v>
      </c>
      <c r="Q9" s="253" t="str">
        <f>+P9</f>
        <v>Not applicable</v>
      </c>
      <c r="R9" s="253">
        <f>+EMISSÕES!AI7</f>
        <v>3</v>
      </c>
      <c r="S9" s="259" t="s">
        <v>693</v>
      </c>
      <c r="T9" s="253">
        <f>+R9</f>
        <v>3</v>
      </c>
      <c r="U9" s="261" t="str">
        <f>+TEXT(EMISSÕES!M7,"AAAA-MM-DD")</f>
        <v>2016-10-06</v>
      </c>
      <c r="V9" s="260" t="str">
        <f>+TEXT(EMISSÕES!T7,"AAAA-MM-DD")</f>
        <v>2025-10-06</v>
      </c>
      <c r="W9" s="260" t="str">
        <f>+Y9</f>
        <v>2026-10-06</v>
      </c>
      <c r="X9" s="261">
        <f>+X8</f>
        <v>0</v>
      </c>
      <c r="Y9" s="260" t="str">
        <f>+TEXT(EMISSÕES!N7,"AAAA-MM-DD")</f>
        <v>2026-10-06</v>
      </c>
      <c r="Z9" s="253" t="s">
        <v>687</v>
      </c>
      <c r="AA9" s="253" t="s">
        <v>673</v>
      </c>
      <c r="AB9" s="253" t="s">
        <v>635</v>
      </c>
      <c r="AC9" s="253" t="s">
        <v>671</v>
      </c>
      <c r="AD9" s="259" t="s">
        <v>693</v>
      </c>
      <c r="AE9" s="259" t="s">
        <v>693</v>
      </c>
      <c r="AF9" s="253" t="b">
        <v>0</v>
      </c>
      <c r="AG9" s="253" t="b">
        <v>0</v>
      </c>
      <c r="AH9" s="259" t="s">
        <v>693</v>
      </c>
      <c r="AI9" s="252" t="s">
        <v>650</v>
      </c>
      <c r="AJ9" s="259" t="s">
        <v>693</v>
      </c>
      <c r="AK9" s="259" t="s">
        <v>693</v>
      </c>
      <c r="AL9" s="253" t="s">
        <v>599</v>
      </c>
      <c r="AM9" s="253" t="s">
        <v>599</v>
      </c>
      <c r="AN9" s="253" t="s">
        <v>599</v>
      </c>
      <c r="AO9" t="s">
        <v>694</v>
      </c>
      <c r="AP9" s="255">
        <f>+EMISSÕES!I7</f>
        <v>7599000</v>
      </c>
      <c r="AQ9" s="255">
        <f>+EMISSÕES!I7/EMISSÕES!J7</f>
        <v>7599</v>
      </c>
      <c r="AR9" s="242">
        <f>+ROUND(EMISSÕES!J7,0)</f>
        <v>1000</v>
      </c>
      <c r="AS9" s="242">
        <f>+AR9</f>
        <v>1000</v>
      </c>
      <c r="AT9" s="266">
        <f>+ROUND(EMISSÕES!AG7,4)</f>
        <v>544941.98629999999</v>
      </c>
      <c r="AU9">
        <v>0</v>
      </c>
      <c r="AV9" s="241" t="s">
        <v>693</v>
      </c>
      <c r="AW9" s="259" t="s">
        <v>693</v>
      </c>
      <c r="AX9" s="259" t="s">
        <v>693</v>
      </c>
      <c r="AY9" s="253" t="s">
        <v>599</v>
      </c>
      <c r="AZ9" s="253" t="s">
        <v>695</v>
      </c>
      <c r="BA9" s="253" t="s">
        <v>696</v>
      </c>
      <c r="BB9" s="253" t="s">
        <v>697</v>
      </c>
      <c r="BC9" s="253" t="s">
        <v>599</v>
      </c>
      <c r="BD9" s="252" t="s">
        <v>599</v>
      </c>
      <c r="BE9" s="252" t="s">
        <v>599</v>
      </c>
      <c r="BF9" s="253" t="s">
        <v>599</v>
      </c>
      <c r="BG9" s="253" t="s">
        <v>599</v>
      </c>
      <c r="BH9" s="252" t="s">
        <v>599</v>
      </c>
      <c r="BI9" s="252" t="s">
        <v>599</v>
      </c>
      <c r="BJ9" s="253" t="str">
        <f>+BA9</f>
        <v>INTERBOLSA_PT</v>
      </c>
      <c r="BK9" s="253" t="str">
        <f>+BB9</f>
        <v>529900LG70TCAGWCXT47</v>
      </c>
      <c r="BL9" s="253" t="s">
        <v>599</v>
      </c>
      <c r="BM9" s="253" t="s">
        <v>599</v>
      </c>
      <c r="BN9" s="253" t="s">
        <v>599</v>
      </c>
      <c r="BO9" s="253" t="s">
        <v>599</v>
      </c>
      <c r="BP9" s="252" t="s">
        <v>665</v>
      </c>
      <c r="BQ9" s="255">
        <v>1669469.4831506908</v>
      </c>
      <c r="BR9" s="252" t="s">
        <v>599</v>
      </c>
      <c r="BS9" s="263" t="s">
        <v>693</v>
      </c>
      <c r="BT9" s="254">
        <f>+ROUND(0,2)</f>
        <v>0</v>
      </c>
      <c r="BU9" s="253" t="s">
        <v>599</v>
      </c>
      <c r="BV9" s="253" t="s">
        <v>599</v>
      </c>
      <c r="BW9" s="253" t="s">
        <v>599</v>
      </c>
      <c r="BX9" s="252" t="s">
        <v>599</v>
      </c>
      <c r="BY9" s="240">
        <f>+H9-I9</f>
        <v>8143941.9900000002</v>
      </c>
      <c r="BZ9" s="253" t="s">
        <v>628</v>
      </c>
      <c r="CA9" s="255">
        <f>+BY9</f>
        <v>8143941.9900000002</v>
      </c>
      <c r="CB9" s="252" t="s">
        <v>628</v>
      </c>
      <c r="CC9" s="253" t="b">
        <v>0</v>
      </c>
      <c r="CD9" s="253" t="b">
        <v>1</v>
      </c>
    </row>
    <row r="10" spans="1:82">
      <c r="A10" s="252">
        <v>1</v>
      </c>
      <c r="B10" s="252" t="str">
        <f>+EMISSÕES!AK6</f>
        <v>PTCPP0AM0007000</v>
      </c>
      <c r="C10" s="253" t="str">
        <f>+EMISSÕES!AL6</f>
        <v>PTCPP0AM0007</v>
      </c>
      <c r="D10" s="253" t="s">
        <v>47</v>
      </c>
      <c r="E10" s="255">
        <f>+EMISSÕES!I6</f>
        <v>1585169628</v>
      </c>
      <c r="F10" s="255">
        <v>0</v>
      </c>
      <c r="G10" s="253" t="s">
        <v>1</v>
      </c>
      <c r="H10" s="255">
        <f>+ROUND(EMISSÕES!AM6,2)</f>
        <v>1585169628</v>
      </c>
      <c r="I10" s="255">
        <f>-'BA_BST individual (ifrs9)'!BJ42</f>
        <v>19146966</v>
      </c>
      <c r="J10" s="240">
        <f>+ROUND(EMISSÕES!AG6,2)</f>
        <v>0</v>
      </c>
      <c r="K10" s="254">
        <v>0</v>
      </c>
      <c r="L10" s="254">
        <f>+E10</f>
        <v>1585169628</v>
      </c>
      <c r="M10" s="240">
        <f t="shared" si="0"/>
        <v>1585169628</v>
      </c>
      <c r="N10" s="240">
        <f>+H10</f>
        <v>1585169628</v>
      </c>
      <c r="O10" s="253" t="s">
        <v>581</v>
      </c>
      <c r="P10" s="253" t="s">
        <v>599</v>
      </c>
      <c r="Q10" s="253" t="str">
        <f>+P10</f>
        <v>Not applicable</v>
      </c>
      <c r="R10" s="253">
        <f>+EMISSÕES!AI6</f>
        <v>1</v>
      </c>
      <c r="S10" s="259" t="s">
        <v>693</v>
      </c>
      <c r="T10" s="253">
        <f>+R10</f>
        <v>1</v>
      </c>
      <c r="U10" s="260" t="str">
        <f>+TEXT(EMISSÕES!M6,"AAAA-MM-DD")</f>
        <v>1992-01-05</v>
      </c>
      <c r="V10" s="262" t="str">
        <f>+TEXT(EMISSÕES!T6,"AAAA-MM-DD")</f>
        <v>0001-01-01</v>
      </c>
      <c r="W10" s="261" t="str">
        <f>+Y10</f>
        <v>2099-01-31</v>
      </c>
      <c r="X10" s="260" t="str">
        <f>+V10</f>
        <v>0001-01-01</v>
      </c>
      <c r="Y10" s="261" t="str">
        <f>+TEXT(EMISSÕES!N6,"AAAA-MM-DD")</f>
        <v>2099-01-31</v>
      </c>
      <c r="Z10" s="253" t="s">
        <v>687</v>
      </c>
      <c r="AA10" s="253" t="s">
        <v>673</v>
      </c>
      <c r="AB10" s="253" t="s">
        <v>635</v>
      </c>
      <c r="AC10" s="253" t="s">
        <v>671</v>
      </c>
      <c r="AD10" s="259" t="s">
        <v>693</v>
      </c>
      <c r="AE10" s="259" t="s">
        <v>693</v>
      </c>
      <c r="AF10" s="253" t="b">
        <v>0</v>
      </c>
      <c r="AG10" s="253" t="b">
        <v>0</v>
      </c>
      <c r="AH10" s="259" t="s">
        <v>693</v>
      </c>
      <c r="AI10" s="252" t="s">
        <v>650</v>
      </c>
      <c r="AJ10" s="259" t="s">
        <v>693</v>
      </c>
      <c r="AK10" s="259" t="s">
        <v>693</v>
      </c>
      <c r="AL10" s="253" t="s">
        <v>599</v>
      </c>
      <c r="AM10" s="253" t="s">
        <v>599</v>
      </c>
      <c r="AN10" s="253" t="s">
        <v>599</v>
      </c>
      <c r="AO10" t="s">
        <v>694</v>
      </c>
      <c r="AP10" s="255">
        <f>+EMISSÕES!I6</f>
        <v>1585169628</v>
      </c>
      <c r="AQ10" s="255">
        <f>+EMISSÕES!I6/EMISSÕES!J6</f>
        <v>1585169.628</v>
      </c>
      <c r="AR10" s="242">
        <f>+ROUND(EMISSÕES!J6,0)</f>
        <v>1000</v>
      </c>
      <c r="AS10" s="242">
        <f>+AR10</f>
        <v>1000</v>
      </c>
      <c r="AT10" s="266">
        <f>+ROUND(EMISSÕES!AG6,4)</f>
        <v>0</v>
      </c>
      <c r="AU10">
        <v>0</v>
      </c>
      <c r="AV10" s="241" t="s">
        <v>693</v>
      </c>
      <c r="AW10" s="259" t="s">
        <v>693</v>
      </c>
      <c r="AX10" s="259" t="s">
        <v>693</v>
      </c>
      <c r="AY10" s="253" t="s">
        <v>599</v>
      </c>
      <c r="AZ10" s="253" t="s">
        <v>695</v>
      </c>
      <c r="BA10" s="253" t="s">
        <v>696</v>
      </c>
      <c r="BB10" s="253" t="s">
        <v>697</v>
      </c>
      <c r="BC10" s="253" t="s">
        <v>599</v>
      </c>
      <c r="BD10" s="252" t="s">
        <v>599</v>
      </c>
      <c r="BE10" s="252" t="s">
        <v>599</v>
      </c>
      <c r="BF10" s="253" t="s">
        <v>599</v>
      </c>
      <c r="BG10" s="253" t="s">
        <v>599</v>
      </c>
      <c r="BH10" s="252" t="s">
        <v>599</v>
      </c>
      <c r="BI10" s="252" t="s">
        <v>599</v>
      </c>
      <c r="BJ10" s="253" t="str">
        <f>+BA10</f>
        <v>INTERBOLSA_PT</v>
      </c>
      <c r="BK10" s="253" t="str">
        <f>+BB10</f>
        <v>529900LG70TCAGWCXT47</v>
      </c>
      <c r="BL10" s="253" t="s">
        <v>599</v>
      </c>
      <c r="BM10" s="253" t="s">
        <v>599</v>
      </c>
      <c r="BN10" s="253" t="s">
        <v>599</v>
      </c>
      <c r="BO10" s="253" t="s">
        <v>599</v>
      </c>
      <c r="BP10" s="253" t="s">
        <v>595</v>
      </c>
      <c r="BQ10" s="255">
        <f>+E10-I10</f>
        <v>1566022662</v>
      </c>
      <c r="BR10" s="252" t="s">
        <v>599</v>
      </c>
      <c r="BS10" s="263" t="s">
        <v>693</v>
      </c>
      <c r="BT10" s="254">
        <f>+ROUND(0,2)</f>
        <v>0</v>
      </c>
      <c r="BU10" s="253" t="s">
        <v>599</v>
      </c>
      <c r="BV10" s="253" t="s">
        <v>599</v>
      </c>
      <c r="BW10" s="253" t="s">
        <v>599</v>
      </c>
      <c r="BX10" s="252" t="s">
        <v>599</v>
      </c>
      <c r="BY10" s="240">
        <f>+H10-I10</f>
        <v>1566022662</v>
      </c>
      <c r="BZ10" s="253" t="s">
        <v>606</v>
      </c>
      <c r="CA10" s="255">
        <f>+BY10</f>
        <v>1566022662</v>
      </c>
      <c r="CB10" s="252" t="s">
        <v>606</v>
      </c>
      <c r="CC10" s="253" t="b">
        <v>0</v>
      </c>
      <c r="CD10" s="253" t="b">
        <v>1</v>
      </c>
    </row>
    <row r="11" spans="1:82">
      <c r="A11" s="252">
        <f>+A10+1</f>
        <v>2</v>
      </c>
      <c r="B11" s="252" t="str">
        <f>+EMISSÕES!AK11</f>
        <v>PTSTOCOM0007000</v>
      </c>
      <c r="C11" s="253" t="str">
        <f>+EMISSÕES!AL11</f>
        <v>PTSTOCOM0007</v>
      </c>
      <c r="D11" s="253" t="s">
        <v>47</v>
      </c>
      <c r="E11" s="254">
        <f>+EMISSÕES!I11</f>
        <v>400000000</v>
      </c>
      <c r="F11" s="255">
        <v>0</v>
      </c>
      <c r="G11" s="253" t="s">
        <v>1</v>
      </c>
      <c r="H11" s="254">
        <f>+ROUND(EMISSÕES!AM11,2)</f>
        <v>400000000</v>
      </c>
      <c r="I11" s="253">
        <v>0</v>
      </c>
      <c r="J11" s="240">
        <f>+ROUND(EMISSÕES!AG11,2)</f>
        <v>0</v>
      </c>
      <c r="K11" s="254">
        <v>0</v>
      </c>
      <c r="L11" s="254">
        <f>+E11</f>
        <v>400000000</v>
      </c>
      <c r="M11" s="240">
        <f t="shared" si="0"/>
        <v>400000000</v>
      </c>
      <c r="N11" s="240">
        <f>+H11</f>
        <v>400000000</v>
      </c>
      <c r="O11" s="257" t="s">
        <v>674</v>
      </c>
      <c r="P11" s="253" t="s">
        <v>599</v>
      </c>
      <c r="Q11" s="253" t="str">
        <f>+P11</f>
        <v>Not applicable</v>
      </c>
      <c r="R11" s="253">
        <f>+EMISSÕES!AI11</f>
        <v>2</v>
      </c>
      <c r="S11" s="259" t="s">
        <v>693</v>
      </c>
      <c r="T11" s="253">
        <f>+R11</f>
        <v>2</v>
      </c>
      <c r="U11" s="260" t="str">
        <f>+TEXT(EMISSÕES!M11,"AAAA-MM-DD")</f>
        <v>2021-01-14</v>
      </c>
      <c r="V11" s="261" t="str">
        <f>+TEXT(EMISSÕES!T11,"AAAA-MM-DD")</f>
        <v>0001-01-01</v>
      </c>
      <c r="W11" s="261" t="str">
        <f>+Y11</f>
        <v>2099-01-31</v>
      </c>
      <c r="X11" s="260" t="str">
        <f>+X10</f>
        <v>0001-01-01</v>
      </c>
      <c r="Y11" s="261" t="str">
        <f>+TEXT(EMISSÕES!N11,"AAAA-MM-DD")</f>
        <v>2099-01-31</v>
      </c>
      <c r="Z11" s="253" t="s">
        <v>687</v>
      </c>
      <c r="AA11" s="253" t="s">
        <v>673</v>
      </c>
      <c r="AB11" s="253" t="s">
        <v>635</v>
      </c>
      <c r="AC11" s="253" t="s">
        <v>671</v>
      </c>
      <c r="AD11" s="259" t="s">
        <v>693</v>
      </c>
      <c r="AE11" s="259" t="s">
        <v>693</v>
      </c>
      <c r="AF11" s="253" t="b">
        <v>0</v>
      </c>
      <c r="AG11" s="253" t="b">
        <v>0</v>
      </c>
      <c r="AH11" s="259" t="s">
        <v>693</v>
      </c>
      <c r="AI11" s="252" t="s">
        <v>650</v>
      </c>
      <c r="AJ11" s="259" t="s">
        <v>693</v>
      </c>
      <c r="AK11" s="259" t="s">
        <v>693</v>
      </c>
      <c r="AL11" s="253" t="s">
        <v>599</v>
      </c>
      <c r="AM11" s="253" t="s">
        <v>599</v>
      </c>
      <c r="AN11" s="253" t="s">
        <v>599</v>
      </c>
      <c r="AO11" t="s">
        <v>694</v>
      </c>
      <c r="AP11" s="255">
        <f>+EMISSÕES!I11</f>
        <v>400000000</v>
      </c>
      <c r="AQ11" s="255">
        <f>+EMISSÕES!I11/EMISSÕES!J11</f>
        <v>4000</v>
      </c>
      <c r="AR11" s="242">
        <f>+ROUND(EMISSÕES!J11,0)</f>
        <v>100000</v>
      </c>
      <c r="AS11" s="242">
        <f>+AR11</f>
        <v>100000</v>
      </c>
      <c r="AT11" s="266">
        <f>+ROUND(EMISSÕES!AG11,4)</f>
        <v>0</v>
      </c>
      <c r="AU11">
        <v>0</v>
      </c>
      <c r="AV11" s="241" t="s">
        <v>693</v>
      </c>
      <c r="AW11" s="259" t="s">
        <v>693</v>
      </c>
      <c r="AX11" s="259" t="s">
        <v>693</v>
      </c>
      <c r="AY11" s="253" t="s">
        <v>599</v>
      </c>
      <c r="AZ11" s="253" t="s">
        <v>695</v>
      </c>
      <c r="BA11" s="253" t="s">
        <v>696</v>
      </c>
      <c r="BB11" s="253" t="s">
        <v>697</v>
      </c>
      <c r="BC11" s="253" t="s">
        <v>599</v>
      </c>
      <c r="BD11" s="252" t="s">
        <v>599</v>
      </c>
      <c r="BE11" s="252" t="s">
        <v>599</v>
      </c>
      <c r="BF11" s="253" t="s">
        <v>599</v>
      </c>
      <c r="BG11" s="253" t="s">
        <v>599</v>
      </c>
      <c r="BH11" s="252" t="s">
        <v>599</v>
      </c>
      <c r="BI11" s="252" t="s">
        <v>599</v>
      </c>
      <c r="BJ11" s="253" t="str">
        <f>+BA11</f>
        <v>INTERBOLSA_PT</v>
      </c>
      <c r="BK11" s="253" t="str">
        <f>+BB11</f>
        <v>529900LG70TCAGWCXT47</v>
      </c>
      <c r="BL11" s="253" t="s">
        <v>599</v>
      </c>
      <c r="BM11" s="253" t="s">
        <v>599</v>
      </c>
      <c r="BN11" s="253" t="s">
        <v>599</v>
      </c>
      <c r="BO11" s="253" t="s">
        <v>599</v>
      </c>
      <c r="BP11" s="253" t="s">
        <v>600</v>
      </c>
      <c r="BQ11" s="254">
        <f>+E11+J11</f>
        <v>400000000</v>
      </c>
      <c r="BR11" s="252" t="s">
        <v>599</v>
      </c>
      <c r="BS11" s="263" t="s">
        <v>693</v>
      </c>
      <c r="BT11" s="254">
        <f>+ROUND(0,2)</f>
        <v>0</v>
      </c>
      <c r="BU11" s="253" t="s">
        <v>599</v>
      </c>
      <c r="BV11" s="253" t="s">
        <v>599</v>
      </c>
      <c r="BW11" s="253" t="s">
        <v>599</v>
      </c>
      <c r="BX11" s="252" t="s">
        <v>599</v>
      </c>
      <c r="BY11" s="240">
        <f>+H11-I11</f>
        <v>400000000</v>
      </c>
      <c r="BZ11" s="252" t="s">
        <v>628</v>
      </c>
      <c r="CA11" s="255">
        <f>+BY11</f>
        <v>400000000</v>
      </c>
      <c r="CB11" s="252" t="s">
        <v>628</v>
      </c>
      <c r="CC11" s="253" t="b">
        <v>0</v>
      </c>
      <c r="CD11" s="253" t="b">
        <v>1</v>
      </c>
    </row>
    <row r="12" spans="1:82">
      <c r="A12" s="252">
        <f>+A11+1</f>
        <v>3</v>
      </c>
      <c r="B12" s="252" t="str">
        <f>+EMISSÕES!AK9</f>
        <v>PTSTOEOM0021000</v>
      </c>
      <c r="C12" s="253" t="str">
        <f>+EMISSÕES!AL9</f>
        <v>PTSTOEOM0021</v>
      </c>
      <c r="D12" s="253" t="s">
        <v>47</v>
      </c>
      <c r="E12" s="254">
        <f>+EMISSÕES!I9</f>
        <v>600000000</v>
      </c>
      <c r="F12" s="255">
        <v>0</v>
      </c>
      <c r="G12" s="253" t="s">
        <v>1</v>
      </c>
      <c r="H12" s="255">
        <f>+ROUND(EMISSÕES!AM9,2)</f>
        <v>605515101.37</v>
      </c>
      <c r="I12" s="253">
        <v>0</v>
      </c>
      <c r="J12" s="240">
        <f>+ROUND(EMISSÕES!AG9,2)</f>
        <v>5515101.3700000001</v>
      </c>
      <c r="K12" s="254">
        <v>0</v>
      </c>
      <c r="L12" s="255">
        <f>+E12</f>
        <v>600000000</v>
      </c>
      <c r="M12" s="240">
        <f t="shared" si="0"/>
        <v>611030202.74000001</v>
      </c>
      <c r="N12" s="240">
        <f>+H12</f>
        <v>605515101.37</v>
      </c>
      <c r="O12" s="258" t="s">
        <v>674</v>
      </c>
      <c r="P12" s="253" t="s">
        <v>599</v>
      </c>
      <c r="Q12" s="253" t="str">
        <f>+P12</f>
        <v>Not applicable</v>
      </c>
      <c r="R12" s="253">
        <f>+EMISSÕES!AI9</f>
        <v>8</v>
      </c>
      <c r="S12" s="259" t="s">
        <v>693</v>
      </c>
      <c r="T12" s="253">
        <f>+R12</f>
        <v>8</v>
      </c>
      <c r="U12" s="261" t="str">
        <f>+TEXT(EMISSÕES!M9,"AAAA-MM-DD")</f>
        <v>2022-06-03</v>
      </c>
      <c r="V12" s="260" t="str">
        <f>+TEXT(EMISSÕES!T9,"AAAA-MM-DD")</f>
        <v>2026-06-03</v>
      </c>
      <c r="W12" s="261" t="str">
        <f>+Y12</f>
        <v>2028-06-03</v>
      </c>
      <c r="X12" s="260" t="str">
        <f>+X11</f>
        <v>0001-01-01</v>
      </c>
      <c r="Y12" s="261" t="str">
        <f>+TEXT(EMISSÕES!N9,"AAAA-MM-DD")</f>
        <v>2028-06-03</v>
      </c>
      <c r="Z12" s="253" t="s">
        <v>687</v>
      </c>
      <c r="AA12" s="253" t="s">
        <v>673</v>
      </c>
      <c r="AB12" s="253" t="s">
        <v>635</v>
      </c>
      <c r="AC12" s="253" t="s">
        <v>671</v>
      </c>
      <c r="AD12" s="259" t="s">
        <v>693</v>
      </c>
      <c r="AE12" s="259" t="s">
        <v>693</v>
      </c>
      <c r="AF12" s="253" t="b">
        <v>0</v>
      </c>
      <c r="AG12" s="253" t="b">
        <v>0</v>
      </c>
      <c r="AH12" s="259" t="s">
        <v>693</v>
      </c>
      <c r="AI12" s="252" t="s">
        <v>650</v>
      </c>
      <c r="AJ12" s="259" t="s">
        <v>693</v>
      </c>
      <c r="AK12" s="259" t="s">
        <v>693</v>
      </c>
      <c r="AL12" s="253" t="s">
        <v>599</v>
      </c>
      <c r="AM12" s="253" t="s">
        <v>599</v>
      </c>
      <c r="AN12" s="253" t="s">
        <v>599</v>
      </c>
      <c r="AO12" t="s">
        <v>694</v>
      </c>
      <c r="AP12" s="255">
        <f>+EMISSÕES!I9</f>
        <v>600000000</v>
      </c>
      <c r="AQ12" s="255">
        <f>+EMISSÕES!I9/EMISSÕES!J9</f>
        <v>6000</v>
      </c>
      <c r="AR12" s="242">
        <f>+ROUND(EMISSÕES!J9,0)</f>
        <v>100000</v>
      </c>
      <c r="AS12" s="242">
        <f>+AR12</f>
        <v>100000</v>
      </c>
      <c r="AT12" s="266">
        <f>+ROUND(EMISSÕES!AG9,4)</f>
        <v>5515101.3699000003</v>
      </c>
      <c r="AU12">
        <v>0</v>
      </c>
      <c r="AV12" s="241" t="s">
        <v>693</v>
      </c>
      <c r="AW12" s="259" t="s">
        <v>693</v>
      </c>
      <c r="AX12" s="259" t="s">
        <v>693</v>
      </c>
      <c r="AY12" s="253" t="s">
        <v>599</v>
      </c>
      <c r="AZ12" s="253" t="s">
        <v>695</v>
      </c>
      <c r="BA12" s="253" t="s">
        <v>696</v>
      </c>
      <c r="BB12" s="253" t="s">
        <v>697</v>
      </c>
      <c r="BC12" s="253" t="s">
        <v>599</v>
      </c>
      <c r="BD12" s="252" t="s">
        <v>599</v>
      </c>
      <c r="BE12" s="252" t="s">
        <v>599</v>
      </c>
      <c r="BF12" s="253" t="s">
        <v>599</v>
      </c>
      <c r="BG12" s="253" t="s">
        <v>599</v>
      </c>
      <c r="BH12" s="252" t="s">
        <v>599</v>
      </c>
      <c r="BI12" s="252" t="s">
        <v>599</v>
      </c>
      <c r="BJ12" s="253" t="str">
        <f>+BA12</f>
        <v>INTERBOLSA_PT</v>
      </c>
      <c r="BK12" s="253" t="str">
        <f>+BB12</f>
        <v>529900LG70TCAGWCXT47</v>
      </c>
      <c r="BL12" s="253" t="s">
        <v>599</v>
      </c>
      <c r="BM12" s="253" t="s">
        <v>599</v>
      </c>
      <c r="BN12" s="253" t="s">
        <v>599</v>
      </c>
      <c r="BO12" s="253" t="s">
        <v>599</v>
      </c>
      <c r="BP12" s="256" t="s">
        <v>590</v>
      </c>
      <c r="BQ12" s="255">
        <f>+E12+J12</f>
        <v>605515101.37</v>
      </c>
      <c r="BR12" s="252" t="s">
        <v>599</v>
      </c>
      <c r="BS12" s="263" t="s">
        <v>693</v>
      </c>
      <c r="BT12" s="254">
        <f>+ROUND(0,2)</f>
        <v>0</v>
      </c>
      <c r="BU12" s="253" t="s">
        <v>599</v>
      </c>
      <c r="BV12" s="253" t="s">
        <v>599</v>
      </c>
      <c r="BW12" s="253" t="s">
        <v>599</v>
      </c>
      <c r="BX12" s="252" t="s">
        <v>599</v>
      </c>
      <c r="BY12" s="240">
        <f>+H12-I12</f>
        <v>605515101.37</v>
      </c>
      <c r="BZ12" s="253" t="s">
        <v>628</v>
      </c>
      <c r="CA12" s="255">
        <f>+BY12</f>
        <v>605515101.37</v>
      </c>
      <c r="CB12" s="252" t="s">
        <v>628</v>
      </c>
      <c r="CC12" s="253" t="b">
        <v>0</v>
      </c>
      <c r="CD12" s="253" t="b">
        <v>1</v>
      </c>
    </row>
    <row r="13" spans="1:82">
      <c r="A13" s="252">
        <f>+A12+1</f>
        <v>4</v>
      </c>
      <c r="B13" s="252" t="str">
        <f>+EMISSÕES!AK8</f>
        <v>PTSTOFOM0004000</v>
      </c>
      <c r="C13" s="253" t="str">
        <f>+EMISSÕES!AL8</f>
        <v>PTSTOFOM0004</v>
      </c>
      <c r="D13" s="253" t="s">
        <v>47</v>
      </c>
      <c r="E13" s="254">
        <f>+EMISSÕES!I8</f>
        <v>200000000</v>
      </c>
      <c r="F13" s="255">
        <v>0</v>
      </c>
      <c r="G13" s="253" t="s">
        <v>1</v>
      </c>
      <c r="H13" s="255">
        <f>+ROUND(EMISSÕES!AM8,2)</f>
        <v>202660504.11000001</v>
      </c>
      <c r="I13" s="253">
        <v>0</v>
      </c>
      <c r="J13" s="240">
        <f>+ROUND(EMISSÕES!AG8,2)</f>
        <v>2660504.11</v>
      </c>
      <c r="K13" s="254">
        <v>0</v>
      </c>
      <c r="L13" s="255">
        <f>+E13</f>
        <v>200000000</v>
      </c>
      <c r="M13" s="240">
        <f t="shared" si="0"/>
        <v>205321008.22000003</v>
      </c>
      <c r="N13" s="240">
        <f>+H13</f>
        <v>202660504.11000001</v>
      </c>
      <c r="O13" s="258" t="s">
        <v>674</v>
      </c>
      <c r="P13" s="253" t="s">
        <v>599</v>
      </c>
      <c r="Q13" s="253" t="str">
        <f>+P13</f>
        <v>Not applicable</v>
      </c>
      <c r="R13" s="253">
        <f>+EMISSÕES!AI8</f>
        <v>3</v>
      </c>
      <c r="S13" s="259" t="s">
        <v>693</v>
      </c>
      <c r="T13" s="253">
        <f>+R13</f>
        <v>3</v>
      </c>
      <c r="U13" s="261" t="str">
        <f>+TEXT(EMISSÕES!M8,"AAAA-MM-DD")</f>
        <v>2022-06-09</v>
      </c>
      <c r="V13" s="260" t="str">
        <f>+TEXT(EMISSÕES!T8,"AAAA-MM-DD")</f>
        <v>2026-06-09</v>
      </c>
      <c r="W13" s="261" t="str">
        <f>+Y13</f>
        <v>2032-06-09</v>
      </c>
      <c r="X13" s="260" t="str">
        <f>+X12</f>
        <v>0001-01-01</v>
      </c>
      <c r="Y13" s="261" t="str">
        <f>+TEXT(EMISSÕES!N8,"AAAA-MM-DD")</f>
        <v>2032-06-09</v>
      </c>
      <c r="Z13" s="253" t="s">
        <v>687</v>
      </c>
      <c r="AA13" s="253" t="s">
        <v>673</v>
      </c>
      <c r="AB13" s="253" t="s">
        <v>635</v>
      </c>
      <c r="AC13" s="253" t="s">
        <v>671</v>
      </c>
      <c r="AD13" s="259" t="s">
        <v>693</v>
      </c>
      <c r="AE13" s="259" t="s">
        <v>693</v>
      </c>
      <c r="AF13" s="253" t="b">
        <v>0</v>
      </c>
      <c r="AG13" s="253" t="b">
        <v>0</v>
      </c>
      <c r="AH13" s="259" t="s">
        <v>693</v>
      </c>
      <c r="AI13" s="252" t="s">
        <v>650</v>
      </c>
      <c r="AJ13" s="259" t="s">
        <v>693</v>
      </c>
      <c r="AK13" s="259" t="s">
        <v>693</v>
      </c>
      <c r="AL13" s="253" t="s">
        <v>599</v>
      </c>
      <c r="AM13" s="253" t="s">
        <v>599</v>
      </c>
      <c r="AN13" s="253" t="s">
        <v>599</v>
      </c>
      <c r="AO13" t="s">
        <v>694</v>
      </c>
      <c r="AP13" s="255">
        <f>+EMISSÕES!I8</f>
        <v>200000000</v>
      </c>
      <c r="AQ13" s="255">
        <f>+EMISSÕES!I8/EMISSÕES!J8</f>
        <v>2000</v>
      </c>
      <c r="AR13" s="242">
        <f>+ROUND(EMISSÕES!J8,0)</f>
        <v>100000</v>
      </c>
      <c r="AS13" s="242">
        <f>+AR13</f>
        <v>100000</v>
      </c>
      <c r="AT13" s="266">
        <f>+ROUND(EMISSÕES!AG8,4)</f>
        <v>2660504.1096000001</v>
      </c>
      <c r="AU13">
        <v>0</v>
      </c>
      <c r="AV13" s="241" t="s">
        <v>693</v>
      </c>
      <c r="AW13" s="259" t="s">
        <v>693</v>
      </c>
      <c r="AX13" s="259" t="s">
        <v>693</v>
      </c>
      <c r="AY13" s="253" t="s">
        <v>599</v>
      </c>
      <c r="AZ13" s="253" t="s">
        <v>695</v>
      </c>
      <c r="BA13" s="253" t="s">
        <v>696</v>
      </c>
      <c r="BB13" s="253" t="s">
        <v>697</v>
      </c>
      <c r="BC13" s="253" t="s">
        <v>599</v>
      </c>
      <c r="BD13" s="252" t="s">
        <v>599</v>
      </c>
      <c r="BE13" s="252" t="s">
        <v>599</v>
      </c>
      <c r="BF13" s="253" t="s">
        <v>599</v>
      </c>
      <c r="BG13" s="253" t="s">
        <v>599</v>
      </c>
      <c r="BH13" s="252" t="s">
        <v>599</v>
      </c>
      <c r="BI13" s="252" t="s">
        <v>599</v>
      </c>
      <c r="BJ13" s="253" t="str">
        <f>+BA13</f>
        <v>INTERBOLSA_PT</v>
      </c>
      <c r="BK13" s="253" t="str">
        <f>+BB13</f>
        <v>529900LG70TCAGWCXT47</v>
      </c>
      <c r="BL13" s="253" t="s">
        <v>599</v>
      </c>
      <c r="BM13" s="253" t="s">
        <v>599</v>
      </c>
      <c r="BN13" s="253" t="s">
        <v>599</v>
      </c>
      <c r="BO13" s="253" t="s">
        <v>599</v>
      </c>
      <c r="BP13" s="253" t="s">
        <v>630</v>
      </c>
      <c r="BQ13" s="255">
        <f>+E13+J13</f>
        <v>202660504.11000001</v>
      </c>
      <c r="BR13" s="252" t="s">
        <v>599</v>
      </c>
      <c r="BS13" s="263" t="s">
        <v>693</v>
      </c>
      <c r="BT13" s="254">
        <f>+ROUND(0,2)</f>
        <v>0</v>
      </c>
      <c r="BU13" s="253" t="s">
        <v>599</v>
      </c>
      <c r="BV13" s="253" t="s">
        <v>599</v>
      </c>
      <c r="BW13" s="253" t="s">
        <v>599</v>
      </c>
      <c r="BX13" s="252" t="s">
        <v>599</v>
      </c>
      <c r="BY13" s="240">
        <f>+H13-I13</f>
        <v>202660504.11000001</v>
      </c>
      <c r="BZ13" s="253" t="s">
        <v>628</v>
      </c>
      <c r="CA13" s="255">
        <f>+BY13</f>
        <v>202660504.11000001</v>
      </c>
      <c r="CB13" s="252" t="s">
        <v>628</v>
      </c>
      <c r="CC13" s="253" t="b">
        <v>0</v>
      </c>
      <c r="CD13" s="253" t="b">
        <v>1</v>
      </c>
    </row>
    <row r="14" spans="1:82">
      <c r="A14" s="252">
        <f>+A13+1</f>
        <v>5</v>
      </c>
      <c r="B14" s="252" t="str">
        <f>+EMISSÕES!AK12</f>
        <v>PTSTOGOM0003000</v>
      </c>
      <c r="C14" s="253" t="str">
        <f>+EMISSÕES!AL12</f>
        <v>PTSTOGOM0003</v>
      </c>
      <c r="D14" s="253" t="s">
        <v>47</v>
      </c>
      <c r="E14" s="254">
        <f>+EMISSÕES!I12</f>
        <v>300000000</v>
      </c>
      <c r="F14" s="255">
        <v>0</v>
      </c>
      <c r="G14" s="253" t="s">
        <v>1</v>
      </c>
      <c r="H14" s="254">
        <f>+ROUND(EMISSÕES!AM12,2)</f>
        <v>300000000</v>
      </c>
      <c r="I14" s="253">
        <v>0</v>
      </c>
      <c r="J14" s="240">
        <f>+ROUND(EMISSÕES!AG12,2)</f>
        <v>0</v>
      </c>
      <c r="K14" s="254">
        <v>0</v>
      </c>
      <c r="L14" s="254">
        <f>+E14</f>
        <v>300000000</v>
      </c>
      <c r="M14" s="240">
        <f t="shared" si="0"/>
        <v>300000000</v>
      </c>
      <c r="N14" s="240">
        <f>+H14</f>
        <v>300000000</v>
      </c>
      <c r="O14" s="257" t="s">
        <v>674</v>
      </c>
      <c r="P14" s="253" t="s">
        <v>599</v>
      </c>
      <c r="Q14" s="253" t="str">
        <f>+P14</f>
        <v>Not applicable</v>
      </c>
      <c r="R14" s="253">
        <f>+EMISSÕES!AI12</f>
        <v>2</v>
      </c>
      <c r="S14" s="259" t="s">
        <v>693</v>
      </c>
      <c r="T14" s="253">
        <f>+R14</f>
        <v>2</v>
      </c>
      <c r="U14" s="260" t="str">
        <f>+TEXT(EMISSÕES!M12,"AAAA-MM-DD")</f>
        <v>2024-02-22</v>
      </c>
      <c r="V14" s="261" t="str">
        <f>+TEXT(EMISSÕES!T12,"AAAA-MM-DD")</f>
        <v>0001-01-01</v>
      </c>
      <c r="W14" s="261" t="str">
        <f>+Y14</f>
        <v>2099-01-31</v>
      </c>
      <c r="X14" s="260" t="str">
        <f>+X13</f>
        <v>0001-01-01</v>
      </c>
      <c r="Y14" s="261" t="str">
        <f>+TEXT(EMISSÕES!N12,"AAAA-MM-DD")</f>
        <v>2099-01-31</v>
      </c>
      <c r="Z14" s="253" t="s">
        <v>687</v>
      </c>
      <c r="AA14" s="253" t="s">
        <v>673</v>
      </c>
      <c r="AB14" s="253" t="s">
        <v>635</v>
      </c>
      <c r="AC14" s="253" t="s">
        <v>671</v>
      </c>
      <c r="AD14" s="259" t="s">
        <v>693</v>
      </c>
      <c r="AE14" s="259" t="s">
        <v>693</v>
      </c>
      <c r="AF14" s="253" t="b">
        <v>0</v>
      </c>
      <c r="AG14" s="253" t="b">
        <v>0</v>
      </c>
      <c r="AH14" s="259" t="s">
        <v>693</v>
      </c>
      <c r="AI14" s="252" t="s">
        <v>650</v>
      </c>
      <c r="AJ14" s="259" t="s">
        <v>693</v>
      </c>
      <c r="AK14" s="259" t="s">
        <v>693</v>
      </c>
      <c r="AL14" s="253" t="s">
        <v>599</v>
      </c>
      <c r="AM14" s="253" t="s">
        <v>599</v>
      </c>
      <c r="AN14" s="253" t="s">
        <v>599</v>
      </c>
      <c r="AO14" t="s">
        <v>694</v>
      </c>
      <c r="AP14" s="255">
        <f>+EMISSÕES!I12</f>
        <v>300000000</v>
      </c>
      <c r="AQ14" s="255">
        <f>+EMISSÕES!I12/EMISSÕES!J12</f>
        <v>3000</v>
      </c>
      <c r="AR14" s="242">
        <f>+ROUND(EMISSÕES!J12,0)</f>
        <v>100000</v>
      </c>
      <c r="AS14" s="242">
        <f>+AR14</f>
        <v>100000</v>
      </c>
      <c r="AT14" s="266">
        <f>+ROUND(EMISSÕES!AG12,4)</f>
        <v>0</v>
      </c>
      <c r="AU14">
        <v>0</v>
      </c>
      <c r="AV14" s="241" t="s">
        <v>693</v>
      </c>
      <c r="AW14" s="259" t="s">
        <v>693</v>
      </c>
      <c r="AX14" s="259" t="s">
        <v>693</v>
      </c>
      <c r="AY14" s="253" t="s">
        <v>599</v>
      </c>
      <c r="AZ14" s="253" t="s">
        <v>695</v>
      </c>
      <c r="BA14" s="253" t="s">
        <v>696</v>
      </c>
      <c r="BB14" s="253" t="s">
        <v>697</v>
      </c>
      <c r="BC14" s="253" t="s">
        <v>599</v>
      </c>
      <c r="BD14" s="252" t="s">
        <v>599</v>
      </c>
      <c r="BE14" s="252" t="s">
        <v>599</v>
      </c>
      <c r="BF14" s="253" t="s">
        <v>599</v>
      </c>
      <c r="BG14" s="253" t="s">
        <v>599</v>
      </c>
      <c r="BH14" s="252" t="s">
        <v>599</v>
      </c>
      <c r="BI14" s="252" t="s">
        <v>599</v>
      </c>
      <c r="BJ14" s="253" t="str">
        <f>+BA14</f>
        <v>INTERBOLSA_PT</v>
      </c>
      <c r="BK14" s="253" t="str">
        <f>+BB14</f>
        <v>529900LG70TCAGWCXT47</v>
      </c>
      <c r="BL14" s="253" t="s">
        <v>599</v>
      </c>
      <c r="BM14" s="253" t="s">
        <v>599</v>
      </c>
      <c r="BN14" s="253" t="s">
        <v>599</v>
      </c>
      <c r="BO14" s="253" t="s">
        <v>599</v>
      </c>
      <c r="BP14" s="253" t="s">
        <v>600</v>
      </c>
      <c r="BQ14" s="254">
        <f>+E14+J14</f>
        <v>300000000</v>
      </c>
      <c r="BR14" s="252" t="s">
        <v>599</v>
      </c>
      <c r="BS14" s="263" t="s">
        <v>693</v>
      </c>
      <c r="BT14" s="254">
        <f>+ROUND(0,2)</f>
        <v>0</v>
      </c>
      <c r="BU14" s="253" t="s">
        <v>599</v>
      </c>
      <c r="BV14" s="253" t="s">
        <v>599</v>
      </c>
      <c r="BW14" s="253" t="s">
        <v>599</v>
      </c>
      <c r="BX14" s="252" t="s">
        <v>599</v>
      </c>
      <c r="BY14" s="240">
        <f>+H14-I14</f>
        <v>300000000</v>
      </c>
      <c r="BZ14" s="252" t="s">
        <v>628</v>
      </c>
      <c r="CA14" s="255">
        <f>+BY14</f>
        <v>300000000</v>
      </c>
      <c r="CB14" s="252" t="s">
        <v>628</v>
      </c>
      <c r="CC14" s="253" t="b">
        <v>0</v>
      </c>
      <c r="CD14" s="253" t="b">
        <v>1</v>
      </c>
    </row>
    <row r="15" spans="1:82">
      <c r="A15" s="252">
        <f>+A14+1</f>
        <v>6</v>
      </c>
      <c r="B15" s="252" t="str">
        <f>+EMISSÕES!AK10</f>
        <v>PTSTOHOM0002000</v>
      </c>
      <c r="C15" s="253" t="str">
        <f>+EMISSÕES!AL10</f>
        <v>PTSTOHOM0002</v>
      </c>
      <c r="D15" s="253" t="s">
        <v>47</v>
      </c>
      <c r="E15" s="254">
        <f>+EMISSÕES!I10</f>
        <v>500000000</v>
      </c>
      <c r="F15" s="255">
        <v>0</v>
      </c>
      <c r="G15" s="253" t="s">
        <v>1</v>
      </c>
      <c r="H15" s="255">
        <f>+ROUND(EMISSÕES!AM10,2)</f>
        <v>502894191.77999997</v>
      </c>
      <c r="I15" s="253">
        <v>0</v>
      </c>
      <c r="J15" s="240">
        <f>+ROUND(EMISSÕES!AG10,2)</f>
        <v>2894191.78</v>
      </c>
      <c r="K15" s="254">
        <v>0</v>
      </c>
      <c r="L15" s="255">
        <f>+E15</f>
        <v>500000000</v>
      </c>
      <c r="M15" s="240">
        <f t="shared" si="0"/>
        <v>505788383.55999994</v>
      </c>
      <c r="N15" s="240">
        <f>+H15</f>
        <v>502894191.77999997</v>
      </c>
      <c r="O15" s="258" t="s">
        <v>674</v>
      </c>
      <c r="P15" s="253" t="s">
        <v>599</v>
      </c>
      <c r="Q15" s="253" t="str">
        <f>+P15</f>
        <v>Not applicable</v>
      </c>
      <c r="R15" s="253">
        <f>+EMISSÕES!AI10</f>
        <v>8</v>
      </c>
      <c r="S15" s="259" t="s">
        <v>693</v>
      </c>
      <c r="T15" s="253">
        <f>+R15</f>
        <v>8</v>
      </c>
      <c r="U15" s="260" t="str">
        <f>+TEXT(EMISSÕES!M10,"AAAA-MM-DD")</f>
        <v>2024-07-30</v>
      </c>
      <c r="V15" s="260" t="str">
        <f>+TEXT(EMISSÕES!T10,"AAAA-MM-DD")</f>
        <v>2026-07-30</v>
      </c>
      <c r="W15" s="260" t="str">
        <f>+Y15</f>
        <v>2030-07-30</v>
      </c>
      <c r="X15" s="260" t="str">
        <f>+X14</f>
        <v>0001-01-01</v>
      </c>
      <c r="Y15" s="260" t="str">
        <f>+TEXT(EMISSÕES!N10,"AAAA-MM-DD")</f>
        <v>2030-07-30</v>
      </c>
      <c r="Z15" s="253" t="s">
        <v>687</v>
      </c>
      <c r="AA15" s="253" t="s">
        <v>673</v>
      </c>
      <c r="AB15" s="253" t="s">
        <v>635</v>
      </c>
      <c r="AC15" s="253" t="s">
        <v>671</v>
      </c>
      <c r="AD15" s="259" t="s">
        <v>693</v>
      </c>
      <c r="AE15" s="259" t="s">
        <v>693</v>
      </c>
      <c r="AF15" s="253" t="b">
        <v>0</v>
      </c>
      <c r="AG15" s="253" t="b">
        <v>0</v>
      </c>
      <c r="AH15" s="259" t="s">
        <v>693</v>
      </c>
      <c r="AI15" s="252" t="s">
        <v>650</v>
      </c>
      <c r="AJ15" s="259" t="s">
        <v>693</v>
      </c>
      <c r="AK15" s="259" t="s">
        <v>693</v>
      </c>
      <c r="AL15" s="253" t="s">
        <v>599</v>
      </c>
      <c r="AM15" s="253" t="s">
        <v>599</v>
      </c>
      <c r="AN15" s="253" t="s">
        <v>599</v>
      </c>
      <c r="AO15" t="s">
        <v>694</v>
      </c>
      <c r="AP15" s="255">
        <f>+EMISSÕES!I10</f>
        <v>500000000</v>
      </c>
      <c r="AQ15" s="255">
        <f>+EMISSÕES!I10/EMISSÕES!J10</f>
        <v>5000</v>
      </c>
      <c r="AR15" s="242">
        <f>+ROUND(EMISSÕES!J10,0)</f>
        <v>100000</v>
      </c>
      <c r="AS15" s="242">
        <f>+AR15</f>
        <v>100000</v>
      </c>
      <c r="AT15" s="266">
        <f>+ROUND(EMISSÕES!AG10,4)</f>
        <v>2894191.7807999998</v>
      </c>
      <c r="AU15">
        <v>0</v>
      </c>
      <c r="AV15" s="241" t="s">
        <v>693</v>
      </c>
      <c r="AW15" s="259" t="s">
        <v>693</v>
      </c>
      <c r="AX15" s="259" t="s">
        <v>693</v>
      </c>
      <c r="AY15" s="253" t="s">
        <v>599</v>
      </c>
      <c r="AZ15" s="253" t="s">
        <v>695</v>
      </c>
      <c r="BA15" s="253" t="s">
        <v>696</v>
      </c>
      <c r="BB15" s="253" t="s">
        <v>697</v>
      </c>
      <c r="BC15" s="253" t="s">
        <v>599</v>
      </c>
      <c r="BD15" s="252" t="s">
        <v>599</v>
      </c>
      <c r="BE15" s="252" t="s">
        <v>599</v>
      </c>
      <c r="BF15" s="253" t="s">
        <v>599</v>
      </c>
      <c r="BG15" s="253" t="s">
        <v>599</v>
      </c>
      <c r="BH15" s="252" t="s">
        <v>599</v>
      </c>
      <c r="BI15" s="252" t="s">
        <v>599</v>
      </c>
      <c r="BJ15" s="253" t="str">
        <f>+BA15</f>
        <v>INTERBOLSA_PT</v>
      </c>
      <c r="BK15" s="253" t="str">
        <f>+BB15</f>
        <v>529900LG70TCAGWCXT47</v>
      </c>
      <c r="BL15" s="253" t="s">
        <v>599</v>
      </c>
      <c r="BM15" s="253" t="s">
        <v>599</v>
      </c>
      <c r="BN15" s="253" t="s">
        <v>599</v>
      </c>
      <c r="BO15" s="253" t="s">
        <v>599</v>
      </c>
      <c r="BP15" s="256" t="s">
        <v>590</v>
      </c>
      <c r="BQ15" s="255">
        <f>+E15+J15</f>
        <v>502894191.77999997</v>
      </c>
      <c r="BR15" s="252" t="s">
        <v>599</v>
      </c>
      <c r="BS15" s="263" t="s">
        <v>693</v>
      </c>
      <c r="BT15" s="254">
        <f>+ROUND(0,2)</f>
        <v>0</v>
      </c>
      <c r="BU15" s="253" t="s">
        <v>599</v>
      </c>
      <c r="BV15" s="253" t="s">
        <v>599</v>
      </c>
      <c r="BW15" s="253" t="s">
        <v>599</v>
      </c>
      <c r="BX15" s="252" t="s">
        <v>599</v>
      </c>
      <c r="BY15" s="240">
        <f>+H15-I15</f>
        <v>502894191.77999997</v>
      </c>
      <c r="BZ15" s="253" t="s">
        <v>628</v>
      </c>
      <c r="CA15" s="255">
        <f>+BY15</f>
        <v>502894191.77999997</v>
      </c>
      <c r="CB15" s="252" t="s">
        <v>628</v>
      </c>
      <c r="CC15" s="253" t="b">
        <v>0</v>
      </c>
      <c r="CD15" s="253" t="b">
        <v>1</v>
      </c>
    </row>
    <row r="16" spans="1:82" s="265" customFormat="1" ht="115.2" customHeight="1">
      <c r="A16" s="265" t="s">
        <v>745</v>
      </c>
      <c r="B16" s="265" t="s">
        <v>746</v>
      </c>
      <c r="E16" s="265" t="s">
        <v>748</v>
      </c>
      <c r="F16" s="265" t="s">
        <v>744</v>
      </c>
      <c r="H16" s="265" t="s">
        <v>747</v>
      </c>
      <c r="I16" s="265" t="s">
        <v>749</v>
      </c>
      <c r="L16" s="265" t="s">
        <v>751</v>
      </c>
    </row>
    <row r="18" spans="9:9">
      <c r="I18" s="240"/>
    </row>
  </sheetData>
  <autoFilter ref="A7:CD7">
    <sortState ref="A8:CC15">
      <sortCondition ref="C7"/>
    </sortState>
  </autoFilter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K16"/>
  <sheetViews>
    <sheetView workbookViewId="0">
      <selection activeCell="F15" sqref="F15"/>
    </sheetView>
  </sheetViews>
  <sheetFormatPr defaultRowHeight="16.2"/>
  <cols>
    <col min="1" max="1" width="9" bestFit="1" customWidth="1"/>
    <col min="3" max="3" width="14.5546875" bestFit="1" customWidth="1"/>
    <col min="4" max="4" width="31.6640625" bestFit="1" customWidth="1"/>
    <col min="5" max="5" width="18.88671875" bestFit="1" customWidth="1"/>
    <col min="6" max="6" width="23.88671875" bestFit="1" customWidth="1"/>
    <col min="8" max="8" width="16.109375" bestFit="1" customWidth="1"/>
    <col min="9" max="9" width="23.88671875" bestFit="1" customWidth="1"/>
    <col min="11" max="11" width="14.88671875" bestFit="1" customWidth="1"/>
  </cols>
  <sheetData>
    <row r="1" spans="1:11" ht="30.6">
      <c r="A1" s="181" t="s">
        <v>176</v>
      </c>
      <c r="B1" s="181" t="s">
        <v>344</v>
      </c>
      <c r="C1" s="181" t="s">
        <v>178</v>
      </c>
      <c r="D1" s="181" t="s">
        <v>345</v>
      </c>
      <c r="E1" s="181" t="s">
        <v>346</v>
      </c>
      <c r="F1" s="181" t="s">
        <v>347</v>
      </c>
      <c r="G1" s="181" t="s">
        <v>348</v>
      </c>
      <c r="H1" s="181" t="s">
        <v>349</v>
      </c>
      <c r="I1" s="181" t="s">
        <v>350</v>
      </c>
      <c r="J1" s="181" t="s">
        <v>351</v>
      </c>
      <c r="K1" s="181" t="s">
        <v>188</v>
      </c>
    </row>
    <row r="2" spans="1:11">
      <c r="A2" s="207" t="s">
        <v>165</v>
      </c>
      <c r="B2" s="187" t="s">
        <v>352</v>
      </c>
      <c r="C2" s="186" t="s">
        <v>166</v>
      </c>
      <c r="D2" s="186" t="s">
        <v>167</v>
      </c>
      <c r="E2" s="186" t="s">
        <v>168</v>
      </c>
      <c r="F2" s="186" t="s">
        <v>170</v>
      </c>
      <c r="G2" s="186" t="s">
        <v>172</v>
      </c>
      <c r="H2" s="186" t="s">
        <v>173</v>
      </c>
      <c r="I2" s="186" t="s">
        <v>174</v>
      </c>
      <c r="J2" s="186" t="s">
        <v>175</v>
      </c>
      <c r="K2" s="187" t="s">
        <v>257</v>
      </c>
    </row>
    <row r="3" spans="1:11">
      <c r="A3" s="208"/>
      <c r="B3" s="178"/>
      <c r="C3" s="209"/>
      <c r="D3" s="178"/>
      <c r="E3" s="209"/>
      <c r="F3" s="209"/>
      <c r="G3" s="209"/>
      <c r="H3" s="209"/>
      <c r="I3" s="178"/>
      <c r="J3" s="209"/>
      <c r="K3" s="210"/>
    </row>
    <row r="4" spans="1:11">
      <c r="A4" s="211"/>
      <c r="B4" s="202"/>
      <c r="C4" s="202"/>
      <c r="D4" s="202"/>
      <c r="E4" s="202"/>
      <c r="F4" s="202"/>
      <c r="G4" s="202"/>
      <c r="H4" s="202"/>
      <c r="I4" s="202"/>
      <c r="J4" s="202"/>
      <c r="K4" s="202"/>
    </row>
    <row r="5" spans="1:11">
      <c r="A5" s="203" t="s">
        <v>329</v>
      </c>
      <c r="B5" s="203" t="s">
        <v>330</v>
      </c>
      <c r="C5" s="203" t="s">
        <v>330</v>
      </c>
      <c r="D5" s="203" t="s">
        <v>330</v>
      </c>
      <c r="E5" s="203" t="s">
        <v>330</v>
      </c>
      <c r="F5" s="203" t="s">
        <v>330</v>
      </c>
      <c r="G5" s="203" t="s">
        <v>330</v>
      </c>
      <c r="H5" s="203" t="s">
        <v>330</v>
      </c>
      <c r="I5" s="203" t="s">
        <v>330</v>
      </c>
      <c r="J5" s="203" t="s">
        <v>330</v>
      </c>
      <c r="K5" s="203" t="s">
        <v>329</v>
      </c>
    </row>
    <row r="6" spans="1:11" ht="40.799999999999997">
      <c r="A6" s="212" t="s">
        <v>332</v>
      </c>
      <c r="B6" s="203" t="s">
        <v>337</v>
      </c>
      <c r="C6" s="203" t="s">
        <v>333</v>
      </c>
      <c r="D6" s="203" t="s">
        <v>337</v>
      </c>
      <c r="E6" s="203" t="s">
        <v>333</v>
      </c>
      <c r="F6" s="203" t="s">
        <v>333</v>
      </c>
      <c r="G6" s="205" t="s">
        <v>334</v>
      </c>
      <c r="H6" s="203" t="s">
        <v>333</v>
      </c>
      <c r="I6" s="203" t="s">
        <v>337</v>
      </c>
      <c r="J6" s="203" t="s">
        <v>353</v>
      </c>
      <c r="K6" s="213" t="s">
        <v>335</v>
      </c>
    </row>
    <row r="8" spans="1:11">
      <c r="A8">
        <v>1</v>
      </c>
      <c r="B8" t="s">
        <v>658</v>
      </c>
      <c r="C8" t="str">
        <f>+'B0200'!C8</f>
        <v>PTBSRDOM0037</v>
      </c>
      <c r="D8" t="s">
        <v>675</v>
      </c>
      <c r="E8" t="str" cm="1">
        <f t="array" ref="E8">+B99.00[0040]</f>
        <v>Banco Santander, S.A.</v>
      </c>
      <c r="F8" t="str" cm="1">
        <f t="array" ref="F8">+B99.00[0041]</f>
        <v>5493006QMFDDMYWIAM13</v>
      </c>
      <c r="G8" t="s">
        <v>700</v>
      </c>
      <c r="H8" t="s">
        <v>702</v>
      </c>
      <c r="I8" t="s">
        <v>608</v>
      </c>
      <c r="J8" t="s">
        <v>701</v>
      </c>
      <c r="K8" s="240">
        <f>+ROUND('B0200'!N8,2)</f>
        <v>500000000</v>
      </c>
    </row>
    <row r="9" spans="1:11">
      <c r="A9">
        <f>+A8+1</f>
        <v>2</v>
      </c>
      <c r="B9" t="s">
        <v>658</v>
      </c>
      <c r="C9" t="str">
        <f>+'B0200'!C9</f>
        <v>PTBSREOM0028</v>
      </c>
      <c r="D9" t="s">
        <v>675</v>
      </c>
      <c r="E9" t="str" cm="1">
        <f t="array" ref="E9">+B99.00[0040]</f>
        <v>Banco Santander, S.A.</v>
      </c>
      <c r="F9" t="str" cm="1">
        <f t="array" ref="F9">+B99.00[0041]</f>
        <v>5493006QMFDDMYWIAM13</v>
      </c>
      <c r="G9" t="s">
        <v>700</v>
      </c>
      <c r="H9" t="s">
        <v>702</v>
      </c>
      <c r="I9" t="s">
        <v>608</v>
      </c>
      <c r="J9" t="s">
        <v>701</v>
      </c>
      <c r="K9" s="240">
        <f>+ROUND('B0200'!N9,2)</f>
        <v>8143941.9900000002</v>
      </c>
    </row>
    <row r="10" spans="1:11">
      <c r="A10">
        <f t="shared" ref="A10:A15" si="0">+A9+1</f>
        <v>3</v>
      </c>
      <c r="B10" t="s">
        <v>658</v>
      </c>
      <c r="C10" t="str">
        <f>+'B0200'!C10</f>
        <v>PTCPP0AM0007</v>
      </c>
      <c r="D10" t="s">
        <v>675</v>
      </c>
      <c r="E10" t="str" cm="1">
        <f t="array" ref="E10">+B99.00[0040]</f>
        <v>Banco Santander, S.A.</v>
      </c>
      <c r="F10" t="str" cm="1">
        <f t="array" ref="F10">+B99.00[0041]</f>
        <v>5493006QMFDDMYWIAM13</v>
      </c>
      <c r="G10" t="s">
        <v>700</v>
      </c>
      <c r="H10" t="s">
        <v>702</v>
      </c>
      <c r="I10" t="s">
        <v>608</v>
      </c>
      <c r="J10" t="s">
        <v>701</v>
      </c>
      <c r="K10" s="240">
        <f>+ROUND('B0200'!N10,2)</f>
        <v>1585169628</v>
      </c>
    </row>
    <row r="11" spans="1:11">
      <c r="A11">
        <f t="shared" si="0"/>
        <v>4</v>
      </c>
      <c r="B11" t="s">
        <v>658</v>
      </c>
      <c r="C11" t="str">
        <f>+'B0200'!C11</f>
        <v>PTSTOCOM0007</v>
      </c>
      <c r="D11" t="s">
        <v>675</v>
      </c>
      <c r="E11" t="str" cm="1">
        <f t="array" ref="E11">+B99.00[0040]</f>
        <v>Banco Santander, S.A.</v>
      </c>
      <c r="F11" t="str" cm="1">
        <f t="array" ref="F11">+B99.00[0041]</f>
        <v>5493006QMFDDMYWIAM13</v>
      </c>
      <c r="G11" t="s">
        <v>700</v>
      </c>
      <c r="H11" t="s">
        <v>702</v>
      </c>
      <c r="I11" t="s">
        <v>608</v>
      </c>
      <c r="J11" t="s">
        <v>701</v>
      </c>
      <c r="K11" s="240">
        <f>+ROUND('B0200'!N11,2)</f>
        <v>400000000</v>
      </c>
    </row>
    <row r="12" spans="1:11">
      <c r="A12">
        <f t="shared" si="0"/>
        <v>5</v>
      </c>
      <c r="B12" t="s">
        <v>658</v>
      </c>
      <c r="C12" t="str">
        <f>+'B0200'!C12</f>
        <v>PTSTOEOM0021</v>
      </c>
      <c r="D12" t="s">
        <v>675</v>
      </c>
      <c r="E12" t="str" cm="1">
        <f t="array" ref="E12">+B99.00[0040]</f>
        <v>Banco Santander, S.A.</v>
      </c>
      <c r="F12" t="str" cm="1">
        <f t="array" ref="F12">+B99.00[0041]</f>
        <v>5493006QMFDDMYWIAM13</v>
      </c>
      <c r="G12" t="s">
        <v>700</v>
      </c>
      <c r="H12" t="s">
        <v>702</v>
      </c>
      <c r="I12" t="s">
        <v>608</v>
      </c>
      <c r="J12" t="s">
        <v>701</v>
      </c>
      <c r="K12" s="240">
        <f>+ROUND('B0200'!N12,2)</f>
        <v>605515101.37</v>
      </c>
    </row>
    <row r="13" spans="1:11">
      <c r="A13">
        <f t="shared" si="0"/>
        <v>6</v>
      </c>
      <c r="B13" t="s">
        <v>658</v>
      </c>
      <c r="C13" t="str">
        <f>+'B0200'!C13</f>
        <v>PTSTOFOM0004</v>
      </c>
      <c r="D13" t="s">
        <v>675</v>
      </c>
      <c r="E13" t="str" cm="1">
        <f t="array" ref="E13">+B99.00[0040]</f>
        <v>Banco Santander, S.A.</v>
      </c>
      <c r="F13" t="str" cm="1">
        <f t="array" ref="F13">+B99.00[0041]</f>
        <v>5493006QMFDDMYWIAM13</v>
      </c>
      <c r="G13" t="s">
        <v>700</v>
      </c>
      <c r="H13" t="s">
        <v>702</v>
      </c>
      <c r="I13" t="s">
        <v>608</v>
      </c>
      <c r="J13" t="s">
        <v>701</v>
      </c>
      <c r="K13" s="240">
        <f>+ROUND('B0200'!N13,2)</f>
        <v>202660504.11000001</v>
      </c>
    </row>
    <row r="14" spans="1:11">
      <c r="A14">
        <f t="shared" si="0"/>
        <v>7</v>
      </c>
      <c r="B14" t="s">
        <v>658</v>
      </c>
      <c r="C14" t="str">
        <f>+'B0200'!C14</f>
        <v>PTSTOGOM0003</v>
      </c>
      <c r="D14" t="s">
        <v>675</v>
      </c>
      <c r="E14" t="str" cm="1">
        <f t="array" ref="E14">+B99.00[0040]</f>
        <v>Banco Santander, S.A.</v>
      </c>
      <c r="F14" t="str" cm="1">
        <f t="array" ref="F14">+B99.00[0041]</f>
        <v>5493006QMFDDMYWIAM13</v>
      </c>
      <c r="G14" t="s">
        <v>700</v>
      </c>
      <c r="H14" t="s">
        <v>702</v>
      </c>
      <c r="I14" t="s">
        <v>608</v>
      </c>
      <c r="J14" t="s">
        <v>701</v>
      </c>
      <c r="K14" s="240">
        <f>+ROUND('B0200'!N14,2)</f>
        <v>300000000</v>
      </c>
    </row>
    <row r="15" spans="1:11">
      <c r="A15">
        <f t="shared" si="0"/>
        <v>8</v>
      </c>
      <c r="B15" t="s">
        <v>658</v>
      </c>
      <c r="C15" t="str">
        <f>+'B0200'!C15</f>
        <v>PTSTOHOM0002</v>
      </c>
      <c r="D15" t="s">
        <v>675</v>
      </c>
      <c r="E15" t="str" cm="1">
        <f t="array" ref="E15">+B99.00[0040]</f>
        <v>Banco Santander, S.A.</v>
      </c>
      <c r="F15" t="str" cm="1">
        <f t="array" ref="F15">+B99.00[0041]</f>
        <v>5493006QMFDDMYWIAM13</v>
      </c>
      <c r="G15" t="s">
        <v>700</v>
      </c>
      <c r="H15" t="s">
        <v>702</v>
      </c>
      <c r="I15" t="s">
        <v>608</v>
      </c>
      <c r="J15" t="s">
        <v>701</v>
      </c>
      <c r="K15" s="240">
        <f>+ROUND('B0200'!N15,2)</f>
        <v>502894191.77999997</v>
      </c>
    </row>
    <row r="16" spans="1:11">
      <c r="K16" s="240"/>
    </row>
  </sheetData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"/>
  <sheetViews>
    <sheetView topLeftCell="I1" zoomScale="85" zoomScaleNormal="85" workbookViewId="0">
      <selection activeCell="Q17" sqref="Q17"/>
    </sheetView>
  </sheetViews>
  <sheetFormatPr defaultRowHeight="16.2"/>
  <sheetData>
    <row r="1" spans="1:41" s="244" customFormat="1">
      <c r="A1" s="244" t="s">
        <v>358</v>
      </c>
      <c r="B1" s="244" t="s">
        <v>368</v>
      </c>
      <c r="C1" s="244" t="s">
        <v>368</v>
      </c>
      <c r="D1" s="244" t="s">
        <v>368</v>
      </c>
      <c r="E1" s="244" t="s">
        <v>368</v>
      </c>
      <c r="F1" s="244" t="s">
        <v>368</v>
      </c>
      <c r="G1" s="244" t="s">
        <v>368</v>
      </c>
      <c r="H1" s="244" t="s">
        <v>368</v>
      </c>
      <c r="I1" s="244" t="s">
        <v>368</v>
      </c>
      <c r="J1" s="244" t="s">
        <v>368</v>
      </c>
      <c r="K1" s="244" t="s">
        <v>368</v>
      </c>
      <c r="L1" s="244" t="s">
        <v>368</v>
      </c>
      <c r="M1" s="244" t="s">
        <v>368</v>
      </c>
      <c r="N1" s="244" t="s">
        <v>368</v>
      </c>
      <c r="O1" s="244" t="s">
        <v>368</v>
      </c>
      <c r="P1" s="244" t="s">
        <v>368</v>
      </c>
      <c r="Q1" s="244" t="s">
        <v>368</v>
      </c>
      <c r="R1" s="244" t="s">
        <v>368</v>
      </c>
      <c r="S1" s="244" t="s">
        <v>368</v>
      </c>
      <c r="T1" s="244" t="s">
        <v>368</v>
      </c>
      <c r="U1" s="244" t="s">
        <v>368</v>
      </c>
      <c r="V1" s="244" t="s">
        <v>368</v>
      </c>
      <c r="W1" s="244" t="s">
        <v>368</v>
      </c>
      <c r="X1" s="244" t="s">
        <v>368</v>
      </c>
      <c r="Y1" s="244" t="s">
        <v>368</v>
      </c>
      <c r="Z1" s="244" t="s">
        <v>368</v>
      </c>
      <c r="AA1" s="244" t="s">
        <v>368</v>
      </c>
      <c r="AB1" s="244" t="s">
        <v>368</v>
      </c>
      <c r="AC1" s="244" t="s">
        <v>368</v>
      </c>
      <c r="AD1" s="244" t="s">
        <v>368</v>
      </c>
      <c r="AE1" s="244" t="s">
        <v>368</v>
      </c>
      <c r="AF1" s="244" t="s">
        <v>368</v>
      </c>
      <c r="AG1" s="244" t="s">
        <v>368</v>
      </c>
      <c r="AH1" s="244" t="s">
        <v>368</v>
      </c>
      <c r="AI1" s="244" t="s">
        <v>368</v>
      </c>
      <c r="AJ1" s="244" t="s">
        <v>368</v>
      </c>
      <c r="AK1" s="244" t="s">
        <v>368</v>
      </c>
      <c r="AL1" s="244" t="s">
        <v>368</v>
      </c>
      <c r="AM1" s="244" t="s">
        <v>368</v>
      </c>
      <c r="AN1" s="244" t="s">
        <v>368</v>
      </c>
      <c r="AO1" s="244" t="s">
        <v>463</v>
      </c>
    </row>
    <row r="2" spans="1:41">
      <c r="A2" t="s">
        <v>743</v>
      </c>
      <c r="B2" s="243" t="s">
        <v>703</v>
      </c>
      <c r="C2" s="243" t="s">
        <v>704</v>
      </c>
      <c r="D2" s="243" t="s">
        <v>705</v>
      </c>
      <c r="E2" s="243" t="s">
        <v>706</v>
      </c>
      <c r="F2" s="243" t="s">
        <v>707</v>
      </c>
      <c r="G2" s="243" t="s">
        <v>708</v>
      </c>
      <c r="H2" s="243" t="s">
        <v>709</v>
      </c>
      <c r="I2" s="243" t="s">
        <v>710</v>
      </c>
      <c r="J2" s="243" t="s">
        <v>711</v>
      </c>
      <c r="K2" s="243" t="s">
        <v>712</v>
      </c>
      <c r="L2" s="243" t="s">
        <v>713</v>
      </c>
      <c r="M2" s="243" t="s">
        <v>714</v>
      </c>
      <c r="N2" s="243" t="s">
        <v>715</v>
      </c>
      <c r="O2" s="243" t="s">
        <v>716</v>
      </c>
      <c r="P2" s="243" t="s">
        <v>717</v>
      </c>
      <c r="Q2" s="243" t="s">
        <v>718</v>
      </c>
      <c r="R2" s="243" t="s">
        <v>719</v>
      </c>
      <c r="S2" s="243" t="s">
        <v>720</v>
      </c>
      <c r="T2" s="243" t="s">
        <v>721</v>
      </c>
      <c r="U2" s="243" t="s">
        <v>722</v>
      </c>
      <c r="V2" s="243" t="s">
        <v>723</v>
      </c>
      <c r="W2" s="243" t="s">
        <v>724</v>
      </c>
      <c r="X2" s="243" t="s">
        <v>725</v>
      </c>
      <c r="Y2" s="243" t="s">
        <v>726</v>
      </c>
      <c r="Z2" s="243" t="s">
        <v>727</v>
      </c>
      <c r="AA2" s="243" t="s">
        <v>728</v>
      </c>
      <c r="AB2" s="243" t="s">
        <v>729</v>
      </c>
      <c r="AC2" s="243" t="s">
        <v>730</v>
      </c>
      <c r="AD2" s="243" t="s">
        <v>731</v>
      </c>
      <c r="AE2" s="243" t="s">
        <v>732</v>
      </c>
      <c r="AF2" s="243" t="s">
        <v>733</v>
      </c>
      <c r="AG2" s="243" t="s">
        <v>734</v>
      </c>
      <c r="AH2" s="243" t="s">
        <v>735</v>
      </c>
      <c r="AI2" s="243" t="s">
        <v>736</v>
      </c>
      <c r="AJ2" s="243" t="s">
        <v>737</v>
      </c>
      <c r="AK2" s="243" t="s">
        <v>738</v>
      </c>
      <c r="AL2" s="243" t="s">
        <v>739</v>
      </c>
      <c r="AM2" s="243" t="s">
        <v>740</v>
      </c>
      <c r="AN2" s="243" t="s">
        <v>741</v>
      </c>
      <c r="AO2" s="243" t="s">
        <v>742</v>
      </c>
    </row>
    <row r="3" spans="1:41">
      <c r="B3" s="243" t="str">
        <f>+VLOOKUP(B2,'Level 1 Guidance'!$B$2:$D$42,3,0)</f>
        <v>0010</v>
      </c>
      <c r="C3" s="243" t="str">
        <f>+VLOOKUP(C2,'Level 1 Guidance'!$B$2:$D$42,3,0)</f>
        <v>0030</v>
      </c>
      <c r="D3" s="243" t="str">
        <f>+VLOOKUP(D2,'Level 1 Guidance'!$B$2:$D$42,3,0)</f>
        <v>0040</v>
      </c>
      <c r="E3" s="243" t="str">
        <f>+VLOOKUP(E2,'Level 1 Guidance'!$B$2:$D$42,3,0)</f>
        <v>0070</v>
      </c>
      <c r="F3" s="243" t="str">
        <f>+VLOOKUP(F2,'Level 1 Guidance'!$B$2:$D$42,3,0)</f>
        <v>0080</v>
      </c>
      <c r="G3" s="243" t="str">
        <f>+VLOOKUP(G2,'Level 1 Guidance'!$B$2:$D$42,3,0)</f>
        <v>0080</v>
      </c>
      <c r="H3" s="243" t="str">
        <f>+VLOOKUP(H2,'Level 1 Guidance'!$B$2:$D$42,3,0)</f>
        <v>0090</v>
      </c>
      <c r="I3" s="243" t="str">
        <f>+VLOOKUP(I2,'Level 1 Guidance'!$B$2:$D$42,3,0)</f>
        <v>0100</v>
      </c>
      <c r="J3" s="243" t="str">
        <f>+VLOOKUP(J2,'Level 1 Guidance'!$B$2:$D$42,3,0)</f>
        <v>0100</v>
      </c>
      <c r="K3" s="243" t="str">
        <f>+VLOOKUP(K2,'Level 1 Guidance'!$B$2:$D$42,3,0)</f>
        <v>0120</v>
      </c>
      <c r="L3" s="243" t="str">
        <f>+VLOOKUP(L2,'Level 1 Guidance'!$B$2:$D$42,3,0)</f>
        <v>0120</v>
      </c>
      <c r="M3" s="243" t="str">
        <f>+VLOOKUP(M2,'Level 1 Guidance'!$B$2:$D$42,3,0)</f>
        <v>0130</v>
      </c>
      <c r="N3" s="243" t="str">
        <f>+VLOOKUP(N2,'Level 1 Guidance'!$B$2:$D$42,3,0)</f>
        <v>0140</v>
      </c>
      <c r="O3" s="243" t="str">
        <f>+VLOOKUP(O2,'Level 1 Guidance'!$B$2:$D$42,3,0)</f>
        <v>0141</v>
      </c>
      <c r="P3" s="243" t="str">
        <f>+VLOOKUP(P2,'Level 1 Guidance'!$B$2:$D$42,3,0)</f>
        <v>0160</v>
      </c>
      <c r="Q3" s="243" t="str">
        <f>+VLOOKUP(Q2,'Level 1 Guidance'!$B$2:$D$42,3,0)</f>
        <v>0162</v>
      </c>
      <c r="R3" s="243" t="str">
        <f>+VLOOKUP(R2,'Level 1 Guidance'!$B$2:$D$42,3,0)</f>
        <v>0180</v>
      </c>
      <c r="S3" s="243" t="str">
        <f>+VLOOKUP(S2,'Level 1 Guidance'!$B$2:$D$42,3,0)</f>
        <v>0180</v>
      </c>
      <c r="T3" s="243" t="str">
        <f>+VLOOKUP(T2,'Level 1 Guidance'!$B$2:$D$42,3,0)</f>
        <v>0200</v>
      </c>
      <c r="U3" s="243" t="str">
        <f>+VLOOKUP(U2,'Level 1 Guidance'!$B$2:$D$42,3,0)</f>
        <v>0210</v>
      </c>
      <c r="V3" s="243" t="str">
        <f>+VLOOKUP(V2,'Level 1 Guidance'!$B$2:$D$42,3,0)</f>
        <v>0220</v>
      </c>
      <c r="W3" s="243" t="str">
        <f>+VLOOKUP(W2,'Level 1 Guidance'!$B$2:$D$42,3,0)</f>
        <v>0250</v>
      </c>
      <c r="X3" s="243" t="str">
        <f>+VLOOKUP(X2,'Level 1 Guidance'!$B$2:$D$42,3,0)</f>
        <v>0260</v>
      </c>
      <c r="Y3" s="243" t="str">
        <f>+VLOOKUP(Y2,'Level 1 Guidance'!$B$2:$D$42,3,0)</f>
        <v>0270</v>
      </c>
      <c r="Z3" s="243" t="str">
        <f>+VLOOKUP(Z2,'Level 1 Guidance'!$B$2:$D$42,3,0)</f>
        <v>0300</v>
      </c>
      <c r="AA3" s="243" t="str">
        <f>+VLOOKUP(AA2,'Level 1 Guidance'!$B$2:$D$42,3,0)</f>
        <v>0310</v>
      </c>
      <c r="AB3" s="243" t="str">
        <f>+VLOOKUP(AB2,'Level 1 Guidance'!$B$2:$D$42,3,0)</f>
        <v>0320</v>
      </c>
      <c r="AC3" s="243" t="str">
        <f>+VLOOKUP(AC2,'Level 1 Guidance'!$B$2:$D$42,3,0)</f>
        <v>0330</v>
      </c>
      <c r="AD3" s="243" t="str">
        <f>+VLOOKUP(AD2,'Level 1 Guidance'!$B$2:$D$42,3,0)</f>
        <v>0350</v>
      </c>
      <c r="AE3" s="243" t="str">
        <f>+VLOOKUP(AE2,'Level 1 Guidance'!$B$2:$D$42,3,0)</f>
        <v>0351</v>
      </c>
      <c r="AF3" s="243" t="str">
        <f>+VLOOKUP(AF2,'Level 1 Guidance'!$B$2:$D$42,3,0)</f>
        <v>0370</v>
      </c>
      <c r="AG3" s="243" t="str">
        <f>+VLOOKUP(AG2,'Level 1 Guidance'!$B$2:$D$42,3,0)</f>
        <v>0370</v>
      </c>
      <c r="AH3" s="243" t="str">
        <f>+VLOOKUP(AH2,'Level 1 Guidance'!$B$2:$D$42,3,0)</f>
        <v>0390</v>
      </c>
      <c r="AI3" s="243" t="str">
        <f>+VLOOKUP(AI2,'Level 1 Guidance'!$B$2:$D$42,3,0)</f>
        <v>0391</v>
      </c>
      <c r="AJ3" s="243" t="str">
        <f>+VLOOKUP(AJ2,'Level 1 Guidance'!$B$2:$D$42,3,0)</f>
        <v>0400</v>
      </c>
      <c r="AK3" s="243" t="str">
        <f>+VLOOKUP(AK2,'Level 1 Guidance'!$B$2:$D$42,3,0)</f>
        <v>0400</v>
      </c>
      <c r="AL3" s="243" t="str">
        <f>+VLOOKUP(AL2,'Level 1 Guidance'!$B$2:$D$42,3,0)</f>
        <v>0610</v>
      </c>
      <c r="AM3" s="243" t="str">
        <f>+VLOOKUP(AM2,'Level 1 Guidance'!$B$2:$D$42,3,0)</f>
        <v>5000</v>
      </c>
      <c r="AN3" s="243" t="str">
        <f>+VLOOKUP(AN2,'Level 1 Guidance'!$B$2:$D$42,3,0)</f>
        <v>5010</v>
      </c>
      <c r="AO3" s="243" t="str">
        <f>+VLOOKUP(AO2,'Level 1 Guidance'!$B$2:$D$42,3,0)</f>
        <v>0030</v>
      </c>
    </row>
    <row r="4" spans="1:41" s="244" customFormat="1">
      <c r="A4" s="244">
        <f>+'B0200'!A8</f>
        <v>1</v>
      </c>
      <c r="B4" s="244" t="str">
        <f>+IF(ISBLANK('B0200'!A8),"ERROR","OK")</f>
        <v>OK</v>
      </c>
      <c r="C4" s="244" t="str">
        <f>+IF(ISBLANK('B0200'!C8),"ERROR","OK")</f>
        <v>OK</v>
      </c>
      <c r="D4" s="244" t="str">
        <f>+IF(ISBLANK('B0200'!D8),"ERROR","OK")</f>
        <v>OK</v>
      </c>
      <c r="E4" s="244" t="str">
        <f>+IF(ISBLANK('B0200'!G8),"ERROR","OK")</f>
        <v>OK</v>
      </c>
      <c r="F4" s="244" t="str">
        <f>+IF(ISBLANK('B0200'!H8),"ERROR","OK")</f>
        <v>OK</v>
      </c>
      <c r="G4" s="244" t="str">
        <f>+IF('B0200'!D8="ISIN",IF(ISBLANK('B0200'!H8),"ERROR","OK"),"OK")</f>
        <v>OK</v>
      </c>
      <c r="H4" s="244" t="str">
        <f>+IF(ISBLANK('B0200'!I8),"ERROR","OK")</f>
        <v>OK</v>
      </c>
      <c r="I4" s="244" t="str">
        <f>+IF(ISBLANK('B0200'!J8),"ERROR","OK")</f>
        <v>OK</v>
      </c>
      <c r="J4" s="244" t="str">
        <f>+IF(ISBLANK('B0200'!J8),"ERROR","OK")</f>
        <v>OK</v>
      </c>
      <c r="K4" s="244" t="str">
        <f>+IF(ISBLANK('B0200'!L8),"ERROR","OK")</f>
        <v>OK</v>
      </c>
      <c r="L4" s="244" t="str">
        <f>+IF(ISBLANK('B0200'!L8),"ERROR","OK")</f>
        <v>OK</v>
      </c>
      <c r="M4" s="244" t="str">
        <f>+IF(ISBLANK('B0200'!N8),"ERROR","OK")</f>
        <v>OK</v>
      </c>
      <c r="N4" s="244" t="str">
        <f>+IF(VLOOKUP('B0200'!O8,'Aux Validations'!$A$3:$B$13,2,0)=1,"OK","ERROR")</f>
        <v>OK</v>
      </c>
      <c r="O4" s="244" t="str">
        <f>+IF('B0200'!O8="Other","ERROR","OK")</f>
        <v>OK</v>
      </c>
      <c r="P4" s="244" t="str">
        <f>+IF(ISBLANK('B0200'!R8),"ERROR","OK")</f>
        <v>OK</v>
      </c>
      <c r="Q4" s="244" t="str">
        <f>+IF(ISBLANK('B0200'!T8),"ERROR","OK")</f>
        <v>OK</v>
      </c>
      <c r="R4" s="244" t="str">
        <f>+IF(ISBLANK('B0200'!V8),"ERROR","OK")</f>
        <v>OK</v>
      </c>
      <c r="S4" s="244" t="str">
        <f>+IF(ISBLANK('B0200'!V8),"ERROR","OK")</f>
        <v>OK</v>
      </c>
      <c r="T4" s="244" t="str">
        <f>+IF(ISBLANK('B0200'!X8),"ERROR","OK")</f>
        <v>OK</v>
      </c>
      <c r="U4" s="244" t="str">
        <f>+IF(ISBLANK('B0200'!Y8),"ERROR","OK")</f>
        <v>OK</v>
      </c>
      <c r="V4" s="244" t="str">
        <f>+IF(ISBLANK('B0200'!Z8),"ERROR","OK")</f>
        <v>OK</v>
      </c>
      <c r="W4" s="244" t="str">
        <f>+IF(VLOOKUP('B0200'!AC8,'Aux Validations'!$D$3:$E$8,2,0)=1,"OK","ERROR")</f>
        <v>OK</v>
      </c>
      <c r="X4" s="244" t="str">
        <f>+IF(OR('B0200'!AC8='Aux Validations'!$D$5,'B0200'!AC8='Aux Validations'!$D$7),ISBLANK('B0200'!AD8),"OK")</f>
        <v>OK</v>
      </c>
      <c r="Y4" s="244" t="str">
        <f>+IF(OR('B0200'!AC8='Aux Validations'!$D$5,'B0200'!AC8='Aux Validations'!$D$7),ISBLANK('B0200'!AE8),"OK")</f>
        <v>OK</v>
      </c>
      <c r="Z4" s="244" t="str">
        <f>+IF('B0200'!AF8="TRUE",IF(ISBLANK('B0200'!AH8),"ERRO","OK"),"OK")</f>
        <v>OK</v>
      </c>
      <c r="AA4" s="244" t="str">
        <f>+IF(ISBLANK('B0200'!AI8),"ERROR","OK")</f>
        <v>OK</v>
      </c>
      <c r="AB4" s="244" t="str">
        <f>+IF('B0200'!AI8=Lists!$I$2,IF(ISBLANK('B0200'!AJ8),"ERRO","OK"),"OK")</f>
        <v>OK</v>
      </c>
      <c r="AC4" s="244" t="str">
        <f>+IF('B0200'!AI8=Lists!$I$2,IF(ISBLANK('B0200'!AK8),"ERRO","OK"),"OK")</f>
        <v>OK</v>
      </c>
      <c r="AD4" s="244" t="str">
        <f>+IF('B0200'!AI8=Lists!$I$2,IF(ISBLANK('B0200'!AM8),"ERRO","OK"),"OK")</f>
        <v>OK</v>
      </c>
      <c r="AE4" s="244" t="str">
        <f>+IF('B0200'!AM8="Other",IF(ISBLANK('B0200'!AN8),"ERRO","OK"),"OK")</f>
        <v>OK</v>
      </c>
      <c r="AF4" s="244" t="str">
        <f>+IF(AND('B0200'!D8="ISIN",'B0200'!AO8="Nominal"),IF(ISBLANK('B0200'!AP8),"ERRO","OK"),"OK")</f>
        <v>OK</v>
      </c>
      <c r="AG4" s="244" t="str">
        <f>+IF(AND('B0200'!D8="ISIN",'B0200'!AO8="Unit"),IF(ISBLANK('B0200'!AP8),"ERRO","OK"),"OK")</f>
        <v>OK</v>
      </c>
      <c r="AH4" s="244" t="str">
        <f>+IF('B0200'!D8="ISIN",IF(ISBLANK('B0200'!AR8),"ERROR","OK"),"OK")</f>
        <v>OK</v>
      </c>
      <c r="AI4" s="244" t="str">
        <f>+IF('B0200'!D8="ISIN",IF(ISBLANK('B0200'!AS8),"ERROR","OK"),"OK")</f>
        <v>OK</v>
      </c>
      <c r="AJ4" s="244" t="str">
        <f>+IF('B0200'!AB8="ZCB issued at discount",IF(ISBLANK('B0200'!AT8),"ERROR","OK"),"OK")</f>
        <v>OK</v>
      </c>
      <c r="AL4" s="244" t="str">
        <f>+IF(ISBLANK('B0200'!BY8),"ERROR","OK")</f>
        <v>OK</v>
      </c>
      <c r="AM4" s="244" t="str">
        <f>+IF('B9900'!$H$11=Lists!$A$3,IF(ISBLANK('B0200'!CC8),"ERRO","OK"))</f>
        <v>OK</v>
      </c>
      <c r="AN4" s="244" t="str">
        <f>+IF('B9900'!$H$11=Lists!$A$3,IF(ISBLANK('B0200'!CD8),"ERRO","OK"))</f>
        <v>OK</v>
      </c>
      <c r="AO4" s="244" t="str">
        <f>+IF(ISBLANK('B9000'!D8),"ERRO","OK")</f>
        <v>OK</v>
      </c>
    </row>
    <row r="5" spans="1:41" s="244" customFormat="1">
      <c r="A5" s="244">
        <f>+'B0200'!A9</f>
        <v>2</v>
      </c>
      <c r="B5" s="244" t="str">
        <f>+IF(ISBLANK('B0200'!A9),"ERROR","OK")</f>
        <v>OK</v>
      </c>
      <c r="C5" s="244" t="str">
        <f>+IF(ISBLANK('B0200'!C9),"ERROR","OK")</f>
        <v>OK</v>
      </c>
      <c r="D5" s="244" t="str">
        <f>+IF(ISBLANK('B0200'!D9),"ERROR","OK")</f>
        <v>OK</v>
      </c>
      <c r="E5" s="244" t="str">
        <f>+IF(ISBLANK('B0200'!G9),"ERROR","OK")</f>
        <v>OK</v>
      </c>
      <c r="F5" s="244" t="str">
        <f>+IF(ISBLANK('B0200'!H9),"ERROR","OK")</f>
        <v>OK</v>
      </c>
      <c r="G5" s="244" t="str">
        <f>+IF('B0200'!D9="ISIN",IF(ISBLANK('B0200'!H9),"ERROR","OK"),"OK")</f>
        <v>OK</v>
      </c>
      <c r="H5" s="244" t="str">
        <f>+IF(ISBLANK('B0200'!I9),"ERROR","OK")</f>
        <v>OK</v>
      </c>
      <c r="I5" s="244" t="str">
        <f>+IF(ISBLANK('B0200'!J9),"ERROR","OK")</f>
        <v>OK</v>
      </c>
      <c r="J5" s="244" t="str">
        <f>+IF(ISBLANK('B0200'!J9),"ERROR","OK")</f>
        <v>OK</v>
      </c>
      <c r="K5" s="244" t="str">
        <f>+IF(ISBLANK('B0200'!L9),"ERROR","OK")</f>
        <v>OK</v>
      </c>
      <c r="L5" s="244" t="str">
        <f>+IF(ISBLANK('B0200'!L9),"ERROR","OK")</f>
        <v>OK</v>
      </c>
      <c r="M5" s="244" t="str">
        <f>+IF(ISBLANK('B0200'!N9),"ERROR","OK")</f>
        <v>OK</v>
      </c>
      <c r="N5" s="244" t="str">
        <f>+IF(VLOOKUP('B0200'!O9,'Aux Validations'!$A$3:$B$13,2,0)=1,"OK","ERROR")</f>
        <v>OK</v>
      </c>
      <c r="O5" s="244" t="str">
        <f>+IF('B0200'!O9="Other","ERROR","OK")</f>
        <v>OK</v>
      </c>
      <c r="P5" s="244" t="str">
        <f>+IF(ISBLANK('B0200'!R9),"ERROR","OK")</f>
        <v>OK</v>
      </c>
      <c r="Q5" s="244" t="str">
        <f>+IF(ISBLANK('B0200'!T9),"ERROR","OK")</f>
        <v>OK</v>
      </c>
      <c r="R5" s="244" t="str">
        <f>+IF(ISBLANK('B0200'!V9),"ERROR","OK")</f>
        <v>OK</v>
      </c>
      <c r="S5" s="244" t="str">
        <f>+IF(ISBLANK('B0200'!V9),"ERROR","OK")</f>
        <v>OK</v>
      </c>
      <c r="T5" s="244" t="str">
        <f>+IF(ISBLANK('B0200'!X9),"ERROR","OK")</f>
        <v>OK</v>
      </c>
      <c r="U5" s="244" t="str">
        <f>+IF(ISBLANK('B0200'!Y9),"ERROR","OK")</f>
        <v>OK</v>
      </c>
      <c r="V5" s="244" t="str">
        <f>+IF(ISBLANK('B0200'!Z9),"ERROR","OK")</f>
        <v>OK</v>
      </c>
      <c r="W5" s="244" t="str">
        <f>+IF(VLOOKUP('B0200'!AC9,'Aux Validations'!$D$3:$E$8,2,0)=1,"OK","ERROR")</f>
        <v>OK</v>
      </c>
      <c r="X5" s="244" t="str">
        <f>+IF(OR('B0200'!AC9='Aux Validations'!$D$5,'B0200'!AC9='Aux Validations'!$D$7),"ERRO","OK")</f>
        <v>OK</v>
      </c>
      <c r="Y5" s="244" t="str">
        <f>+IF(OR('B0200'!AC9='Aux Validations'!$D$5,'B0200'!AC9='Aux Validations'!$D$7),ISBLANK('B0200'!AE9),"OK")</f>
        <v>OK</v>
      </c>
      <c r="Z5" s="244" t="str">
        <f>+IF('B0200'!AF9="TRUE",IF(ISBLANK('B0200'!AH9),"ERRO","OK"),"OK")</f>
        <v>OK</v>
      </c>
      <c r="AA5" s="244" t="str">
        <f>+IF(ISBLANK('B0200'!AI9),"ERROR","OK")</f>
        <v>OK</v>
      </c>
      <c r="AB5" s="244" t="str">
        <f>+IF('B0200'!AI9=Lists!$I$2,IF(ISBLANK('B0200'!AJ9),"ERRO","OK"),"OK")</f>
        <v>OK</v>
      </c>
      <c r="AC5" s="244" t="str">
        <f>+IF('B0200'!AI9=Lists!$I$2,IF(ISBLANK('B0200'!AK9),"ERRO","OK"),"OK")</f>
        <v>OK</v>
      </c>
      <c r="AD5" s="244" t="str">
        <f>+IF('B0200'!AI9=Lists!$I$2,IF(ISBLANK('B0200'!AM9),"ERRO","OK"),"OK")</f>
        <v>OK</v>
      </c>
      <c r="AE5" s="244" t="str">
        <f>+IF('B0200'!AM9="Other",IF(ISBLANK('B0200'!AN9),"ERRO","OK"),"OK")</f>
        <v>OK</v>
      </c>
      <c r="AF5" s="244" t="str">
        <f>+IF(AND('B0200'!D9="ISIN",'B0200'!AO9="Nominal"),IF(ISBLANK('B0200'!AP9),"ERRO","OK"),"OK")</f>
        <v>OK</v>
      </c>
      <c r="AG5" s="244" t="str">
        <f>+IF(AND('B0200'!D9="ISIN",'B0200'!AO9="Unit"),IF(ISBLANK('B0200'!AP9),"ERRO","OK"),"OK")</f>
        <v>OK</v>
      </c>
      <c r="AH5" s="244" t="str">
        <f>+IF('B0200'!D9="ISIN",IF(ISBLANK('B0200'!AR9),"ERROR","OK"),"OK")</f>
        <v>OK</v>
      </c>
      <c r="AI5" s="244" t="str">
        <f>+IF('B0200'!D9="ISIN",IF(ISBLANK('B0200'!AS9),"ERROR","OK"),"OK")</f>
        <v>OK</v>
      </c>
      <c r="AJ5" s="244" t="str">
        <f>+IF('B0200'!AB9="ZCB issued at discount",IF(ISBLANK('B0200'!AT9),"ERROR","OK"),"OK")</f>
        <v>OK</v>
      </c>
      <c r="AL5" s="244" t="str">
        <f>+IF(ISBLANK('B0200'!BY9),"ERROR","OK")</f>
        <v>OK</v>
      </c>
      <c r="AM5" s="244" t="str">
        <f>+IF('B9900'!$H$11=Lists!$A$3,IF(ISBLANK('B0200'!CC9),"ERRO","OK"))</f>
        <v>OK</v>
      </c>
      <c r="AN5" s="244" t="str">
        <f>+IF('B9900'!$H$11=Lists!$A$3,IF(ISBLANK('B0200'!CD9),"ERRO","OK"))</f>
        <v>OK</v>
      </c>
      <c r="AO5" s="244" t="str">
        <f>+IF(ISBLANK('B9000'!D9),"ERRO","OK")</f>
        <v>OK</v>
      </c>
    </row>
    <row r="6" spans="1:41" s="244" customFormat="1">
      <c r="A6" s="244">
        <f>+'B0200'!A10</f>
        <v>1</v>
      </c>
      <c r="B6" s="244" t="str">
        <f>+IF(ISBLANK('B0200'!A10),"ERROR","OK")</f>
        <v>OK</v>
      </c>
      <c r="C6" s="244" t="str">
        <f>+IF(ISBLANK('B0200'!C10),"ERROR","OK")</f>
        <v>OK</v>
      </c>
      <c r="D6" s="244" t="str">
        <f>+IF(ISBLANK('B0200'!D10),"ERROR","OK")</f>
        <v>OK</v>
      </c>
      <c r="E6" s="244" t="str">
        <f>+IF(ISBLANK('B0200'!G10),"ERROR","OK")</f>
        <v>OK</v>
      </c>
      <c r="F6" s="244" t="str">
        <f>+IF(ISBLANK('B0200'!H10),"ERROR","OK")</f>
        <v>OK</v>
      </c>
      <c r="G6" s="244" t="str">
        <f>+IF('B0200'!D10="ISIN",IF(ISBLANK('B0200'!H10),"ERROR","OK"),"OK")</f>
        <v>OK</v>
      </c>
      <c r="H6" s="244" t="str">
        <f>+IF(ISBLANK('B0200'!I10),"ERROR","OK")</f>
        <v>OK</v>
      </c>
      <c r="I6" s="244" t="str">
        <f>+IF(ISBLANK('B0200'!J10),"ERROR","OK")</f>
        <v>OK</v>
      </c>
      <c r="J6" s="244" t="str">
        <f>+IF(ISBLANK('B0200'!J10),"ERROR","OK")</f>
        <v>OK</v>
      </c>
      <c r="K6" s="244" t="str">
        <f>+IF(ISBLANK('B0200'!L10),"ERROR","OK")</f>
        <v>OK</v>
      </c>
      <c r="L6" s="244" t="str">
        <f>+IF(ISBLANK('B0200'!L10),"ERROR","OK")</f>
        <v>OK</v>
      </c>
      <c r="M6" s="244" t="str">
        <f>+IF(ISBLANK('B0200'!N10),"ERROR","OK")</f>
        <v>OK</v>
      </c>
      <c r="N6" s="244" t="str">
        <f>+IF(VLOOKUP('B0200'!O10,'Aux Validations'!$A$3:$B$13,2,0)=1,"OK","ERROR")</f>
        <v>OK</v>
      </c>
      <c r="O6" s="244" t="str">
        <f>+IF('B0200'!O10="Other","ERROR","OK")</f>
        <v>OK</v>
      </c>
      <c r="P6" s="244" t="str">
        <f>+IF(ISBLANK('B0200'!R10),"ERROR","OK")</f>
        <v>OK</v>
      </c>
      <c r="Q6" s="244" t="str">
        <f>+IF(ISBLANK('B0200'!T10),"ERROR","OK")</f>
        <v>OK</v>
      </c>
      <c r="R6" s="244" t="str">
        <f>+IF(ISBLANK('B0200'!V10),"ERROR","OK")</f>
        <v>OK</v>
      </c>
      <c r="S6" s="244" t="str">
        <f>+IF(ISBLANK('B0200'!V10),"ERROR","OK")</f>
        <v>OK</v>
      </c>
      <c r="T6" s="244" t="str">
        <f>+IF(ISBLANK('B0200'!X10),"ERROR","OK")</f>
        <v>OK</v>
      </c>
      <c r="U6" s="244" t="str">
        <f>+IF(ISBLANK('B0200'!Y10),"ERROR","OK")</f>
        <v>OK</v>
      </c>
      <c r="V6" s="244" t="str">
        <f>+IF(ISBLANK('B0200'!Z10),"ERROR","OK")</f>
        <v>OK</v>
      </c>
      <c r="W6" s="244" t="str">
        <f>+IF(VLOOKUP('B0200'!AC10,'Aux Validations'!$D$3:$E$8,2,0)=1,"OK","ERROR")</f>
        <v>OK</v>
      </c>
      <c r="X6" s="244" t="str">
        <f>+IF(OR('B0200'!AC10='Aux Validations'!$D$5,'B0200'!AC10='Aux Validations'!$D$7),"ERRO","OK")</f>
        <v>OK</v>
      </c>
      <c r="Y6" s="244" t="str">
        <f>+IF(OR('B0200'!AC10='Aux Validations'!$D$5,'B0200'!AC10='Aux Validations'!$D$7),ISBLANK('B0200'!AE10),"OK")</f>
        <v>OK</v>
      </c>
      <c r="Z6" s="244" t="str">
        <f>+IF('B0200'!AF10="TRUE",IF(ISBLANK('B0200'!AH10),"ERRO","OK"),"OK")</f>
        <v>OK</v>
      </c>
      <c r="AA6" s="244" t="str">
        <f>+IF(ISBLANK('B0200'!AI10),"ERROR","OK")</f>
        <v>OK</v>
      </c>
      <c r="AB6" s="244" t="str">
        <f>+IF('B0200'!AI10=Lists!$I$2,IF(ISBLANK('B0200'!AJ10),"ERRO","OK"),"OK")</f>
        <v>OK</v>
      </c>
      <c r="AC6" s="244" t="str">
        <f>+IF('B0200'!AI10=Lists!$I$2,IF(ISBLANK('B0200'!AK10),"ERRO","OK"),"OK")</f>
        <v>OK</v>
      </c>
      <c r="AD6" s="244" t="str">
        <f>+IF('B0200'!AI10=Lists!$I$2,IF(ISBLANK('B0200'!AM10),"ERRO","OK"),"OK")</f>
        <v>OK</v>
      </c>
      <c r="AE6" s="244" t="str">
        <f>+IF('B0200'!AM10="Other",IF(ISBLANK('B0200'!AN10),"ERRO","OK"),"OK")</f>
        <v>OK</v>
      </c>
      <c r="AF6" s="244" t="str">
        <f>+IF(AND('B0200'!D10="ISIN",'B0200'!AO10="Nominal"),IF(ISBLANK('B0200'!AP10),"ERRO","OK"),"OK")</f>
        <v>OK</v>
      </c>
      <c r="AG6" s="244" t="str">
        <f>+IF(AND('B0200'!D10="ISIN",'B0200'!AO10="Unit"),IF(ISBLANK('B0200'!AP10),"ERRO","OK"),"OK")</f>
        <v>OK</v>
      </c>
      <c r="AH6" s="244" t="str">
        <f>+IF('B0200'!D10="ISIN",IF(ISBLANK('B0200'!AR10),"ERROR","OK"),"OK")</f>
        <v>OK</v>
      </c>
      <c r="AI6" s="244" t="str">
        <f>+IF('B0200'!D10="ISIN",IF(ISBLANK('B0200'!AS10),"ERROR","OK"),"OK")</f>
        <v>OK</v>
      </c>
      <c r="AJ6" s="244" t="str">
        <f>+IF('B0200'!AB10="ZCB issued at discount",IF(ISBLANK('B0200'!AT10),"ERROR","OK"),"OK")</f>
        <v>OK</v>
      </c>
      <c r="AL6" s="244" t="str">
        <f>+IF(ISBLANK('B0200'!BY10),"ERROR","OK")</f>
        <v>OK</v>
      </c>
      <c r="AM6" s="244" t="str">
        <f>+IF('B9900'!$H$11=Lists!$A$3,IF(ISBLANK('B0200'!CC10),"ERRO","OK"))</f>
        <v>OK</v>
      </c>
      <c r="AN6" s="244" t="str">
        <f>+IF('B9900'!$H$11=Lists!$A$3,IF(ISBLANK('B0200'!CD10),"ERRO","OK"))</f>
        <v>OK</v>
      </c>
      <c r="AO6" s="244" t="str">
        <f>+IF(ISBLANK('B9000'!D10),"ERRO","OK")</f>
        <v>OK</v>
      </c>
    </row>
    <row r="7" spans="1:41" s="244" customFormat="1">
      <c r="A7" s="244">
        <f>+'B0200'!A11</f>
        <v>2</v>
      </c>
      <c r="B7" s="244" t="str">
        <f>+IF(ISBLANK('B0200'!A11),"ERROR","OK")</f>
        <v>OK</v>
      </c>
      <c r="C7" s="244" t="str">
        <f>+IF(ISBLANK('B0200'!C11),"ERROR","OK")</f>
        <v>OK</v>
      </c>
      <c r="D7" s="244" t="str">
        <f>+IF(ISBLANK('B0200'!D11),"ERROR","OK")</f>
        <v>OK</v>
      </c>
      <c r="E7" s="244" t="str">
        <f>+IF(ISBLANK('B0200'!G11),"ERROR","OK")</f>
        <v>OK</v>
      </c>
      <c r="F7" s="244" t="str">
        <f>+IF(ISBLANK('B0200'!H11),"ERROR","OK")</f>
        <v>OK</v>
      </c>
      <c r="G7" s="244" t="str">
        <f>+IF('B0200'!D11="ISIN",IF(ISBLANK('B0200'!H11),"ERROR","OK"),"OK")</f>
        <v>OK</v>
      </c>
      <c r="H7" s="244" t="str">
        <f>+IF(ISBLANK('B0200'!I11),"ERROR","OK")</f>
        <v>OK</v>
      </c>
      <c r="I7" s="244" t="str">
        <f>+IF(ISBLANK('B0200'!J11),"ERROR","OK")</f>
        <v>OK</v>
      </c>
      <c r="J7" s="244" t="str">
        <f>+IF(ISBLANK('B0200'!J11),"ERROR","OK")</f>
        <v>OK</v>
      </c>
      <c r="K7" s="244" t="str">
        <f>+IF(ISBLANK('B0200'!L11),"ERROR","OK")</f>
        <v>OK</v>
      </c>
      <c r="L7" s="244" t="str">
        <f>+IF(ISBLANK('B0200'!L11),"ERROR","OK")</f>
        <v>OK</v>
      </c>
      <c r="M7" s="244" t="str">
        <f>+IF(ISBLANK('B0200'!N11),"ERROR","OK")</f>
        <v>OK</v>
      </c>
      <c r="N7" s="244" t="str">
        <f>+IF(VLOOKUP('B0200'!O11,'Aux Validations'!$A$3:$B$13,2,0)=1,"OK","ERROR")</f>
        <v>OK</v>
      </c>
      <c r="O7" s="244" t="str">
        <f>+IF('B0200'!O11="Other","ERROR","OK")</f>
        <v>OK</v>
      </c>
      <c r="P7" s="244" t="str">
        <f>+IF(ISBLANK('B0200'!R11),"ERROR","OK")</f>
        <v>OK</v>
      </c>
      <c r="Q7" s="244" t="str">
        <f>+IF(ISBLANK('B0200'!T11),"ERROR","OK")</f>
        <v>OK</v>
      </c>
      <c r="R7" s="244" t="str">
        <f>+IF(ISBLANK('B0200'!V11),"ERROR","OK")</f>
        <v>OK</v>
      </c>
      <c r="S7" s="244" t="str">
        <f>+IF(ISBLANK('B0200'!V11),"ERROR","OK")</f>
        <v>OK</v>
      </c>
      <c r="T7" s="244" t="str">
        <f>+IF(ISBLANK('B0200'!X11),"ERROR","OK")</f>
        <v>OK</v>
      </c>
      <c r="U7" s="244" t="str">
        <f>+IF(ISBLANK('B0200'!Y11),"ERROR","OK")</f>
        <v>OK</v>
      </c>
      <c r="V7" s="244" t="str">
        <f>+IF(ISBLANK('B0200'!Z11),"ERROR","OK")</f>
        <v>OK</v>
      </c>
      <c r="W7" s="244" t="str">
        <f>+IF(VLOOKUP('B0200'!AC11,'Aux Validations'!$D$3:$E$8,2,0)=1,"OK","ERROR")</f>
        <v>OK</v>
      </c>
      <c r="X7" s="244" t="str">
        <f>+IF(OR('B0200'!AC11='Aux Validations'!$D$5,'B0200'!AC11='Aux Validations'!$D$7),"ERRO","OK")</f>
        <v>OK</v>
      </c>
      <c r="Y7" s="244" t="str">
        <f>+IF(OR('B0200'!AC11='Aux Validations'!$D$5,'B0200'!AC11='Aux Validations'!$D$7),ISBLANK('B0200'!AE11),"OK")</f>
        <v>OK</v>
      </c>
      <c r="Z7" s="244" t="str">
        <f>+IF('B0200'!AF11="TRUE",IF(ISBLANK('B0200'!AH11),"ERRO","OK"),"OK")</f>
        <v>OK</v>
      </c>
      <c r="AA7" s="244" t="str">
        <f>+IF(ISBLANK('B0200'!AI11),"ERROR","OK")</f>
        <v>OK</v>
      </c>
      <c r="AB7" s="244" t="str">
        <f>+IF('B0200'!AI11=Lists!$I$2,IF(ISBLANK('B0200'!AJ11),"ERRO","OK"),"OK")</f>
        <v>OK</v>
      </c>
      <c r="AC7" s="244" t="str">
        <f>+IF('B0200'!AI11=Lists!$I$2,IF(ISBLANK('B0200'!AK11),"ERRO","OK"),"OK")</f>
        <v>OK</v>
      </c>
      <c r="AD7" s="244" t="str">
        <f>+IF('B0200'!AI11=Lists!$I$2,IF(ISBLANK('B0200'!AM11),"ERRO","OK"),"OK")</f>
        <v>OK</v>
      </c>
      <c r="AE7" s="244" t="str">
        <f>+IF('B0200'!AM11="Other",IF(ISBLANK('B0200'!AN11),"ERRO","OK"),"OK")</f>
        <v>OK</v>
      </c>
      <c r="AF7" s="244" t="str">
        <f>+IF(AND('B0200'!D11="ISIN",'B0200'!AO11="Nominal"),IF(ISBLANK('B0200'!AP11),"ERRO","OK"),"OK")</f>
        <v>OK</v>
      </c>
      <c r="AG7" s="244" t="str">
        <f>+IF(AND('B0200'!D11="ISIN",'B0200'!AO11="Unit"),IF(ISBLANK('B0200'!AP11),"ERRO","OK"),"OK")</f>
        <v>OK</v>
      </c>
      <c r="AH7" s="244" t="str">
        <f>+IF('B0200'!D11="ISIN",IF(ISBLANK('B0200'!AR11),"ERROR","OK"),"OK")</f>
        <v>OK</v>
      </c>
      <c r="AI7" s="244" t="str">
        <f>+IF('B0200'!D11="ISIN",IF(ISBLANK('B0200'!AS11),"ERROR","OK"),"OK")</f>
        <v>OK</v>
      </c>
      <c r="AJ7" s="244" t="str">
        <f>+IF('B0200'!AB11="ZCB issued at discount",IF(ISBLANK('B0200'!AT11),"ERROR","OK"),"OK")</f>
        <v>OK</v>
      </c>
      <c r="AL7" s="244" t="str">
        <f>+IF(ISBLANK('B0200'!BY11),"ERROR","OK")</f>
        <v>OK</v>
      </c>
      <c r="AM7" s="244" t="str">
        <f>+IF('B9900'!$H$11=Lists!$A$3,IF(ISBLANK('B0200'!CC11),"ERRO","OK"))</f>
        <v>OK</v>
      </c>
      <c r="AN7" s="244" t="str">
        <f>+IF('B9900'!$H$11=Lists!$A$3,IF(ISBLANK('B0200'!CD11),"ERRO","OK"))</f>
        <v>OK</v>
      </c>
      <c r="AO7" s="244" t="str">
        <f>+IF(ISBLANK('B9000'!D11),"ERRO","OK")</f>
        <v>OK</v>
      </c>
    </row>
    <row r="8" spans="1:41" s="244" customFormat="1">
      <c r="A8" s="244">
        <f>+'B0200'!A12</f>
        <v>3</v>
      </c>
      <c r="B8" s="244" t="str">
        <f>+IF(ISBLANK('B0200'!A12),"ERROR","OK")</f>
        <v>OK</v>
      </c>
      <c r="C8" s="244" t="str">
        <f>+IF(ISBLANK('B0200'!C12),"ERROR","OK")</f>
        <v>OK</v>
      </c>
      <c r="D8" s="244" t="str">
        <f>+IF(ISBLANK('B0200'!D12),"ERROR","OK")</f>
        <v>OK</v>
      </c>
      <c r="E8" s="244" t="str">
        <f>+IF(ISBLANK('B0200'!G12),"ERROR","OK")</f>
        <v>OK</v>
      </c>
      <c r="F8" s="244" t="str">
        <f>+IF(ISBLANK('B0200'!H12),"ERROR","OK")</f>
        <v>OK</v>
      </c>
      <c r="G8" s="244" t="str">
        <f>+IF('B0200'!D12="ISIN",IF(ISBLANK('B0200'!H12),"ERROR","OK"),"OK")</f>
        <v>OK</v>
      </c>
      <c r="H8" s="244" t="str">
        <f>+IF(ISBLANK('B0200'!I12),"ERROR","OK")</f>
        <v>OK</v>
      </c>
      <c r="I8" s="244" t="str">
        <f>+IF(ISBLANK('B0200'!J12),"ERROR","OK")</f>
        <v>OK</v>
      </c>
      <c r="J8" s="244" t="str">
        <f>+IF(ISBLANK('B0200'!J12),"ERROR","OK")</f>
        <v>OK</v>
      </c>
      <c r="K8" s="244" t="str">
        <f>+IF(ISBLANK('B0200'!L12),"ERROR","OK")</f>
        <v>OK</v>
      </c>
      <c r="L8" s="244" t="str">
        <f>+IF(ISBLANK('B0200'!L12),"ERROR","OK")</f>
        <v>OK</v>
      </c>
      <c r="M8" s="244" t="str">
        <f>+IF(ISBLANK('B0200'!N12),"ERROR","OK")</f>
        <v>OK</v>
      </c>
      <c r="N8" s="244" t="str">
        <f>+IF(VLOOKUP('B0200'!O12,'Aux Validations'!$A$3:$B$13,2,0)=1,"OK","ERROR")</f>
        <v>OK</v>
      </c>
      <c r="O8" s="244" t="str">
        <f>+IF('B0200'!O12="Other","ERROR","OK")</f>
        <v>OK</v>
      </c>
      <c r="P8" s="244" t="str">
        <f>+IF(ISBLANK('B0200'!R12),"ERROR","OK")</f>
        <v>OK</v>
      </c>
      <c r="Q8" s="244" t="str">
        <f>+IF(ISBLANK('B0200'!T12),"ERROR","OK")</f>
        <v>OK</v>
      </c>
      <c r="R8" s="244" t="str">
        <f>+IF(ISBLANK('B0200'!V12),"ERROR","OK")</f>
        <v>OK</v>
      </c>
      <c r="S8" s="244" t="str">
        <f>+IF(ISBLANK('B0200'!V12),"ERROR","OK")</f>
        <v>OK</v>
      </c>
      <c r="T8" s="244" t="str">
        <f>+IF(ISBLANK('B0200'!X12),"ERROR","OK")</f>
        <v>OK</v>
      </c>
      <c r="U8" s="244" t="str">
        <f>+IF(ISBLANK('B0200'!Y12),"ERROR","OK")</f>
        <v>OK</v>
      </c>
      <c r="V8" s="244" t="str">
        <f>+IF(ISBLANK('B0200'!Z12),"ERROR","OK")</f>
        <v>OK</v>
      </c>
      <c r="W8" s="244" t="str">
        <f>+IF(VLOOKUP('B0200'!AC12,'Aux Validations'!$D$3:$E$8,2,0)=1,"OK","ERROR")</f>
        <v>OK</v>
      </c>
      <c r="X8" s="244" t="str">
        <f>+IF(OR('B0200'!AC12='Aux Validations'!$D$5,'B0200'!AC12='Aux Validations'!$D$7),"ERRO","OK")</f>
        <v>OK</v>
      </c>
      <c r="Y8" s="244" t="str">
        <f>+IF(OR('B0200'!AC12='Aux Validations'!$D$5,'B0200'!AC12='Aux Validations'!$D$7),ISBLANK('B0200'!AE12),"OK")</f>
        <v>OK</v>
      </c>
      <c r="Z8" s="244" t="str">
        <f>+IF('B0200'!AF12="TRUE",IF(ISBLANK('B0200'!AH12),"ERRO","OK"),"OK")</f>
        <v>OK</v>
      </c>
      <c r="AA8" s="244" t="str">
        <f>+IF(ISBLANK('B0200'!AI12),"ERROR","OK")</f>
        <v>OK</v>
      </c>
      <c r="AB8" s="244" t="str">
        <f>+IF('B0200'!AI12=Lists!$I$2,IF(ISBLANK('B0200'!AJ12),"ERRO","OK"),"OK")</f>
        <v>OK</v>
      </c>
      <c r="AC8" s="244" t="str">
        <f>+IF('B0200'!AI12=Lists!$I$2,IF(ISBLANK('B0200'!AK12),"ERRO","OK"),"OK")</f>
        <v>OK</v>
      </c>
      <c r="AD8" s="244" t="str">
        <f>+IF('B0200'!AI12=Lists!$I$2,IF(ISBLANK('B0200'!AM12),"ERRO","OK"),"OK")</f>
        <v>OK</v>
      </c>
      <c r="AE8" s="244" t="str">
        <f>+IF('B0200'!AM12="Other",IF(ISBLANK('B0200'!AN12),"ERRO","OK"),"OK")</f>
        <v>OK</v>
      </c>
      <c r="AF8" s="244" t="str">
        <f>+IF(AND('B0200'!D12="ISIN",'B0200'!AO12="Nominal"),IF(ISBLANK('B0200'!AP12),"ERRO","OK"),"OK")</f>
        <v>OK</v>
      </c>
      <c r="AG8" s="244" t="str">
        <f>+IF(AND('B0200'!D12="ISIN",'B0200'!AO12="Unit"),IF(ISBLANK('B0200'!AP12),"ERRO","OK"),"OK")</f>
        <v>OK</v>
      </c>
      <c r="AH8" s="244" t="str">
        <f>+IF('B0200'!D12="ISIN",IF(ISBLANK('B0200'!AR12),"ERROR","OK"),"OK")</f>
        <v>OK</v>
      </c>
      <c r="AI8" s="244" t="str">
        <f>+IF('B0200'!D12="ISIN",IF(ISBLANK('B0200'!AS12),"ERROR","OK"),"OK")</f>
        <v>OK</v>
      </c>
      <c r="AJ8" s="244" t="str">
        <f>+IF('B0200'!AB12="ZCB issued at discount",IF(ISBLANK('B0200'!AT12),"ERROR","OK"),"OK")</f>
        <v>OK</v>
      </c>
      <c r="AL8" s="244" t="str">
        <f>+IF(ISBLANK('B0200'!BY12),"ERROR","OK")</f>
        <v>OK</v>
      </c>
      <c r="AM8" s="244" t="str">
        <f>+IF('B9900'!$H$11=Lists!$A$3,IF(ISBLANK('B0200'!CC12),"ERRO","OK"))</f>
        <v>OK</v>
      </c>
      <c r="AN8" s="244" t="str">
        <f>+IF('B9900'!$H$11=Lists!$A$3,IF(ISBLANK('B0200'!CD12),"ERRO","OK"))</f>
        <v>OK</v>
      </c>
      <c r="AO8" s="244" t="str">
        <f>+IF(ISBLANK('B9000'!D12),"ERRO","OK")</f>
        <v>OK</v>
      </c>
    </row>
    <row r="9" spans="1:41" s="244" customFormat="1">
      <c r="A9" s="244">
        <f>+'B0200'!A13</f>
        <v>4</v>
      </c>
      <c r="B9" s="244" t="str">
        <f>+IF(ISBLANK('B0200'!A13),"ERROR","OK")</f>
        <v>OK</v>
      </c>
      <c r="C9" s="244" t="str">
        <f>+IF(ISBLANK('B0200'!C13),"ERROR","OK")</f>
        <v>OK</v>
      </c>
      <c r="D9" s="244" t="str">
        <f>+IF(ISBLANK('B0200'!D13),"ERROR","OK")</f>
        <v>OK</v>
      </c>
      <c r="E9" s="244" t="str">
        <f>+IF(ISBLANK('B0200'!G13),"ERROR","OK")</f>
        <v>OK</v>
      </c>
      <c r="F9" s="244" t="str">
        <f>+IF(ISBLANK('B0200'!H13),"ERROR","OK")</f>
        <v>OK</v>
      </c>
      <c r="G9" s="244" t="str">
        <f>+IF('B0200'!D13="ISIN",IF(ISBLANK('B0200'!H13),"ERROR","OK"),"OK")</f>
        <v>OK</v>
      </c>
      <c r="H9" s="244" t="str">
        <f>+IF(ISBLANK('B0200'!I13),"ERROR","OK")</f>
        <v>OK</v>
      </c>
      <c r="I9" s="244" t="str">
        <f>+IF(ISBLANK('B0200'!J13),"ERROR","OK")</f>
        <v>OK</v>
      </c>
      <c r="J9" s="244" t="str">
        <f>+IF(ISBLANK('B0200'!J13),"ERROR","OK")</f>
        <v>OK</v>
      </c>
      <c r="K9" s="244" t="str">
        <f>+IF(ISBLANK('B0200'!L13),"ERROR","OK")</f>
        <v>OK</v>
      </c>
      <c r="L9" s="244" t="str">
        <f>+IF(ISBLANK('B0200'!L13),"ERROR","OK")</f>
        <v>OK</v>
      </c>
      <c r="M9" s="244" t="str">
        <f>+IF(ISBLANK('B0200'!N13),"ERROR","OK")</f>
        <v>OK</v>
      </c>
      <c r="N9" s="244" t="str">
        <f>+IF(VLOOKUP('B0200'!O13,'Aux Validations'!$A$3:$B$13,2,0)=1,"OK","ERROR")</f>
        <v>OK</v>
      </c>
      <c r="O9" s="244" t="str">
        <f>+IF('B0200'!O13="Other","ERROR","OK")</f>
        <v>OK</v>
      </c>
      <c r="P9" s="244" t="str">
        <f>+IF(ISBLANK('B0200'!R13),"ERROR","OK")</f>
        <v>OK</v>
      </c>
      <c r="Q9" s="244" t="str">
        <f>+IF(ISBLANK('B0200'!T13),"ERROR","OK")</f>
        <v>OK</v>
      </c>
      <c r="R9" s="244" t="str">
        <f>+IF(ISBLANK('B0200'!V13),"ERROR","OK")</f>
        <v>OK</v>
      </c>
      <c r="S9" s="244" t="str">
        <f>+IF(ISBLANK('B0200'!V13),"ERROR","OK")</f>
        <v>OK</v>
      </c>
      <c r="T9" s="244" t="str">
        <f>+IF(ISBLANK('B0200'!X13),"ERROR","OK")</f>
        <v>OK</v>
      </c>
      <c r="U9" s="244" t="str">
        <f>+IF(ISBLANK('B0200'!Y13),"ERROR","OK")</f>
        <v>OK</v>
      </c>
      <c r="V9" s="244" t="str">
        <f>+IF(ISBLANK('B0200'!Z13),"ERROR","OK")</f>
        <v>OK</v>
      </c>
      <c r="W9" s="244" t="str">
        <f>+IF(VLOOKUP('B0200'!AC13,'Aux Validations'!$D$3:$E$8,2,0)=1,"OK","ERROR")</f>
        <v>OK</v>
      </c>
      <c r="X9" s="244" t="str">
        <f>+IF(OR('B0200'!AC13='Aux Validations'!$D$5,'B0200'!AC13='Aux Validations'!$D$7),"ERRO","OK")</f>
        <v>OK</v>
      </c>
      <c r="Y9" s="244" t="str">
        <f>+IF(OR('B0200'!AC13='Aux Validations'!$D$5,'B0200'!AC13='Aux Validations'!$D$7),ISBLANK('B0200'!AE13),"OK")</f>
        <v>OK</v>
      </c>
      <c r="Z9" s="244" t="str">
        <f>+IF('B0200'!AF13="TRUE",IF(ISBLANK('B0200'!AH13),"ERRO","OK"),"OK")</f>
        <v>OK</v>
      </c>
      <c r="AA9" s="244" t="str">
        <f>+IF(ISBLANK('B0200'!AI13),"ERROR","OK")</f>
        <v>OK</v>
      </c>
      <c r="AB9" s="244" t="str">
        <f>+IF('B0200'!AI13=Lists!$I$2,IF(ISBLANK('B0200'!AJ13),"ERRO","OK"),"OK")</f>
        <v>OK</v>
      </c>
      <c r="AC9" s="244" t="str">
        <f>+IF('B0200'!AI13=Lists!$I$2,IF(ISBLANK('B0200'!AK13),"ERRO","OK"),"OK")</f>
        <v>OK</v>
      </c>
      <c r="AD9" s="244" t="str">
        <f>+IF('B0200'!AI13=Lists!$I$2,IF(ISBLANK('B0200'!AM13),"ERRO","OK"),"OK")</f>
        <v>OK</v>
      </c>
      <c r="AE9" s="244" t="str">
        <f>+IF('B0200'!AM13="Other",IF(ISBLANK('B0200'!AN13),"ERRO","OK"),"OK")</f>
        <v>OK</v>
      </c>
      <c r="AF9" s="244" t="str">
        <f>+IF(AND('B0200'!D13="ISIN",'B0200'!AO13="Nominal"),IF(ISBLANK('B0200'!AP13),"ERRO","OK"),"OK")</f>
        <v>OK</v>
      </c>
      <c r="AG9" s="244" t="str">
        <f>+IF(AND('B0200'!D13="ISIN",'B0200'!AO13="Unit"),IF(ISBLANK('B0200'!AP13),"ERRO","OK"),"OK")</f>
        <v>OK</v>
      </c>
      <c r="AH9" s="244" t="str">
        <f>+IF('B0200'!D13="ISIN",IF(ISBLANK('B0200'!AR13),"ERROR","OK"),"OK")</f>
        <v>OK</v>
      </c>
      <c r="AI9" s="244" t="str">
        <f>+IF('B0200'!D13="ISIN",IF(ISBLANK('B0200'!AS13),"ERROR","OK"),"OK")</f>
        <v>OK</v>
      </c>
      <c r="AJ9" s="244" t="str">
        <f>+IF('B0200'!AB13="ZCB issued at discount",IF(ISBLANK('B0200'!AT13),"ERROR","OK"),"OK")</f>
        <v>OK</v>
      </c>
      <c r="AL9" s="244" t="str">
        <f>+IF(ISBLANK('B0200'!BY13),"ERROR","OK")</f>
        <v>OK</v>
      </c>
      <c r="AM9" s="244" t="str">
        <f>+IF('B9900'!$H$11=Lists!$A$3,IF(ISBLANK('B0200'!CC13),"ERRO","OK"))</f>
        <v>OK</v>
      </c>
      <c r="AN9" s="244" t="str">
        <f>+IF('B9900'!$H$11=Lists!$A$3,IF(ISBLANK('B0200'!CD13),"ERRO","OK"))</f>
        <v>OK</v>
      </c>
      <c r="AO9" s="244" t="str">
        <f>+IF(ISBLANK('B9000'!D13),"ERRO","OK")</f>
        <v>OK</v>
      </c>
    </row>
    <row r="10" spans="1:41" s="244" customFormat="1">
      <c r="A10" s="244">
        <f>+'B0200'!A14</f>
        <v>5</v>
      </c>
      <c r="B10" s="244" t="str">
        <f>+IF(ISBLANK('B0200'!A14),"ERROR","OK")</f>
        <v>OK</v>
      </c>
      <c r="C10" s="244" t="str">
        <f>+IF(ISBLANK('B0200'!C14),"ERROR","OK")</f>
        <v>OK</v>
      </c>
      <c r="D10" s="244" t="str">
        <f>+IF(ISBLANK('B0200'!D14),"ERROR","OK")</f>
        <v>OK</v>
      </c>
      <c r="E10" s="244" t="str">
        <f>+IF(ISBLANK('B0200'!G14),"ERROR","OK")</f>
        <v>OK</v>
      </c>
      <c r="F10" s="244" t="str">
        <f>+IF(ISBLANK('B0200'!H14),"ERROR","OK")</f>
        <v>OK</v>
      </c>
      <c r="G10" s="244" t="str">
        <f>+IF('B0200'!D14="ISIN",IF(ISBLANK('B0200'!H14),"ERROR","OK"),"OK")</f>
        <v>OK</v>
      </c>
      <c r="H10" s="244" t="str">
        <f>+IF(ISBLANK('B0200'!I14),"ERROR","OK")</f>
        <v>OK</v>
      </c>
      <c r="I10" s="244" t="str">
        <f>+IF(ISBLANK('B0200'!J14),"ERROR","OK")</f>
        <v>OK</v>
      </c>
      <c r="J10" s="244" t="str">
        <f>+IF(ISBLANK('B0200'!J14),"ERROR","OK")</f>
        <v>OK</v>
      </c>
      <c r="K10" s="244" t="str">
        <f>+IF(ISBLANK('B0200'!L14),"ERROR","OK")</f>
        <v>OK</v>
      </c>
      <c r="L10" s="244" t="str">
        <f>+IF(ISBLANK('B0200'!L14),"ERROR","OK")</f>
        <v>OK</v>
      </c>
      <c r="M10" s="244" t="str">
        <f>+IF(ISBLANK('B0200'!N14),"ERROR","OK")</f>
        <v>OK</v>
      </c>
      <c r="N10" s="244" t="str">
        <f>+IF(VLOOKUP('B0200'!O14,'Aux Validations'!$A$3:$B$13,2,0)=1,"OK","ERROR")</f>
        <v>OK</v>
      </c>
      <c r="O10" s="244" t="str">
        <f>+IF('B0200'!O14="Other","ERROR","OK")</f>
        <v>OK</v>
      </c>
      <c r="P10" s="244" t="str">
        <f>+IF(ISBLANK('B0200'!R14),"ERROR","OK")</f>
        <v>OK</v>
      </c>
      <c r="Q10" s="244" t="str">
        <f>+IF(ISBLANK('B0200'!T14),"ERROR","OK")</f>
        <v>OK</v>
      </c>
      <c r="R10" s="244" t="str">
        <f>+IF(ISBLANK('B0200'!V14),"ERROR","OK")</f>
        <v>OK</v>
      </c>
      <c r="S10" s="244" t="str">
        <f>+IF(ISBLANK('B0200'!V14),"ERROR","OK")</f>
        <v>OK</v>
      </c>
      <c r="T10" s="244" t="str">
        <f>+IF(ISBLANK('B0200'!X14),"ERROR","OK")</f>
        <v>OK</v>
      </c>
      <c r="U10" s="244" t="str">
        <f>+IF(ISBLANK('B0200'!Y14),"ERROR","OK")</f>
        <v>OK</v>
      </c>
      <c r="V10" s="244" t="str">
        <f>+IF(ISBLANK('B0200'!Z14),"ERROR","OK")</f>
        <v>OK</v>
      </c>
      <c r="W10" s="244" t="str">
        <f>+IF(VLOOKUP('B0200'!AC14,'Aux Validations'!$D$3:$E$8,2,0)=1,"OK","ERROR")</f>
        <v>OK</v>
      </c>
      <c r="X10" s="244" t="str">
        <f>+IF(OR('B0200'!AC14='Aux Validations'!$D$5,'B0200'!AC14='Aux Validations'!$D$7),"ERRO","OK")</f>
        <v>OK</v>
      </c>
      <c r="Y10" s="244" t="str">
        <f>+IF(OR('B0200'!AC14='Aux Validations'!$D$5,'B0200'!AC14='Aux Validations'!$D$7),ISBLANK('B0200'!AE14),"OK")</f>
        <v>OK</v>
      </c>
      <c r="Z10" s="244" t="str">
        <f>+IF('B0200'!AF14="TRUE",IF(ISBLANK('B0200'!AH14),"ERRO","OK"),"OK")</f>
        <v>OK</v>
      </c>
      <c r="AA10" s="244" t="str">
        <f>+IF(ISBLANK('B0200'!AI14),"ERROR","OK")</f>
        <v>OK</v>
      </c>
      <c r="AB10" s="244" t="str">
        <f>+IF('B0200'!AI14=Lists!$I$2,IF(ISBLANK('B0200'!AJ14),"ERRO","OK"),"OK")</f>
        <v>OK</v>
      </c>
      <c r="AC10" s="244" t="str">
        <f>+IF('B0200'!AI14=Lists!$I$2,IF(ISBLANK('B0200'!AK14),"ERRO","OK"),"OK")</f>
        <v>OK</v>
      </c>
      <c r="AD10" s="244" t="str">
        <f>+IF('B0200'!AI14=Lists!$I$2,IF(ISBLANK('B0200'!AM14),"ERRO","OK"),"OK")</f>
        <v>OK</v>
      </c>
      <c r="AE10" s="244" t="str">
        <f>+IF('B0200'!AM14="Other",IF(ISBLANK('B0200'!AN14),"ERRO","OK"),"OK")</f>
        <v>OK</v>
      </c>
      <c r="AF10" s="244" t="str">
        <f>+IF(AND('B0200'!D14="ISIN",'B0200'!AO14="Nominal"),IF(ISBLANK('B0200'!AP14),"ERRO","OK"),"OK")</f>
        <v>OK</v>
      </c>
      <c r="AG10" s="244" t="str">
        <f>+IF(AND('B0200'!D14="ISIN",'B0200'!AO14="Unit"),IF(ISBLANK('B0200'!AP14),"ERRO","OK"),"OK")</f>
        <v>OK</v>
      </c>
      <c r="AH10" s="244" t="str">
        <f>+IF('B0200'!D14="ISIN",IF(ISBLANK('B0200'!AR14),"ERROR","OK"),"OK")</f>
        <v>OK</v>
      </c>
      <c r="AI10" s="244" t="str">
        <f>+IF('B0200'!D14="ISIN",IF(ISBLANK('B0200'!AS14),"ERROR","OK"),"OK")</f>
        <v>OK</v>
      </c>
      <c r="AJ10" s="244" t="str">
        <f>+IF('B0200'!AB14="ZCB issued at discount",IF(ISBLANK('B0200'!AT14),"ERROR","OK"),"OK")</f>
        <v>OK</v>
      </c>
      <c r="AL10" s="244" t="str">
        <f>+IF(ISBLANK('B0200'!BY14),"ERROR","OK")</f>
        <v>OK</v>
      </c>
      <c r="AM10" s="244" t="str">
        <f>+IF('B9900'!$H$11=Lists!$A$3,IF(ISBLANK('B0200'!CC14),"ERRO","OK"))</f>
        <v>OK</v>
      </c>
      <c r="AN10" s="244" t="str">
        <f>+IF('B9900'!$H$11=Lists!$A$3,IF(ISBLANK('B0200'!CD14),"ERRO","OK"))</f>
        <v>OK</v>
      </c>
      <c r="AO10" s="244" t="str">
        <f>+IF(ISBLANK('B9000'!D14),"ERRO","OK")</f>
        <v>OK</v>
      </c>
    </row>
    <row r="11" spans="1:41" s="244" customFormat="1">
      <c r="A11" s="244">
        <f>+'B0200'!A15</f>
        <v>6</v>
      </c>
      <c r="B11" s="244" t="str">
        <f>+IF(ISBLANK('B0200'!A15),"ERROR","OK")</f>
        <v>OK</v>
      </c>
      <c r="C11" s="244" t="str">
        <f>+IF(ISBLANK('B0200'!C15),"ERROR","OK")</f>
        <v>OK</v>
      </c>
      <c r="D11" s="244" t="str">
        <f>+IF(ISBLANK('B0200'!D15),"ERROR","OK")</f>
        <v>OK</v>
      </c>
      <c r="E11" s="244" t="str">
        <f>+IF(ISBLANK('B0200'!G15),"ERROR","OK")</f>
        <v>OK</v>
      </c>
      <c r="F11" s="244" t="str">
        <f>+IF(ISBLANK('B0200'!H15),"ERROR","OK")</f>
        <v>OK</v>
      </c>
      <c r="G11" s="244" t="str">
        <f>+IF('B0200'!D15="ISIN",IF(ISBLANK('B0200'!H15),"ERROR","OK"),"OK")</f>
        <v>OK</v>
      </c>
      <c r="H11" s="244" t="str">
        <f>+IF(ISBLANK('B0200'!I15),"ERROR","OK")</f>
        <v>OK</v>
      </c>
      <c r="I11" s="244" t="str">
        <f>+IF(ISBLANK('B0200'!J15),"ERROR","OK")</f>
        <v>OK</v>
      </c>
      <c r="J11" s="244" t="str">
        <f>+IF(ISBLANK('B0200'!J15),"ERROR","OK")</f>
        <v>OK</v>
      </c>
      <c r="K11" s="244" t="str">
        <f>+IF(ISBLANK('B0200'!L15),"ERROR","OK")</f>
        <v>OK</v>
      </c>
      <c r="L11" s="244" t="str">
        <f>+IF(ISBLANK('B0200'!L15),"ERROR","OK")</f>
        <v>OK</v>
      </c>
      <c r="M11" s="244" t="str">
        <f>+IF(ISBLANK('B0200'!N15),"ERROR","OK")</f>
        <v>OK</v>
      </c>
      <c r="N11" s="244" t="str">
        <f>+IF(VLOOKUP('B0200'!O15,'Aux Validations'!$A$3:$B$13,2,0)=1,"OK","ERROR")</f>
        <v>OK</v>
      </c>
      <c r="O11" s="244" t="str">
        <f>+IF('B0200'!O15="Other","ERROR","OK")</f>
        <v>OK</v>
      </c>
      <c r="P11" s="244" t="str">
        <f>+IF(ISBLANK('B0200'!R15),"ERROR","OK")</f>
        <v>OK</v>
      </c>
      <c r="Q11" s="244" t="str">
        <f>+IF(ISBLANK('B0200'!T15),"ERROR","OK")</f>
        <v>OK</v>
      </c>
      <c r="R11" s="244" t="str">
        <f>+IF(ISBLANK('B0200'!V15),"ERROR","OK")</f>
        <v>OK</v>
      </c>
      <c r="S11" s="244" t="str">
        <f>+IF(ISBLANK('B0200'!V15),"ERROR","OK")</f>
        <v>OK</v>
      </c>
      <c r="T11" s="244" t="str">
        <f>+IF(ISBLANK('B0200'!X15),"ERROR","OK")</f>
        <v>OK</v>
      </c>
      <c r="U11" s="244" t="str">
        <f>+IF(ISBLANK('B0200'!Y15),"ERROR","OK")</f>
        <v>OK</v>
      </c>
      <c r="V11" s="244" t="str">
        <f>+IF(ISBLANK('B0200'!Z15),"ERROR","OK")</f>
        <v>OK</v>
      </c>
      <c r="W11" s="244" t="str">
        <f>+IF(VLOOKUP('B0200'!AC15,'Aux Validations'!$D$3:$E$8,2,0)=1,"OK","ERROR")</f>
        <v>OK</v>
      </c>
      <c r="X11" s="244" t="str">
        <f>+IF(OR('B0200'!AC15='Aux Validations'!$D$5,'B0200'!AC15='Aux Validations'!$D$7),"ERRO","OK")</f>
        <v>OK</v>
      </c>
      <c r="Y11" s="244" t="str">
        <f>+IF(OR('B0200'!AC15='Aux Validations'!$D$5,'B0200'!AC15='Aux Validations'!$D$7),ISBLANK('B0200'!AE15),"OK")</f>
        <v>OK</v>
      </c>
      <c r="Z11" s="244" t="str">
        <f>+IF('B0200'!AF15="TRUE",IF(ISBLANK('B0200'!AH15),"ERRO","OK"),"OK")</f>
        <v>OK</v>
      </c>
      <c r="AA11" s="244" t="str">
        <f>+IF(ISBLANK('B0200'!AI15),"ERROR","OK")</f>
        <v>OK</v>
      </c>
      <c r="AB11" s="244" t="str">
        <f>+IF('B0200'!AI15=Lists!$I$2,IF(ISBLANK('B0200'!AJ15),"ERRO","OK"),"OK")</f>
        <v>OK</v>
      </c>
      <c r="AC11" s="244" t="str">
        <f>+IF('B0200'!AI15=Lists!$I$2,IF(ISBLANK('B0200'!AK15),"ERRO","OK"),"OK")</f>
        <v>OK</v>
      </c>
      <c r="AD11" s="244" t="str">
        <f>+IF('B0200'!AI15=Lists!$I$2,IF(ISBLANK('B0200'!AM15),"ERRO","OK"),"OK")</f>
        <v>OK</v>
      </c>
      <c r="AE11" s="244" t="str">
        <f>+IF('B0200'!AM15="Other",IF(ISBLANK('B0200'!AN15),"ERRO","OK"),"OK")</f>
        <v>OK</v>
      </c>
      <c r="AF11" s="244" t="str">
        <f>+IF(AND('B0200'!D15="ISIN",'B0200'!AO15="Nominal"),IF(ISBLANK('B0200'!AP15),"ERRO","OK"),"OK")</f>
        <v>OK</v>
      </c>
      <c r="AG11" s="244" t="str">
        <f>+IF(AND('B0200'!D15="ISIN",'B0200'!AO15="Unit"),IF(ISBLANK('B0200'!AP15),"ERRO","OK"),"OK")</f>
        <v>OK</v>
      </c>
      <c r="AH11" s="244" t="str">
        <f>+IF('B0200'!D15="ISIN",IF(ISBLANK('B0200'!AR15),"ERROR","OK"),"OK")</f>
        <v>OK</v>
      </c>
      <c r="AI11" s="244" t="str">
        <f>+IF('B0200'!D15="ISIN",IF(ISBLANK('B0200'!AS15),"ERROR","OK"),"OK")</f>
        <v>OK</v>
      </c>
      <c r="AJ11" s="244" t="str">
        <f>+IF('B0200'!AB15="ZCB issued at discount",IF(ISBLANK('B0200'!AT15),"ERROR","OK"),"OK")</f>
        <v>OK</v>
      </c>
      <c r="AL11" s="244" t="str">
        <f>+IF(ISBLANK('B0200'!BY15),"ERROR","OK")</f>
        <v>OK</v>
      </c>
      <c r="AM11" s="244" t="str">
        <f>+IF('B9900'!$H$11=Lists!$A$3,IF(ISBLANK('B0200'!CC15),"ERRO","OK"))</f>
        <v>OK</v>
      </c>
      <c r="AN11" s="244" t="str">
        <f>+IF('B9900'!$H$11=Lists!$A$3,IF(ISBLANK('B0200'!CD15),"ERRO","OK"))</f>
        <v>OK</v>
      </c>
      <c r="AO11" s="244" t="str">
        <f>+IF(ISBLANK('B9000'!D15),"ERRO","OK")</f>
        <v>OK</v>
      </c>
    </row>
    <row r="12" spans="1:41">
      <c r="B12" s="244"/>
    </row>
  </sheetData>
  <conditionalFormatting sqref="B4:AO11">
    <cfRule type="cellIs" dxfId="2" priority="1" operator="notEqual">
      <formula>"ok"</formula>
    </cfRule>
    <cfRule type="cellIs" dxfId="1" priority="2" operator="equal">
      <formula>"ok"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K42"/>
  <sheetViews>
    <sheetView showGridLines="0" zoomScaleNormal="100" workbookViewId="0">
      <pane ySplit="2" topLeftCell="A33" activePane="bottomLeft" state="frozen"/>
      <selection activeCell="E31" sqref="E31"/>
      <selection pane="bottomLeft" activeCell="J38" sqref="J38"/>
    </sheetView>
  </sheetViews>
  <sheetFormatPr defaultColWidth="9.109375" defaultRowHeight="14.4"/>
  <cols>
    <col min="1" max="1" width="11.5546875" style="97" customWidth="1"/>
    <col min="2" max="2" width="15.33203125" style="97" customWidth="1"/>
    <col min="3" max="3" width="9.109375" style="97" customWidth="1"/>
    <col min="4" max="4" width="8.33203125" style="97" customWidth="1"/>
    <col min="5" max="5" width="19.5546875" style="97" customWidth="1"/>
    <col min="6" max="6" width="14" style="97" customWidth="1"/>
    <col min="7" max="8" width="15" style="223" customWidth="1"/>
    <col min="9" max="9" width="44.33203125" style="97" customWidth="1"/>
    <col min="10" max="10" width="47" style="97" customWidth="1"/>
    <col min="11" max="11" width="40.88671875" style="97" customWidth="1"/>
    <col min="12" max="12" width="2.44140625" style="97" customWidth="1"/>
    <col min="13" max="13" width="8.44140625" style="97" customWidth="1"/>
    <col min="14" max="16383" width="9.109375" style="97"/>
    <col min="16384" max="16384" width="11.109375" style="97" customWidth="1"/>
  </cols>
  <sheetData>
    <row r="1" spans="1:11" ht="42" customHeight="1">
      <c r="B1" s="215" t="s">
        <v>356</v>
      </c>
      <c r="C1" s="216"/>
      <c r="D1" s="216"/>
      <c r="E1" s="216"/>
      <c r="F1" s="216"/>
      <c r="G1" s="216"/>
      <c r="H1" s="216"/>
      <c r="I1" s="216"/>
      <c r="J1" s="216"/>
      <c r="K1" s="216"/>
    </row>
    <row r="2" spans="1:11" ht="40.799999999999997">
      <c r="A2" s="217"/>
      <c r="B2" s="218" t="s">
        <v>357</v>
      </c>
      <c r="C2" s="218" t="s">
        <v>358</v>
      </c>
      <c r="D2" s="218" t="s">
        <v>359</v>
      </c>
      <c r="E2" s="218" t="s">
        <v>360</v>
      </c>
      <c r="F2" s="218" t="s">
        <v>361</v>
      </c>
      <c r="G2" s="218" t="s">
        <v>362</v>
      </c>
      <c r="H2" s="218" t="s">
        <v>363</v>
      </c>
      <c r="I2" s="218" t="s">
        <v>364</v>
      </c>
      <c r="J2" s="218" t="s">
        <v>365</v>
      </c>
      <c r="K2" s="218" t="s">
        <v>366</v>
      </c>
    </row>
    <row r="3" spans="1:11" s="250" customFormat="1" ht="37.5" hidden="1" customHeight="1">
      <c r="A3" s="245" t="s">
        <v>367</v>
      </c>
      <c r="B3" s="246" t="str">
        <f>CONCATENATE("v_1_",A3)</f>
        <v>v_1_0001</v>
      </c>
      <c r="C3" s="246" t="s">
        <v>368</v>
      </c>
      <c r="D3" s="246" t="str">
        <f>VLOOKUP(CONCATENATE(C3,"_",E3),'Data types'!A:E,4,FALSE)</f>
        <v>0010</v>
      </c>
      <c r="E3" s="247" t="s">
        <v>176</v>
      </c>
      <c r="F3" s="247" t="str">
        <f>VLOOKUP(CONCATENATE(C3,"_",E3),'Data types'!A:F,6,FALSE)</f>
        <v>Numeric: Integer</v>
      </c>
      <c r="G3" s="248" t="s">
        <v>369</v>
      </c>
      <c r="H3" s="248"/>
      <c r="I3" s="247" t="s">
        <v>370</v>
      </c>
      <c r="J3" s="249"/>
      <c r="K3" s="247" t="s">
        <v>371</v>
      </c>
    </row>
    <row r="4" spans="1:11" s="250" customFormat="1" ht="37.5" hidden="1" customHeight="1">
      <c r="A4" s="245" t="s">
        <v>372</v>
      </c>
      <c r="B4" s="246" t="str">
        <f>CONCATENATE("v_1_",A4)</f>
        <v>v_1_0002</v>
      </c>
      <c r="C4" s="246" t="s">
        <v>368</v>
      </c>
      <c r="D4" s="246" t="str">
        <f>VLOOKUP(CONCATENATE(C4,"_",E4),'Data types'!A:E,4,FALSE)</f>
        <v>0030</v>
      </c>
      <c r="E4" s="247" t="s">
        <v>178</v>
      </c>
      <c r="F4" s="247" t="str">
        <f>VLOOKUP(CONCATENATE(C4,"_",E4),'Data types'!A:F,6,FALSE)</f>
        <v>String: Free text</v>
      </c>
      <c r="G4" s="248" t="s">
        <v>369</v>
      </c>
      <c r="H4" s="248"/>
      <c r="I4" s="247" t="s">
        <v>373</v>
      </c>
      <c r="J4" s="249"/>
      <c r="K4" s="247" t="s">
        <v>371</v>
      </c>
    </row>
    <row r="5" spans="1:11" s="250" customFormat="1" ht="37.5" hidden="1" customHeight="1">
      <c r="A5" s="245" t="s">
        <v>374</v>
      </c>
      <c r="B5" s="246" t="str">
        <f t="shared" ref="B5:B42" si="0">CONCATENATE("v_1_",A5)</f>
        <v>v_1_0003</v>
      </c>
      <c r="C5" s="246" t="s">
        <v>368</v>
      </c>
      <c r="D5" s="246" t="str">
        <f>VLOOKUP(CONCATENATE(C5,"_",E5),'Data types'!A:E,4,FALSE)</f>
        <v>0040</v>
      </c>
      <c r="E5" s="247" t="s">
        <v>179</v>
      </c>
      <c r="F5" s="247" t="str">
        <f>VLOOKUP(CONCATENATE(C5,"_",E5),'Data types'!A:F,6,FALSE)</f>
        <v>String: Free text, but fixed values for specific items</v>
      </c>
      <c r="G5" s="248" t="s">
        <v>369</v>
      </c>
      <c r="H5" s="248"/>
      <c r="I5" s="247" t="s">
        <v>373</v>
      </c>
      <c r="J5" s="249"/>
      <c r="K5" s="247" t="s">
        <v>371</v>
      </c>
    </row>
    <row r="6" spans="1:11" s="250" customFormat="1" ht="37.5" hidden="1" customHeight="1">
      <c r="A6" s="245" t="s">
        <v>375</v>
      </c>
      <c r="B6" s="246" t="str">
        <f t="shared" si="0"/>
        <v>v_1_0004</v>
      </c>
      <c r="C6" s="246" t="s">
        <v>368</v>
      </c>
      <c r="D6" s="246" t="str">
        <f>VLOOKUP(CONCATENATE(C6,"_",E6),'Data types'!A:E,4,FALSE)</f>
        <v>0070</v>
      </c>
      <c r="E6" s="247" t="s">
        <v>376</v>
      </c>
      <c r="F6" s="247" t="str">
        <f>VLOOKUP(CONCATENATE(C6,"_",E6),'Data types'!A:F,6,FALSE)</f>
        <v>String: 3-letters ISO 4217</v>
      </c>
      <c r="G6" s="248" t="s">
        <v>369</v>
      </c>
      <c r="H6" s="248"/>
      <c r="I6" s="247" t="s">
        <v>373</v>
      </c>
      <c r="J6" s="249"/>
      <c r="K6" s="247" t="s">
        <v>371</v>
      </c>
    </row>
    <row r="7" spans="1:11" s="250" customFormat="1" ht="37.5" hidden="1" customHeight="1">
      <c r="A7" s="245" t="s">
        <v>377</v>
      </c>
      <c r="B7" s="246" t="str">
        <f t="shared" si="0"/>
        <v>v_1_0005</v>
      </c>
      <c r="C7" s="246" t="s">
        <v>368</v>
      </c>
      <c r="D7" s="246" t="str">
        <f>VLOOKUP(CONCATENATE(C7,"_",E7),'Data types'!A:E,4,FALSE)</f>
        <v>0080</v>
      </c>
      <c r="E7" s="247" t="s">
        <v>183</v>
      </c>
      <c r="F7" s="247" t="str">
        <f>VLOOKUP(CONCATENATE(C7,"_",E7),'Data types'!A:F,6,FALSE)</f>
        <v>Numeric: 2 decimals</v>
      </c>
      <c r="G7" s="248" t="s">
        <v>369</v>
      </c>
      <c r="H7" s="248"/>
      <c r="I7" s="247" t="s">
        <v>373</v>
      </c>
      <c r="J7" s="247" t="s">
        <v>378</v>
      </c>
      <c r="K7" s="247" t="s">
        <v>379</v>
      </c>
    </row>
    <row r="8" spans="1:11" s="250" customFormat="1" ht="37.5" hidden="1" customHeight="1">
      <c r="A8" s="245" t="s">
        <v>380</v>
      </c>
      <c r="B8" s="246" t="str">
        <f t="shared" si="0"/>
        <v>v_1_0006</v>
      </c>
      <c r="C8" s="246" t="s">
        <v>368</v>
      </c>
      <c r="D8" s="246" t="str">
        <f>VLOOKUP(CONCATENATE(C8,"_",E8),'Data types'!A:E,4,FALSE)</f>
        <v>0080</v>
      </c>
      <c r="E8" s="247" t="s">
        <v>183</v>
      </c>
      <c r="F8" s="247" t="str">
        <f>VLOOKUP(CONCATENATE(C8,"_",E8),'Data types'!A:F,6,FALSE)</f>
        <v>Numeric: 2 decimals</v>
      </c>
      <c r="G8" s="248"/>
      <c r="H8" s="248" t="s">
        <v>369</v>
      </c>
      <c r="I8" s="247" t="s">
        <v>373</v>
      </c>
      <c r="J8" s="247" t="s">
        <v>381</v>
      </c>
      <c r="K8" s="247" t="s">
        <v>382</v>
      </c>
    </row>
    <row r="9" spans="1:11" s="250" customFormat="1" ht="37.5" hidden="1" customHeight="1">
      <c r="A9" s="245" t="s">
        <v>383</v>
      </c>
      <c r="B9" s="246" t="str">
        <f t="shared" si="0"/>
        <v>v_1_0007</v>
      </c>
      <c r="C9" s="246" t="s">
        <v>368</v>
      </c>
      <c r="D9" s="246" t="str">
        <f>VLOOKUP(CONCATENATE(C9,"_",E9),'Data types'!A:E,4,FALSE)</f>
        <v>0090</v>
      </c>
      <c r="E9" s="247" t="s">
        <v>384</v>
      </c>
      <c r="F9" s="247" t="str">
        <f>VLOOKUP(CONCATENATE(C9,"_",E9),'Data types'!A:F,6,FALSE)</f>
        <v>Numeric: 2 decimals</v>
      </c>
      <c r="G9" s="248" t="s">
        <v>369</v>
      </c>
      <c r="H9" s="248"/>
      <c r="I9" s="247" t="s">
        <v>373</v>
      </c>
      <c r="J9" s="247" t="s">
        <v>385</v>
      </c>
      <c r="K9" s="247" t="s">
        <v>386</v>
      </c>
    </row>
    <row r="10" spans="1:11" s="250" customFormat="1" ht="37.5" hidden="1" customHeight="1">
      <c r="A10" s="245" t="s">
        <v>387</v>
      </c>
      <c r="B10" s="246" t="str">
        <f t="shared" si="0"/>
        <v>v_1_0008</v>
      </c>
      <c r="C10" s="246" t="s">
        <v>368</v>
      </c>
      <c r="D10" s="246" t="str">
        <f>VLOOKUP(CONCATENATE(C10,"_",E10),'Data types'!A:E,4,FALSE)</f>
        <v>0100</v>
      </c>
      <c r="E10" s="247" t="s">
        <v>185</v>
      </c>
      <c r="F10" s="247" t="str">
        <f>VLOOKUP(CONCATENATE(C10,"_",E10),'Data types'!A:F,6,FALSE)</f>
        <v>Numeric: 2 decimals</v>
      </c>
      <c r="G10" s="248" t="s">
        <v>369</v>
      </c>
      <c r="H10" s="248"/>
      <c r="I10" s="247" t="s">
        <v>373</v>
      </c>
      <c r="J10" s="247" t="s">
        <v>388</v>
      </c>
      <c r="K10" s="247" t="s">
        <v>389</v>
      </c>
    </row>
    <row r="11" spans="1:11" s="250" customFormat="1" ht="37.5" hidden="1" customHeight="1">
      <c r="A11" s="245" t="s">
        <v>390</v>
      </c>
      <c r="B11" s="246" t="str">
        <f t="shared" si="0"/>
        <v>v_1_0009</v>
      </c>
      <c r="C11" s="246" t="s">
        <v>368</v>
      </c>
      <c r="D11" s="246" t="str">
        <f>VLOOKUP(CONCATENATE(C11,"_",E11),'Data types'!A:E,4,FALSE)</f>
        <v>0100</v>
      </c>
      <c r="E11" s="247" t="s">
        <v>185</v>
      </c>
      <c r="F11" s="247" t="str">
        <f>VLOOKUP(CONCATENATE(C11,"_",E11),'Data types'!A:F,6,FALSE)</f>
        <v>Numeric: 2 decimals</v>
      </c>
      <c r="G11" s="248"/>
      <c r="H11" s="248" t="s">
        <v>369</v>
      </c>
      <c r="I11" s="247" t="s">
        <v>373</v>
      </c>
      <c r="J11" s="247" t="s">
        <v>391</v>
      </c>
      <c r="K11" s="247" t="s">
        <v>392</v>
      </c>
    </row>
    <row r="12" spans="1:11" s="250" customFormat="1" ht="37.5" hidden="1" customHeight="1">
      <c r="A12" s="245" t="s">
        <v>165</v>
      </c>
      <c r="B12" s="246" t="str">
        <f t="shared" si="0"/>
        <v>v_1_0010</v>
      </c>
      <c r="C12" s="246" t="s">
        <v>368</v>
      </c>
      <c r="D12" s="246" t="str">
        <f>VLOOKUP(CONCATENATE(C12,"_",E12),'Data types'!A:E,4,FALSE)</f>
        <v>0120</v>
      </c>
      <c r="E12" s="247" t="s">
        <v>187</v>
      </c>
      <c r="F12" s="247" t="str">
        <f>VLOOKUP(CONCATENATE(C12,"_",E12),'Data types'!A:F,6,FALSE)</f>
        <v>Numeric: 2 decimals</v>
      </c>
      <c r="G12" s="248" t="s">
        <v>369</v>
      </c>
      <c r="H12" s="248"/>
      <c r="I12" s="247" t="s">
        <v>373</v>
      </c>
      <c r="J12" s="247" t="s">
        <v>378</v>
      </c>
      <c r="K12" s="247" t="s">
        <v>393</v>
      </c>
    </row>
    <row r="13" spans="1:11" s="250" customFormat="1" ht="37.5" hidden="1" customHeight="1">
      <c r="A13" s="245" t="s">
        <v>352</v>
      </c>
      <c r="B13" s="246" t="str">
        <f t="shared" si="0"/>
        <v>v_1_0011</v>
      </c>
      <c r="C13" s="246" t="s">
        <v>368</v>
      </c>
      <c r="D13" s="246" t="str">
        <f>VLOOKUP(CONCATENATE(C13,"_",E13),'Data types'!A:E,4,FALSE)</f>
        <v>0120</v>
      </c>
      <c r="E13" s="247" t="s">
        <v>187</v>
      </c>
      <c r="F13" s="247" t="str">
        <f>VLOOKUP(CONCATENATE(C13,"_",E13),'Data types'!A:F,6,FALSE)</f>
        <v>Numeric: 2 decimals</v>
      </c>
      <c r="G13" s="248"/>
      <c r="H13" s="248" t="s">
        <v>369</v>
      </c>
      <c r="I13" s="247" t="s">
        <v>373</v>
      </c>
      <c r="J13" s="247" t="s">
        <v>391</v>
      </c>
      <c r="K13" s="247" t="s">
        <v>392</v>
      </c>
    </row>
    <row r="14" spans="1:11" s="250" customFormat="1" ht="37.5" hidden="1" customHeight="1">
      <c r="A14" s="245" t="s">
        <v>394</v>
      </c>
      <c r="B14" s="246" t="str">
        <f t="shared" si="0"/>
        <v>v_1_0012</v>
      </c>
      <c r="C14" s="246" t="s">
        <v>368</v>
      </c>
      <c r="D14" s="246" t="str">
        <f>VLOOKUP(CONCATENATE(C14,"_",E14),'Data types'!A:E,4,FALSE)</f>
        <v>0130</v>
      </c>
      <c r="E14" s="247" t="s">
        <v>188</v>
      </c>
      <c r="F14" s="247" t="str">
        <f>VLOOKUP(CONCATENATE(C14,"_",E14),'Data types'!A:F,6,FALSE)</f>
        <v>Numeric: 2 decimals</v>
      </c>
      <c r="G14" s="248" t="s">
        <v>369</v>
      </c>
      <c r="H14" s="248"/>
      <c r="I14" s="247" t="s">
        <v>373</v>
      </c>
      <c r="J14" s="249"/>
      <c r="K14" s="247" t="s">
        <v>371</v>
      </c>
    </row>
    <row r="15" spans="1:11" s="250" customFormat="1" ht="37.5" hidden="1" customHeight="1">
      <c r="A15" s="245" t="s">
        <v>395</v>
      </c>
      <c r="B15" s="246" t="str">
        <f t="shared" si="0"/>
        <v>v_1_0013</v>
      </c>
      <c r="C15" s="246" t="s">
        <v>368</v>
      </c>
      <c r="D15" s="246" t="str">
        <f>VLOOKUP(CONCATENATE(C15,"_",E15),'Data types'!A:E,4,FALSE)</f>
        <v>0140</v>
      </c>
      <c r="E15" s="247" t="s">
        <v>189</v>
      </c>
      <c r="F15" s="247" t="str">
        <f>VLOOKUP(CONCATENATE(C15,"_",E15),'Data types'!A:F,6,FALSE)</f>
        <v>String: Drop-down</v>
      </c>
      <c r="G15" s="248" t="s">
        <v>369</v>
      </c>
      <c r="H15" s="248"/>
      <c r="I15" s="247" t="s">
        <v>373</v>
      </c>
      <c r="J15" s="249"/>
      <c r="K15" s="247" t="s">
        <v>371</v>
      </c>
    </row>
    <row r="16" spans="1:11" s="250" customFormat="1" ht="37.5" hidden="1" customHeight="1">
      <c r="A16" s="245" t="s">
        <v>396</v>
      </c>
      <c r="B16" s="246" t="str">
        <f t="shared" si="0"/>
        <v>v_1_0014</v>
      </c>
      <c r="C16" s="246" t="s">
        <v>368</v>
      </c>
      <c r="D16" s="246" t="str">
        <f>VLOOKUP(CONCATENATE(C16,"_",E16),'Data types'!A:E,4,FALSE)</f>
        <v>0141</v>
      </c>
      <c r="E16" s="247" t="s">
        <v>190</v>
      </c>
      <c r="F16" s="247" t="str">
        <f>VLOOKUP(CONCATENATE(C16,"_",E16),'Data types'!A:F,6,FALSE)</f>
        <v>String: Free text</v>
      </c>
      <c r="G16" s="248" t="s">
        <v>369</v>
      </c>
      <c r="H16" s="248"/>
      <c r="I16" s="247" t="s">
        <v>373</v>
      </c>
      <c r="J16" s="247" t="s">
        <v>397</v>
      </c>
      <c r="K16" s="247" t="s">
        <v>398</v>
      </c>
    </row>
    <row r="17" spans="1:11" s="250" customFormat="1" ht="37.5" hidden="1" customHeight="1">
      <c r="A17" s="245" t="s">
        <v>399</v>
      </c>
      <c r="B17" s="246" t="str">
        <f t="shared" si="0"/>
        <v>v_1_0015</v>
      </c>
      <c r="C17" s="246" t="s">
        <v>368</v>
      </c>
      <c r="D17" s="246" t="str">
        <f>VLOOKUP(CONCATENATE(C17,"_",E17),'Data types'!A:E,4,FALSE)</f>
        <v>0160</v>
      </c>
      <c r="E17" s="247" t="s">
        <v>192</v>
      </c>
      <c r="F17" s="247" t="str">
        <f>VLOOKUP(CONCATENATE(C17,"_",E17),'Data types'!A:F,6,FALSE)</f>
        <v>Numeric: Integer</v>
      </c>
      <c r="G17" s="248" t="s">
        <v>369</v>
      </c>
      <c r="H17" s="248"/>
      <c r="I17" s="247" t="s">
        <v>373</v>
      </c>
      <c r="J17" s="249"/>
      <c r="K17" s="247" t="s">
        <v>371</v>
      </c>
    </row>
    <row r="18" spans="1:11" s="250" customFormat="1" ht="37.5" hidden="1" customHeight="1">
      <c r="A18" s="245" t="s">
        <v>400</v>
      </c>
      <c r="B18" s="246" t="str">
        <f t="shared" si="0"/>
        <v>v_1_0016</v>
      </c>
      <c r="C18" s="246" t="s">
        <v>368</v>
      </c>
      <c r="D18" s="246" t="str">
        <f>VLOOKUP(CONCATENATE(C18,"_",E18),'Data types'!A:E,4,FALSE)</f>
        <v>0162</v>
      </c>
      <c r="E18" s="247" t="s">
        <v>194</v>
      </c>
      <c r="F18" s="247" t="str">
        <f>VLOOKUP(CONCATENATE(C18,"_",E18),'Data types'!A:F,6,FALSE)</f>
        <v>String: Fixed values</v>
      </c>
      <c r="G18" s="248" t="s">
        <v>369</v>
      </c>
      <c r="H18" s="248"/>
      <c r="I18" s="247" t="s">
        <v>373</v>
      </c>
      <c r="J18" s="249"/>
      <c r="K18" s="247" t="s">
        <v>371</v>
      </c>
    </row>
    <row r="19" spans="1:11" s="250" customFormat="1" ht="37.5" hidden="1" customHeight="1">
      <c r="A19" s="245" t="s">
        <v>401</v>
      </c>
      <c r="B19" s="246" t="str">
        <f t="shared" si="0"/>
        <v>v_1_0017</v>
      </c>
      <c r="C19" s="246" t="s">
        <v>368</v>
      </c>
      <c r="D19" s="246" t="str">
        <f>VLOOKUP(CONCATENATE(C19,"_",E19),'Data types'!A:E,4,FALSE)</f>
        <v>0180</v>
      </c>
      <c r="E19" s="247" t="s">
        <v>196</v>
      </c>
      <c r="F19" s="247" t="str">
        <f>VLOOKUP(CONCATENATE(C19,"_",E19),'Data types'!A:F,6,FALSE)</f>
        <v>Date: yyyy-mm-dd</v>
      </c>
      <c r="G19" s="248" t="s">
        <v>369</v>
      </c>
      <c r="H19" s="248"/>
      <c r="I19" s="247" t="s">
        <v>373</v>
      </c>
      <c r="J19" s="247" t="s">
        <v>402</v>
      </c>
      <c r="K19" s="247" t="s">
        <v>403</v>
      </c>
    </row>
    <row r="20" spans="1:11" s="250" customFormat="1" ht="37.5" hidden="1" customHeight="1">
      <c r="A20" s="245" t="s">
        <v>404</v>
      </c>
      <c r="B20" s="246" t="str">
        <f t="shared" si="0"/>
        <v>v_1_0018</v>
      </c>
      <c r="C20" s="246" t="s">
        <v>368</v>
      </c>
      <c r="D20" s="246" t="str">
        <f>VLOOKUP(CONCATENATE(C20,"_",E20),'Data types'!A:E,4,FALSE)</f>
        <v>0180</v>
      </c>
      <c r="E20" s="247" t="s">
        <v>196</v>
      </c>
      <c r="F20" s="247" t="str">
        <f>VLOOKUP(CONCATENATE(C20,"_",E20),'Data types'!A:F,6,FALSE)</f>
        <v>Date: yyyy-mm-dd</v>
      </c>
      <c r="G20" s="248"/>
      <c r="H20" s="248" t="s">
        <v>369</v>
      </c>
      <c r="I20" s="247" t="s">
        <v>373</v>
      </c>
      <c r="J20" s="247" t="s">
        <v>391</v>
      </c>
      <c r="K20" s="247" t="s">
        <v>405</v>
      </c>
    </row>
    <row r="21" spans="1:11" s="250" customFormat="1" ht="37.5" hidden="1" customHeight="1">
      <c r="A21" s="245" t="s">
        <v>406</v>
      </c>
      <c r="B21" s="246" t="str">
        <f t="shared" si="0"/>
        <v>v_1_0019</v>
      </c>
      <c r="C21" s="246" t="s">
        <v>368</v>
      </c>
      <c r="D21" s="246" t="str">
        <f>VLOOKUP(CONCATENATE(C21,"_",E21),'Data types'!A:E,4,FALSE)</f>
        <v>0200</v>
      </c>
      <c r="E21" s="247" t="s">
        <v>198</v>
      </c>
      <c r="F21" s="247" t="str">
        <f>VLOOKUP(CONCATENATE(C21,"_",E21),'Data types'!A:F,6,FALSE)</f>
        <v>Date: yyyy-mm-dd</v>
      </c>
      <c r="G21" s="248"/>
      <c r="H21" s="248" t="s">
        <v>369</v>
      </c>
      <c r="I21" s="247" t="s">
        <v>373</v>
      </c>
      <c r="J21" s="249"/>
      <c r="K21" s="247" t="s">
        <v>407</v>
      </c>
    </row>
    <row r="22" spans="1:11" s="250" customFormat="1" ht="37.5" hidden="1" customHeight="1">
      <c r="A22" s="245" t="s">
        <v>166</v>
      </c>
      <c r="B22" s="246" t="str">
        <f t="shared" si="0"/>
        <v>v_1_0020</v>
      </c>
      <c r="C22" s="246" t="s">
        <v>368</v>
      </c>
      <c r="D22" s="246" t="str">
        <f>VLOOKUP(CONCATENATE(C22,"_",E22),'Data types'!A:E,4,FALSE)</f>
        <v>0210</v>
      </c>
      <c r="E22" s="247" t="s">
        <v>199</v>
      </c>
      <c r="F22" s="247" t="str">
        <f>VLOOKUP(CONCATENATE(C22,"_",E22),'Data types'!A:F,6,FALSE)</f>
        <v>Date: yyyy-mm-dd</v>
      </c>
      <c r="G22" s="248" t="s">
        <v>369</v>
      </c>
      <c r="H22" s="248"/>
      <c r="I22" s="247" t="s">
        <v>373</v>
      </c>
      <c r="J22" s="247" t="s">
        <v>408</v>
      </c>
      <c r="K22" s="247" t="s">
        <v>409</v>
      </c>
    </row>
    <row r="23" spans="1:11" s="250" customFormat="1" ht="37.5" hidden="1" customHeight="1">
      <c r="A23" s="245" t="s">
        <v>410</v>
      </c>
      <c r="B23" s="246" t="str">
        <f t="shared" si="0"/>
        <v>v_1_0021</v>
      </c>
      <c r="C23" s="246" t="s">
        <v>368</v>
      </c>
      <c r="D23" s="246" t="str">
        <f>VLOOKUP(CONCATENATE(C23,"_",E23),'Data types'!A:E,4,FALSE)</f>
        <v>0220</v>
      </c>
      <c r="E23" s="247" t="s">
        <v>200</v>
      </c>
      <c r="F23" s="247" t="str">
        <f>VLOOKUP(CONCATENATE(C23,"_",E23),'Data types'!A:F,6,FALSE)</f>
        <v>String: ISO 3166-1 alpha 2 / ISO 3166-2</v>
      </c>
      <c r="G23" s="248" t="s">
        <v>369</v>
      </c>
      <c r="H23" s="248"/>
      <c r="I23" s="247" t="s">
        <v>373</v>
      </c>
      <c r="J23" s="249"/>
      <c r="K23" s="247" t="s">
        <v>371</v>
      </c>
    </row>
    <row r="24" spans="1:11" s="250" customFormat="1" ht="37.5" hidden="1" customHeight="1">
      <c r="A24" s="245" t="s">
        <v>411</v>
      </c>
      <c r="B24" s="246" t="str">
        <f t="shared" si="0"/>
        <v>v_1_0022</v>
      </c>
      <c r="C24" s="246" t="s">
        <v>368</v>
      </c>
      <c r="D24" s="246" t="str">
        <f>VLOOKUP(CONCATENATE(C24,"_",E24),'Data types'!A:E,4,FALSE)</f>
        <v>0250</v>
      </c>
      <c r="E24" s="247" t="s">
        <v>203</v>
      </c>
      <c r="F24" s="247" t="str">
        <f>VLOOKUP(CONCATENATE(C24,"_",E24),'Data types'!A:F,6,FALSE)</f>
        <v>String: Drop-down</v>
      </c>
      <c r="G24" s="248" t="s">
        <v>369</v>
      </c>
      <c r="H24" s="248"/>
      <c r="I24" s="247" t="s">
        <v>373</v>
      </c>
      <c r="J24" s="249"/>
      <c r="K24" s="247" t="s">
        <v>371</v>
      </c>
    </row>
    <row r="25" spans="1:11" s="250" customFormat="1" ht="37.5" hidden="1" customHeight="1">
      <c r="A25" s="245" t="s">
        <v>412</v>
      </c>
      <c r="B25" s="246" t="str">
        <f t="shared" si="0"/>
        <v>v_1_0023</v>
      </c>
      <c r="C25" s="246" t="s">
        <v>368</v>
      </c>
      <c r="D25" s="246" t="str">
        <f>VLOOKUP(CONCATENATE(C25,"_",E25),'Data types'!A:E,4,FALSE)</f>
        <v>0260</v>
      </c>
      <c r="E25" s="247" t="s">
        <v>204</v>
      </c>
      <c r="F25" s="247" t="str">
        <f>VLOOKUP(CONCATENATE(C25,"_",E25),'Data types'!A:F,6,FALSE)</f>
        <v>Numeric: 2 decimals</v>
      </c>
      <c r="G25" s="248"/>
      <c r="H25" s="248" t="s">
        <v>369</v>
      </c>
      <c r="I25" s="247" t="s">
        <v>373</v>
      </c>
      <c r="J25" s="247" t="s">
        <v>413</v>
      </c>
      <c r="K25" s="247" t="s">
        <v>414</v>
      </c>
    </row>
    <row r="26" spans="1:11" s="250" customFormat="1" ht="37.5" hidden="1" customHeight="1">
      <c r="A26" s="245" t="s">
        <v>415</v>
      </c>
      <c r="B26" s="246" t="str">
        <f t="shared" si="0"/>
        <v>v_1_0024</v>
      </c>
      <c r="C26" s="246" t="s">
        <v>368</v>
      </c>
      <c r="D26" s="246" t="str">
        <f>VLOOKUP(CONCATENATE(C26,"_",E26),'Data types'!A:E,4,FALSE)</f>
        <v>0270</v>
      </c>
      <c r="E26" s="247" t="s">
        <v>205</v>
      </c>
      <c r="F26" s="247" t="str">
        <f>VLOOKUP(CONCATENATE(C26,"_",E26),'Data types'!A:F,6,FALSE)</f>
        <v>Numeric: 2 decimals</v>
      </c>
      <c r="G26" s="248" t="s">
        <v>369</v>
      </c>
      <c r="H26" s="248"/>
      <c r="I26" s="247" t="s">
        <v>373</v>
      </c>
      <c r="J26" s="247" t="s">
        <v>413</v>
      </c>
      <c r="K26" s="247" t="s">
        <v>416</v>
      </c>
    </row>
    <row r="27" spans="1:11" s="250" customFormat="1" ht="37.5" hidden="1" customHeight="1">
      <c r="A27" s="245" t="s">
        <v>417</v>
      </c>
      <c r="B27" s="246" t="str">
        <f t="shared" si="0"/>
        <v>v_1_0025</v>
      </c>
      <c r="C27" s="246" t="s">
        <v>368</v>
      </c>
      <c r="D27" s="246" t="str">
        <f>VLOOKUP(CONCATENATE(C27,"_",E27),'Data types'!A:E,4,FALSE)</f>
        <v>0300</v>
      </c>
      <c r="E27" s="247" t="s">
        <v>208</v>
      </c>
      <c r="F27" s="247" t="str">
        <f>VLOOKUP(CONCATENATE(C27,"_",E27),'Data types'!A:F,6,FALSE)</f>
        <v>Numeric: 2 decimals</v>
      </c>
      <c r="G27" s="248" t="s">
        <v>369</v>
      </c>
      <c r="H27" s="248"/>
      <c r="I27" s="247" t="s">
        <v>373</v>
      </c>
      <c r="J27" s="247" t="s">
        <v>418</v>
      </c>
      <c r="K27" s="247" t="s">
        <v>419</v>
      </c>
    </row>
    <row r="28" spans="1:11" s="250" customFormat="1" ht="37.5" hidden="1" customHeight="1">
      <c r="A28" s="245" t="s">
        <v>420</v>
      </c>
      <c r="B28" s="246" t="str">
        <f t="shared" si="0"/>
        <v>v_1_0026</v>
      </c>
      <c r="C28" s="246" t="s">
        <v>368</v>
      </c>
      <c r="D28" s="246" t="str">
        <f>VLOOKUP(CONCATENATE(C28,"_",E28),'Data types'!A:E,4,FALSE)</f>
        <v>0310</v>
      </c>
      <c r="E28" s="247" t="s">
        <v>209</v>
      </c>
      <c r="F28" s="247" t="str">
        <f>VLOOKUP(CONCATENATE(C28,"_",E28),'Data types'!A:F,6,FALSE)</f>
        <v>String: Drop-down</v>
      </c>
      <c r="G28" s="248" t="s">
        <v>369</v>
      </c>
      <c r="H28" s="248"/>
      <c r="I28" s="247" t="s">
        <v>373</v>
      </c>
      <c r="J28" s="249"/>
      <c r="K28" s="247" t="s">
        <v>371</v>
      </c>
    </row>
    <row r="29" spans="1:11" s="250" customFormat="1" ht="37.5" hidden="1" customHeight="1">
      <c r="A29" s="245" t="s">
        <v>421</v>
      </c>
      <c r="B29" s="246" t="str">
        <f t="shared" si="0"/>
        <v>v_1_0027</v>
      </c>
      <c r="C29" s="246" t="s">
        <v>368</v>
      </c>
      <c r="D29" s="246" t="str">
        <f>VLOOKUP(CONCATENATE(C29,"_",E29),'Data types'!A:E,4,FALSE)</f>
        <v>0320</v>
      </c>
      <c r="E29" s="247" t="s">
        <v>422</v>
      </c>
      <c r="F29" s="247" t="str">
        <f>VLOOKUP(CONCATENATE(C29,"_",E29),'Data types'!A:F,6,FALSE)</f>
        <v>Numeric: 2 decimals</v>
      </c>
      <c r="G29" s="248" t="s">
        <v>369</v>
      </c>
      <c r="H29" s="248"/>
      <c r="I29" s="247" t="s">
        <v>373</v>
      </c>
      <c r="J29" s="247" t="s">
        <v>423</v>
      </c>
      <c r="K29" s="247" t="s">
        <v>424</v>
      </c>
    </row>
    <row r="30" spans="1:11" s="250" customFormat="1" ht="37.5" hidden="1" customHeight="1">
      <c r="A30" s="245" t="s">
        <v>425</v>
      </c>
      <c r="B30" s="246" t="str">
        <f t="shared" si="0"/>
        <v>v_1_0028</v>
      </c>
      <c r="C30" s="246" t="s">
        <v>368</v>
      </c>
      <c r="D30" s="246" t="str">
        <f>VLOOKUP(CONCATENATE(C30,"_",E30),'Data types'!A:E,4,FALSE)</f>
        <v>0330</v>
      </c>
      <c r="E30" s="247" t="s">
        <v>211</v>
      </c>
      <c r="F30" s="247" t="str">
        <f>VLOOKUP(CONCATENATE(C30,"_",E30),'Data types'!A:F,6,FALSE)</f>
        <v>Numeric: 2 decimals</v>
      </c>
      <c r="G30" s="248" t="s">
        <v>369</v>
      </c>
      <c r="H30" s="248"/>
      <c r="I30" s="247" t="s">
        <v>373</v>
      </c>
      <c r="J30" s="247" t="s">
        <v>423</v>
      </c>
      <c r="K30" s="247" t="s">
        <v>426</v>
      </c>
    </row>
    <row r="31" spans="1:11" s="250" customFormat="1" ht="37.5" hidden="1" customHeight="1">
      <c r="A31" s="245" t="s">
        <v>427</v>
      </c>
      <c r="B31" s="246" t="str">
        <f t="shared" si="0"/>
        <v>v_1_0029</v>
      </c>
      <c r="C31" s="246" t="s">
        <v>368</v>
      </c>
      <c r="D31" s="246" t="str">
        <f>VLOOKUP(CONCATENATE(C31,"_",E31),'Data types'!A:E,4,FALSE)</f>
        <v>0350</v>
      </c>
      <c r="E31" s="247" t="s">
        <v>213</v>
      </c>
      <c r="F31" s="247" t="str">
        <f>VLOOKUP(CONCATENATE(C31,"_",E31),'Data types'!A:F,6,FALSE)</f>
        <v>String: Drop-down</v>
      </c>
      <c r="G31" s="248" t="s">
        <v>369</v>
      </c>
      <c r="H31" s="248"/>
      <c r="I31" s="247" t="s">
        <v>373</v>
      </c>
      <c r="J31" s="247" t="s">
        <v>423</v>
      </c>
      <c r="K31" s="247" t="s">
        <v>426</v>
      </c>
    </row>
    <row r="32" spans="1:11" s="250" customFormat="1" ht="37.5" hidden="1" customHeight="1">
      <c r="A32" s="245" t="s">
        <v>167</v>
      </c>
      <c r="B32" s="246" t="str">
        <f t="shared" si="0"/>
        <v>v_1_0030</v>
      </c>
      <c r="C32" s="246" t="s">
        <v>368</v>
      </c>
      <c r="D32" s="246" t="str">
        <f>VLOOKUP(CONCATENATE(C32,"_",E32),'Data types'!A:E,4,FALSE)</f>
        <v>0351</v>
      </c>
      <c r="E32" s="247" t="s">
        <v>214</v>
      </c>
      <c r="F32" s="247" t="str">
        <f>VLOOKUP(CONCATENATE(C32,"_",E32),'Data types'!A:F,6,FALSE)</f>
        <v>String: Free text</v>
      </c>
      <c r="G32" s="248" t="s">
        <v>369</v>
      </c>
      <c r="H32" s="248"/>
      <c r="I32" s="247" t="s">
        <v>373</v>
      </c>
      <c r="J32" s="247" t="s">
        <v>428</v>
      </c>
      <c r="K32" s="247" t="s">
        <v>429</v>
      </c>
    </row>
    <row r="33" spans="1:11" s="250" customFormat="1" ht="37.5" hidden="1" customHeight="1">
      <c r="A33" s="245" t="s">
        <v>430</v>
      </c>
      <c r="B33" s="246" t="str">
        <f t="shared" si="0"/>
        <v>v_1_0031</v>
      </c>
      <c r="C33" s="246" t="s">
        <v>368</v>
      </c>
      <c r="D33" s="246" t="str">
        <f>VLOOKUP(CONCATENATE(C33,"_",E33),'Data types'!A:E,4,FALSE)</f>
        <v>0370</v>
      </c>
      <c r="E33" s="247" t="s">
        <v>216</v>
      </c>
      <c r="F33" s="247" t="str">
        <f>VLOOKUP(CONCATENATE(C33,"_",E33),'Data types'!A:F,6,FALSE)</f>
        <v>Numeric: 2 decimals</v>
      </c>
      <c r="G33" s="248" t="s">
        <v>369</v>
      </c>
      <c r="H33" s="248"/>
      <c r="I33" s="247" t="s">
        <v>373</v>
      </c>
      <c r="J33" s="247" t="s">
        <v>431</v>
      </c>
      <c r="K33" s="247" t="s">
        <v>432</v>
      </c>
    </row>
    <row r="34" spans="1:11" s="250" customFormat="1" ht="37.5" hidden="1" customHeight="1">
      <c r="A34" s="245" t="s">
        <v>433</v>
      </c>
      <c r="B34" s="246" t="str">
        <f t="shared" si="0"/>
        <v>v_1_0032</v>
      </c>
      <c r="C34" s="246" t="s">
        <v>368</v>
      </c>
      <c r="D34" s="246" t="str">
        <f>VLOOKUP(CONCATENATE(C34,"_",E34),'Data types'!A:E,4,FALSE)</f>
        <v>0370</v>
      </c>
      <c r="E34" s="247" t="s">
        <v>216</v>
      </c>
      <c r="F34" s="247" t="str">
        <f>VLOOKUP(CONCATENATE(C34,"_",E34),'Data types'!A:F,6,FALSE)</f>
        <v>Numeric: 2 decimals</v>
      </c>
      <c r="G34" s="248"/>
      <c r="H34" s="248" t="s">
        <v>369</v>
      </c>
      <c r="I34" s="247"/>
      <c r="J34" s="247" t="s">
        <v>434</v>
      </c>
      <c r="K34" s="247" t="s">
        <v>435</v>
      </c>
    </row>
    <row r="35" spans="1:11" s="250" customFormat="1" ht="37.5" customHeight="1">
      <c r="A35" s="245" t="s">
        <v>436</v>
      </c>
      <c r="B35" s="246" t="str">
        <f t="shared" si="0"/>
        <v>v_1_0033</v>
      </c>
      <c r="C35" s="246" t="s">
        <v>368</v>
      </c>
      <c r="D35" s="246" t="str">
        <f>VLOOKUP(CONCATENATE(C35,"_",E35),'Data types'!A:E,4,FALSE)</f>
        <v>0390</v>
      </c>
      <c r="E35" s="247" t="s">
        <v>218</v>
      </c>
      <c r="F35" s="247" t="str">
        <f>VLOOKUP(CONCATENATE(C35,"_",E35),'Data types'!A:F,6,FALSE)</f>
        <v>Numeric: Integer</v>
      </c>
      <c r="G35" s="248" t="s">
        <v>369</v>
      </c>
      <c r="H35" s="248"/>
      <c r="I35" s="247" t="s">
        <v>373</v>
      </c>
      <c r="J35" s="247" t="s">
        <v>437</v>
      </c>
      <c r="K35" s="247" t="s">
        <v>438</v>
      </c>
    </row>
    <row r="36" spans="1:11" s="250" customFormat="1" ht="37.5" customHeight="1">
      <c r="A36" s="245" t="s">
        <v>439</v>
      </c>
      <c r="B36" s="246" t="str">
        <f t="shared" si="0"/>
        <v>v_1_0034</v>
      </c>
      <c r="C36" s="246" t="s">
        <v>368</v>
      </c>
      <c r="D36" s="246" t="str">
        <f>VLOOKUP(CONCATENATE(C36,"_",E36),'Data types'!A:E,4,FALSE)</f>
        <v>0391</v>
      </c>
      <c r="E36" s="247" t="s">
        <v>219</v>
      </c>
      <c r="F36" s="247" t="str">
        <f>VLOOKUP(CONCATENATE(C36,"_",E36),'Data types'!A:F,6,FALSE)</f>
        <v>Numeric: Integer</v>
      </c>
      <c r="G36" s="248" t="s">
        <v>369</v>
      </c>
      <c r="H36" s="248"/>
      <c r="I36" s="247" t="s">
        <v>373</v>
      </c>
      <c r="J36" s="247" t="s">
        <v>437</v>
      </c>
      <c r="K36" s="247" t="s">
        <v>440</v>
      </c>
    </row>
    <row r="37" spans="1:11" s="250" customFormat="1" ht="37.5" customHeight="1">
      <c r="A37" s="245" t="s">
        <v>441</v>
      </c>
      <c r="B37" s="246" t="str">
        <f t="shared" si="0"/>
        <v>v_1_0035</v>
      </c>
      <c r="C37" s="246" t="s">
        <v>368</v>
      </c>
      <c r="D37" s="246" t="str">
        <f>VLOOKUP(CONCATENATE(C37,"_",E37),'Data types'!A:E,4,FALSE)</f>
        <v>0400</v>
      </c>
      <c r="E37" s="247" t="s">
        <v>220</v>
      </c>
      <c r="F37" s="247" t="str">
        <f>VLOOKUP(CONCATENATE(C37,"_",E37),'Data types'!A:F,6,FALSE)</f>
        <v>Numeric: 4 decimals</v>
      </c>
      <c r="G37" s="248" t="s">
        <v>369</v>
      </c>
      <c r="H37" s="248"/>
      <c r="I37" s="247" t="s">
        <v>373</v>
      </c>
      <c r="J37" s="247" t="s">
        <v>442</v>
      </c>
      <c r="K37" s="247" t="s">
        <v>443</v>
      </c>
    </row>
    <row r="38" spans="1:11" ht="37.5" customHeight="1">
      <c r="A38" s="219" t="s">
        <v>444</v>
      </c>
      <c r="B38" s="220" t="str">
        <f t="shared" si="0"/>
        <v>v_1_0036</v>
      </c>
      <c r="C38" s="220" t="s">
        <v>368</v>
      </c>
      <c r="D38" s="220" t="str">
        <f>VLOOKUP(CONCATENATE(C38,"_",E38),'Data types'!A:E,4,FALSE)</f>
        <v>0400</v>
      </c>
      <c r="E38" s="221" t="s">
        <v>220</v>
      </c>
      <c r="F38" s="221" t="str">
        <f>VLOOKUP(CONCATENATE(C38,"_",E38),'Data types'!A:F,6,FALSE)</f>
        <v>Numeric: 4 decimals</v>
      </c>
      <c r="G38" s="222"/>
      <c r="H38" s="222" t="s">
        <v>369</v>
      </c>
      <c r="I38" s="221" t="s">
        <v>373</v>
      </c>
      <c r="J38" s="221" t="s">
        <v>445</v>
      </c>
      <c r="K38" s="221" t="s">
        <v>446</v>
      </c>
    </row>
    <row r="39" spans="1:11" s="250" customFormat="1" ht="37.5" customHeight="1">
      <c r="A39" s="245" t="s">
        <v>447</v>
      </c>
      <c r="B39" s="246" t="str">
        <f t="shared" si="0"/>
        <v>v_1_0037</v>
      </c>
      <c r="C39" s="246" t="s">
        <v>368</v>
      </c>
      <c r="D39" s="246" t="str">
        <f>VLOOKUP(CONCATENATE(C39,"_",E39),'Data types'!A:E,4,FALSE)</f>
        <v>0610</v>
      </c>
      <c r="E39" s="247" t="s">
        <v>251</v>
      </c>
      <c r="F39" s="247" t="str">
        <f>VLOOKUP(CONCATENATE(C39,"_",E39),'Data types'!A:F,6,FALSE)</f>
        <v>Numeric: 2 decimals</v>
      </c>
      <c r="G39" s="248"/>
      <c r="H39" s="248" t="s">
        <v>369</v>
      </c>
      <c r="I39" s="247" t="s">
        <v>373</v>
      </c>
      <c r="J39" s="249"/>
      <c r="K39" s="247" t="s">
        <v>448</v>
      </c>
    </row>
    <row r="40" spans="1:11" s="250" customFormat="1" ht="37.5" customHeight="1">
      <c r="A40" s="245" t="s">
        <v>449</v>
      </c>
      <c r="B40" s="246" t="str">
        <f t="shared" si="0"/>
        <v>v_1_0038</v>
      </c>
      <c r="C40" s="246" t="s">
        <v>368</v>
      </c>
      <c r="D40" s="246" t="str">
        <f>VLOOKUP(CONCATENATE(C40,"_",E40),'Data types'!A:E,4,FALSE)</f>
        <v>5000</v>
      </c>
      <c r="E40" s="247" t="s">
        <v>255</v>
      </c>
      <c r="F40" s="247" t="str">
        <f>VLOOKUP(CONCATENATE(C40,"_",E40),'Data types'!A:F,6,FALSE)</f>
        <v>String: TRUE / FALSE boolean</v>
      </c>
      <c r="G40" s="248" t="s">
        <v>369</v>
      </c>
      <c r="H40" s="248"/>
      <c r="I40" s="247" t="s">
        <v>373</v>
      </c>
      <c r="J40" s="247" t="s">
        <v>450</v>
      </c>
      <c r="K40" s="247" t="s">
        <v>451</v>
      </c>
    </row>
    <row r="41" spans="1:11" s="250" customFormat="1" ht="37.5" customHeight="1">
      <c r="A41" s="245" t="s">
        <v>452</v>
      </c>
      <c r="B41" s="246" t="str">
        <f t="shared" si="0"/>
        <v>v_1_0039</v>
      </c>
      <c r="C41" s="246" t="s">
        <v>368</v>
      </c>
      <c r="D41" s="246" t="str">
        <f>VLOOKUP(CONCATENATE(C41,"_",E41),'Data types'!A:E,4,FALSE)</f>
        <v>5010</v>
      </c>
      <c r="E41" s="247" t="s">
        <v>256</v>
      </c>
      <c r="F41" s="247" t="str">
        <f>VLOOKUP(CONCATENATE(C41,"_",E41),'Data types'!A:F,6,FALSE)</f>
        <v>String: TRUE / FALSE boolean</v>
      </c>
      <c r="G41" s="248" t="s">
        <v>369</v>
      </c>
      <c r="H41" s="248"/>
      <c r="I41" s="247" t="s">
        <v>373</v>
      </c>
      <c r="J41" s="247" t="s">
        <v>450</v>
      </c>
      <c r="K41" s="247" t="s">
        <v>451</v>
      </c>
    </row>
    <row r="42" spans="1:11" s="250" customFormat="1" ht="37.5" customHeight="1">
      <c r="A42" s="245" t="s">
        <v>462</v>
      </c>
      <c r="B42" s="246" t="str">
        <f t="shared" si="0"/>
        <v>v_1_0056</v>
      </c>
      <c r="C42" s="246" t="s">
        <v>463</v>
      </c>
      <c r="D42" s="246" t="str">
        <f>VLOOKUP(CONCATENATE(C42,"_",E42),'Data types'!A:E,4,FALSE)</f>
        <v>0030</v>
      </c>
      <c r="E42" s="247" t="s">
        <v>464</v>
      </c>
      <c r="F42" s="247" t="str">
        <f>VLOOKUP(CONCATENATE(C42,"_",E42),'Data types'!A:F,6,FALSE)</f>
        <v>String: Drop-down</v>
      </c>
      <c r="G42" s="248" t="s">
        <v>369</v>
      </c>
      <c r="H42" s="248"/>
      <c r="I42" s="247" t="s">
        <v>373</v>
      </c>
      <c r="J42" s="249"/>
      <c r="K42" s="247" t="s">
        <v>371</v>
      </c>
    </row>
  </sheetData>
  <autoFilter ref="A2:K42">
    <filterColumn colId="1">
      <colorFilter dxfId="5"/>
    </filterColumn>
  </autoFilter>
  <pageMargins left="0.7" right="0.7" top="0.75" bottom="0.75" header="0.3" footer="0.3"/>
  <pageSetup paperSize="8" scale="55" fitToHeight="0" orientation="portrait" r:id="rId1"/>
  <headerFooter>
    <oddHeader>&amp;L&amp;"Calibri"&amp;10&amp;K000000Confidential&amp;1#_x000D_&amp;"Calibri"&amp;11&amp;K000000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7" sqref="D7"/>
    </sheetView>
  </sheetViews>
  <sheetFormatPr defaultRowHeight="16.2"/>
  <cols>
    <col min="1" max="1" width="25.109375" customWidth="1"/>
    <col min="4" max="4" width="24.44140625" bestFit="1" customWidth="1"/>
  </cols>
  <sheetData>
    <row r="1" spans="1:5">
      <c r="A1" s="243" t="s">
        <v>715</v>
      </c>
      <c r="D1" t="s">
        <v>724</v>
      </c>
    </row>
    <row r="3" spans="1:5">
      <c r="A3" s="238" t="s">
        <v>189</v>
      </c>
      <c r="D3" s="238" t="s">
        <v>203</v>
      </c>
    </row>
    <row r="4" spans="1:5">
      <c r="A4" s="97" t="s">
        <v>674</v>
      </c>
      <c r="B4">
        <v>1</v>
      </c>
      <c r="D4" s="97" t="s">
        <v>671</v>
      </c>
      <c r="E4">
        <v>1</v>
      </c>
    </row>
    <row r="5" spans="1:5">
      <c r="A5" s="97" t="s">
        <v>654</v>
      </c>
      <c r="B5">
        <v>1</v>
      </c>
      <c r="D5" s="97" t="s">
        <v>651</v>
      </c>
      <c r="E5">
        <v>1</v>
      </c>
    </row>
    <row r="6" spans="1:5">
      <c r="A6" s="97" t="s">
        <v>636</v>
      </c>
      <c r="B6">
        <v>1</v>
      </c>
      <c r="D6" s="97" t="s">
        <v>634</v>
      </c>
      <c r="E6">
        <v>1</v>
      </c>
    </row>
    <row r="7" spans="1:5">
      <c r="A7" s="97" t="s">
        <v>620</v>
      </c>
      <c r="B7">
        <v>1</v>
      </c>
      <c r="D7" s="97" t="s">
        <v>619</v>
      </c>
      <c r="E7">
        <v>1</v>
      </c>
    </row>
    <row r="8" spans="1:5">
      <c r="A8" s="97" t="s">
        <v>581</v>
      </c>
      <c r="B8">
        <v>1</v>
      </c>
      <c r="D8" s="97" t="s">
        <v>594</v>
      </c>
      <c r="E8">
        <v>1</v>
      </c>
    </row>
    <row r="9" spans="1:5">
      <c r="A9" s="97" t="s">
        <v>602</v>
      </c>
      <c r="B9">
        <v>1</v>
      </c>
    </row>
    <row r="10" spans="1:5">
      <c r="A10" s="97" t="s">
        <v>597</v>
      </c>
      <c r="B10">
        <v>1</v>
      </c>
    </row>
    <row r="11" spans="1:5">
      <c r="A11" s="97" t="s">
        <v>592</v>
      </c>
      <c r="B11">
        <v>1</v>
      </c>
    </row>
    <row r="12" spans="1:5">
      <c r="A12" s="97" t="s">
        <v>588</v>
      </c>
      <c r="B12">
        <v>1</v>
      </c>
    </row>
    <row r="13" spans="1:5">
      <c r="A13" s="97" t="s">
        <v>585</v>
      </c>
      <c r="B13">
        <v>1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showGridLines="0" zoomScaleNormal="100" workbookViewId="0">
      <pane xSplit="5" ySplit="2" topLeftCell="F3" activePane="bottomRight" state="frozen"/>
      <selection activeCell="E31" sqref="E31"/>
      <selection pane="topRight" activeCell="E31" sqref="E31"/>
      <selection pane="bottomLeft" activeCell="E31" sqref="E31"/>
      <selection pane="bottomRight" activeCell="K7" sqref="K7"/>
    </sheetView>
  </sheetViews>
  <sheetFormatPr defaultColWidth="0" defaultRowHeight="14.4"/>
  <cols>
    <col min="1" max="1" width="13.5546875" style="97" customWidth="1"/>
    <col min="2" max="2" width="10.44140625" style="97" customWidth="1"/>
    <col min="3" max="3" width="7.33203125" style="97" customWidth="1"/>
    <col min="4" max="4" width="6.109375" style="97" customWidth="1"/>
    <col min="5" max="6" width="17.5546875" style="97" customWidth="1"/>
    <col min="7" max="7" width="16.33203125" style="97" customWidth="1"/>
    <col min="8" max="8" width="16" style="97" customWidth="1"/>
    <col min="9" max="9" width="24.5546875" style="97" customWidth="1"/>
    <col min="10" max="10" width="24.6640625" style="97" customWidth="1"/>
    <col min="11" max="11" width="48.44140625" style="97" customWidth="1"/>
    <col min="12" max="13" width="7.109375" style="97" hidden="1" customWidth="1"/>
    <col min="14" max="16384" width="9.109375" style="97" hidden="1"/>
  </cols>
  <sheetData>
    <row r="1" spans="1:11" ht="45" customHeight="1">
      <c r="B1" s="224" t="s">
        <v>465</v>
      </c>
    </row>
    <row r="2" spans="1:11" ht="88.5" customHeight="1">
      <c r="A2" s="217"/>
      <c r="B2" s="218" t="s">
        <v>357</v>
      </c>
      <c r="C2" s="218" t="s">
        <v>358</v>
      </c>
      <c r="D2" s="218" t="s">
        <v>359</v>
      </c>
      <c r="E2" s="218" t="s">
        <v>360</v>
      </c>
      <c r="F2" s="218" t="s">
        <v>361</v>
      </c>
      <c r="G2" s="218" t="s">
        <v>362</v>
      </c>
      <c r="H2" s="218" t="s">
        <v>363</v>
      </c>
      <c r="I2" s="218" t="s">
        <v>466</v>
      </c>
      <c r="J2" s="218" t="s">
        <v>467</v>
      </c>
      <c r="K2" s="218" t="s">
        <v>366</v>
      </c>
    </row>
    <row r="3" spans="1:11" ht="72.75" customHeight="1">
      <c r="A3" s="219" t="s">
        <v>367</v>
      </c>
      <c r="B3" s="225" t="str">
        <f>CONCATENATE("v_2_",A3)</f>
        <v>v_2_0001</v>
      </c>
      <c r="C3" s="220" t="s">
        <v>368</v>
      </c>
      <c r="D3" s="220" t="str">
        <f>VLOOKUP(CONCATENATE(C3,"_",E3),'Data types'!A:E,4,FALSE)</f>
        <v>0030</v>
      </c>
      <c r="E3" s="221" t="s">
        <v>178</v>
      </c>
      <c r="F3" s="221" t="str">
        <f>VLOOKUP(CONCATENATE(C3,"_",E3),'Data types'!A:F,6,FALSE)</f>
        <v>String: Free text</v>
      </c>
      <c r="G3" s="222" t="s">
        <v>369</v>
      </c>
      <c r="H3" s="222"/>
      <c r="I3" s="221" t="s">
        <v>468</v>
      </c>
      <c r="J3" s="221" t="s">
        <v>469</v>
      </c>
      <c r="K3" s="221" t="s">
        <v>470</v>
      </c>
    </row>
    <row r="4" spans="1:11" ht="72.75" customHeight="1">
      <c r="A4" s="219" t="s">
        <v>374</v>
      </c>
      <c r="B4" s="220" t="str">
        <f t="shared" ref="B4:B40" si="0">CONCATENATE("v_2_",A4)</f>
        <v>v_2_0003</v>
      </c>
      <c r="C4" s="220" t="s">
        <v>368</v>
      </c>
      <c r="D4" s="220" t="str">
        <f>VLOOKUP(CONCATENATE(C4,"_",E4),'Data types'!A:E,4,FALSE)</f>
        <v>0070</v>
      </c>
      <c r="E4" s="221" t="s">
        <v>376</v>
      </c>
      <c r="F4" s="221" t="str">
        <f>VLOOKUP(CONCATENATE(C4,"_",E4),'Data types'!A:F,6,FALSE)</f>
        <v>String: 3-letters ISO 4217</v>
      </c>
      <c r="G4" s="222" t="s">
        <v>369</v>
      </c>
      <c r="H4" s="222"/>
      <c r="I4" s="221" t="s">
        <v>471</v>
      </c>
      <c r="J4" s="221" t="s">
        <v>472</v>
      </c>
      <c r="K4" s="221" t="s">
        <v>473</v>
      </c>
    </row>
    <row r="5" spans="1:11" ht="72.75" customHeight="1">
      <c r="A5" s="219" t="s">
        <v>375</v>
      </c>
      <c r="B5" s="220" t="str">
        <f t="shared" si="0"/>
        <v>v_2_0004</v>
      </c>
      <c r="C5" s="220" t="s">
        <v>368</v>
      </c>
      <c r="D5" s="220" t="str">
        <f>VLOOKUP(CONCATENATE(C5,"_",E5),'Data types'!A:E,4,FALSE)</f>
        <v>0080</v>
      </c>
      <c r="E5" s="221" t="s">
        <v>183</v>
      </c>
      <c r="F5" s="221" t="str">
        <f>VLOOKUP(CONCATENATE(C5,"_",E5),'Data types'!A:F,6,FALSE)</f>
        <v>Numeric: 2 decimals</v>
      </c>
      <c r="G5" s="222"/>
      <c r="H5" s="222" t="s">
        <v>369</v>
      </c>
      <c r="I5" s="221" t="s">
        <v>474</v>
      </c>
      <c r="J5" s="221"/>
      <c r="K5" s="221" t="s">
        <v>475</v>
      </c>
    </row>
    <row r="6" spans="1:11" ht="72.75" customHeight="1">
      <c r="A6" s="219" t="s">
        <v>377</v>
      </c>
      <c r="B6" s="220" t="str">
        <f t="shared" si="0"/>
        <v>v_2_0005</v>
      </c>
      <c r="C6" s="220" t="s">
        <v>368</v>
      </c>
      <c r="D6" s="220" t="str">
        <f>VLOOKUP(CONCATENATE(C6,"_",E6),'Data types'!A:E,4,FALSE)</f>
        <v>0090</v>
      </c>
      <c r="E6" s="221" t="s">
        <v>384</v>
      </c>
      <c r="F6" s="221" t="str">
        <f>VLOOKUP(CONCATENATE(C6,"_",E6),'Data types'!A:F,6,FALSE)</f>
        <v>Numeric: 2 decimals</v>
      </c>
      <c r="G6" s="222" t="s">
        <v>369</v>
      </c>
      <c r="H6" s="222"/>
      <c r="I6" s="221" t="s">
        <v>476</v>
      </c>
      <c r="J6" s="221" t="s">
        <v>469</v>
      </c>
      <c r="K6" s="221" t="s">
        <v>477</v>
      </c>
    </row>
    <row r="7" spans="1:11" ht="72.75" customHeight="1">
      <c r="A7" s="219" t="s">
        <v>380</v>
      </c>
      <c r="B7" s="220" t="str">
        <f t="shared" si="0"/>
        <v>v_2_0006</v>
      </c>
      <c r="C7" s="220" t="s">
        <v>368</v>
      </c>
      <c r="D7" s="220" t="str">
        <f>VLOOKUP(CONCATENATE(C7,"_",E7),'Data types'!A:E,4,FALSE)</f>
        <v>0100</v>
      </c>
      <c r="E7" s="221" t="s">
        <v>185</v>
      </c>
      <c r="F7" s="221" t="str">
        <f>VLOOKUP(CONCATENATE(C7,"_",E7),'Data types'!A:F,6,FALSE)</f>
        <v>Numeric: 2 decimals</v>
      </c>
      <c r="G7" s="222"/>
      <c r="H7" s="222" t="s">
        <v>369</v>
      </c>
      <c r="I7" s="221" t="s">
        <v>478</v>
      </c>
      <c r="J7" s="221"/>
      <c r="K7" s="221" t="s">
        <v>479</v>
      </c>
    </row>
    <row r="8" spans="1:11" ht="72.75" customHeight="1">
      <c r="A8" s="219" t="s">
        <v>383</v>
      </c>
      <c r="B8" s="220" t="str">
        <f t="shared" si="0"/>
        <v>v_2_0007</v>
      </c>
      <c r="C8" s="220" t="s">
        <v>368</v>
      </c>
      <c r="D8" s="220" t="str">
        <f>VLOOKUP(CONCATENATE(C8,"_",E8),'Data types'!A:E,4,FALSE)</f>
        <v>0110</v>
      </c>
      <c r="E8" s="221" t="s">
        <v>186</v>
      </c>
      <c r="F8" s="221" t="str">
        <f>VLOOKUP(CONCATENATE(C8,"_",E8),'Data types'!A:F,6,FALSE)</f>
        <v>Numeric: 2 decimals</v>
      </c>
      <c r="G8" s="222"/>
      <c r="H8" s="222" t="s">
        <v>369</v>
      </c>
      <c r="I8" s="221" t="s">
        <v>476</v>
      </c>
      <c r="J8" s="221"/>
      <c r="K8" s="221" t="s">
        <v>480</v>
      </c>
    </row>
    <row r="9" spans="1:11" ht="72.75" customHeight="1">
      <c r="A9" s="219" t="s">
        <v>387</v>
      </c>
      <c r="B9" s="220" t="str">
        <f t="shared" si="0"/>
        <v>v_2_0008</v>
      </c>
      <c r="C9" s="220" t="s">
        <v>368</v>
      </c>
      <c r="D9" s="220" t="str">
        <f>VLOOKUP(CONCATENATE(C9,"_",E9),'Data types'!A:E,4,FALSE)</f>
        <v>0120</v>
      </c>
      <c r="E9" s="221" t="s">
        <v>187</v>
      </c>
      <c r="F9" s="221" t="str">
        <f>VLOOKUP(CONCATENATE(C9,"_",E9),'Data types'!A:F,6,FALSE)</f>
        <v>Numeric: 2 decimals</v>
      </c>
      <c r="G9" s="222" t="s">
        <v>369</v>
      </c>
      <c r="H9" s="222"/>
      <c r="I9" s="221" t="s">
        <v>474</v>
      </c>
      <c r="J9" s="221"/>
      <c r="K9" s="221" t="s">
        <v>481</v>
      </c>
    </row>
    <row r="10" spans="1:11" ht="72.75" customHeight="1">
      <c r="A10" s="219" t="s">
        <v>390</v>
      </c>
      <c r="B10" s="220" t="str">
        <f t="shared" si="0"/>
        <v>v_2_0009</v>
      </c>
      <c r="C10" s="220" t="s">
        <v>368</v>
      </c>
      <c r="D10" s="220" t="str">
        <f>VLOOKUP(CONCATENATE(C10,"_",E10),'Data types'!A:E,4,FALSE)</f>
        <v>0120</v>
      </c>
      <c r="E10" s="221" t="s">
        <v>187</v>
      </c>
      <c r="F10" s="221" t="str">
        <f>VLOOKUP(CONCATENATE(C10,"_",E10),'Data types'!A:F,6,FALSE)</f>
        <v>Numeric: 2 decimals</v>
      </c>
      <c r="G10" s="222" t="s">
        <v>369</v>
      </c>
      <c r="H10" s="222"/>
      <c r="I10" s="221" t="s">
        <v>482</v>
      </c>
      <c r="J10" s="221"/>
      <c r="K10" s="221" t="s">
        <v>483</v>
      </c>
    </row>
    <row r="11" spans="1:11" ht="72.75" customHeight="1">
      <c r="A11" s="219" t="s">
        <v>352</v>
      </c>
      <c r="B11" s="220" t="str">
        <f t="shared" si="0"/>
        <v>v_2_0011</v>
      </c>
      <c r="C11" s="220" t="s">
        <v>368</v>
      </c>
      <c r="D11" s="220" t="str">
        <f>VLOOKUP(CONCATENATE(C11,"_",E11),'Data types'!A:E,4,FALSE)</f>
        <v>0130</v>
      </c>
      <c r="E11" s="221" t="s">
        <v>188</v>
      </c>
      <c r="F11" s="221" t="str">
        <f>VLOOKUP(CONCATENATE(C11,"_",E11),'Data types'!A:F,6,FALSE)</f>
        <v>Numeric: 2 decimals</v>
      </c>
      <c r="G11" s="222" t="s">
        <v>369</v>
      </c>
      <c r="H11" s="222"/>
      <c r="I11" s="221" t="s">
        <v>484</v>
      </c>
      <c r="J11" s="221" t="s">
        <v>485</v>
      </c>
      <c r="K11" s="221" t="s">
        <v>486</v>
      </c>
    </row>
    <row r="12" spans="1:11" ht="72.75" customHeight="1">
      <c r="A12" s="219" t="s">
        <v>394</v>
      </c>
      <c r="B12" s="220" t="str">
        <f t="shared" si="0"/>
        <v>v_2_0012</v>
      </c>
      <c r="C12" s="220" t="s">
        <v>368</v>
      </c>
      <c r="D12" s="220" t="str">
        <f>VLOOKUP(CONCATENATE(C12,"_",E12),'Data types'!A:E,4,FALSE)</f>
        <v>0130</v>
      </c>
      <c r="E12" s="221" t="s">
        <v>188</v>
      </c>
      <c r="F12" s="221" t="str">
        <f>VLOOKUP(CONCATENATE(C12,"_",E12),'Data types'!A:F,6,FALSE)</f>
        <v>Numeric: 2 decimals</v>
      </c>
      <c r="G12" s="222" t="s">
        <v>369</v>
      </c>
      <c r="H12" s="222"/>
      <c r="I12" s="221" t="s">
        <v>487</v>
      </c>
      <c r="J12" s="221" t="s">
        <v>488</v>
      </c>
      <c r="K12" s="221" t="s">
        <v>489</v>
      </c>
    </row>
    <row r="13" spans="1:11" ht="72.75" customHeight="1">
      <c r="A13" s="219" t="s">
        <v>395</v>
      </c>
      <c r="B13" s="220" t="str">
        <f t="shared" si="0"/>
        <v>v_2_0013</v>
      </c>
      <c r="C13" s="220" t="s">
        <v>368</v>
      </c>
      <c r="D13" s="220" t="str">
        <f>VLOOKUP(CONCATENATE(C13,"_",E13),'Data types'!A:E,4,FALSE)</f>
        <v>0140</v>
      </c>
      <c r="E13" s="221" t="s">
        <v>189</v>
      </c>
      <c r="F13" s="221" t="str">
        <f>VLOOKUP(CONCATENATE(C13,"_",E13),'Data types'!A:F,6,FALSE)</f>
        <v>String: Drop-down</v>
      </c>
      <c r="G13" s="222" t="s">
        <v>369</v>
      </c>
      <c r="H13" s="222"/>
      <c r="I13" s="221" t="s">
        <v>490</v>
      </c>
      <c r="J13" s="221"/>
      <c r="K13" s="221" t="s">
        <v>491</v>
      </c>
    </row>
    <row r="14" spans="1:11" ht="72.75" customHeight="1">
      <c r="A14" s="219" t="s">
        <v>396</v>
      </c>
      <c r="B14" s="220" t="str">
        <f t="shared" si="0"/>
        <v>v_2_0014</v>
      </c>
      <c r="C14" s="220" t="s">
        <v>368</v>
      </c>
      <c r="D14" s="220" t="str">
        <f>VLOOKUP(CONCATENATE(C14,"_",E14),'Data types'!A:E,4,FALSE)</f>
        <v>0160</v>
      </c>
      <c r="E14" s="221" t="s">
        <v>192</v>
      </c>
      <c r="F14" s="221" t="str">
        <f>VLOOKUP(CONCATENATE(C14,"_",E14),'Data types'!A:F,6,FALSE)</f>
        <v>Numeric: Integer</v>
      </c>
      <c r="G14" s="222" t="s">
        <v>369</v>
      </c>
      <c r="H14" s="222"/>
      <c r="I14" s="221" t="s">
        <v>492</v>
      </c>
      <c r="J14" s="221"/>
      <c r="K14" s="221" t="s">
        <v>493</v>
      </c>
    </row>
    <row r="15" spans="1:11" ht="72.75" customHeight="1">
      <c r="A15" s="219" t="s">
        <v>399</v>
      </c>
      <c r="B15" s="220" t="str">
        <f t="shared" si="0"/>
        <v>v_2_0015</v>
      </c>
      <c r="C15" s="220" t="s">
        <v>368</v>
      </c>
      <c r="D15" s="220" t="str">
        <f>VLOOKUP(CONCATENATE(C15,"_",E15),'Data types'!A:E,4,FALSE)</f>
        <v>0170</v>
      </c>
      <c r="E15" s="221" t="s">
        <v>195</v>
      </c>
      <c r="F15" s="221" t="str">
        <f>VLOOKUP(CONCATENATE(C15,"_",E15),'Data types'!A:F,6,FALSE)</f>
        <v>Date: yyyy-mm-dd</v>
      </c>
      <c r="G15" s="222" t="s">
        <v>369</v>
      </c>
      <c r="H15" s="222"/>
      <c r="I15" s="221" t="s">
        <v>494</v>
      </c>
      <c r="J15" s="221" t="s">
        <v>495</v>
      </c>
      <c r="K15" s="221" t="s">
        <v>494</v>
      </c>
    </row>
    <row r="16" spans="1:11" ht="72.75" customHeight="1">
      <c r="A16" s="219" t="s">
        <v>400</v>
      </c>
      <c r="B16" s="220" t="str">
        <f t="shared" si="0"/>
        <v>v_2_0016</v>
      </c>
      <c r="C16" s="220" t="s">
        <v>368</v>
      </c>
      <c r="D16" s="220" t="str">
        <f>VLOOKUP(CONCATENATE(C16,"_",E16),'Data types'!A:E,4,FALSE)</f>
        <v>0170</v>
      </c>
      <c r="E16" s="221" t="s">
        <v>195</v>
      </c>
      <c r="F16" s="221" t="str">
        <f>VLOOKUP(CONCATENATE(C16,"_",E16),'Data types'!A:F,6,FALSE)</f>
        <v>Date: yyyy-mm-dd</v>
      </c>
      <c r="G16" s="222" t="s">
        <v>369</v>
      </c>
      <c r="H16" s="222"/>
      <c r="I16" s="221" t="s">
        <v>496</v>
      </c>
      <c r="J16" s="221" t="s">
        <v>497</v>
      </c>
      <c r="K16" s="221" t="s">
        <v>496</v>
      </c>
    </row>
    <row r="17" spans="1:11" ht="72.75" customHeight="1">
      <c r="A17" s="219" t="s">
        <v>401</v>
      </c>
      <c r="B17" s="220" t="str">
        <f t="shared" si="0"/>
        <v>v_2_0017</v>
      </c>
      <c r="C17" s="220" t="s">
        <v>368</v>
      </c>
      <c r="D17" s="220" t="str">
        <f>VLOOKUP(CONCATENATE(C17,"_",E17),'Data types'!A:E,4,FALSE)</f>
        <v>0180</v>
      </c>
      <c r="E17" s="221" t="s">
        <v>196</v>
      </c>
      <c r="F17" s="221" t="str">
        <f>VLOOKUP(CONCATENATE(C17,"_",E17),'Data types'!A:F,6,FALSE)</f>
        <v>Date: yyyy-mm-dd</v>
      </c>
      <c r="G17" s="222" t="s">
        <v>369</v>
      </c>
      <c r="H17" s="222"/>
      <c r="I17" s="221" t="s">
        <v>494</v>
      </c>
      <c r="J17" s="221" t="s">
        <v>495</v>
      </c>
      <c r="K17" s="221" t="s">
        <v>494</v>
      </c>
    </row>
    <row r="18" spans="1:11" ht="72.75" customHeight="1">
      <c r="A18" s="219" t="s">
        <v>404</v>
      </c>
      <c r="B18" s="220" t="str">
        <f t="shared" si="0"/>
        <v>v_2_0018</v>
      </c>
      <c r="C18" s="220" t="s">
        <v>368</v>
      </c>
      <c r="D18" s="220" t="str">
        <f>VLOOKUP(CONCATENATE(C18,"_",E18),'Data types'!A:E,4,FALSE)</f>
        <v>0180</v>
      </c>
      <c r="E18" s="221" t="s">
        <v>196</v>
      </c>
      <c r="F18" s="221" t="str">
        <f>VLOOKUP(CONCATENATE(C18,"_",E18),'Data types'!A:F,6,FALSE)</f>
        <v>Date: yyyy-mm-dd</v>
      </c>
      <c r="G18" s="222" t="s">
        <v>369</v>
      </c>
      <c r="H18" s="222"/>
      <c r="I18" s="221" t="s">
        <v>498</v>
      </c>
      <c r="J18" s="221" t="s">
        <v>499</v>
      </c>
      <c r="K18" s="221" t="s">
        <v>498</v>
      </c>
    </row>
    <row r="19" spans="1:11" ht="72.75" customHeight="1">
      <c r="A19" s="219" t="s">
        <v>406</v>
      </c>
      <c r="B19" s="220" t="str">
        <f t="shared" si="0"/>
        <v>v_2_0019</v>
      </c>
      <c r="C19" s="220" t="s">
        <v>368</v>
      </c>
      <c r="D19" s="220" t="str">
        <f>VLOOKUP(CONCATENATE(C19,"_",E19),'Data types'!A:E,4,FALSE)</f>
        <v>0200</v>
      </c>
      <c r="E19" s="221" t="s">
        <v>198</v>
      </c>
      <c r="F19" s="221" t="str">
        <f>VLOOKUP(CONCATENATE(C19,"_",E19),'Data types'!A:F,6,FALSE)</f>
        <v>Date: yyyy-mm-dd</v>
      </c>
      <c r="G19" s="222" t="s">
        <v>369</v>
      </c>
      <c r="H19" s="222"/>
      <c r="I19" s="221" t="s">
        <v>494</v>
      </c>
      <c r="J19" s="221" t="s">
        <v>495</v>
      </c>
      <c r="K19" s="221" t="s">
        <v>494</v>
      </c>
    </row>
    <row r="20" spans="1:11" ht="72.75" customHeight="1">
      <c r="A20" s="219" t="s">
        <v>166</v>
      </c>
      <c r="B20" s="220" t="str">
        <f t="shared" si="0"/>
        <v>v_2_0020</v>
      </c>
      <c r="C20" s="220" t="s">
        <v>368</v>
      </c>
      <c r="D20" s="220" t="str">
        <f>VLOOKUP(CONCATENATE(C20,"_",E20),'Data types'!A:E,4,FALSE)</f>
        <v>0200</v>
      </c>
      <c r="E20" s="221" t="s">
        <v>198</v>
      </c>
      <c r="F20" s="221" t="str">
        <f>VLOOKUP(CONCATENATE(C20,"_",E20),'Data types'!A:F,6,FALSE)</f>
        <v>Date: yyyy-mm-dd</v>
      </c>
      <c r="G20" s="222" t="s">
        <v>369</v>
      </c>
      <c r="H20" s="222"/>
      <c r="I20" s="221" t="s">
        <v>498</v>
      </c>
      <c r="J20" s="221" t="s">
        <v>499</v>
      </c>
      <c r="K20" s="221" t="s">
        <v>498</v>
      </c>
    </row>
    <row r="21" spans="1:11" ht="72.75" customHeight="1">
      <c r="A21" s="219" t="s">
        <v>410</v>
      </c>
      <c r="B21" s="220" t="str">
        <f t="shared" si="0"/>
        <v>v_2_0021</v>
      </c>
      <c r="C21" s="220" t="s">
        <v>368</v>
      </c>
      <c r="D21" s="220" t="str">
        <f>VLOOKUP(CONCATENATE(C21,"_",E21),'Data types'!A:E,4,FALSE)</f>
        <v>0210</v>
      </c>
      <c r="E21" s="221" t="s">
        <v>199</v>
      </c>
      <c r="F21" s="221" t="str">
        <f>VLOOKUP(CONCATENATE(C21,"_",E21),'Data types'!A:F,6,FALSE)</f>
        <v>Date: yyyy-mm-dd</v>
      </c>
      <c r="G21" s="222" t="s">
        <v>369</v>
      </c>
      <c r="H21" s="222"/>
      <c r="I21" s="221" t="s">
        <v>494</v>
      </c>
      <c r="J21" s="221" t="s">
        <v>495</v>
      </c>
      <c r="K21" s="221" t="s">
        <v>494</v>
      </c>
    </row>
    <row r="22" spans="1:11" ht="72.75" customHeight="1">
      <c r="A22" s="219" t="s">
        <v>411</v>
      </c>
      <c r="B22" s="220" t="str">
        <f t="shared" si="0"/>
        <v>v_2_0022</v>
      </c>
      <c r="C22" s="220" t="s">
        <v>368</v>
      </c>
      <c r="D22" s="220" t="str">
        <f>VLOOKUP(CONCATENATE(C22,"_",E22),'Data types'!A:E,4,FALSE)</f>
        <v>0210</v>
      </c>
      <c r="E22" s="221" t="s">
        <v>199</v>
      </c>
      <c r="F22" s="221" t="str">
        <f>VLOOKUP(CONCATENATE(C22,"_",E22),'Data types'!A:F,6,FALSE)</f>
        <v>Date: yyyy-mm-dd</v>
      </c>
      <c r="G22" s="222" t="s">
        <v>369</v>
      </c>
      <c r="H22" s="222"/>
      <c r="I22" s="221" t="s">
        <v>498</v>
      </c>
      <c r="J22" s="221" t="s">
        <v>499</v>
      </c>
      <c r="K22" s="221" t="s">
        <v>498</v>
      </c>
    </row>
    <row r="23" spans="1:11" ht="72.75" customHeight="1">
      <c r="A23" s="219" t="s">
        <v>412</v>
      </c>
      <c r="B23" s="220" t="str">
        <f t="shared" si="0"/>
        <v>v_2_0023</v>
      </c>
      <c r="C23" s="220" t="s">
        <v>368</v>
      </c>
      <c r="D23" s="220" t="str">
        <f>VLOOKUP(CONCATENATE(C23,"_",E23),'Data types'!A:E,4,FALSE)</f>
        <v>0220</v>
      </c>
      <c r="E23" s="221" t="s">
        <v>200</v>
      </c>
      <c r="F23" s="221" t="str">
        <f>VLOOKUP(CONCATENATE(C23,"_",E23),'Data types'!A:F,6,FALSE)</f>
        <v>String: ISO 3166-1 alpha 2 / ISO 3166-2</v>
      </c>
      <c r="G23" s="222" t="s">
        <v>369</v>
      </c>
      <c r="H23" s="222"/>
      <c r="I23" s="221" t="s">
        <v>500</v>
      </c>
      <c r="J23" s="221" t="s">
        <v>495</v>
      </c>
      <c r="K23" s="221" t="s">
        <v>501</v>
      </c>
    </row>
    <row r="24" spans="1:11" ht="72.75" customHeight="1">
      <c r="A24" s="219" t="s">
        <v>415</v>
      </c>
      <c r="B24" s="220" t="str">
        <f t="shared" si="0"/>
        <v>v_2_0024</v>
      </c>
      <c r="C24" s="220" t="s">
        <v>368</v>
      </c>
      <c r="D24" s="220" t="str">
        <f>VLOOKUP(CONCATENATE(C24,"_",E24),'Data types'!A:E,4,FALSE)</f>
        <v>0230</v>
      </c>
      <c r="E24" s="221" t="s">
        <v>201</v>
      </c>
      <c r="F24" s="221" t="str">
        <f>VLOOKUP(CONCATENATE(C24,"_",E24),'Data types'!A:F,6,FALSE)</f>
        <v>String: Drop-down</v>
      </c>
      <c r="G24" s="222" t="s">
        <v>369</v>
      </c>
      <c r="H24" s="222"/>
      <c r="I24" s="221" t="s">
        <v>490</v>
      </c>
      <c r="J24" s="221" t="s">
        <v>495</v>
      </c>
      <c r="K24" s="221" t="s">
        <v>491</v>
      </c>
    </row>
    <row r="25" spans="1:11" ht="72.75" customHeight="1">
      <c r="A25" s="219" t="s">
        <v>417</v>
      </c>
      <c r="B25" s="220" t="str">
        <f t="shared" si="0"/>
        <v>v_2_0025</v>
      </c>
      <c r="C25" s="220" t="s">
        <v>368</v>
      </c>
      <c r="D25" s="220" t="str">
        <f>VLOOKUP(CONCATENATE(C25,"_",E25),'Data types'!A:E,4,FALSE)</f>
        <v>0250</v>
      </c>
      <c r="E25" s="221" t="s">
        <v>203</v>
      </c>
      <c r="F25" s="221" t="str">
        <f>VLOOKUP(CONCATENATE(C25,"_",E25),'Data types'!A:F,6,FALSE)</f>
        <v>String: Drop-down</v>
      </c>
      <c r="G25" s="222" t="s">
        <v>369</v>
      </c>
      <c r="H25" s="222"/>
      <c r="I25" s="221" t="s">
        <v>490</v>
      </c>
      <c r="J25" s="221"/>
      <c r="K25" s="221" t="s">
        <v>491</v>
      </c>
    </row>
    <row r="26" spans="1:11" ht="72.75" customHeight="1">
      <c r="A26" s="219" t="s">
        <v>420</v>
      </c>
      <c r="B26" s="220" t="str">
        <f t="shared" si="0"/>
        <v>v_2_0026</v>
      </c>
      <c r="C26" s="220" t="s">
        <v>368</v>
      </c>
      <c r="D26" s="220" t="str">
        <f>VLOOKUP(CONCATENATE(C26,"_",E26),'Data types'!A:E,4,FALSE)</f>
        <v>0310</v>
      </c>
      <c r="E26" s="221" t="s">
        <v>209</v>
      </c>
      <c r="F26" s="221" t="str">
        <f>VLOOKUP(CONCATENATE(C26,"_",E26),'Data types'!A:F,6,FALSE)</f>
        <v>String: Drop-down</v>
      </c>
      <c r="G26" s="222" t="s">
        <v>369</v>
      </c>
      <c r="H26" s="222"/>
      <c r="I26" s="221" t="s">
        <v>490</v>
      </c>
      <c r="J26" s="221"/>
      <c r="K26" s="221" t="s">
        <v>491</v>
      </c>
    </row>
    <row r="27" spans="1:11" ht="72.75" customHeight="1">
      <c r="A27" s="219" t="s">
        <v>421</v>
      </c>
      <c r="B27" s="220" t="str">
        <f t="shared" si="0"/>
        <v>v_2_0027</v>
      </c>
      <c r="C27" s="220" t="s">
        <v>368</v>
      </c>
      <c r="D27" s="220" t="str">
        <f>VLOOKUP(CONCATENATE(C27,"_",E27),'Data types'!A:E,4,FALSE)</f>
        <v>0330</v>
      </c>
      <c r="E27" s="221" t="s">
        <v>211</v>
      </c>
      <c r="F27" s="221" t="str">
        <f>VLOOKUP(CONCATENATE(C27,"_",E27),'Data types'!A:F,6,FALSE)</f>
        <v>Numeric: 2 decimals</v>
      </c>
      <c r="G27" s="222" t="s">
        <v>369</v>
      </c>
      <c r="H27" s="222"/>
      <c r="I27" s="221" t="s">
        <v>502</v>
      </c>
      <c r="J27" s="221" t="s">
        <v>503</v>
      </c>
      <c r="K27" s="221" t="s">
        <v>504</v>
      </c>
    </row>
    <row r="28" spans="1:11" ht="72.75" customHeight="1">
      <c r="A28" s="219" t="s">
        <v>425</v>
      </c>
      <c r="B28" s="220" t="str">
        <f t="shared" si="0"/>
        <v>v_2_0028</v>
      </c>
      <c r="C28" s="220" t="s">
        <v>368</v>
      </c>
      <c r="D28" s="220" t="str">
        <f>VLOOKUP(CONCATENATE(C28,"_",E28),'Data types'!A:E,4,FALSE)</f>
        <v>0330</v>
      </c>
      <c r="E28" s="221" t="s">
        <v>211</v>
      </c>
      <c r="F28" s="221" t="str">
        <f>VLOOKUP(CONCATENATE(C28,"_",E28),'Data types'!A:F,6,FALSE)</f>
        <v>Numeric: 2 decimals</v>
      </c>
      <c r="G28" s="222" t="s">
        <v>369</v>
      </c>
      <c r="H28" s="222"/>
      <c r="I28" s="221" t="s">
        <v>505</v>
      </c>
      <c r="J28" s="221" t="s">
        <v>506</v>
      </c>
      <c r="K28" s="221" t="s">
        <v>507</v>
      </c>
    </row>
    <row r="29" spans="1:11" ht="72.75" customHeight="1">
      <c r="A29" s="219" t="s">
        <v>427</v>
      </c>
      <c r="B29" s="220" t="str">
        <f t="shared" si="0"/>
        <v>v_2_0029</v>
      </c>
      <c r="C29" s="220" t="s">
        <v>368</v>
      </c>
      <c r="D29" s="220" t="str">
        <f>VLOOKUP(CONCATENATE(C29,"_",E29),'Data types'!A:E,4,FALSE)</f>
        <v>0350</v>
      </c>
      <c r="E29" s="221" t="s">
        <v>213</v>
      </c>
      <c r="F29" s="221" t="str">
        <f>VLOOKUP(CONCATENATE(C29,"_",E29),'Data types'!A:F,6,FALSE)</f>
        <v>String: Drop-down</v>
      </c>
      <c r="G29" s="222" t="s">
        <v>369</v>
      </c>
      <c r="H29" s="222"/>
      <c r="I29" s="221" t="s">
        <v>490</v>
      </c>
      <c r="J29" s="221"/>
      <c r="K29" s="221" t="s">
        <v>491</v>
      </c>
    </row>
    <row r="30" spans="1:11" ht="72.75" customHeight="1">
      <c r="A30" s="219" t="s">
        <v>167</v>
      </c>
      <c r="B30" s="220" t="str">
        <f t="shared" si="0"/>
        <v>v_2_0030</v>
      </c>
      <c r="C30" s="220" t="s">
        <v>368</v>
      </c>
      <c r="D30" s="220" t="str">
        <f>VLOOKUP(CONCATENATE(C30,"_",E30),'Data types'!A:E,4,FALSE)</f>
        <v>0350</v>
      </c>
      <c r="E30" s="221" t="s">
        <v>213</v>
      </c>
      <c r="F30" s="221" t="str">
        <f>VLOOKUP(CONCATENATE(C30,"_",E30),'Data types'!A:F,6,FALSE)</f>
        <v>String: Drop-down</v>
      </c>
      <c r="G30" s="222" t="s">
        <v>369</v>
      </c>
      <c r="H30" s="222"/>
      <c r="I30" s="221" t="s">
        <v>508</v>
      </c>
      <c r="J30" s="221" t="s">
        <v>509</v>
      </c>
      <c r="K30" s="221" t="s">
        <v>510</v>
      </c>
    </row>
    <row r="31" spans="1:11" ht="72.75" customHeight="1">
      <c r="A31" s="219" t="s">
        <v>430</v>
      </c>
      <c r="B31" s="220" t="str">
        <f t="shared" si="0"/>
        <v>v_2_0031</v>
      </c>
      <c r="C31" s="220" t="s">
        <v>368</v>
      </c>
      <c r="D31" s="220" t="str">
        <f>VLOOKUP(CONCATENATE(C31,"_",E31),'Data types'!A:E,4,FALSE)</f>
        <v>0440</v>
      </c>
      <c r="E31" s="221" t="s">
        <v>225</v>
      </c>
      <c r="F31" s="221" t="str">
        <f>VLOOKUP(CONCATENATE(C31,"_",E31),'Data types'!A:F,6,FALSE)</f>
        <v>String: Drop-down</v>
      </c>
      <c r="G31" s="222" t="s">
        <v>369</v>
      </c>
      <c r="H31" s="222"/>
      <c r="I31" s="221" t="s">
        <v>490</v>
      </c>
      <c r="J31" s="221"/>
      <c r="K31" s="221" t="s">
        <v>491</v>
      </c>
    </row>
    <row r="32" spans="1:11" ht="72.75" customHeight="1">
      <c r="A32" s="219" t="s">
        <v>433</v>
      </c>
      <c r="B32" s="220" t="str">
        <f t="shared" si="0"/>
        <v>v_2_0032</v>
      </c>
      <c r="C32" s="220" t="s">
        <v>368</v>
      </c>
      <c r="D32" s="220" t="str">
        <f>VLOOKUP(CONCATENATE(C32,"_",E32),'Data types'!A:E,4,FALSE)</f>
        <v>0530</v>
      </c>
      <c r="E32" s="221" t="s">
        <v>242</v>
      </c>
      <c r="F32" s="221" t="str">
        <f>VLOOKUP(CONCATENATE(C32,"_",E32),'Data types'!A:F,6,FALSE)</f>
        <v>String: Drop-down</v>
      </c>
      <c r="G32" s="222" t="s">
        <v>369</v>
      </c>
      <c r="H32" s="222"/>
      <c r="I32" s="221" t="s">
        <v>490</v>
      </c>
      <c r="J32" s="221"/>
      <c r="K32" s="221" t="s">
        <v>491</v>
      </c>
    </row>
    <row r="33" spans="1:11" ht="72.75" customHeight="1">
      <c r="A33" s="219" t="s">
        <v>436</v>
      </c>
      <c r="B33" s="220" t="str">
        <f t="shared" si="0"/>
        <v>v_2_0033</v>
      </c>
      <c r="C33" s="220" t="s">
        <v>368</v>
      </c>
      <c r="D33" s="220" t="str">
        <f>VLOOKUP(CONCATENATE(C33,"_",E33),'Data types'!A:E,4,FALSE)</f>
        <v>0540</v>
      </c>
      <c r="E33" s="221" t="s">
        <v>243</v>
      </c>
      <c r="F33" s="221" t="str">
        <f>VLOOKUP(CONCATENATE(C33,"_",E33),'Data types'!A:F,6,FALSE)</f>
        <v>Numeric: 2 decimals</v>
      </c>
      <c r="G33" s="222" t="s">
        <v>369</v>
      </c>
      <c r="H33" s="222"/>
      <c r="I33" s="221" t="s">
        <v>476</v>
      </c>
      <c r="J33" s="221"/>
      <c r="K33" s="221" t="s">
        <v>511</v>
      </c>
    </row>
    <row r="34" spans="1:11" ht="72.75" customHeight="1">
      <c r="A34" s="219" t="s">
        <v>439</v>
      </c>
      <c r="B34" s="220" t="str">
        <f t="shared" si="0"/>
        <v>v_2_0034</v>
      </c>
      <c r="C34" s="220" t="s">
        <v>368</v>
      </c>
      <c r="D34" s="220" t="str">
        <f>VLOOKUP(CONCATENATE(C34,"_",E34),'Data types'!A:E,4,FALSE)</f>
        <v>0550</v>
      </c>
      <c r="E34" s="221" t="s">
        <v>244</v>
      </c>
      <c r="F34" s="221" t="str">
        <f>VLOOKUP(CONCATENATE(C34,"_",E34),'Data types'!A:F,6,FALSE)</f>
        <v>String: Drop-down</v>
      </c>
      <c r="G34" s="222" t="s">
        <v>369</v>
      </c>
      <c r="H34" s="222"/>
      <c r="I34" s="221" t="s">
        <v>490</v>
      </c>
      <c r="J34" s="221"/>
      <c r="K34" s="221" t="s">
        <v>491</v>
      </c>
    </row>
    <row r="35" spans="1:11" ht="72.75" customHeight="1">
      <c r="A35" s="219" t="s">
        <v>441</v>
      </c>
      <c r="B35" s="220" t="str">
        <f t="shared" si="0"/>
        <v>v_2_0035</v>
      </c>
      <c r="C35" s="220" t="s">
        <v>368</v>
      </c>
      <c r="D35" s="220" t="str">
        <f>VLOOKUP(CONCATENATE(C35,"_",E35),'Data types'!A:E,4,FALSE)</f>
        <v>0560</v>
      </c>
      <c r="E35" s="221" t="s">
        <v>512</v>
      </c>
      <c r="F35" s="221" t="str">
        <f>VLOOKUP(CONCATENATE(C35,"_",E35),'Data types'!A:F,6,FALSE)</f>
        <v>Numeric: 2 decimals</v>
      </c>
      <c r="G35" s="222" t="s">
        <v>369</v>
      </c>
      <c r="H35" s="222"/>
      <c r="I35" s="221" t="s">
        <v>476</v>
      </c>
      <c r="J35" s="221"/>
      <c r="K35" s="221" t="s">
        <v>511</v>
      </c>
    </row>
    <row r="36" spans="1:11" ht="72.75" customHeight="1">
      <c r="A36" s="219" t="s">
        <v>444</v>
      </c>
      <c r="B36" s="220" t="str">
        <f t="shared" si="0"/>
        <v>v_2_0036</v>
      </c>
      <c r="C36" s="220" t="s">
        <v>368</v>
      </c>
      <c r="D36" s="220" t="str">
        <f>VLOOKUP(CONCATENATE(C36,"_",E36),'Data types'!A:E,4,FALSE)</f>
        <v>0590</v>
      </c>
      <c r="E36" s="221" t="s">
        <v>249</v>
      </c>
      <c r="F36" s="221" t="str">
        <f>VLOOKUP(CONCATENATE(C36,"_",E36),'Data types'!A:F,6,FALSE)</f>
        <v>String: Drop-down</v>
      </c>
      <c r="G36" s="222" t="s">
        <v>369</v>
      </c>
      <c r="H36" s="222"/>
      <c r="I36" s="221" t="s">
        <v>490</v>
      </c>
      <c r="J36" s="221"/>
      <c r="K36" s="221" t="s">
        <v>491</v>
      </c>
    </row>
    <row r="37" spans="1:11" ht="72.75" customHeight="1">
      <c r="A37" s="219" t="s">
        <v>447</v>
      </c>
      <c r="B37" s="220" t="str">
        <f t="shared" si="0"/>
        <v>v_2_0037</v>
      </c>
      <c r="C37" s="220" t="s">
        <v>368</v>
      </c>
      <c r="D37" s="220" t="str">
        <f>VLOOKUP(CONCATENATE(C37,"_",E37),'Data types'!A:E,4,FALSE)</f>
        <v>0610</v>
      </c>
      <c r="E37" s="221" t="s">
        <v>251</v>
      </c>
      <c r="F37" s="221" t="str">
        <f>VLOOKUP(CONCATENATE(C37,"_",E37),'Data types'!A:F,6,FALSE)</f>
        <v>Numeric: 2 decimals</v>
      </c>
      <c r="G37" s="222" t="s">
        <v>369</v>
      </c>
      <c r="H37" s="222"/>
      <c r="I37" s="221" t="s">
        <v>476</v>
      </c>
      <c r="J37" s="221"/>
      <c r="K37" s="221" t="s">
        <v>511</v>
      </c>
    </row>
    <row r="38" spans="1:11" ht="72.75" customHeight="1">
      <c r="A38" s="219" t="s">
        <v>449</v>
      </c>
      <c r="B38" s="220" t="str">
        <f t="shared" si="0"/>
        <v>v_2_0038</v>
      </c>
      <c r="C38" s="220" t="s">
        <v>368</v>
      </c>
      <c r="D38" s="220" t="str">
        <f>VLOOKUP(CONCATENATE(C38,"_",E38),'Data types'!A:E,4,FALSE)</f>
        <v>0620</v>
      </c>
      <c r="E38" s="221" t="s">
        <v>252</v>
      </c>
      <c r="F38" s="221" t="str">
        <f>VLOOKUP(CONCATENATE(C38,"_",E38),'Data types'!A:F,6,FALSE)</f>
        <v>String: Drop-down</v>
      </c>
      <c r="G38" s="222" t="s">
        <v>18</v>
      </c>
      <c r="H38" s="222"/>
      <c r="I38" s="221" t="s">
        <v>490</v>
      </c>
      <c r="J38" s="221"/>
      <c r="K38" s="221" t="s">
        <v>491</v>
      </c>
    </row>
    <row r="39" spans="1:11" ht="72.75" customHeight="1">
      <c r="A39" s="219" t="s">
        <v>521</v>
      </c>
      <c r="B39" s="220" t="str">
        <f t="shared" si="0"/>
        <v>v_2_0058</v>
      </c>
      <c r="C39" s="220" t="s">
        <v>463</v>
      </c>
      <c r="D39" s="220" t="str">
        <f>VLOOKUP(CONCATENATE(C39,"_",E39),'Data types'!A:E,4,FALSE)</f>
        <v>0030</v>
      </c>
      <c r="E39" s="221" t="s">
        <v>464</v>
      </c>
      <c r="F39" s="221" t="str">
        <f>VLOOKUP(CONCATENATE(C39,"_",E39),'Data types'!A:F,6,FALSE)</f>
        <v>String: Drop-down</v>
      </c>
      <c r="G39" s="222" t="s">
        <v>369</v>
      </c>
      <c r="H39" s="222"/>
      <c r="I39" s="221" t="s">
        <v>490</v>
      </c>
      <c r="J39" s="221"/>
      <c r="K39" s="221" t="s">
        <v>491</v>
      </c>
    </row>
    <row r="40" spans="1:11" ht="72.75" customHeight="1">
      <c r="A40" s="219" t="s">
        <v>522</v>
      </c>
      <c r="B40" s="220" t="str">
        <f t="shared" si="0"/>
        <v>v_2_0059</v>
      </c>
      <c r="C40" s="220" t="s">
        <v>463</v>
      </c>
      <c r="D40" s="220" t="str">
        <f>VLOOKUP(CONCATENATE(C40,"_",E40),'Data types'!A:E,4,FALSE)</f>
        <v>0080</v>
      </c>
      <c r="E40" s="221" t="s">
        <v>523</v>
      </c>
      <c r="F40" s="221" t="str">
        <f>VLOOKUP(CONCATENATE(C40,"_",E40),'Data types'!A:F,6,FALSE)</f>
        <v>String: Drop-down</v>
      </c>
      <c r="G40" s="222" t="s">
        <v>369</v>
      </c>
      <c r="H40" s="222"/>
      <c r="I40" s="221" t="s">
        <v>490</v>
      </c>
      <c r="J40" s="221"/>
      <c r="K40" s="221" t="s">
        <v>491</v>
      </c>
    </row>
    <row r="41" spans="1:11" ht="72.75" customHeight="1">
      <c r="A41" s="219" t="s">
        <v>172</v>
      </c>
      <c r="B41" s="220" t="str">
        <f>CONCATENATE("v_2_",A41)</f>
        <v>v_2_0060</v>
      </c>
      <c r="C41" s="220" t="s">
        <v>463</v>
      </c>
      <c r="D41" s="220" t="str">
        <f>VLOOKUP(CONCATENATE(C41,"_",E41),'Data types'!A:E,4,FALSE)</f>
        <v>0090</v>
      </c>
      <c r="E41" s="221" t="s">
        <v>351</v>
      </c>
      <c r="F41" s="221" t="str">
        <f>VLOOKUP(CONCATENATE(C41,"_",E41),'Data types'!A:F,6,FALSE)</f>
        <v xml:space="preserve">String: ISO 3166-1 </v>
      </c>
      <c r="G41" s="222" t="s">
        <v>369</v>
      </c>
      <c r="H41" s="222"/>
      <c r="I41" s="221" t="s">
        <v>524</v>
      </c>
      <c r="J41" s="226" t="s">
        <v>525</v>
      </c>
      <c r="K41" s="221" t="s">
        <v>526</v>
      </c>
    </row>
    <row r="42" spans="1:11" ht="72.75" customHeight="1">
      <c r="A42" s="219" t="s">
        <v>527</v>
      </c>
      <c r="B42" s="220" t="str">
        <f t="shared" ref="B42" si="1">CONCATENATE("v_2_",A42)</f>
        <v>v_2_0061</v>
      </c>
      <c r="C42" s="220" t="s">
        <v>463</v>
      </c>
      <c r="D42" s="220" t="str">
        <f>VLOOKUP(CONCATENATE(C42,"_",E42),'Data types'!A:E,4,FALSE)</f>
        <v>0100</v>
      </c>
      <c r="E42" s="221" t="s">
        <v>188</v>
      </c>
      <c r="F42" s="221" t="str">
        <f>VLOOKUP(CONCATENATE(C42,"_",E42),'Data types'!A:F,6,FALSE)</f>
        <v>Numeric: 2 decimals</v>
      </c>
      <c r="G42" s="222"/>
      <c r="H42" s="222" t="s">
        <v>369</v>
      </c>
      <c r="I42" s="221" t="s">
        <v>528</v>
      </c>
      <c r="J42" s="221" t="s">
        <v>529</v>
      </c>
      <c r="K42" s="221" t="s">
        <v>530</v>
      </c>
    </row>
  </sheetData>
  <pageMargins left="0.7" right="0.7" top="0.75" bottom="0.75" header="0.3" footer="0.3"/>
  <pageSetup paperSize="8" scale="66" fitToHeight="0" orientation="portrait" r:id="rId1"/>
  <headerFooter>
    <oddHeader>&amp;L&amp;"Calibri"&amp;10&amp;K000000Confidential&amp;1#_x000D_&amp;"Calibri"&amp;11&amp;K000000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zoomScale="85" zoomScaleNormal="85" workbookViewId="0">
      <selection activeCell="B1" sqref="B1"/>
    </sheetView>
  </sheetViews>
  <sheetFormatPr defaultColWidth="9.109375" defaultRowHeight="14.4"/>
  <cols>
    <col min="1" max="1" width="35.109375" style="232" customWidth="1"/>
    <col min="2" max="2" width="9.109375" style="97"/>
    <col min="3" max="3" width="13.5546875" style="97" customWidth="1"/>
    <col min="4" max="4" width="9.109375" style="97"/>
    <col min="5" max="5" width="60" style="97" customWidth="1"/>
    <col min="6" max="6" width="33.33203125" style="97" bestFit="1" customWidth="1"/>
    <col min="7" max="7" width="13" style="97" bestFit="1" customWidth="1"/>
    <col min="8" max="8" width="21.5546875" style="97" customWidth="1"/>
    <col min="9" max="9" width="24.88671875" style="97" customWidth="1"/>
    <col min="10" max="10" width="22.6640625" style="97" customWidth="1"/>
    <col min="11" max="12" width="6.33203125" style="97" customWidth="1"/>
    <col min="13" max="16384" width="9.109375" style="97"/>
  </cols>
  <sheetData>
    <row r="1" spans="1:10" s="231" customFormat="1" ht="72.45" customHeight="1">
      <c r="A1" s="227" t="s">
        <v>531</v>
      </c>
      <c r="B1" s="228" t="s">
        <v>358</v>
      </c>
      <c r="C1" s="228" t="s">
        <v>532</v>
      </c>
      <c r="D1" s="228" t="s">
        <v>533</v>
      </c>
      <c r="E1" s="228" t="s">
        <v>534</v>
      </c>
      <c r="F1" s="228" t="s">
        <v>535</v>
      </c>
      <c r="G1" s="229" t="s">
        <v>536</v>
      </c>
      <c r="H1" s="229" t="s">
        <v>537</v>
      </c>
      <c r="I1" s="230" t="s">
        <v>538</v>
      </c>
      <c r="J1" s="230" t="s">
        <v>539</v>
      </c>
    </row>
    <row r="2" spans="1:10">
      <c r="A2" s="232" t="str">
        <f>CONCATENATE(B2,"_",E2)</f>
        <v>B99.00_Name of Legal Entity</v>
      </c>
      <c r="B2" s="97" t="s">
        <v>540</v>
      </c>
      <c r="C2" s="97" t="str">
        <f>CONCATENATE(B2,";c",D2)</f>
        <v>B99.00;c0010</v>
      </c>
      <c r="D2" s="97" t="s">
        <v>165</v>
      </c>
      <c r="E2" s="97" t="s">
        <v>154</v>
      </c>
      <c r="F2" s="97" t="str">
        <f>CONCATENATE(G2,": ",H2)</f>
        <v>String: Free text</v>
      </c>
      <c r="G2" s="97" t="s">
        <v>330</v>
      </c>
      <c r="H2" s="97" t="s">
        <v>333</v>
      </c>
      <c r="I2" s="233"/>
      <c r="J2" s="233"/>
    </row>
    <row r="3" spans="1:10">
      <c r="A3" s="232" t="str">
        <f t="shared" ref="A3:A12" si="0">CONCATENATE(B3,"_",E3)</f>
        <v>B99.00_LEI of Legal Entity</v>
      </c>
      <c r="B3" s="97" t="s">
        <v>540</v>
      </c>
      <c r="C3" s="97" t="str">
        <f t="shared" ref="C3:C12" si="1">CONCATENATE(B3,";c",D3)</f>
        <v>B99.00;c0020</v>
      </c>
      <c r="D3" s="97" t="s">
        <v>166</v>
      </c>
      <c r="E3" s="97" t="s">
        <v>155</v>
      </c>
      <c r="F3" s="97" t="str">
        <f t="shared" ref="F3:F12" si="2">CONCATENATE(G3,": ",H3)</f>
        <v>String: Free text</v>
      </c>
      <c r="G3" s="97" t="s">
        <v>330</v>
      </c>
      <c r="H3" s="97" t="s">
        <v>333</v>
      </c>
      <c r="I3" s="233"/>
      <c r="J3" s="233"/>
    </row>
    <row r="4" spans="1:10">
      <c r="A4" s="232" t="str">
        <f t="shared" si="0"/>
        <v>B99.00_Country of incorporation</v>
      </c>
      <c r="B4" s="97" t="s">
        <v>540</v>
      </c>
      <c r="C4" s="97" t="str">
        <f t="shared" si="1"/>
        <v>B99.00;c0030</v>
      </c>
      <c r="D4" s="97" t="s">
        <v>167</v>
      </c>
      <c r="E4" s="97" t="s">
        <v>156</v>
      </c>
      <c r="F4" s="97" t="str">
        <f t="shared" si="2"/>
        <v xml:space="preserve">String: ISO 3166-1 </v>
      </c>
      <c r="G4" s="97" t="s">
        <v>330</v>
      </c>
      <c r="H4" s="97" t="s">
        <v>353</v>
      </c>
      <c r="I4" s="233"/>
      <c r="J4" s="233"/>
    </row>
    <row r="5" spans="1:10">
      <c r="A5" s="232" t="str">
        <f t="shared" si="0"/>
        <v>B99.00_Name of the ultimate parent entity</v>
      </c>
      <c r="B5" s="97" t="s">
        <v>540</v>
      </c>
      <c r="C5" s="97" t="str">
        <f t="shared" si="1"/>
        <v>B99.00;c0040</v>
      </c>
      <c r="D5" s="97" t="s">
        <v>168</v>
      </c>
      <c r="E5" s="97" t="s">
        <v>157</v>
      </c>
      <c r="F5" s="97" t="str">
        <f t="shared" si="2"/>
        <v>String: Free text</v>
      </c>
      <c r="G5" s="97" t="s">
        <v>330</v>
      </c>
      <c r="H5" s="97" t="s">
        <v>333</v>
      </c>
      <c r="I5" s="233"/>
      <c r="J5" s="233"/>
    </row>
    <row r="6" spans="1:10">
      <c r="A6" s="232" t="str">
        <f t="shared" si="0"/>
        <v>B99.00_LEI of the ultimate parent entity</v>
      </c>
      <c r="B6" s="97" t="s">
        <v>540</v>
      </c>
      <c r="C6" s="97" t="str">
        <f t="shared" si="1"/>
        <v>B99.00;c0041</v>
      </c>
      <c r="D6" s="97" t="s">
        <v>169</v>
      </c>
      <c r="E6" s="97" t="s">
        <v>158</v>
      </c>
      <c r="F6" s="97" t="str">
        <f t="shared" si="2"/>
        <v>String: Free text</v>
      </c>
      <c r="G6" s="97" t="s">
        <v>330</v>
      </c>
      <c r="H6" s="97" t="s">
        <v>333</v>
      </c>
      <c r="I6" s="233"/>
      <c r="J6" s="233"/>
    </row>
    <row r="7" spans="1:10">
      <c r="A7" s="232" t="str">
        <f t="shared" si="0"/>
        <v>B99.00_Name of the Resolution Entity</v>
      </c>
      <c r="B7" s="97" t="s">
        <v>540</v>
      </c>
      <c r="C7" s="97" t="str">
        <f t="shared" si="1"/>
        <v>B99.00;c0050</v>
      </c>
      <c r="D7" s="97" t="s">
        <v>170</v>
      </c>
      <c r="E7" s="97" t="s">
        <v>159</v>
      </c>
      <c r="F7" s="97" t="str">
        <f t="shared" si="2"/>
        <v>String: Free text</v>
      </c>
      <c r="G7" s="97" t="s">
        <v>330</v>
      </c>
      <c r="H7" s="97" t="s">
        <v>333</v>
      </c>
      <c r="I7" s="233"/>
      <c r="J7" s="233"/>
    </row>
    <row r="8" spans="1:10">
      <c r="A8" s="232" t="str">
        <f t="shared" si="0"/>
        <v>B99.00_LEI of the Resolution Entity</v>
      </c>
      <c r="B8" s="97" t="s">
        <v>540</v>
      </c>
      <c r="C8" s="97" t="str">
        <f t="shared" si="1"/>
        <v>B99.00;c0051</v>
      </c>
      <c r="D8" s="97" t="s">
        <v>171</v>
      </c>
      <c r="E8" s="97" t="s">
        <v>160</v>
      </c>
      <c r="F8" s="97" t="str">
        <f t="shared" si="2"/>
        <v>String: Free text</v>
      </c>
      <c r="G8" s="97" t="s">
        <v>330</v>
      </c>
      <c r="H8" s="97" t="s">
        <v>333</v>
      </c>
      <c r="I8" s="233"/>
      <c r="J8" s="233"/>
    </row>
    <row r="9" spans="1:10">
      <c r="A9" s="232" t="str">
        <f t="shared" si="0"/>
        <v>B99.00_Reporting entity type</v>
      </c>
      <c r="B9" s="97" t="s">
        <v>540</v>
      </c>
      <c r="C9" s="97" t="str">
        <f t="shared" si="1"/>
        <v>B99.00;c0060</v>
      </c>
      <c r="D9" s="97" t="s">
        <v>172</v>
      </c>
      <c r="E9" s="97" t="s">
        <v>161</v>
      </c>
      <c r="F9" s="97" t="str">
        <f t="shared" si="2"/>
        <v>String: Drop-down</v>
      </c>
      <c r="G9" s="97" t="s">
        <v>330</v>
      </c>
      <c r="H9" s="97" t="s">
        <v>337</v>
      </c>
      <c r="I9" s="233"/>
      <c r="J9" s="233"/>
    </row>
    <row r="10" spans="1:10">
      <c r="A10" s="232" t="str">
        <f t="shared" si="0"/>
        <v>B99.00_Reference date</v>
      </c>
      <c r="B10" s="97" t="s">
        <v>540</v>
      </c>
      <c r="C10" s="97" t="str">
        <f t="shared" si="1"/>
        <v>B99.00;c0070</v>
      </c>
      <c r="D10" s="97" t="s">
        <v>173</v>
      </c>
      <c r="E10" s="97" t="s">
        <v>162</v>
      </c>
      <c r="F10" s="97" t="str">
        <f t="shared" si="2"/>
        <v>Date: yyyy-mm-dd hh:mm:ss</v>
      </c>
      <c r="G10" s="97" t="s">
        <v>331</v>
      </c>
      <c r="H10" s="97" t="s">
        <v>541</v>
      </c>
      <c r="I10" s="233"/>
      <c r="J10" s="233"/>
    </row>
    <row r="11" spans="1:10">
      <c r="A11" s="232" t="str">
        <f t="shared" si="0"/>
        <v>B99.00_Reported currency</v>
      </c>
      <c r="B11" s="97" t="s">
        <v>540</v>
      </c>
      <c r="C11" s="97" t="str">
        <f t="shared" si="1"/>
        <v>B99.00;c0080</v>
      </c>
      <c r="D11" s="97" t="s">
        <v>174</v>
      </c>
      <c r="E11" s="97" t="s">
        <v>163</v>
      </c>
      <c r="F11" s="97" t="str">
        <f t="shared" si="2"/>
        <v>String: 3-letters ISO 4217</v>
      </c>
      <c r="G11" s="97" t="s">
        <v>330</v>
      </c>
      <c r="H11" s="97" t="s">
        <v>336</v>
      </c>
      <c r="I11" s="233"/>
      <c r="J11" s="233"/>
    </row>
    <row r="12" spans="1:10">
      <c r="A12" s="232" t="str">
        <f t="shared" si="0"/>
        <v>B99.00_EUR exchange rate</v>
      </c>
      <c r="B12" s="97" t="s">
        <v>540</v>
      </c>
      <c r="C12" s="97" t="str">
        <f t="shared" si="1"/>
        <v>B99.00;c0090</v>
      </c>
      <c r="D12" s="97" t="s">
        <v>175</v>
      </c>
      <c r="E12" s="97" t="s">
        <v>164</v>
      </c>
      <c r="F12" s="97" t="str">
        <f t="shared" si="2"/>
        <v>Numeric: 4 decimals</v>
      </c>
      <c r="G12" s="97" t="s">
        <v>329</v>
      </c>
      <c r="H12" s="97" t="s">
        <v>342</v>
      </c>
      <c r="I12" s="233"/>
      <c r="J12" s="233"/>
    </row>
    <row r="13" spans="1:10">
      <c r="A13" s="232" t="str">
        <f>CONCATENATE(B13,"_",E13)</f>
        <v>B01.00_Row number</v>
      </c>
      <c r="B13" s="97" t="s">
        <v>542</v>
      </c>
      <c r="C13" s="97" t="str">
        <f>CONCATENATE(B13,";c",D13)</f>
        <v>B01.00;c0010</v>
      </c>
      <c r="D13" s="97" t="s">
        <v>165</v>
      </c>
      <c r="E13" s="97" t="s">
        <v>176</v>
      </c>
      <c r="F13" s="97" t="str">
        <f>CONCATENATE(G13,": ",H13)</f>
        <v>Numeric: Integer</v>
      </c>
      <c r="G13" s="97" t="s">
        <v>329</v>
      </c>
      <c r="H13" s="97" t="s">
        <v>332</v>
      </c>
      <c r="I13" s="233"/>
      <c r="J13" s="233"/>
    </row>
    <row r="14" spans="1:10">
      <c r="A14" s="232" t="str">
        <f t="shared" ref="A14:A18" si="3">CONCATENATE(B14,"_",E14)</f>
        <v xml:space="preserve">B01.00_Insolvency ranking </v>
      </c>
      <c r="B14" s="97" t="s">
        <v>542</v>
      </c>
      <c r="C14" s="97" t="str">
        <f t="shared" ref="C14:C18" si="4">CONCATENATE(B14,";c",D14)</f>
        <v>B01.00;c0020</v>
      </c>
      <c r="D14" s="97" t="s">
        <v>166</v>
      </c>
      <c r="E14" s="97" t="s">
        <v>192</v>
      </c>
      <c r="F14" s="97" t="str">
        <f t="shared" ref="F14:F18" si="5">CONCATENATE(G14,": ",H14)</f>
        <v>String: Free text</v>
      </c>
      <c r="G14" s="97" t="s">
        <v>330</v>
      </c>
      <c r="H14" s="97" t="s">
        <v>333</v>
      </c>
      <c r="I14" s="233"/>
      <c r="J14" s="233"/>
    </row>
    <row r="15" spans="1:10">
      <c r="A15" s="232" t="str">
        <f t="shared" si="3"/>
        <v>B01.00_Category</v>
      </c>
      <c r="B15" s="97" t="s">
        <v>542</v>
      </c>
      <c r="C15" s="97" t="str">
        <f t="shared" si="4"/>
        <v>B01.00;c0030</v>
      </c>
      <c r="D15" s="97" t="s">
        <v>167</v>
      </c>
      <c r="E15" s="97" t="s">
        <v>543</v>
      </c>
      <c r="F15" s="97" t="str">
        <f t="shared" si="5"/>
        <v>String: Drop-down</v>
      </c>
      <c r="G15" s="97" t="s">
        <v>330</v>
      </c>
      <c r="H15" s="97" t="s">
        <v>337</v>
      </c>
      <c r="I15" s="233"/>
      <c r="J15" s="233"/>
    </row>
    <row r="16" spans="1:10">
      <c r="A16" s="232" t="str">
        <f t="shared" si="3"/>
        <v>B01.00_Counterparty type</v>
      </c>
      <c r="B16" s="97" t="s">
        <v>542</v>
      </c>
      <c r="C16" s="97" t="str">
        <f t="shared" si="4"/>
        <v>B01.00;c0040</v>
      </c>
      <c r="D16" s="234" t="s">
        <v>168</v>
      </c>
      <c r="E16" s="97" t="s">
        <v>350</v>
      </c>
      <c r="F16" s="97" t="str">
        <f t="shared" si="5"/>
        <v>String: Drop-down</v>
      </c>
      <c r="G16" s="97" t="s">
        <v>330</v>
      </c>
      <c r="H16" s="97" t="s">
        <v>337</v>
      </c>
      <c r="I16" s="233"/>
      <c r="J16" s="233"/>
    </row>
    <row r="17" spans="1:10">
      <c r="A17" s="232" t="str">
        <f t="shared" si="3"/>
        <v>B01.00_Relevant amount for Bail-in/WDC</v>
      </c>
      <c r="B17" s="97" t="s">
        <v>542</v>
      </c>
      <c r="C17" s="97" t="str">
        <f t="shared" si="4"/>
        <v>B01.00;c0050</v>
      </c>
      <c r="D17" s="97" t="s">
        <v>170</v>
      </c>
      <c r="E17" s="97" t="s">
        <v>188</v>
      </c>
      <c r="F17" s="97" t="str">
        <f t="shared" si="5"/>
        <v>Numeric: 2 decimals</v>
      </c>
      <c r="G17" s="97" t="s">
        <v>329</v>
      </c>
      <c r="H17" s="97" t="s">
        <v>335</v>
      </c>
      <c r="I17" s="97" t="s">
        <v>544</v>
      </c>
      <c r="J17" s="233"/>
    </row>
    <row r="18" spans="1:10">
      <c r="A18" s="232" t="str">
        <f t="shared" si="3"/>
        <v xml:space="preserve">B01.00_Amount excluded from Bail-in/WDC </v>
      </c>
      <c r="B18" s="97" t="s">
        <v>542</v>
      </c>
      <c r="C18" s="97" t="str">
        <f t="shared" si="4"/>
        <v>B01.00;c0060</v>
      </c>
      <c r="D18" s="97" t="s">
        <v>172</v>
      </c>
      <c r="E18" s="97" t="s">
        <v>545</v>
      </c>
      <c r="F18" s="97" t="str">
        <f t="shared" si="5"/>
        <v>Numeric: 2 decimals</v>
      </c>
      <c r="G18" s="97" t="s">
        <v>329</v>
      </c>
      <c r="H18" s="97" t="s">
        <v>335</v>
      </c>
      <c r="I18" s="233"/>
      <c r="J18" s="233"/>
    </row>
    <row r="19" spans="1:10">
      <c r="A19" s="232" t="str">
        <f>CONCATENATE(B19,"_",E19)</f>
        <v>B02.00_Row number</v>
      </c>
      <c r="B19" s="97" t="s">
        <v>368</v>
      </c>
      <c r="C19" s="97" t="str">
        <f>CONCATENATE(B19,";c",D19)</f>
        <v>B02.00;c0010</v>
      </c>
      <c r="D19" s="97" t="s">
        <v>165</v>
      </c>
      <c r="E19" s="97" t="s">
        <v>176</v>
      </c>
      <c r="F19" s="97" t="str">
        <f>CONCATENATE(G19,": ",H19)</f>
        <v>Numeric: Integer</v>
      </c>
      <c r="G19" s="97" t="s">
        <v>329</v>
      </c>
      <c r="H19" s="97" t="s">
        <v>332</v>
      </c>
      <c r="I19" s="233"/>
      <c r="J19" s="233"/>
    </row>
    <row r="20" spans="1:10">
      <c r="A20" s="232" t="str">
        <f t="shared" ref="A20:A84" si="6">CONCATENATE(B20,"_",E20)</f>
        <v>B02.00_Unique internal identification number</v>
      </c>
      <c r="B20" s="97" t="s">
        <v>368</v>
      </c>
      <c r="C20" s="97" t="str">
        <f>CONCATENATE(B20,";c",D20)</f>
        <v>B02.00;c0020</v>
      </c>
      <c r="D20" s="97" t="s">
        <v>166</v>
      </c>
      <c r="E20" s="97" t="s">
        <v>177</v>
      </c>
      <c r="F20" s="97" t="str">
        <f t="shared" ref="F20:F83" si="7">CONCATENATE(G20,": ",H20)</f>
        <v>String: Free text</v>
      </c>
      <c r="G20" s="97" t="s">
        <v>330</v>
      </c>
      <c r="H20" s="97" t="s">
        <v>333</v>
      </c>
      <c r="I20" s="233"/>
      <c r="J20" s="233"/>
    </row>
    <row r="21" spans="1:10">
      <c r="A21" s="232" t="str">
        <f t="shared" si="6"/>
        <v>B02.00_Unique identification number (known to the counterparty)</v>
      </c>
      <c r="B21" s="97" t="s">
        <v>368</v>
      </c>
      <c r="C21" s="97" t="str">
        <f t="shared" ref="C21:C84" si="8">CONCATENATE(B21,";c",D21)</f>
        <v>B02.00;c0030</v>
      </c>
      <c r="D21" s="97" t="s">
        <v>167</v>
      </c>
      <c r="E21" s="97" t="s">
        <v>178</v>
      </c>
      <c r="F21" s="97" t="str">
        <f t="shared" si="7"/>
        <v>String: Free text</v>
      </c>
      <c r="G21" s="97" t="s">
        <v>330</v>
      </c>
      <c r="H21" s="97" t="s">
        <v>333</v>
      </c>
      <c r="I21" s="233"/>
      <c r="J21" s="233"/>
    </row>
    <row r="22" spans="1:10">
      <c r="A22" s="232" t="str">
        <f t="shared" si="6"/>
        <v>B02.00_Type of the unique identifier (known to the counterparty)</v>
      </c>
      <c r="B22" s="97" t="s">
        <v>368</v>
      </c>
      <c r="C22" s="97" t="str">
        <f t="shared" si="8"/>
        <v>B02.00;c0040</v>
      </c>
      <c r="D22" s="234" t="s">
        <v>168</v>
      </c>
      <c r="E22" s="97" t="s">
        <v>179</v>
      </c>
      <c r="F22" s="97" t="str">
        <f t="shared" si="7"/>
        <v>String: Free text, but fixed values for specific items</v>
      </c>
      <c r="G22" s="97" t="s">
        <v>330</v>
      </c>
      <c r="H22" s="97" t="s">
        <v>334</v>
      </c>
      <c r="I22" s="233"/>
      <c r="J22" s="233"/>
    </row>
    <row r="23" spans="1:10">
      <c r="A23" s="232" t="str">
        <f t="shared" si="6"/>
        <v>B02.00_Original amount issued in EUR</v>
      </c>
      <c r="B23" s="97" t="s">
        <v>368</v>
      </c>
      <c r="C23" s="97" t="str">
        <f t="shared" si="8"/>
        <v>B02.00;c0050</v>
      </c>
      <c r="D23" s="97" t="s">
        <v>170</v>
      </c>
      <c r="E23" s="97" t="s">
        <v>180</v>
      </c>
      <c r="F23" s="97" t="str">
        <f t="shared" si="7"/>
        <v>Numeric: 2 decimals</v>
      </c>
      <c r="G23" s="97" t="s">
        <v>329</v>
      </c>
      <c r="H23" s="97" t="s">
        <v>335</v>
      </c>
      <c r="I23" s="97" t="s">
        <v>546</v>
      </c>
      <c r="J23" s="233"/>
    </row>
    <row r="24" spans="1:10">
      <c r="A24" s="232" t="str">
        <f t="shared" si="6"/>
        <v>B02.00_Original amount issued in original currency</v>
      </c>
      <c r="B24" s="97" t="s">
        <v>368</v>
      </c>
      <c r="C24" s="97" t="str">
        <f t="shared" si="8"/>
        <v>B02.00;c0060</v>
      </c>
      <c r="D24" s="97" t="s">
        <v>172</v>
      </c>
      <c r="E24" s="97" t="s">
        <v>547</v>
      </c>
      <c r="F24" s="97" t="str">
        <f t="shared" si="7"/>
        <v>Numeric: 2 decimals</v>
      </c>
      <c r="G24" s="97" t="s">
        <v>329</v>
      </c>
      <c r="H24" s="97" t="s">
        <v>335</v>
      </c>
      <c r="I24" s="97" t="s">
        <v>546</v>
      </c>
      <c r="J24" s="233"/>
    </row>
    <row r="25" spans="1:10">
      <c r="A25" s="232" t="str">
        <f t="shared" si="6"/>
        <v xml:space="preserve">B02.00_Contract currency </v>
      </c>
      <c r="B25" s="97" t="s">
        <v>368</v>
      </c>
      <c r="C25" s="97" t="str">
        <f t="shared" si="8"/>
        <v>B02.00;c0070</v>
      </c>
      <c r="D25" s="97" t="s">
        <v>173</v>
      </c>
      <c r="E25" s="97" t="s">
        <v>548</v>
      </c>
      <c r="F25" s="97" t="str">
        <f t="shared" si="7"/>
        <v>String: 3-letters ISO 4217</v>
      </c>
      <c r="G25" s="97" t="s">
        <v>330</v>
      </c>
      <c r="H25" s="97" t="s">
        <v>336</v>
      </c>
      <c r="I25" s="97" t="s">
        <v>549</v>
      </c>
      <c r="J25" s="233"/>
    </row>
    <row r="26" spans="1:10">
      <c r="A26" s="232" t="str">
        <f t="shared" si="6"/>
        <v>B02.00_Outstanding principal amount</v>
      </c>
      <c r="B26" s="97" t="s">
        <v>368</v>
      </c>
      <c r="C26" s="97" t="str">
        <f t="shared" si="8"/>
        <v>B02.00;c0080</v>
      </c>
      <c r="D26" s="97" t="s">
        <v>174</v>
      </c>
      <c r="E26" s="97" t="s">
        <v>183</v>
      </c>
      <c r="F26" s="97" t="str">
        <f t="shared" si="7"/>
        <v>Numeric: 2 decimals</v>
      </c>
      <c r="G26" s="97" t="s">
        <v>329</v>
      </c>
      <c r="H26" s="97" t="s">
        <v>335</v>
      </c>
      <c r="I26" s="233"/>
      <c r="J26" s="233"/>
    </row>
    <row r="27" spans="1:10">
      <c r="A27" s="232" t="str">
        <f t="shared" si="6"/>
        <v>B02.00_Portion of instrument or liability held by the reporting entity</v>
      </c>
      <c r="B27" s="97" t="s">
        <v>368</v>
      </c>
      <c r="C27" s="97" t="str">
        <f t="shared" si="8"/>
        <v>B02.00;c0090</v>
      </c>
      <c r="D27" s="97" t="s">
        <v>175</v>
      </c>
      <c r="E27" s="97" t="s">
        <v>384</v>
      </c>
      <c r="F27" s="97" t="str">
        <f t="shared" si="7"/>
        <v>Numeric: 2 decimals</v>
      </c>
      <c r="G27" s="97" t="s">
        <v>329</v>
      </c>
      <c r="H27" s="97" t="s">
        <v>335</v>
      </c>
      <c r="I27" s="97" t="s">
        <v>546</v>
      </c>
      <c r="J27" s="233"/>
    </row>
    <row r="28" spans="1:10">
      <c r="A28" s="232" t="str">
        <f t="shared" si="6"/>
        <v xml:space="preserve">B02.00_Accrued interest </v>
      </c>
      <c r="B28" s="97" t="s">
        <v>368</v>
      </c>
      <c r="C28" s="97" t="str">
        <f t="shared" si="8"/>
        <v>B02.00;c0100</v>
      </c>
      <c r="D28" s="97" t="s">
        <v>257</v>
      </c>
      <c r="E28" s="97" t="s">
        <v>185</v>
      </c>
      <c r="F28" s="97" t="str">
        <f t="shared" si="7"/>
        <v>Numeric: 2 decimals</v>
      </c>
      <c r="G28" s="97" t="s">
        <v>329</v>
      </c>
      <c r="H28" s="97" t="s">
        <v>335</v>
      </c>
      <c r="I28" s="97" t="s">
        <v>546</v>
      </c>
      <c r="J28" s="97" t="s">
        <v>550</v>
      </c>
    </row>
    <row r="29" spans="1:10">
      <c r="A29" s="232" t="str">
        <f t="shared" si="6"/>
        <v>B02.00_Applicable fees and charges</v>
      </c>
      <c r="B29" s="97" t="s">
        <v>368</v>
      </c>
      <c r="C29" s="97" t="str">
        <f t="shared" si="8"/>
        <v>B02.00;c0110</v>
      </c>
      <c r="D29" s="97" t="s">
        <v>258</v>
      </c>
      <c r="E29" s="97" t="s">
        <v>186</v>
      </c>
      <c r="F29" s="97" t="str">
        <f t="shared" si="7"/>
        <v>Numeric: 2 decimals</v>
      </c>
      <c r="G29" s="97" t="s">
        <v>329</v>
      </c>
      <c r="H29" s="97" t="s">
        <v>335</v>
      </c>
      <c r="I29" s="97" t="s">
        <v>546</v>
      </c>
      <c r="J29" s="97" t="s">
        <v>550</v>
      </c>
    </row>
    <row r="30" spans="1:10">
      <c r="A30" s="232" t="str">
        <f t="shared" si="6"/>
        <v xml:space="preserve">B02.00_Outstanding amount </v>
      </c>
      <c r="B30" s="97" t="s">
        <v>368</v>
      </c>
      <c r="C30" s="97" t="str">
        <f t="shared" si="8"/>
        <v>B02.00;c0120</v>
      </c>
      <c r="D30" s="97" t="s">
        <v>259</v>
      </c>
      <c r="E30" s="97" t="s">
        <v>187</v>
      </c>
      <c r="F30" s="97" t="str">
        <f t="shared" si="7"/>
        <v>Numeric: 2 decimals</v>
      </c>
      <c r="G30" s="97" t="s">
        <v>329</v>
      </c>
      <c r="H30" s="97" t="s">
        <v>335</v>
      </c>
      <c r="I30" s="97" t="s">
        <v>546</v>
      </c>
      <c r="J30" s="233"/>
    </row>
    <row r="31" spans="1:10">
      <c r="A31" s="232" t="str">
        <f t="shared" si="6"/>
        <v>B02.00_Relevant amount for Bail-in/WDC</v>
      </c>
      <c r="B31" s="97" t="s">
        <v>368</v>
      </c>
      <c r="C31" s="97" t="str">
        <f t="shared" si="8"/>
        <v>B02.00;c0130</v>
      </c>
      <c r="D31" s="97" t="s">
        <v>260</v>
      </c>
      <c r="E31" s="97" t="s">
        <v>188</v>
      </c>
      <c r="F31" s="97" t="str">
        <f t="shared" si="7"/>
        <v>Numeric: 2 decimals</v>
      </c>
      <c r="G31" s="97" t="s">
        <v>329</v>
      </c>
      <c r="H31" s="97" t="s">
        <v>335</v>
      </c>
      <c r="I31" s="233"/>
      <c r="J31" s="233"/>
    </row>
    <row r="32" spans="1:10">
      <c r="A32" s="232" t="str">
        <f t="shared" si="6"/>
        <v>B02.00_Nature of the liability</v>
      </c>
      <c r="B32" s="97" t="s">
        <v>368</v>
      </c>
      <c r="C32" s="97" t="str">
        <f t="shared" si="8"/>
        <v>B02.00;c0140</v>
      </c>
      <c r="D32" s="97" t="s">
        <v>261</v>
      </c>
      <c r="E32" s="97" t="s">
        <v>189</v>
      </c>
      <c r="F32" s="97" t="str">
        <f t="shared" si="7"/>
        <v>String: Drop-down</v>
      </c>
      <c r="G32" s="97" t="s">
        <v>330</v>
      </c>
      <c r="H32" s="97" t="s">
        <v>337</v>
      </c>
      <c r="I32" s="233"/>
      <c r="J32" s="233"/>
    </row>
    <row r="33" spans="1:10">
      <c r="A33" s="232" t="str">
        <f t="shared" si="6"/>
        <v>B02.00_Nature of the liability (if other)</v>
      </c>
      <c r="B33" s="97" t="s">
        <v>368</v>
      </c>
      <c r="C33" s="97" t="str">
        <f t="shared" si="8"/>
        <v>B02.00;c0141</v>
      </c>
      <c r="D33" s="97" t="s">
        <v>262</v>
      </c>
      <c r="E33" s="97" t="s">
        <v>190</v>
      </c>
      <c r="F33" s="97" t="str">
        <f t="shared" si="7"/>
        <v>String: Free text</v>
      </c>
      <c r="G33" s="97" t="s">
        <v>330</v>
      </c>
      <c r="H33" s="97" t="s">
        <v>333</v>
      </c>
      <c r="I33" s="233"/>
      <c r="J33" s="233"/>
    </row>
    <row r="34" spans="1:10">
      <c r="A34" s="232" t="str">
        <f t="shared" si="6"/>
        <v>B02.00_Structurally subordinated</v>
      </c>
      <c r="B34" s="97" t="s">
        <v>368</v>
      </c>
      <c r="C34" s="97" t="str">
        <f t="shared" si="8"/>
        <v>B02.00;c0150</v>
      </c>
      <c r="D34" s="97" t="s">
        <v>263</v>
      </c>
      <c r="E34" s="97" t="s">
        <v>191</v>
      </c>
      <c r="F34" s="97" t="str">
        <f t="shared" si="7"/>
        <v>String: Drop-down</v>
      </c>
      <c r="G34" s="97" t="s">
        <v>330</v>
      </c>
      <c r="H34" s="97" t="s">
        <v>337</v>
      </c>
      <c r="I34" s="233"/>
      <c r="J34" s="233"/>
    </row>
    <row r="35" spans="1:10">
      <c r="A35" s="232" t="str">
        <f t="shared" si="6"/>
        <v xml:space="preserve">B02.00_Insolvency ranking </v>
      </c>
      <c r="B35" s="97" t="s">
        <v>368</v>
      </c>
      <c r="C35" s="97" t="str">
        <f t="shared" si="8"/>
        <v>B02.00;c0160</v>
      </c>
      <c r="D35" s="97" t="s">
        <v>264</v>
      </c>
      <c r="E35" s="97" t="s">
        <v>192</v>
      </c>
      <c r="F35" s="97" t="str">
        <f t="shared" si="7"/>
        <v>Numeric: Integer</v>
      </c>
      <c r="G35" s="97" t="s">
        <v>329</v>
      </c>
      <c r="H35" s="97" t="s">
        <v>332</v>
      </c>
      <c r="I35" s="233"/>
      <c r="J35" s="233"/>
    </row>
    <row r="36" spans="1:10">
      <c r="A36" s="232" t="str">
        <f t="shared" si="6"/>
        <v>B02.00_Contractual subordination</v>
      </c>
      <c r="B36" s="97" t="s">
        <v>368</v>
      </c>
      <c r="C36" s="97" t="str">
        <f t="shared" si="8"/>
        <v>B02.00;c0161</v>
      </c>
      <c r="D36" s="97" t="s">
        <v>265</v>
      </c>
      <c r="E36" s="97" t="s">
        <v>193</v>
      </c>
      <c r="F36" s="97" t="str">
        <f t="shared" si="7"/>
        <v>Numeric: 2 decimals</v>
      </c>
      <c r="G36" s="97" t="s">
        <v>329</v>
      </c>
      <c r="H36" s="97" t="s">
        <v>335</v>
      </c>
      <c r="I36" s="97" t="s">
        <v>546</v>
      </c>
      <c r="J36" s="233"/>
    </row>
    <row r="37" spans="1:10">
      <c r="A37" s="232" t="str">
        <f t="shared" si="6"/>
        <v>B02.00_Bail-in cascade</v>
      </c>
      <c r="B37" s="97" t="s">
        <v>368</v>
      </c>
      <c r="C37" s="97" t="str">
        <f t="shared" si="8"/>
        <v>B02.00;c0162</v>
      </c>
      <c r="D37" s="97" t="s">
        <v>266</v>
      </c>
      <c r="E37" s="97" t="s">
        <v>194</v>
      </c>
      <c r="F37" s="97" t="str">
        <f t="shared" si="7"/>
        <v>String: Fixed values</v>
      </c>
      <c r="G37" s="97" t="s">
        <v>330</v>
      </c>
      <c r="H37" s="97" t="s">
        <v>339</v>
      </c>
      <c r="I37" s="233"/>
      <c r="J37" s="233"/>
    </row>
    <row r="38" spans="1:10">
      <c r="A38" s="232" t="str">
        <f t="shared" si="6"/>
        <v>B02.00_Date of issuance</v>
      </c>
      <c r="B38" s="97" t="s">
        <v>368</v>
      </c>
      <c r="C38" s="97" t="str">
        <f t="shared" si="8"/>
        <v>B02.00;c0170</v>
      </c>
      <c r="D38" s="97" t="s">
        <v>267</v>
      </c>
      <c r="E38" s="97" t="s">
        <v>195</v>
      </c>
      <c r="F38" s="97" t="str">
        <f t="shared" si="7"/>
        <v>Date: yyyy-mm-dd</v>
      </c>
      <c r="G38" s="97" t="s">
        <v>331</v>
      </c>
      <c r="H38" s="97" t="s">
        <v>340</v>
      </c>
      <c r="I38" s="233"/>
      <c r="J38" s="233"/>
    </row>
    <row r="39" spans="1:10">
      <c r="A39" s="232" t="str">
        <f t="shared" si="6"/>
        <v xml:space="preserve">B02.00_Date of the next interest payment </v>
      </c>
      <c r="B39" s="97" t="s">
        <v>368</v>
      </c>
      <c r="C39" s="97" t="str">
        <f t="shared" si="8"/>
        <v>B02.00;c0180</v>
      </c>
      <c r="D39" s="97" t="s">
        <v>268</v>
      </c>
      <c r="E39" s="97" t="s">
        <v>196</v>
      </c>
      <c r="F39" s="97" t="str">
        <f t="shared" si="7"/>
        <v>Date: yyyy-mm-dd</v>
      </c>
      <c r="G39" s="97" t="s">
        <v>331</v>
      </c>
      <c r="H39" s="97" t="s">
        <v>340</v>
      </c>
      <c r="I39" s="97" t="s">
        <v>551</v>
      </c>
      <c r="J39" s="97" t="s">
        <v>550</v>
      </c>
    </row>
    <row r="40" spans="1:10">
      <c r="A40" s="232" t="str">
        <f t="shared" si="6"/>
        <v>B02.00_Date of the next (partial) redemption payment</v>
      </c>
      <c r="B40" s="97" t="s">
        <v>368</v>
      </c>
      <c r="C40" s="97" t="str">
        <f t="shared" si="8"/>
        <v>B02.00;c0190</v>
      </c>
      <c r="D40" s="97" t="s">
        <v>269</v>
      </c>
      <c r="E40" s="97" t="s">
        <v>197</v>
      </c>
      <c r="F40" s="97" t="str">
        <f t="shared" si="7"/>
        <v>Date: yyyy-mm-dd</v>
      </c>
      <c r="G40" s="97" t="s">
        <v>331</v>
      </c>
      <c r="H40" s="97" t="s">
        <v>340</v>
      </c>
      <c r="I40" s="97" t="s">
        <v>552</v>
      </c>
      <c r="J40" s="233"/>
    </row>
    <row r="41" spans="1:10">
      <c r="A41" s="232" t="str">
        <f t="shared" si="6"/>
        <v xml:space="preserve">B02.00_Earliest redemption date </v>
      </c>
      <c r="B41" s="97" t="s">
        <v>368</v>
      </c>
      <c r="C41" s="97" t="str">
        <f t="shared" si="8"/>
        <v>B02.00;c0200</v>
      </c>
      <c r="D41" s="97" t="s">
        <v>270</v>
      </c>
      <c r="E41" s="97" t="s">
        <v>198</v>
      </c>
      <c r="F41" s="97" t="str">
        <f t="shared" si="7"/>
        <v>Date: yyyy-mm-dd</v>
      </c>
      <c r="G41" s="97" t="s">
        <v>331</v>
      </c>
      <c r="H41" s="97" t="s">
        <v>340</v>
      </c>
      <c r="I41" s="97" t="s">
        <v>551</v>
      </c>
      <c r="J41" s="233"/>
    </row>
    <row r="42" spans="1:10">
      <c r="A42" s="232" t="str">
        <f t="shared" si="6"/>
        <v>B02.00_Legal maturity</v>
      </c>
      <c r="B42" s="97" t="s">
        <v>368</v>
      </c>
      <c r="C42" s="97" t="str">
        <f t="shared" si="8"/>
        <v>B02.00;c0210</v>
      </c>
      <c r="D42" s="97" t="s">
        <v>271</v>
      </c>
      <c r="E42" s="97" t="s">
        <v>199</v>
      </c>
      <c r="F42" s="97" t="str">
        <f t="shared" si="7"/>
        <v>Date: yyyy-mm-dd</v>
      </c>
      <c r="G42" s="97" t="s">
        <v>331</v>
      </c>
      <c r="H42" s="97" t="s">
        <v>340</v>
      </c>
      <c r="I42" s="97" t="s">
        <v>551</v>
      </c>
      <c r="J42" s="233"/>
    </row>
    <row r="43" spans="1:10">
      <c r="A43" s="232" t="str">
        <f t="shared" si="6"/>
        <v>B02.00_Governing law</v>
      </c>
      <c r="B43" s="97" t="s">
        <v>368</v>
      </c>
      <c r="C43" s="97" t="str">
        <f t="shared" si="8"/>
        <v>B02.00;c0220</v>
      </c>
      <c r="D43" s="97" t="s">
        <v>272</v>
      </c>
      <c r="E43" s="97" t="s">
        <v>200</v>
      </c>
      <c r="F43" s="97" t="str">
        <f t="shared" si="7"/>
        <v>String: ISO 3166-1 alpha 2 / ISO 3166-2</v>
      </c>
      <c r="G43" s="97" t="s">
        <v>330</v>
      </c>
      <c r="H43" s="97" t="s">
        <v>341</v>
      </c>
      <c r="I43" s="97" t="s">
        <v>553</v>
      </c>
      <c r="J43" s="233"/>
    </row>
    <row r="44" spans="1:10">
      <c r="A44" s="232" t="str">
        <f t="shared" si="6"/>
        <v>B02.00_Bail-in recognition clause</v>
      </c>
      <c r="B44" s="97" t="s">
        <v>368</v>
      </c>
      <c r="C44" s="97" t="str">
        <f t="shared" si="8"/>
        <v>B02.00;c0230</v>
      </c>
      <c r="D44" s="97" t="s">
        <v>273</v>
      </c>
      <c r="E44" s="97" t="s">
        <v>201</v>
      </c>
      <c r="F44" s="97" t="str">
        <f t="shared" si="7"/>
        <v>String: Drop-down</v>
      </c>
      <c r="G44" s="97" t="s">
        <v>330</v>
      </c>
      <c r="H44" s="97" t="s">
        <v>337</v>
      </c>
      <c r="I44" s="97" t="s">
        <v>544</v>
      </c>
      <c r="J44" s="233"/>
    </row>
    <row r="45" spans="1:10">
      <c r="A45" s="232" t="str">
        <f t="shared" si="6"/>
        <v>B02.00_Zero-Coupon</v>
      </c>
      <c r="B45" s="97" t="s">
        <v>368</v>
      </c>
      <c r="C45" s="97" t="str">
        <f t="shared" si="8"/>
        <v>B02.00;c0240</v>
      </c>
      <c r="D45" s="97" t="s">
        <v>274</v>
      </c>
      <c r="E45" s="97" t="s">
        <v>202</v>
      </c>
      <c r="F45" s="97" t="str">
        <f t="shared" si="7"/>
        <v>String: Drop-down</v>
      </c>
      <c r="G45" s="97" t="s">
        <v>330</v>
      </c>
      <c r="H45" s="97" t="s">
        <v>337</v>
      </c>
      <c r="I45" s="233"/>
      <c r="J45" s="233"/>
    </row>
    <row r="46" spans="1:10">
      <c r="A46" s="232" t="str">
        <f t="shared" si="6"/>
        <v>B02.00_Structured product</v>
      </c>
      <c r="B46" s="97" t="s">
        <v>368</v>
      </c>
      <c r="C46" s="97" t="str">
        <f t="shared" si="8"/>
        <v>B02.00;c0250</v>
      </c>
      <c r="D46" s="97" t="s">
        <v>275</v>
      </c>
      <c r="E46" s="97" t="s">
        <v>203</v>
      </c>
      <c r="F46" s="97" t="str">
        <f t="shared" si="7"/>
        <v>String: Drop-down</v>
      </c>
      <c r="G46" s="97" t="s">
        <v>330</v>
      </c>
      <c r="H46" s="97" t="s">
        <v>337</v>
      </c>
      <c r="I46" s="233"/>
      <c r="J46" s="233"/>
    </row>
    <row r="47" spans="1:10">
      <c r="A47" s="232" t="str">
        <f t="shared" si="6"/>
        <v>B02.00_Guaranteed minimum repayment amount of the structured product</v>
      </c>
      <c r="B47" s="97" t="s">
        <v>368</v>
      </c>
      <c r="C47" s="97" t="str">
        <f t="shared" si="8"/>
        <v>B02.00;c0260</v>
      </c>
      <c r="D47" s="97" t="s">
        <v>276</v>
      </c>
      <c r="E47" s="97" t="s">
        <v>204</v>
      </c>
      <c r="F47" s="97" t="str">
        <f t="shared" si="7"/>
        <v>Numeric: 2 decimals</v>
      </c>
      <c r="G47" s="97" t="s">
        <v>329</v>
      </c>
      <c r="H47" s="97" t="s">
        <v>335</v>
      </c>
      <c r="I47" s="233"/>
      <c r="J47" s="233"/>
    </row>
    <row r="48" spans="1:10">
      <c r="A48" s="232" t="str">
        <f t="shared" si="6"/>
        <v>B02.00_Fair value of the structured product</v>
      </c>
      <c r="B48" s="97" t="s">
        <v>368</v>
      </c>
      <c r="C48" s="97" t="str">
        <f t="shared" si="8"/>
        <v>B02.00;c0270</v>
      </c>
      <c r="D48" s="97" t="s">
        <v>277</v>
      </c>
      <c r="E48" s="97" t="s">
        <v>205</v>
      </c>
      <c r="F48" s="97" t="str">
        <f t="shared" si="7"/>
        <v>Numeric: 2 decimals</v>
      </c>
      <c r="G48" s="97" t="s">
        <v>329</v>
      </c>
      <c r="H48" s="97" t="s">
        <v>335</v>
      </c>
      <c r="I48" s="233"/>
      <c r="J48" s="233"/>
    </row>
    <row r="49" spans="1:10">
      <c r="A49" s="232" t="str">
        <f t="shared" si="6"/>
        <v>B02.00_Not covered and not preferential deposit</v>
      </c>
      <c r="B49" s="97" t="s">
        <v>368</v>
      </c>
      <c r="C49" s="97" t="str">
        <f t="shared" si="8"/>
        <v>B02.00;c0280</v>
      </c>
      <c r="D49" s="97" t="s">
        <v>278</v>
      </c>
      <c r="E49" s="97" t="s">
        <v>206</v>
      </c>
      <c r="F49" s="97" t="str">
        <f t="shared" si="7"/>
        <v>String: TRUE / FALSE boolean</v>
      </c>
      <c r="G49" s="97" t="s">
        <v>330</v>
      </c>
      <c r="H49" s="97" t="s">
        <v>338</v>
      </c>
      <c r="I49" s="233"/>
      <c r="J49" s="233"/>
    </row>
    <row r="50" spans="1:10">
      <c r="A50" s="232" t="str">
        <f t="shared" si="6"/>
        <v>B02.00_Not covered but preferential deposit</v>
      </c>
      <c r="B50" s="97" t="s">
        <v>368</v>
      </c>
      <c r="C50" s="97" t="str">
        <f t="shared" si="8"/>
        <v>B02.00;c0290</v>
      </c>
      <c r="D50" s="97" t="s">
        <v>279</v>
      </c>
      <c r="E50" s="97" t="s">
        <v>207</v>
      </c>
      <c r="F50" s="97" t="str">
        <f t="shared" si="7"/>
        <v>String: TRUE / FALSE boolean</v>
      </c>
      <c r="G50" s="97" t="s">
        <v>330</v>
      </c>
      <c r="H50" s="97" t="s">
        <v>338</v>
      </c>
      <c r="I50" s="233"/>
      <c r="J50" s="233"/>
    </row>
    <row r="51" spans="1:10">
      <c r="A51" s="232" t="str">
        <f t="shared" si="6"/>
        <v>B02.00_Covered portion of eligible deposits</v>
      </c>
      <c r="B51" s="97" t="s">
        <v>368</v>
      </c>
      <c r="C51" s="97" t="str">
        <f t="shared" si="8"/>
        <v>B02.00;c0300</v>
      </c>
      <c r="D51" s="97" t="s">
        <v>280</v>
      </c>
      <c r="E51" s="97" t="s">
        <v>208</v>
      </c>
      <c r="F51" s="97" t="str">
        <f t="shared" si="7"/>
        <v>Numeric: 2 decimals</v>
      </c>
      <c r="G51" s="97" t="s">
        <v>329</v>
      </c>
      <c r="H51" s="97" t="s">
        <v>335</v>
      </c>
      <c r="I51" s="233"/>
      <c r="J51" s="233"/>
    </row>
    <row r="52" spans="1:10">
      <c r="A52" s="232" t="str">
        <f t="shared" si="6"/>
        <v>B02.00_Secured/Unsecured</v>
      </c>
      <c r="B52" s="97" t="s">
        <v>368</v>
      </c>
      <c r="C52" s="97" t="str">
        <f t="shared" si="8"/>
        <v>B02.00;c0310</v>
      </c>
      <c r="D52" s="97" t="s">
        <v>281</v>
      </c>
      <c r="E52" s="97" t="s">
        <v>209</v>
      </c>
      <c r="F52" s="97" t="str">
        <f t="shared" si="7"/>
        <v>String: Drop-down</v>
      </c>
      <c r="G52" s="97" t="s">
        <v>330</v>
      </c>
      <c r="H52" s="97" t="s">
        <v>337</v>
      </c>
      <c r="I52" s="233"/>
      <c r="J52" s="233"/>
    </row>
    <row r="53" spans="1:10">
      <c r="A53" s="232" t="str">
        <f t="shared" si="6"/>
        <v>B02.00_Amount of pledge, lien or collateral based on the current internal valuation</v>
      </c>
      <c r="B53" s="97" t="s">
        <v>368</v>
      </c>
      <c r="C53" s="97" t="str">
        <f t="shared" si="8"/>
        <v>B02.00;c0320</v>
      </c>
      <c r="D53" s="97" t="s">
        <v>282</v>
      </c>
      <c r="E53" s="97" t="s">
        <v>422</v>
      </c>
      <c r="F53" s="97" t="str">
        <f t="shared" si="7"/>
        <v>Numeric: 2 decimals</v>
      </c>
      <c r="G53" s="97" t="s">
        <v>329</v>
      </c>
      <c r="H53" s="97" t="s">
        <v>335</v>
      </c>
      <c r="I53" s="233"/>
      <c r="J53" s="233"/>
    </row>
    <row r="54" spans="1:10">
      <c r="A54" s="232" t="str">
        <f t="shared" si="6"/>
        <v>B02.00_Amount of the uncollateralized part</v>
      </c>
      <c r="B54" s="97" t="s">
        <v>368</v>
      </c>
      <c r="C54" s="97" t="str">
        <f t="shared" si="8"/>
        <v>B02.00;c0330</v>
      </c>
      <c r="D54" s="97" t="s">
        <v>283</v>
      </c>
      <c r="E54" s="97" t="s">
        <v>211</v>
      </c>
      <c r="F54" s="97" t="str">
        <f t="shared" si="7"/>
        <v>Numeric: 2 decimals</v>
      </c>
      <c r="G54" s="97" t="s">
        <v>329</v>
      </c>
      <c r="H54" s="97" t="s">
        <v>335</v>
      </c>
      <c r="I54" s="233"/>
      <c r="J54" s="97" t="s">
        <v>550</v>
      </c>
    </row>
    <row r="55" spans="1:10">
      <c r="A55" s="232" t="str">
        <f t="shared" si="6"/>
        <v>B02.00_Internal identification number of the pledge, lien or collateral/collateral pool</v>
      </c>
      <c r="B55" s="97" t="s">
        <v>368</v>
      </c>
      <c r="C55" s="97" t="str">
        <f t="shared" si="8"/>
        <v>B02.00;c0340</v>
      </c>
      <c r="D55" s="97" t="s">
        <v>284</v>
      </c>
      <c r="E55" s="97" t="s">
        <v>212</v>
      </c>
      <c r="F55" s="97" t="str">
        <f t="shared" si="7"/>
        <v>String: Free text</v>
      </c>
      <c r="G55" s="97" t="s">
        <v>330</v>
      </c>
      <c r="H55" s="97" t="s">
        <v>333</v>
      </c>
      <c r="I55" s="233"/>
      <c r="J55" s="233"/>
    </row>
    <row r="56" spans="1:10">
      <c r="A56" s="232" t="str">
        <f t="shared" si="6"/>
        <v>B02.00_Type of the collateral</v>
      </c>
      <c r="B56" s="97" t="s">
        <v>368</v>
      </c>
      <c r="C56" s="97" t="str">
        <f t="shared" si="8"/>
        <v>B02.00;c0350</v>
      </c>
      <c r="D56" s="97" t="s">
        <v>285</v>
      </c>
      <c r="E56" s="97" t="s">
        <v>213</v>
      </c>
      <c r="F56" s="97" t="str">
        <f t="shared" si="7"/>
        <v>String: Drop-down</v>
      </c>
      <c r="G56" s="97" t="s">
        <v>330</v>
      </c>
      <c r="H56" s="97" t="s">
        <v>337</v>
      </c>
      <c r="I56" s="97" t="s">
        <v>544</v>
      </c>
      <c r="J56" s="97" t="s">
        <v>550</v>
      </c>
    </row>
    <row r="57" spans="1:10">
      <c r="A57" s="232" t="str">
        <f t="shared" si="6"/>
        <v>B02.00_Type of the collateral (if other)</v>
      </c>
      <c r="B57" s="97" t="s">
        <v>368</v>
      </c>
      <c r="C57" s="97" t="str">
        <f t="shared" si="8"/>
        <v>B02.00;c0351</v>
      </c>
      <c r="D57" s="97" t="s">
        <v>286</v>
      </c>
      <c r="E57" s="97" t="s">
        <v>214</v>
      </c>
      <c r="F57" s="97" t="str">
        <f t="shared" si="7"/>
        <v>String: Free text</v>
      </c>
      <c r="G57" s="97" t="s">
        <v>330</v>
      </c>
      <c r="H57" s="97" t="s">
        <v>333</v>
      </c>
      <c r="I57" s="233"/>
      <c r="J57" s="233"/>
    </row>
    <row r="58" spans="1:10">
      <c r="A58" s="232" t="str">
        <f t="shared" si="6"/>
        <v>B02.00_Trading method</v>
      </c>
      <c r="B58" s="97" t="s">
        <v>368</v>
      </c>
      <c r="C58" s="97" t="str">
        <f t="shared" si="8"/>
        <v>B02.00;c0360</v>
      </c>
      <c r="D58" s="97" t="s">
        <v>287</v>
      </c>
      <c r="E58" s="97" t="s">
        <v>215</v>
      </c>
      <c r="F58" s="97" t="str">
        <f t="shared" si="7"/>
        <v>String: Drop-down</v>
      </c>
      <c r="G58" s="97" t="s">
        <v>330</v>
      </c>
      <c r="H58" s="97" t="s">
        <v>337</v>
      </c>
      <c r="I58" s="233"/>
      <c r="J58" s="233"/>
    </row>
    <row r="59" spans="1:10">
      <c r="A59" s="232" t="str">
        <f t="shared" si="6"/>
        <v>B02.00_Denomination / Nominal value per security in EUR</v>
      </c>
      <c r="B59" s="97" t="s">
        <v>368</v>
      </c>
      <c r="C59" s="97" t="str">
        <f t="shared" si="8"/>
        <v>B02.00;c0370</v>
      </c>
      <c r="D59" s="97" t="s">
        <v>288</v>
      </c>
      <c r="E59" s="97" t="s">
        <v>216</v>
      </c>
      <c r="F59" s="97" t="str">
        <f t="shared" si="7"/>
        <v>Numeric: 2 decimals</v>
      </c>
      <c r="G59" s="97" t="s">
        <v>329</v>
      </c>
      <c r="H59" s="97" t="s">
        <v>335</v>
      </c>
      <c r="I59" s="233"/>
      <c r="J59" s="233"/>
    </row>
    <row r="60" spans="1:10">
      <c r="A60" s="232" t="str">
        <f t="shared" si="6"/>
        <v>B02.00_Denomination / Nominal value per security in original currency</v>
      </c>
      <c r="B60" s="97" t="s">
        <v>368</v>
      </c>
      <c r="C60" s="97" t="str">
        <f t="shared" si="8"/>
        <v>B02.00;c0380</v>
      </c>
      <c r="D60" s="97" t="s">
        <v>289</v>
      </c>
      <c r="E60" s="97" t="s">
        <v>217</v>
      </c>
      <c r="F60" s="97" t="str">
        <f t="shared" si="7"/>
        <v>Numeric: 2 decimals</v>
      </c>
      <c r="G60" s="97" t="s">
        <v>329</v>
      </c>
      <c r="H60" s="97" t="s">
        <v>335</v>
      </c>
      <c r="I60" s="233"/>
      <c r="J60" s="233"/>
    </row>
    <row r="61" spans="1:10">
      <c r="A61" s="232" t="str">
        <f t="shared" si="6"/>
        <v>B02.00_Number of securities outstanding not held by the reporting entity</v>
      </c>
      <c r="B61" s="97" t="s">
        <v>368</v>
      </c>
      <c r="C61" s="97" t="str">
        <f t="shared" si="8"/>
        <v>B02.00;c0390</v>
      </c>
      <c r="D61" s="97" t="s">
        <v>290</v>
      </c>
      <c r="E61" s="97" t="s">
        <v>218</v>
      </c>
      <c r="F61" s="97" t="str">
        <f t="shared" si="7"/>
        <v>Numeric: Integer</v>
      </c>
      <c r="G61" s="97" t="s">
        <v>329</v>
      </c>
      <c r="H61" s="97" t="s">
        <v>332</v>
      </c>
      <c r="I61" s="233"/>
      <c r="J61" s="233"/>
    </row>
    <row r="62" spans="1:10">
      <c r="A62" s="232" t="str">
        <f t="shared" si="6"/>
        <v>B02.00_Number of securities outstanding held by the reporting entity</v>
      </c>
      <c r="B62" s="97" t="s">
        <v>368</v>
      </c>
      <c r="C62" s="97" t="str">
        <f t="shared" si="8"/>
        <v>B02.00;c0391</v>
      </c>
      <c r="D62" s="234" t="s">
        <v>291</v>
      </c>
      <c r="E62" s="97" t="s">
        <v>219</v>
      </c>
      <c r="F62" s="97" t="str">
        <f t="shared" si="7"/>
        <v>Numeric: Integer</v>
      </c>
      <c r="G62" s="97" t="s">
        <v>329</v>
      </c>
      <c r="H62" s="97" t="s">
        <v>332</v>
      </c>
      <c r="I62" s="233"/>
      <c r="J62" s="233"/>
    </row>
    <row r="63" spans="1:10">
      <c r="A63" s="232" t="str">
        <f t="shared" si="6"/>
        <v>B02.00_Accrued interest per security</v>
      </c>
      <c r="B63" s="97" t="s">
        <v>368</v>
      </c>
      <c r="C63" s="97" t="str">
        <f t="shared" si="8"/>
        <v>B02.00;c0400</v>
      </c>
      <c r="D63" s="97" t="s">
        <v>292</v>
      </c>
      <c r="E63" s="97" t="s">
        <v>220</v>
      </c>
      <c r="F63" s="97" t="str">
        <f t="shared" si="7"/>
        <v>Numeric: 4 decimals</v>
      </c>
      <c r="G63" s="97" t="s">
        <v>329</v>
      </c>
      <c r="H63" s="97" t="s">
        <v>342</v>
      </c>
      <c r="I63" s="233"/>
      <c r="J63" s="233"/>
    </row>
    <row r="64" spans="1:10">
      <c r="A64" s="232" t="str">
        <f t="shared" si="6"/>
        <v>B02.00_Fees and charges per security</v>
      </c>
      <c r="B64" s="97" t="s">
        <v>368</v>
      </c>
      <c r="C64" s="97" t="str">
        <f t="shared" si="8"/>
        <v>B02.00;c0410</v>
      </c>
      <c r="D64" s="97" t="s">
        <v>293</v>
      </c>
      <c r="E64" s="97" t="s">
        <v>221</v>
      </c>
      <c r="F64" s="97" t="str">
        <f t="shared" si="7"/>
        <v>Numeric: 4 decimals</v>
      </c>
      <c r="G64" s="97" t="s">
        <v>329</v>
      </c>
      <c r="H64" s="97" t="s">
        <v>342</v>
      </c>
      <c r="I64" s="233"/>
      <c r="J64" s="233"/>
    </row>
    <row r="65" spans="1:10">
      <c r="A65" s="232" t="str">
        <f t="shared" si="6"/>
        <v>B02.00_Fair value per security</v>
      </c>
      <c r="B65" s="97" t="s">
        <v>368</v>
      </c>
      <c r="C65" s="97" t="str">
        <f t="shared" si="8"/>
        <v>B02.00;c0420</v>
      </c>
      <c r="D65" s="97" t="s">
        <v>294</v>
      </c>
      <c r="E65" s="97" t="s">
        <v>222</v>
      </c>
      <c r="F65" s="97" t="str">
        <f t="shared" si="7"/>
        <v>Numeric: 4 decimals</v>
      </c>
      <c r="G65" s="97" t="s">
        <v>329</v>
      </c>
      <c r="H65" s="97" t="s">
        <v>342</v>
      </c>
      <c r="I65" s="233"/>
      <c r="J65" s="233"/>
    </row>
    <row r="66" spans="1:10">
      <c r="A66" s="232" t="str">
        <f t="shared" si="6"/>
        <v>B02.00_Principal amount of the global note in EUR</v>
      </c>
      <c r="B66" s="97" t="s">
        <v>368</v>
      </c>
      <c r="C66" s="97" t="str">
        <f t="shared" si="8"/>
        <v>B02.00;c0430</v>
      </c>
      <c r="D66" s="97" t="s">
        <v>295</v>
      </c>
      <c r="E66" s="97" t="s">
        <v>223</v>
      </c>
      <c r="F66" s="97" t="str">
        <f t="shared" si="7"/>
        <v>Numeric: 2 decimals</v>
      </c>
      <c r="G66" s="97" t="s">
        <v>329</v>
      </c>
      <c r="H66" s="97" t="s">
        <v>335</v>
      </c>
      <c r="I66" s="97" t="s">
        <v>546</v>
      </c>
      <c r="J66" s="233"/>
    </row>
    <row r="67" spans="1:10">
      <c r="A67" s="232" t="str">
        <f t="shared" si="6"/>
        <v>B02.00_Principal amount of the global note in original currency</v>
      </c>
      <c r="B67" s="97" t="s">
        <v>368</v>
      </c>
      <c r="C67" s="97" t="str">
        <f t="shared" si="8"/>
        <v>B02.00;c0431</v>
      </c>
      <c r="D67" s="97" t="s">
        <v>296</v>
      </c>
      <c r="E67" s="97" t="s">
        <v>224</v>
      </c>
      <c r="F67" s="97" t="str">
        <f t="shared" si="7"/>
        <v>Numeric: 2 decimals</v>
      </c>
      <c r="G67" s="97" t="s">
        <v>329</v>
      </c>
      <c r="H67" s="97" t="s">
        <v>335</v>
      </c>
      <c r="I67" s="97" t="s">
        <v>546</v>
      </c>
      <c r="J67" s="233"/>
    </row>
    <row r="68" spans="1:10">
      <c r="A68" s="232" t="str">
        <f t="shared" si="6"/>
        <v>B02.00_Nature of the global note</v>
      </c>
      <c r="B68" s="97" t="s">
        <v>368</v>
      </c>
      <c r="C68" s="97" t="str">
        <f t="shared" si="8"/>
        <v>B02.00;c0440</v>
      </c>
      <c r="D68" s="97" t="s">
        <v>297</v>
      </c>
      <c r="E68" s="97" t="s">
        <v>225</v>
      </c>
      <c r="F68" s="97" t="str">
        <f t="shared" si="7"/>
        <v>String: Drop-down</v>
      </c>
      <c r="G68" s="97" t="s">
        <v>330</v>
      </c>
      <c r="H68" s="97" t="s">
        <v>337</v>
      </c>
      <c r="I68" s="97" t="s">
        <v>544</v>
      </c>
      <c r="J68" s="233"/>
    </row>
    <row r="69" spans="1:10">
      <c r="A69" s="232" t="str">
        <f t="shared" si="6"/>
        <v>B02.00_Current pool factor</v>
      </c>
      <c r="B69" s="97" t="s">
        <v>368</v>
      </c>
      <c r="C69" s="97" t="str">
        <f t="shared" si="8"/>
        <v>B02.00;c0450</v>
      </c>
      <c r="D69" s="97" t="s">
        <v>298</v>
      </c>
      <c r="E69" s="97" t="s">
        <v>226</v>
      </c>
      <c r="F69" s="97" t="str">
        <f t="shared" si="7"/>
        <v>Numeric: Values between 0 and 1, with 9 decimals</v>
      </c>
      <c r="G69" s="97" t="s">
        <v>329</v>
      </c>
      <c r="H69" s="97" t="s">
        <v>343</v>
      </c>
      <c r="I69" s="97" t="s">
        <v>554</v>
      </c>
      <c r="J69" s="233"/>
    </row>
    <row r="70" spans="1:10">
      <c r="A70" s="232" t="str">
        <f t="shared" si="6"/>
        <v xml:space="preserve">B02.00_Central securities depository </v>
      </c>
      <c r="B70" s="97" t="s">
        <v>368</v>
      </c>
      <c r="C70" s="97" t="str">
        <f t="shared" si="8"/>
        <v>B02.00;c0460</v>
      </c>
      <c r="D70" s="97" t="s">
        <v>299</v>
      </c>
      <c r="E70" s="97" t="s">
        <v>227</v>
      </c>
      <c r="F70" s="97" t="str">
        <f t="shared" si="7"/>
        <v>String: Fixed values</v>
      </c>
      <c r="G70" s="97" t="s">
        <v>330</v>
      </c>
      <c r="H70" s="97" t="s">
        <v>339</v>
      </c>
      <c r="I70" s="233"/>
      <c r="J70" s="233"/>
    </row>
    <row r="71" spans="1:10">
      <c r="A71" s="232" t="str">
        <f t="shared" si="6"/>
        <v>B02.00_Central securities depository (LEI)</v>
      </c>
      <c r="B71" s="97" t="s">
        <v>368</v>
      </c>
      <c r="C71" s="97" t="str">
        <f t="shared" si="8"/>
        <v>B02.00;c0461</v>
      </c>
      <c r="D71" s="97" t="s">
        <v>300</v>
      </c>
      <c r="E71" s="97" t="s">
        <v>228</v>
      </c>
      <c r="F71" s="97" t="str">
        <f t="shared" si="7"/>
        <v>String: Free text</v>
      </c>
      <c r="G71" s="97" t="s">
        <v>330</v>
      </c>
      <c r="H71" s="97" t="s">
        <v>333</v>
      </c>
      <c r="I71" s="233"/>
      <c r="J71" s="233"/>
    </row>
    <row r="72" spans="1:10">
      <c r="A72" s="232" t="str">
        <f t="shared" si="6"/>
        <v>B02.00_Central securities depository name (if other)</v>
      </c>
      <c r="B72" s="97" t="s">
        <v>368</v>
      </c>
      <c r="C72" s="97" t="str">
        <f t="shared" si="8"/>
        <v>B02.00;c0462</v>
      </c>
      <c r="D72" s="234" t="s">
        <v>301</v>
      </c>
      <c r="E72" s="97" t="s">
        <v>229</v>
      </c>
      <c r="F72" s="97" t="str">
        <f t="shared" si="7"/>
        <v>String: Free text</v>
      </c>
      <c r="G72" s="97" t="s">
        <v>330</v>
      </c>
      <c r="H72" s="97" t="s">
        <v>333</v>
      </c>
      <c r="I72" s="233"/>
      <c r="J72" s="233"/>
    </row>
    <row r="73" spans="1:10">
      <c r="A73" s="232" t="str">
        <f t="shared" si="6"/>
        <v>B02.00_(Mandated) paying agent</v>
      </c>
      <c r="B73" s="97" t="s">
        <v>368</v>
      </c>
      <c r="C73" s="97" t="str">
        <f t="shared" si="8"/>
        <v>B02.00;c0470</v>
      </c>
      <c r="D73" s="97" t="s">
        <v>302</v>
      </c>
      <c r="E73" s="97" t="s">
        <v>230</v>
      </c>
      <c r="F73" s="97" t="str">
        <f t="shared" si="7"/>
        <v>String: Free text</v>
      </c>
      <c r="G73" s="97" t="s">
        <v>330</v>
      </c>
      <c r="H73" s="97" t="s">
        <v>333</v>
      </c>
      <c r="I73" s="97" t="s">
        <v>544</v>
      </c>
      <c r="J73" s="233"/>
    </row>
    <row r="74" spans="1:10">
      <c r="A74" s="232" t="str">
        <f t="shared" si="6"/>
        <v>B02.00_(Mandated) paying agent (LEI)</v>
      </c>
      <c r="B74" s="97" t="s">
        <v>368</v>
      </c>
      <c r="C74" s="97" t="str">
        <f t="shared" si="8"/>
        <v>B02.00;c0471</v>
      </c>
      <c r="D74" s="97" t="s">
        <v>303</v>
      </c>
      <c r="E74" s="97" t="s">
        <v>231</v>
      </c>
      <c r="F74" s="97" t="str">
        <f t="shared" si="7"/>
        <v>String: Free text</v>
      </c>
      <c r="G74" s="97" t="s">
        <v>330</v>
      </c>
      <c r="H74" s="97" t="s">
        <v>333</v>
      </c>
      <c r="I74" s="97" t="s">
        <v>544</v>
      </c>
      <c r="J74" s="233"/>
    </row>
    <row r="75" spans="1:10">
      <c r="A75" s="232" t="str">
        <f t="shared" si="6"/>
        <v>B02.00_Trading venue</v>
      </c>
      <c r="B75" s="97" t="s">
        <v>368</v>
      </c>
      <c r="C75" s="97" t="str">
        <f t="shared" si="8"/>
        <v>B02.00;c0480</v>
      </c>
      <c r="D75" s="97" t="s">
        <v>304</v>
      </c>
      <c r="E75" s="97" t="s">
        <v>232</v>
      </c>
      <c r="F75" s="97" t="str">
        <f t="shared" si="7"/>
        <v>String: Free text</v>
      </c>
      <c r="G75" s="97" t="s">
        <v>330</v>
      </c>
      <c r="H75" s="97" t="s">
        <v>333</v>
      </c>
      <c r="I75" s="97" t="s">
        <v>544</v>
      </c>
      <c r="J75" s="233"/>
    </row>
    <row r="76" spans="1:10">
      <c r="A76" s="232" t="str">
        <f t="shared" si="6"/>
        <v>B02.00_Trading venue (LEI)</v>
      </c>
      <c r="B76" s="97" t="s">
        <v>368</v>
      </c>
      <c r="C76" s="97" t="str">
        <f t="shared" si="8"/>
        <v>B02.00;c0481</v>
      </c>
      <c r="D76" s="97" t="s">
        <v>305</v>
      </c>
      <c r="E76" s="97" t="s">
        <v>555</v>
      </c>
      <c r="F76" s="97" t="str">
        <f t="shared" si="7"/>
        <v>String: Free text</v>
      </c>
      <c r="G76" s="97" t="s">
        <v>330</v>
      </c>
      <c r="H76" s="97" t="s">
        <v>333</v>
      </c>
      <c r="I76" s="97" t="s">
        <v>544</v>
      </c>
      <c r="J76" s="233"/>
    </row>
    <row r="77" spans="1:10">
      <c r="A77" s="232" t="str">
        <f t="shared" si="6"/>
        <v>B02.00_Registrar for information about creditors/holders</v>
      </c>
      <c r="B77" s="97" t="s">
        <v>368</v>
      </c>
      <c r="C77" s="97" t="str">
        <f t="shared" si="8"/>
        <v>B02.00;c0490</v>
      </c>
      <c r="D77" s="97" t="s">
        <v>306</v>
      </c>
      <c r="E77" s="97" t="s">
        <v>234</v>
      </c>
      <c r="F77" s="97" t="str">
        <f t="shared" si="7"/>
        <v>String: Free text</v>
      </c>
      <c r="G77" s="97" t="s">
        <v>330</v>
      </c>
      <c r="H77" s="97" t="s">
        <v>333</v>
      </c>
      <c r="I77" s="97" t="s">
        <v>544</v>
      </c>
      <c r="J77" s="233"/>
    </row>
    <row r="78" spans="1:10">
      <c r="A78" s="232" t="str">
        <f t="shared" si="6"/>
        <v>B02.00_Registrar for information about creditors/holders (LEI)</v>
      </c>
      <c r="B78" s="97" t="s">
        <v>368</v>
      </c>
      <c r="C78" s="97" t="str">
        <f t="shared" si="8"/>
        <v>B02.00;c0491</v>
      </c>
      <c r="D78" s="97" t="s">
        <v>307</v>
      </c>
      <c r="E78" s="97" t="s">
        <v>235</v>
      </c>
      <c r="F78" s="97" t="str">
        <f t="shared" si="7"/>
        <v>String: Free text</v>
      </c>
      <c r="G78" s="97" t="s">
        <v>330</v>
      </c>
      <c r="H78" s="97" t="s">
        <v>333</v>
      </c>
      <c r="I78" s="97" t="s">
        <v>544</v>
      </c>
      <c r="J78" s="233"/>
    </row>
    <row r="79" spans="1:10">
      <c r="A79" s="232" t="str">
        <f t="shared" si="6"/>
        <v>B02.00_National Numbering Agency</v>
      </c>
      <c r="B79" s="97" t="s">
        <v>368</v>
      </c>
      <c r="C79" s="97" t="str">
        <f t="shared" si="8"/>
        <v>B02.00;c0500</v>
      </c>
      <c r="D79" s="97" t="s">
        <v>308</v>
      </c>
      <c r="E79" s="97" t="s">
        <v>236</v>
      </c>
      <c r="F79" s="97" t="str">
        <f t="shared" si="7"/>
        <v>String: Free text</v>
      </c>
      <c r="G79" s="97" t="s">
        <v>330</v>
      </c>
      <c r="H79" s="97" t="s">
        <v>333</v>
      </c>
      <c r="I79" s="97" t="s">
        <v>544</v>
      </c>
      <c r="J79" s="233"/>
    </row>
    <row r="80" spans="1:10">
      <c r="A80" s="232" t="str">
        <f t="shared" si="6"/>
        <v>B02.00_National Numbering Agency (LEI)</v>
      </c>
      <c r="B80" s="97" t="s">
        <v>368</v>
      </c>
      <c r="C80" s="97" t="str">
        <f t="shared" si="8"/>
        <v>B02.00;c0501</v>
      </c>
      <c r="D80" s="97" t="s">
        <v>309</v>
      </c>
      <c r="E80" s="97" t="s">
        <v>237</v>
      </c>
      <c r="F80" s="97" t="str">
        <f t="shared" si="7"/>
        <v>String: Free text</v>
      </c>
      <c r="G80" s="97" t="s">
        <v>330</v>
      </c>
      <c r="H80" s="97" t="s">
        <v>333</v>
      </c>
      <c r="I80" s="97" t="s">
        <v>544</v>
      </c>
      <c r="J80" s="233"/>
    </row>
    <row r="81" spans="1:10">
      <c r="A81" s="232" t="str">
        <f t="shared" si="6"/>
        <v>B02.00_Common Depository</v>
      </c>
      <c r="B81" s="97" t="s">
        <v>368</v>
      </c>
      <c r="C81" s="97" t="str">
        <f t="shared" si="8"/>
        <v>B02.00;c0510</v>
      </c>
      <c r="D81" s="97" t="s">
        <v>310</v>
      </c>
      <c r="E81" s="97" t="s">
        <v>238</v>
      </c>
      <c r="F81" s="97" t="str">
        <f t="shared" si="7"/>
        <v>String: Free text</v>
      </c>
      <c r="G81" s="97" t="s">
        <v>330</v>
      </c>
      <c r="H81" s="97" t="s">
        <v>333</v>
      </c>
      <c r="I81" s="97" t="s">
        <v>544</v>
      </c>
      <c r="J81" s="233"/>
    </row>
    <row r="82" spans="1:10">
      <c r="A82" s="232" t="str">
        <f t="shared" si="6"/>
        <v>B02.00_Common Depository (LEI)</v>
      </c>
      <c r="B82" s="97" t="s">
        <v>368</v>
      </c>
      <c r="C82" s="97" t="str">
        <f t="shared" si="8"/>
        <v>B02.00;c0511</v>
      </c>
      <c r="D82" s="97" t="s">
        <v>311</v>
      </c>
      <c r="E82" s="97" t="s">
        <v>239</v>
      </c>
      <c r="F82" s="97" t="str">
        <f t="shared" si="7"/>
        <v>String: Free text</v>
      </c>
      <c r="G82" s="97" t="s">
        <v>330</v>
      </c>
      <c r="H82" s="97" t="s">
        <v>333</v>
      </c>
      <c r="I82" s="97" t="s">
        <v>544</v>
      </c>
      <c r="J82" s="233"/>
    </row>
    <row r="83" spans="1:10">
      <c r="A83" s="232" t="str">
        <f t="shared" si="6"/>
        <v>B02.00_Common Service Provider</v>
      </c>
      <c r="B83" s="97" t="s">
        <v>368</v>
      </c>
      <c r="C83" s="97" t="str">
        <f t="shared" si="8"/>
        <v>B02.00;c0520</v>
      </c>
      <c r="D83" s="234" t="s">
        <v>312</v>
      </c>
      <c r="E83" s="97" t="s">
        <v>240</v>
      </c>
      <c r="F83" s="97" t="str">
        <f t="shared" si="7"/>
        <v>String: Free text</v>
      </c>
      <c r="G83" s="97" t="s">
        <v>330</v>
      </c>
      <c r="H83" s="97" t="s">
        <v>333</v>
      </c>
      <c r="I83" s="97" t="s">
        <v>544</v>
      </c>
      <c r="J83" s="233"/>
    </row>
    <row r="84" spans="1:10">
      <c r="A84" s="232" t="str">
        <f t="shared" si="6"/>
        <v>B02.00_Common Service Provider (LEI)</v>
      </c>
      <c r="B84" s="97" t="s">
        <v>368</v>
      </c>
      <c r="C84" s="97" t="str">
        <f t="shared" si="8"/>
        <v>B02.00;c0521</v>
      </c>
      <c r="D84" s="234" t="s">
        <v>313</v>
      </c>
      <c r="E84" s="97" t="s">
        <v>241</v>
      </c>
      <c r="F84" s="97" t="str">
        <f t="shared" ref="F84:F147" si="9">CONCATENATE(G84,": ",H84)</f>
        <v>String: Free text</v>
      </c>
      <c r="G84" s="97" t="s">
        <v>330</v>
      </c>
      <c r="H84" s="97" t="s">
        <v>333</v>
      </c>
      <c r="I84" s="97" t="s">
        <v>544</v>
      </c>
      <c r="J84" s="233"/>
    </row>
    <row r="85" spans="1:10">
      <c r="A85" s="232" t="str">
        <f t="shared" ref="A85:A148" si="10">CONCATENATE(B85,"_",E85)</f>
        <v>B02.00_Type of own funds at individual level</v>
      </c>
      <c r="B85" s="97" t="s">
        <v>368</v>
      </c>
      <c r="C85" s="97" t="str">
        <f t="shared" ref="C85:C148" si="11">CONCATENATE(B85,";c",D85)</f>
        <v>B02.00;c0530</v>
      </c>
      <c r="D85" s="234" t="s">
        <v>314</v>
      </c>
      <c r="E85" s="97" t="s">
        <v>242</v>
      </c>
      <c r="F85" s="97" t="str">
        <f t="shared" si="9"/>
        <v>String: Drop-down</v>
      </c>
      <c r="G85" s="97" t="s">
        <v>330</v>
      </c>
      <c r="H85" s="97" t="s">
        <v>337</v>
      </c>
      <c r="I85" s="97" t="s">
        <v>544</v>
      </c>
      <c r="J85" s="233"/>
    </row>
    <row r="86" spans="1:10">
      <c r="A86" s="232" t="str">
        <f t="shared" si="10"/>
        <v>B02.00_Eligible amount for own funds at individual level</v>
      </c>
      <c r="B86" s="97" t="s">
        <v>368</v>
      </c>
      <c r="C86" s="97" t="str">
        <f t="shared" si="11"/>
        <v>B02.00;c0540</v>
      </c>
      <c r="D86" s="234" t="s">
        <v>315</v>
      </c>
      <c r="E86" s="97" t="s">
        <v>243</v>
      </c>
      <c r="F86" s="97" t="str">
        <f t="shared" si="9"/>
        <v>Numeric: 2 decimals</v>
      </c>
      <c r="G86" s="97" t="s">
        <v>329</v>
      </c>
      <c r="H86" s="97" t="s">
        <v>335</v>
      </c>
      <c r="I86" s="97" t="s">
        <v>546</v>
      </c>
      <c r="J86" s="233"/>
    </row>
    <row r="87" spans="1:10">
      <c r="A87" s="232" t="str">
        <f t="shared" si="10"/>
        <v>B02.00_Type of own funds at consolidated level</v>
      </c>
      <c r="B87" s="97" t="s">
        <v>368</v>
      </c>
      <c r="C87" s="97" t="str">
        <f t="shared" si="11"/>
        <v>B02.00;c0550</v>
      </c>
      <c r="D87" s="234" t="s">
        <v>316</v>
      </c>
      <c r="E87" s="97" t="s">
        <v>244</v>
      </c>
      <c r="F87" s="97" t="str">
        <f t="shared" si="9"/>
        <v>String: Drop-down</v>
      </c>
      <c r="G87" s="97" t="s">
        <v>330</v>
      </c>
      <c r="H87" s="97" t="s">
        <v>337</v>
      </c>
      <c r="I87" s="97" t="s">
        <v>544</v>
      </c>
      <c r="J87" s="233"/>
    </row>
    <row r="88" spans="1:10">
      <c r="A88" s="232" t="str">
        <f t="shared" si="10"/>
        <v xml:space="preserve">B02.00_Eligible amount for own funds at consolidated level </v>
      </c>
      <c r="B88" s="97" t="s">
        <v>368</v>
      </c>
      <c r="C88" s="97" t="str">
        <f t="shared" si="11"/>
        <v>B02.00;c0560</v>
      </c>
      <c r="D88" s="234" t="s">
        <v>317</v>
      </c>
      <c r="E88" s="97" t="s">
        <v>512</v>
      </c>
      <c r="F88" s="97" t="str">
        <f t="shared" si="9"/>
        <v>Numeric: 2 decimals</v>
      </c>
      <c r="G88" s="97" t="s">
        <v>329</v>
      </c>
      <c r="H88" s="97" t="s">
        <v>335</v>
      </c>
      <c r="I88" s="97" t="s">
        <v>546</v>
      </c>
      <c r="J88" s="233"/>
    </row>
    <row r="89" spans="1:10">
      <c r="A89" s="232" t="str">
        <f t="shared" si="10"/>
        <v>B02.00_Amount of the security interest provided</v>
      </c>
      <c r="B89" s="97" t="s">
        <v>368</v>
      </c>
      <c r="C89" s="97" t="str">
        <f t="shared" si="11"/>
        <v>B02.00;c0570</v>
      </c>
      <c r="D89" s="234" t="s">
        <v>318</v>
      </c>
      <c r="E89" s="97" t="s">
        <v>246</v>
      </c>
      <c r="F89" s="97" t="str">
        <f t="shared" si="9"/>
        <v>Numeric: 2 decimals</v>
      </c>
      <c r="G89" s="97" t="s">
        <v>329</v>
      </c>
      <c r="H89" s="97" t="s">
        <v>335</v>
      </c>
      <c r="I89" s="233"/>
      <c r="J89" s="233"/>
    </row>
    <row r="90" spans="1:10">
      <c r="A90" s="232" t="str">
        <f t="shared" si="10"/>
        <v>B02.00_Security interest provider (Name)</v>
      </c>
      <c r="B90" s="97" t="s">
        <v>368</v>
      </c>
      <c r="C90" s="97" t="str">
        <f t="shared" si="11"/>
        <v>B02.00;c0580</v>
      </c>
      <c r="D90" s="234" t="s">
        <v>319</v>
      </c>
      <c r="E90" s="97" t="s">
        <v>247</v>
      </c>
      <c r="F90" s="97" t="str">
        <f t="shared" si="9"/>
        <v>String: Free text</v>
      </c>
      <c r="G90" s="97" t="s">
        <v>330</v>
      </c>
      <c r="H90" s="97" t="s">
        <v>333</v>
      </c>
      <c r="I90" s="97" t="s">
        <v>544</v>
      </c>
      <c r="J90" s="233"/>
    </row>
    <row r="91" spans="1:10">
      <c r="A91" s="232" t="str">
        <f t="shared" si="10"/>
        <v>B02.00_Security interest provider (LEI)</v>
      </c>
      <c r="B91" s="97" t="s">
        <v>368</v>
      </c>
      <c r="C91" s="97" t="str">
        <f t="shared" si="11"/>
        <v>B02.00;c0581</v>
      </c>
      <c r="D91" s="234" t="s">
        <v>320</v>
      </c>
      <c r="E91" s="97" t="s">
        <v>248</v>
      </c>
      <c r="F91" s="97" t="str">
        <f t="shared" si="9"/>
        <v>String: Free text</v>
      </c>
      <c r="G91" s="97" t="s">
        <v>330</v>
      </c>
      <c r="H91" s="97" t="s">
        <v>333</v>
      </c>
      <c r="I91" s="97" t="s">
        <v>544</v>
      </c>
      <c r="J91" s="233"/>
    </row>
    <row r="92" spans="1:10">
      <c r="A92" s="232" t="str">
        <f t="shared" si="10"/>
        <v xml:space="preserve">B02.00_Type of security interest provided by a third party </v>
      </c>
      <c r="B92" s="97" t="s">
        <v>368</v>
      </c>
      <c r="C92" s="97" t="str">
        <f t="shared" si="11"/>
        <v>B02.00;c0590</v>
      </c>
      <c r="D92" s="234" t="s">
        <v>321</v>
      </c>
      <c r="E92" s="97" t="s">
        <v>249</v>
      </c>
      <c r="F92" s="97" t="str">
        <f t="shared" si="9"/>
        <v>String: Drop-down</v>
      </c>
      <c r="G92" s="97" t="s">
        <v>330</v>
      </c>
      <c r="H92" s="97" t="s">
        <v>337</v>
      </c>
      <c r="I92" s="97" t="s">
        <v>544</v>
      </c>
      <c r="J92" s="233"/>
    </row>
    <row r="93" spans="1:10">
      <c r="A93" s="232" t="str">
        <f t="shared" si="10"/>
        <v>B02.00_Collateral for an asset position</v>
      </c>
      <c r="B93" s="97" t="s">
        <v>368</v>
      </c>
      <c r="C93" s="97" t="str">
        <f t="shared" si="11"/>
        <v>B02.00;c0600</v>
      </c>
      <c r="D93" s="234" t="s">
        <v>322</v>
      </c>
      <c r="E93" s="97" t="s">
        <v>250</v>
      </c>
      <c r="F93" s="97" t="str">
        <f t="shared" si="9"/>
        <v>String: TRUE / FALSE boolean</v>
      </c>
      <c r="G93" s="97" t="s">
        <v>330</v>
      </c>
      <c r="H93" s="97" t="s">
        <v>338</v>
      </c>
      <c r="I93" s="97" t="s">
        <v>544</v>
      </c>
      <c r="J93" s="233"/>
    </row>
    <row r="94" spans="1:10">
      <c r="A94" s="232" t="str">
        <f t="shared" si="10"/>
        <v>B02.00_Carrying amount IFRS</v>
      </c>
      <c r="B94" s="97" t="s">
        <v>368</v>
      </c>
      <c r="C94" s="97" t="str">
        <f t="shared" si="11"/>
        <v>B02.00;c0610</v>
      </c>
      <c r="D94" s="234" t="s">
        <v>323</v>
      </c>
      <c r="E94" s="97" t="s">
        <v>251</v>
      </c>
      <c r="F94" s="97" t="str">
        <f t="shared" si="9"/>
        <v>Numeric: 2 decimals</v>
      </c>
      <c r="G94" s="97" t="s">
        <v>329</v>
      </c>
      <c r="H94" s="97" t="s">
        <v>335</v>
      </c>
      <c r="I94" s="233"/>
      <c r="J94" s="233"/>
    </row>
    <row r="95" spans="1:10">
      <c r="A95" s="232" t="str">
        <f t="shared" si="10"/>
        <v>B02.00_Balance sheet item according to IFRS</v>
      </c>
      <c r="B95" s="97" t="s">
        <v>368</v>
      </c>
      <c r="C95" s="97" t="str">
        <f t="shared" si="11"/>
        <v>B02.00;c0620</v>
      </c>
      <c r="D95" s="234" t="s">
        <v>324</v>
      </c>
      <c r="E95" s="97" t="s">
        <v>252</v>
      </c>
      <c r="F95" s="97" t="str">
        <f t="shared" si="9"/>
        <v>String: Drop-down</v>
      </c>
      <c r="G95" s="97" t="s">
        <v>330</v>
      </c>
      <c r="H95" s="97" t="s">
        <v>337</v>
      </c>
      <c r="I95" s="233"/>
      <c r="J95" s="233"/>
    </row>
    <row r="96" spans="1:10">
      <c r="A96" s="232" t="str">
        <f t="shared" si="10"/>
        <v>B02.00_Carrying amount national GAAP</v>
      </c>
      <c r="B96" s="97" t="s">
        <v>368</v>
      </c>
      <c r="C96" s="97" t="str">
        <f t="shared" si="11"/>
        <v>B02.00;c0630</v>
      </c>
      <c r="D96" s="234" t="s">
        <v>325</v>
      </c>
      <c r="E96" s="97" t="s">
        <v>253</v>
      </c>
      <c r="F96" s="97" t="str">
        <f t="shared" si="9"/>
        <v>Numeric: 2 decimals</v>
      </c>
      <c r="G96" s="97" t="s">
        <v>329</v>
      </c>
      <c r="H96" s="97" t="s">
        <v>335</v>
      </c>
      <c r="I96" s="233"/>
      <c r="J96" s="233"/>
    </row>
    <row r="97" spans="1:10">
      <c r="A97" s="232" t="str">
        <f>CONCATENATE(B97,"_",E97)</f>
        <v>B02.00_Balance sheet item according to national GAAP</v>
      </c>
      <c r="B97" s="97" t="s">
        <v>368</v>
      </c>
      <c r="C97" s="97" t="str">
        <f t="shared" si="11"/>
        <v>B02.00;c0640</v>
      </c>
      <c r="D97" s="234" t="s">
        <v>326</v>
      </c>
      <c r="E97" s="97" t="s">
        <v>556</v>
      </c>
      <c r="F97" s="97" t="str">
        <f t="shared" si="9"/>
        <v>String: Free text</v>
      </c>
      <c r="G97" s="97" t="s">
        <v>330</v>
      </c>
      <c r="H97" s="97" t="s">
        <v>333</v>
      </c>
      <c r="I97" s="233"/>
      <c r="J97" s="233"/>
    </row>
    <row r="98" spans="1:10">
      <c r="A98" s="232" t="str">
        <f t="shared" si="10"/>
        <v>B02.00_Instrument/liability is issued to or bought by an existing shareholder that is not part of the same resolution group</v>
      </c>
      <c r="B98" s="97" t="s">
        <v>368</v>
      </c>
      <c r="C98" s="97" t="str">
        <f t="shared" si="11"/>
        <v>B02.00;c5000</v>
      </c>
      <c r="D98" s="234" t="s">
        <v>327</v>
      </c>
      <c r="E98" s="97" t="s">
        <v>255</v>
      </c>
      <c r="F98" s="97" t="str">
        <f t="shared" si="9"/>
        <v>String: TRUE / FALSE boolean</v>
      </c>
      <c r="G98" s="97" t="s">
        <v>330</v>
      </c>
      <c r="H98" s="97" t="s">
        <v>338</v>
      </c>
      <c r="I98" s="233"/>
      <c r="J98" s="233"/>
    </row>
    <row r="99" spans="1:10">
      <c r="A99" s="232" t="str">
        <f t="shared" si="10"/>
        <v>B02.00_Instrument/liability meets the requirements of Art. 21(7a) SRMR</v>
      </c>
      <c r="B99" s="97" t="s">
        <v>368</v>
      </c>
      <c r="C99" s="97" t="str">
        <f t="shared" si="11"/>
        <v>B02.00;c5010</v>
      </c>
      <c r="D99" s="234" t="s">
        <v>328</v>
      </c>
      <c r="E99" s="97" t="s">
        <v>256</v>
      </c>
      <c r="F99" s="97" t="str">
        <f t="shared" si="9"/>
        <v>String: TRUE / FALSE boolean</v>
      </c>
      <c r="G99" s="97" t="s">
        <v>330</v>
      </c>
      <c r="H99" s="97" t="s">
        <v>338</v>
      </c>
      <c r="I99" s="233"/>
      <c r="J99" s="233"/>
    </row>
    <row r="100" spans="1:10">
      <c r="A100" s="232" t="str">
        <f t="shared" si="10"/>
        <v>B03.00_Row number</v>
      </c>
      <c r="B100" s="97" t="s">
        <v>453</v>
      </c>
      <c r="C100" s="97" t="str">
        <f t="shared" si="11"/>
        <v>B03.00;c0010</v>
      </c>
      <c r="D100" s="234" t="s">
        <v>165</v>
      </c>
      <c r="E100" s="97" t="s">
        <v>176</v>
      </c>
      <c r="F100" s="97" t="str">
        <f t="shared" si="9"/>
        <v>Numeric: Integer</v>
      </c>
      <c r="G100" s="97" t="s">
        <v>329</v>
      </c>
      <c r="H100" s="97" t="s">
        <v>332</v>
      </c>
      <c r="I100" s="233"/>
      <c r="J100" s="233"/>
    </row>
    <row r="101" spans="1:10">
      <c r="A101" s="232" t="str">
        <f t="shared" si="10"/>
        <v>B03.00_Unique identification number of the netting set known to the counterparty</v>
      </c>
      <c r="B101" s="97" t="s">
        <v>453</v>
      </c>
      <c r="C101" s="97" t="str">
        <f t="shared" si="11"/>
        <v>B03.00;c0020</v>
      </c>
      <c r="D101" s="234" t="s">
        <v>166</v>
      </c>
      <c r="E101" s="97" t="s">
        <v>454</v>
      </c>
      <c r="F101" s="97" t="str">
        <f t="shared" si="9"/>
        <v>String: Free text</v>
      </c>
      <c r="G101" s="97" t="s">
        <v>330</v>
      </c>
      <c r="H101" s="97" t="s">
        <v>333</v>
      </c>
      <c r="I101" s="233"/>
      <c r="J101" s="233"/>
    </row>
    <row r="102" spans="1:10">
      <c r="A102" s="232" t="str">
        <f t="shared" si="10"/>
        <v>B03.00_Insolvency ranking</v>
      </c>
      <c r="B102" s="97" t="s">
        <v>453</v>
      </c>
      <c r="C102" s="97" t="str">
        <f t="shared" si="11"/>
        <v>B03.00;c0030</v>
      </c>
      <c r="D102" s="97" t="s">
        <v>167</v>
      </c>
      <c r="E102" s="97" t="s">
        <v>455</v>
      </c>
      <c r="F102" s="97" t="str">
        <f t="shared" si="9"/>
        <v>Numeric: Integer</v>
      </c>
      <c r="G102" s="97" t="s">
        <v>329</v>
      </c>
      <c r="H102" s="97" t="s">
        <v>332</v>
      </c>
      <c r="I102" s="233"/>
      <c r="J102" s="233"/>
    </row>
    <row r="103" spans="1:10">
      <c r="A103" s="232" t="str">
        <f t="shared" si="10"/>
        <v>B03.00_Bail-in cascade</v>
      </c>
      <c r="B103" s="97" t="s">
        <v>453</v>
      </c>
      <c r="C103" s="97" t="str">
        <f t="shared" si="11"/>
        <v>B03.00;c0031</v>
      </c>
      <c r="D103" s="97" t="s">
        <v>430</v>
      </c>
      <c r="E103" s="97" t="s">
        <v>194</v>
      </c>
      <c r="F103" s="97" t="str">
        <f t="shared" si="9"/>
        <v>String: Free text</v>
      </c>
      <c r="G103" s="97" t="s">
        <v>330</v>
      </c>
      <c r="H103" s="97" t="s">
        <v>333</v>
      </c>
      <c r="I103" s="233"/>
      <c r="J103" s="233"/>
    </row>
    <row r="104" spans="1:10">
      <c r="A104" s="232" t="str">
        <f t="shared" si="10"/>
        <v>B03.00_ISDA Protocol Resolution Stay of the reporting entity</v>
      </c>
      <c r="B104" s="97" t="s">
        <v>453</v>
      </c>
      <c r="C104" s="97" t="str">
        <f t="shared" si="11"/>
        <v>B03.00;c0040</v>
      </c>
      <c r="D104" s="97" t="s">
        <v>168</v>
      </c>
      <c r="E104" s="97" t="s">
        <v>513</v>
      </c>
      <c r="F104" s="97" t="str">
        <f t="shared" si="9"/>
        <v>String: Drop down</v>
      </c>
      <c r="G104" s="97" t="s">
        <v>330</v>
      </c>
      <c r="H104" s="97" t="s">
        <v>557</v>
      </c>
      <c r="I104" s="233"/>
      <c r="J104" s="233"/>
    </row>
    <row r="105" spans="1:10">
      <c r="A105" s="232" t="str">
        <f t="shared" si="10"/>
        <v>B03.00_Recognition Resolution Stay of counterparty</v>
      </c>
      <c r="B105" s="97" t="s">
        <v>453</v>
      </c>
      <c r="C105" s="97" t="str">
        <f t="shared" si="11"/>
        <v>B03.00;c0050</v>
      </c>
      <c r="D105" s="97" t="s">
        <v>170</v>
      </c>
      <c r="E105" s="97" t="s">
        <v>514</v>
      </c>
      <c r="F105" s="97" t="str">
        <f t="shared" si="9"/>
        <v>String: Drop down</v>
      </c>
      <c r="G105" s="97" t="s">
        <v>330</v>
      </c>
      <c r="H105" s="97" t="s">
        <v>557</v>
      </c>
      <c r="I105" s="233"/>
      <c r="J105" s="233"/>
    </row>
    <row r="106" spans="1:10">
      <c r="A106" s="232" t="str">
        <f t="shared" si="10"/>
        <v>B03.00_Master agreement ID</v>
      </c>
      <c r="B106" s="97" t="s">
        <v>453</v>
      </c>
      <c r="C106" s="97" t="str">
        <f t="shared" si="11"/>
        <v>B03.00;c0060</v>
      </c>
      <c r="D106" s="97" t="s">
        <v>172</v>
      </c>
      <c r="E106" s="97" t="s">
        <v>456</v>
      </c>
      <c r="F106" s="97" t="str">
        <f t="shared" si="9"/>
        <v>String: Free text</v>
      </c>
      <c r="G106" s="97" t="s">
        <v>330</v>
      </c>
      <c r="H106" s="97" t="s">
        <v>333</v>
      </c>
      <c r="I106" s="233"/>
      <c r="J106" s="233"/>
    </row>
    <row r="107" spans="1:10">
      <c r="A107" s="232" t="str">
        <f t="shared" si="10"/>
        <v>B03.00_Governing law of the Master Agreement</v>
      </c>
      <c r="B107" s="97" t="s">
        <v>453</v>
      </c>
      <c r="C107" s="97" t="str">
        <f t="shared" si="11"/>
        <v>B03.00;c0070</v>
      </c>
      <c r="D107" s="97" t="s">
        <v>173</v>
      </c>
      <c r="E107" s="97" t="s">
        <v>558</v>
      </c>
      <c r="F107" s="97" t="str">
        <f t="shared" si="9"/>
        <v>String: ISO 3166-1 alpha 2 / ISO 3166-2</v>
      </c>
      <c r="G107" s="97" t="s">
        <v>330</v>
      </c>
      <c r="H107" s="97" t="s">
        <v>341</v>
      </c>
      <c r="I107" s="233"/>
      <c r="J107" s="233"/>
    </row>
    <row r="108" spans="1:10">
      <c r="A108" s="232" t="str">
        <f t="shared" si="10"/>
        <v xml:space="preserve">B03.00_Net mark-to-market value </v>
      </c>
      <c r="B108" s="97" t="s">
        <v>453</v>
      </c>
      <c r="C108" s="97" t="str">
        <f t="shared" si="11"/>
        <v>B03.00;c0080</v>
      </c>
      <c r="D108" s="97" t="s">
        <v>174</v>
      </c>
      <c r="E108" s="97" t="s">
        <v>457</v>
      </c>
      <c r="F108" s="97" t="str">
        <f t="shared" si="9"/>
        <v>Numeric: 2 decimals</v>
      </c>
      <c r="G108" s="97" t="s">
        <v>329</v>
      </c>
      <c r="H108" s="97" t="s">
        <v>335</v>
      </c>
      <c r="I108" s="233"/>
      <c r="J108" s="233"/>
    </row>
    <row r="109" spans="1:10">
      <c r="A109" s="232" t="str">
        <f t="shared" si="10"/>
        <v xml:space="preserve">B03.00_Net value of collateral posted </v>
      </c>
      <c r="B109" s="97" t="s">
        <v>453</v>
      </c>
      <c r="C109" s="97" t="str">
        <f t="shared" si="11"/>
        <v>B03.00;c0090</v>
      </c>
      <c r="D109" s="97" t="s">
        <v>175</v>
      </c>
      <c r="E109" s="97" t="s">
        <v>559</v>
      </c>
      <c r="F109" s="97" t="str">
        <f t="shared" si="9"/>
        <v>Numeric: 2 decimals</v>
      </c>
      <c r="G109" s="97" t="s">
        <v>329</v>
      </c>
      <c r="H109" s="97" t="s">
        <v>335</v>
      </c>
      <c r="I109" s="233"/>
      <c r="J109" s="233"/>
    </row>
    <row r="110" spans="1:10">
      <c r="A110" s="232" t="str">
        <f t="shared" si="10"/>
        <v xml:space="preserve">B03.00_Estimated close-out amount </v>
      </c>
      <c r="B110" s="97" t="s">
        <v>453</v>
      </c>
      <c r="C110" s="97" t="str">
        <f t="shared" si="11"/>
        <v>B03.00;c0100</v>
      </c>
      <c r="D110" s="97" t="s">
        <v>257</v>
      </c>
      <c r="E110" s="97" t="s">
        <v>515</v>
      </c>
      <c r="F110" s="97" t="str">
        <f t="shared" si="9"/>
        <v>Numeric: 2 decimals</v>
      </c>
      <c r="G110" s="97" t="s">
        <v>329</v>
      </c>
      <c r="H110" s="97" t="s">
        <v>335</v>
      </c>
      <c r="I110" s="233"/>
      <c r="J110" s="233"/>
    </row>
    <row r="111" spans="1:10">
      <c r="A111" s="232" t="str">
        <f t="shared" si="10"/>
        <v xml:space="preserve">B03.00_Estimated early termination amount </v>
      </c>
      <c r="B111" s="97" t="s">
        <v>453</v>
      </c>
      <c r="C111" s="97" t="str">
        <f t="shared" si="11"/>
        <v>B03.00;c0110</v>
      </c>
      <c r="D111" s="97" t="s">
        <v>258</v>
      </c>
      <c r="E111" s="97" t="s">
        <v>458</v>
      </c>
      <c r="F111" s="97" t="str">
        <f t="shared" si="9"/>
        <v>Numeric: 2 decimals</v>
      </c>
      <c r="G111" s="97" t="s">
        <v>329</v>
      </c>
      <c r="H111" s="97" t="s">
        <v>335</v>
      </c>
      <c r="I111" s="233"/>
      <c r="J111" s="233"/>
    </row>
    <row r="112" spans="1:10">
      <c r="A112" s="232" t="str">
        <f t="shared" si="10"/>
        <v>B03.00_CCP cleared</v>
      </c>
      <c r="B112" s="97" t="s">
        <v>453</v>
      </c>
      <c r="C112" s="97" t="str">
        <f t="shared" si="11"/>
        <v>B03.00;c0120</v>
      </c>
      <c r="D112" s="234" t="s">
        <v>259</v>
      </c>
      <c r="E112" s="97" t="s">
        <v>459</v>
      </c>
      <c r="F112" s="97" t="str">
        <f t="shared" si="9"/>
        <v>String: TRUE / FALSE boolean</v>
      </c>
      <c r="G112" s="97" t="s">
        <v>330</v>
      </c>
      <c r="H112" s="97" t="s">
        <v>338</v>
      </c>
      <c r="I112" s="233"/>
      <c r="J112" s="233"/>
    </row>
    <row r="113" spans="1:10">
      <c r="A113" s="232" t="str">
        <f t="shared" si="10"/>
        <v>B04.00_Row number</v>
      </c>
      <c r="B113" s="97" t="s">
        <v>460</v>
      </c>
      <c r="C113" s="97" t="str">
        <f t="shared" si="11"/>
        <v>B04.00;c0010</v>
      </c>
      <c r="D113" s="234" t="s">
        <v>165</v>
      </c>
      <c r="E113" s="97" t="s">
        <v>176</v>
      </c>
      <c r="F113" s="97" t="str">
        <f t="shared" si="9"/>
        <v>Numeric: Integer</v>
      </c>
      <c r="G113" s="97" t="s">
        <v>329</v>
      </c>
      <c r="H113" s="97" t="s">
        <v>332</v>
      </c>
      <c r="I113" s="233"/>
      <c r="J113" s="233"/>
    </row>
    <row r="114" spans="1:10">
      <c r="A114" s="232" t="str">
        <f t="shared" si="10"/>
        <v>B04.00_Unique identification number of the netting set known to the counterparty</v>
      </c>
      <c r="B114" s="97" t="s">
        <v>460</v>
      </c>
      <c r="C114" s="97" t="str">
        <f t="shared" si="11"/>
        <v>B04.00;c0020</v>
      </c>
      <c r="D114" s="234" t="s">
        <v>166</v>
      </c>
      <c r="E114" s="97" t="s">
        <v>454</v>
      </c>
      <c r="F114" s="97" t="str">
        <f t="shared" si="9"/>
        <v>String: Free text</v>
      </c>
      <c r="G114" s="97" t="s">
        <v>330</v>
      </c>
      <c r="H114" s="97" t="s">
        <v>333</v>
      </c>
      <c r="I114" s="233"/>
      <c r="J114" s="233"/>
    </row>
    <row r="115" spans="1:10">
      <c r="A115" s="232" t="str">
        <f t="shared" si="10"/>
        <v>B04.00_Insolvency ranking</v>
      </c>
      <c r="B115" s="97" t="s">
        <v>460</v>
      </c>
      <c r="C115" s="97" t="str">
        <f t="shared" si="11"/>
        <v>B04.00;c0030</v>
      </c>
      <c r="D115" s="97" t="s">
        <v>167</v>
      </c>
      <c r="E115" s="97" t="s">
        <v>455</v>
      </c>
      <c r="F115" s="97" t="str">
        <f t="shared" si="9"/>
        <v>Numeric: Integer</v>
      </c>
      <c r="G115" s="97" t="s">
        <v>329</v>
      </c>
      <c r="H115" s="97" t="s">
        <v>332</v>
      </c>
      <c r="I115" s="233"/>
      <c r="J115" s="233"/>
    </row>
    <row r="116" spans="1:10">
      <c r="A116" s="232" t="str">
        <f t="shared" si="10"/>
        <v>B04.00_Bail-in cascade</v>
      </c>
      <c r="B116" s="97" t="s">
        <v>460</v>
      </c>
      <c r="C116" s="97" t="str">
        <f t="shared" si="11"/>
        <v>B04.00;c0031</v>
      </c>
      <c r="D116" s="97" t="s">
        <v>430</v>
      </c>
      <c r="E116" s="97" t="s">
        <v>194</v>
      </c>
      <c r="F116" s="97" t="str">
        <f t="shared" si="9"/>
        <v>String: Free text</v>
      </c>
      <c r="G116" s="97" t="s">
        <v>330</v>
      </c>
      <c r="H116" s="97" t="s">
        <v>333</v>
      </c>
      <c r="I116" s="233"/>
      <c r="J116" s="233"/>
    </row>
    <row r="117" spans="1:10">
      <c r="A117" s="232" t="str">
        <f t="shared" si="10"/>
        <v>B04.00_Master agreement ID</v>
      </c>
      <c r="B117" s="97" t="s">
        <v>460</v>
      </c>
      <c r="C117" s="97" t="str">
        <f t="shared" si="11"/>
        <v>B04.00;c0040</v>
      </c>
      <c r="D117" s="97" t="s">
        <v>168</v>
      </c>
      <c r="E117" s="97" t="s">
        <v>456</v>
      </c>
      <c r="F117" s="97" t="str">
        <f t="shared" si="9"/>
        <v>String: Free text</v>
      </c>
      <c r="G117" s="97" t="s">
        <v>330</v>
      </c>
      <c r="H117" s="97" t="s">
        <v>333</v>
      </c>
      <c r="I117" s="233"/>
      <c r="J117" s="233"/>
    </row>
    <row r="118" spans="1:10">
      <c r="A118" s="232" t="str">
        <f t="shared" si="10"/>
        <v>B04.00_Governing law of the Master Agreement</v>
      </c>
      <c r="B118" s="97" t="s">
        <v>460</v>
      </c>
      <c r="C118" s="97" t="str">
        <f t="shared" si="11"/>
        <v>B04.00;c0050</v>
      </c>
      <c r="D118" s="97" t="s">
        <v>170</v>
      </c>
      <c r="E118" s="97" t="s">
        <v>558</v>
      </c>
      <c r="F118" s="97" t="str">
        <f t="shared" si="9"/>
        <v>String: ISO 3166-1 alpha 2 / ISO 3166-2</v>
      </c>
      <c r="G118" s="97" t="s">
        <v>330</v>
      </c>
      <c r="H118" s="97" t="s">
        <v>341</v>
      </c>
      <c r="I118" s="233"/>
      <c r="J118" s="233"/>
    </row>
    <row r="119" spans="1:10">
      <c r="A119" s="232" t="str">
        <f t="shared" si="10"/>
        <v>B04.00_Net mark-to-market value</v>
      </c>
      <c r="B119" s="97" t="s">
        <v>460</v>
      </c>
      <c r="C119" s="97" t="str">
        <f t="shared" si="11"/>
        <v>B04.00;c0060</v>
      </c>
      <c r="D119" s="97" t="s">
        <v>172</v>
      </c>
      <c r="E119" s="97" t="s">
        <v>461</v>
      </c>
      <c r="F119" s="97" t="str">
        <f t="shared" si="9"/>
        <v>Numeric: 2 decimals</v>
      </c>
      <c r="G119" s="97" t="s">
        <v>329</v>
      </c>
      <c r="H119" s="97" t="s">
        <v>335</v>
      </c>
      <c r="I119" s="233"/>
      <c r="J119" s="233"/>
    </row>
    <row r="120" spans="1:10">
      <c r="A120" s="232" t="str">
        <f t="shared" si="10"/>
        <v>B04.00_Estimated close-out amount</v>
      </c>
      <c r="B120" s="97" t="s">
        <v>460</v>
      </c>
      <c r="C120" s="97" t="str">
        <f t="shared" si="11"/>
        <v>B04.00;c0070</v>
      </c>
      <c r="D120" s="97" t="s">
        <v>173</v>
      </c>
      <c r="E120" s="97" t="s">
        <v>560</v>
      </c>
      <c r="F120" s="97" t="str">
        <f t="shared" si="9"/>
        <v>Numeric: 2 decimals</v>
      </c>
      <c r="G120" s="97" t="s">
        <v>329</v>
      </c>
      <c r="H120" s="97" t="s">
        <v>335</v>
      </c>
      <c r="I120" s="233"/>
      <c r="J120" s="233"/>
    </row>
    <row r="121" spans="1:10">
      <c r="A121" s="232" t="str">
        <f t="shared" si="10"/>
        <v>B04.00_Estimated early termination amount</v>
      </c>
      <c r="B121" s="97" t="s">
        <v>460</v>
      </c>
      <c r="C121" s="97" t="str">
        <f t="shared" si="11"/>
        <v>B04.00;c0080</v>
      </c>
      <c r="D121" s="97" t="s">
        <v>174</v>
      </c>
      <c r="E121" s="97" t="s">
        <v>561</v>
      </c>
      <c r="F121" s="97" t="str">
        <f t="shared" si="9"/>
        <v>Numeric: 2 decimals</v>
      </c>
      <c r="G121" s="97" t="s">
        <v>329</v>
      </c>
      <c r="H121" s="97" t="s">
        <v>335</v>
      </c>
      <c r="I121" s="233"/>
      <c r="J121" s="233"/>
    </row>
    <row r="122" spans="1:10">
      <c r="A122" s="232" t="str">
        <f t="shared" si="10"/>
        <v>B05.00_Row number</v>
      </c>
      <c r="B122" s="97" t="s">
        <v>516</v>
      </c>
      <c r="C122" s="97" t="str">
        <f t="shared" si="11"/>
        <v>B05.00;c0010</v>
      </c>
      <c r="D122" s="234" t="s">
        <v>165</v>
      </c>
      <c r="E122" s="97" t="s">
        <v>176</v>
      </c>
      <c r="F122" s="97" t="str">
        <f t="shared" si="9"/>
        <v>Numeric: Integer</v>
      </c>
      <c r="G122" s="97" t="s">
        <v>329</v>
      </c>
      <c r="H122" s="97" t="s">
        <v>332</v>
      </c>
      <c r="I122" s="233"/>
      <c r="J122" s="233"/>
    </row>
    <row r="123" spans="1:10">
      <c r="A123" s="232" t="str">
        <f t="shared" si="10"/>
        <v>B05.00_Unique (internal) identifier of the guarantee provided to the Non-Resolution Entity</v>
      </c>
      <c r="B123" s="97" t="s">
        <v>516</v>
      </c>
      <c r="C123" s="97" t="str">
        <f t="shared" si="11"/>
        <v>B05.00;c0020</v>
      </c>
      <c r="D123" s="234" t="s">
        <v>166</v>
      </c>
      <c r="E123" s="97" t="s">
        <v>562</v>
      </c>
      <c r="F123" s="97" t="str">
        <f t="shared" si="9"/>
        <v>String: Free text</v>
      </c>
      <c r="G123" s="97" t="s">
        <v>330</v>
      </c>
      <c r="H123" s="97" t="s">
        <v>333</v>
      </c>
      <c r="I123" s="233"/>
      <c r="J123" s="233"/>
    </row>
    <row r="124" spans="1:10">
      <c r="A124" s="232" t="str">
        <f t="shared" si="10"/>
        <v>B05.00_Governing law</v>
      </c>
      <c r="B124" s="97" t="s">
        <v>516</v>
      </c>
      <c r="C124" s="97" t="str">
        <f t="shared" si="11"/>
        <v>B05.00;c0030</v>
      </c>
      <c r="D124" s="234" t="s">
        <v>167</v>
      </c>
      <c r="E124" s="97" t="s">
        <v>200</v>
      </c>
      <c r="F124" s="97" t="str">
        <f t="shared" si="9"/>
        <v>String: ISO 3166-1 alpha 2 / ISO 3166-2</v>
      </c>
      <c r="G124" s="97" t="s">
        <v>330</v>
      </c>
      <c r="H124" s="97" t="s">
        <v>341</v>
      </c>
      <c r="I124" s="233"/>
      <c r="J124" s="233"/>
    </row>
    <row r="125" spans="1:10">
      <c r="A125" s="232" t="str">
        <f t="shared" si="10"/>
        <v>B05.00_Guarantee fulfils the requirements pursuant to Art. 12g (3) SRMR</v>
      </c>
      <c r="B125" s="97" t="s">
        <v>516</v>
      </c>
      <c r="C125" s="97" t="str">
        <f t="shared" si="11"/>
        <v>B05.00;c0040</v>
      </c>
      <c r="D125" s="97" t="s">
        <v>168</v>
      </c>
      <c r="E125" s="97" t="s">
        <v>563</v>
      </c>
      <c r="F125" s="97" t="str">
        <f t="shared" si="9"/>
        <v>String: TRUE / FALSE boolean</v>
      </c>
      <c r="G125" s="97" t="s">
        <v>330</v>
      </c>
      <c r="H125" s="97" t="s">
        <v>338</v>
      </c>
      <c r="I125" s="233"/>
      <c r="J125" s="233"/>
    </row>
    <row r="126" spans="1:10">
      <c r="A126" s="232" t="str">
        <f t="shared" si="10"/>
        <v>B05.00_Type of guarantee</v>
      </c>
      <c r="B126" s="97" t="s">
        <v>516</v>
      </c>
      <c r="C126" s="97" t="str">
        <f t="shared" si="11"/>
        <v>B05.00;c0050</v>
      </c>
      <c r="D126" s="97" t="s">
        <v>170</v>
      </c>
      <c r="E126" s="97" t="s">
        <v>517</v>
      </c>
      <c r="F126" s="97" t="str">
        <f t="shared" si="9"/>
        <v>String: Drop down</v>
      </c>
      <c r="G126" s="97" t="s">
        <v>330</v>
      </c>
      <c r="H126" s="97" t="s">
        <v>557</v>
      </c>
      <c r="I126" s="233"/>
      <c r="J126" s="233"/>
    </row>
    <row r="127" spans="1:10">
      <c r="A127" s="232" t="str">
        <f t="shared" si="10"/>
        <v xml:space="preserve">B05.00_Maximum amount of the guarantee </v>
      </c>
      <c r="B127" s="97" t="s">
        <v>516</v>
      </c>
      <c r="C127" s="97" t="str">
        <f t="shared" si="11"/>
        <v>B05.00;c0060</v>
      </c>
      <c r="D127" s="97" t="s">
        <v>172</v>
      </c>
      <c r="E127" s="97" t="s">
        <v>518</v>
      </c>
      <c r="F127" s="97" t="str">
        <f t="shared" si="9"/>
        <v>Numeric: 2 decimals</v>
      </c>
      <c r="G127" s="97" t="s">
        <v>329</v>
      </c>
      <c r="H127" s="97" t="s">
        <v>335</v>
      </c>
      <c r="I127" s="233"/>
      <c r="J127" s="233"/>
    </row>
    <row r="128" spans="1:10">
      <c r="A128" s="232" t="str">
        <f t="shared" si="10"/>
        <v>B05.00_Guarantee is secured</v>
      </c>
      <c r="B128" s="97" t="s">
        <v>516</v>
      </c>
      <c r="C128" s="97" t="str">
        <f t="shared" si="11"/>
        <v>B05.00;c0070</v>
      </c>
      <c r="D128" s="97" t="s">
        <v>173</v>
      </c>
      <c r="E128" s="97" t="s">
        <v>519</v>
      </c>
      <c r="F128" s="97" t="str">
        <f t="shared" si="9"/>
        <v>String: Drop down</v>
      </c>
      <c r="G128" s="97" t="s">
        <v>330</v>
      </c>
      <c r="H128" s="97" t="s">
        <v>557</v>
      </c>
      <c r="I128" s="233"/>
      <c r="J128" s="233"/>
    </row>
    <row r="129" spans="1:10">
      <c r="A129" s="232" t="str">
        <f t="shared" si="10"/>
        <v>B05.00_Current value of the collateral</v>
      </c>
      <c r="B129" s="97" t="s">
        <v>516</v>
      </c>
      <c r="C129" s="97" t="str">
        <f t="shared" si="11"/>
        <v>B05.00;c0080</v>
      </c>
      <c r="D129" s="97" t="s">
        <v>174</v>
      </c>
      <c r="E129" s="97" t="s">
        <v>520</v>
      </c>
      <c r="F129" s="97" t="str">
        <f t="shared" si="9"/>
        <v>Numeric: 2 decimals</v>
      </c>
      <c r="G129" s="97" t="s">
        <v>329</v>
      </c>
      <c r="H129" s="97" t="s">
        <v>335</v>
      </c>
      <c r="I129" s="233"/>
      <c r="J129" s="233"/>
    </row>
    <row r="130" spans="1:10">
      <c r="A130" s="232" t="str">
        <f t="shared" si="10"/>
        <v>B05.00_Guarantee trigger</v>
      </c>
      <c r="B130" s="97" t="s">
        <v>516</v>
      </c>
      <c r="C130" s="97" t="str">
        <f t="shared" si="11"/>
        <v>B05.00;c0090</v>
      </c>
      <c r="D130" s="97" t="s">
        <v>175</v>
      </c>
      <c r="E130" s="97" t="s">
        <v>564</v>
      </c>
      <c r="F130" s="97" t="str">
        <f t="shared" si="9"/>
        <v>String: Fixed values</v>
      </c>
      <c r="G130" s="97" t="s">
        <v>330</v>
      </c>
      <c r="H130" s="97" t="s">
        <v>339</v>
      </c>
      <c r="I130" s="233"/>
      <c r="J130" s="233"/>
    </row>
    <row r="131" spans="1:10">
      <c r="A131" s="232" t="str">
        <f t="shared" si="10"/>
        <v>B05.00_Legal maturity date of the collateral</v>
      </c>
      <c r="B131" s="97" t="s">
        <v>516</v>
      </c>
      <c r="C131" s="97" t="str">
        <f t="shared" si="11"/>
        <v>B05.00;c0100</v>
      </c>
      <c r="D131" s="97" t="s">
        <v>257</v>
      </c>
      <c r="E131" s="97" t="s">
        <v>565</v>
      </c>
      <c r="F131" s="97" t="str">
        <f t="shared" si="9"/>
        <v>Date: yyyy-mm-dd</v>
      </c>
      <c r="G131" s="97" t="s">
        <v>331</v>
      </c>
      <c r="H131" s="97" t="s">
        <v>340</v>
      </c>
      <c r="I131" s="233"/>
      <c r="J131" s="233"/>
    </row>
    <row r="132" spans="1:10">
      <c r="A132" s="232" t="str">
        <f t="shared" si="10"/>
        <v>B05.00_Identifier of the securities used as a collateral for the guarantee</v>
      </c>
      <c r="B132" s="97" t="s">
        <v>516</v>
      </c>
      <c r="C132" s="97" t="str">
        <f t="shared" si="11"/>
        <v>B05.00;c0110</v>
      </c>
      <c r="D132" s="97" t="s">
        <v>258</v>
      </c>
      <c r="E132" s="97" t="s">
        <v>566</v>
      </c>
      <c r="F132" s="97" t="str">
        <f t="shared" si="9"/>
        <v>String: Free text</v>
      </c>
      <c r="G132" s="97" t="s">
        <v>330</v>
      </c>
      <c r="H132" s="97" t="s">
        <v>333</v>
      </c>
      <c r="I132" s="233"/>
      <c r="J132" s="233"/>
    </row>
    <row r="133" spans="1:10">
      <c r="A133" s="232" t="str">
        <f t="shared" si="10"/>
        <v>B05.00_Type of collateralization</v>
      </c>
      <c r="B133" s="97" t="s">
        <v>516</v>
      </c>
      <c r="C133" s="97" t="str">
        <f t="shared" si="11"/>
        <v>B05.00;c0120</v>
      </c>
      <c r="D133" s="97" t="s">
        <v>259</v>
      </c>
      <c r="E133" s="97" t="s">
        <v>567</v>
      </c>
      <c r="F133" s="97" t="str">
        <f t="shared" si="9"/>
        <v>String: Free text</v>
      </c>
      <c r="G133" s="97" t="s">
        <v>330</v>
      </c>
      <c r="H133" s="97" t="s">
        <v>333</v>
      </c>
      <c r="I133" s="233"/>
      <c r="J133" s="233"/>
    </row>
    <row r="134" spans="1:10">
      <c r="A134" s="232" t="str">
        <f t="shared" si="10"/>
        <v>B05.00_Value of collateral</v>
      </c>
      <c r="B134" s="97" t="s">
        <v>516</v>
      </c>
      <c r="C134" s="97" t="str">
        <f t="shared" si="11"/>
        <v>B05.00;c0130</v>
      </c>
      <c r="D134" s="97" t="s">
        <v>260</v>
      </c>
      <c r="E134" s="97" t="s">
        <v>568</v>
      </c>
      <c r="F134" s="97" t="str">
        <f t="shared" si="9"/>
        <v>Numeric: 2 decimals</v>
      </c>
      <c r="G134" s="97" t="s">
        <v>329</v>
      </c>
      <c r="H134" s="97" t="s">
        <v>335</v>
      </c>
      <c r="I134" s="233"/>
      <c r="J134" s="233"/>
    </row>
    <row r="135" spans="1:10">
      <c r="A135" s="232" t="str">
        <f t="shared" si="10"/>
        <v xml:space="preserve">B05.00_Type of protection value </v>
      </c>
      <c r="B135" s="97" t="s">
        <v>516</v>
      </c>
      <c r="C135" s="97" t="str">
        <f t="shared" si="11"/>
        <v>B05.00;c0140</v>
      </c>
      <c r="D135" s="97" t="s">
        <v>261</v>
      </c>
      <c r="E135" s="97" t="s">
        <v>569</v>
      </c>
      <c r="F135" s="97" t="str">
        <f t="shared" si="9"/>
        <v>String: Drop down</v>
      </c>
      <c r="G135" s="97" t="s">
        <v>330</v>
      </c>
      <c r="H135" s="97" t="s">
        <v>557</v>
      </c>
      <c r="I135" s="233"/>
      <c r="J135" s="233"/>
    </row>
    <row r="136" spans="1:10">
      <c r="A136" s="232" t="str">
        <f t="shared" si="10"/>
        <v>B05.00_Date of the valuation of the security</v>
      </c>
      <c r="B136" s="97" t="s">
        <v>516</v>
      </c>
      <c r="C136" s="97" t="str">
        <f t="shared" si="11"/>
        <v>B05.00;c0150</v>
      </c>
      <c r="D136" s="97" t="s">
        <v>263</v>
      </c>
      <c r="E136" s="97" t="s">
        <v>570</v>
      </c>
      <c r="F136" s="97" t="str">
        <f t="shared" si="9"/>
        <v>Date: yyyy-mm-dd</v>
      </c>
      <c r="G136" s="97" t="s">
        <v>331</v>
      </c>
      <c r="H136" s="97" t="s">
        <v>340</v>
      </c>
      <c r="I136" s="233"/>
      <c r="J136" s="233"/>
    </row>
    <row r="137" spans="1:10">
      <c r="A137" s="232" t="str">
        <f t="shared" si="10"/>
        <v>B05.00_Protection valuation approach</v>
      </c>
      <c r="B137" s="97" t="s">
        <v>516</v>
      </c>
      <c r="C137" s="97" t="str">
        <f t="shared" si="11"/>
        <v>B05.00;c0160</v>
      </c>
      <c r="D137" s="97" t="s">
        <v>264</v>
      </c>
      <c r="E137" s="97" t="s">
        <v>571</v>
      </c>
      <c r="F137" s="97" t="str">
        <f t="shared" si="9"/>
        <v>String: Drop down</v>
      </c>
      <c r="G137" s="97" t="s">
        <v>330</v>
      </c>
      <c r="H137" s="97" t="s">
        <v>557</v>
      </c>
      <c r="I137" s="233"/>
      <c r="J137" s="233"/>
    </row>
    <row r="138" spans="1:10">
      <c r="A138" s="232" t="str">
        <f t="shared" si="10"/>
        <v>B06.00_Row number</v>
      </c>
      <c r="B138" s="97" t="s">
        <v>572</v>
      </c>
      <c r="C138" s="97" t="str">
        <f t="shared" si="11"/>
        <v>B06.00;c0010</v>
      </c>
      <c r="D138" s="97" t="s">
        <v>165</v>
      </c>
      <c r="E138" s="97" t="s">
        <v>176</v>
      </c>
      <c r="F138" s="97" t="str">
        <f t="shared" si="9"/>
        <v>Numeric: Integer</v>
      </c>
      <c r="G138" s="97" t="s">
        <v>329</v>
      </c>
      <c r="H138" s="97" t="s">
        <v>332</v>
      </c>
      <c r="I138" s="233"/>
      <c r="J138" s="233"/>
    </row>
    <row r="139" spans="1:10">
      <c r="A139" s="232" t="str">
        <f t="shared" si="10"/>
        <v>B06.00_Identifier of the guarantee</v>
      </c>
      <c r="B139" s="97" t="s">
        <v>572</v>
      </c>
      <c r="C139" s="97" t="str">
        <f t="shared" si="11"/>
        <v>B06.00;c0020</v>
      </c>
      <c r="D139" s="97" t="s">
        <v>166</v>
      </c>
      <c r="E139" s="97" t="s">
        <v>573</v>
      </c>
      <c r="F139" s="97" t="str">
        <f t="shared" si="9"/>
        <v>String: Free text</v>
      </c>
      <c r="G139" s="97" t="s">
        <v>330</v>
      </c>
      <c r="H139" s="97" t="s">
        <v>333</v>
      </c>
      <c r="I139" s="233"/>
      <c r="J139" s="233"/>
    </row>
    <row r="140" spans="1:10">
      <c r="A140" s="232" t="str">
        <f t="shared" si="10"/>
        <v>B06.00_Amount of guarantee provided by the Resolution Entity</v>
      </c>
      <c r="B140" s="97" t="s">
        <v>572</v>
      </c>
      <c r="C140" s="97" t="str">
        <f t="shared" si="11"/>
        <v>B06.00;c0030</v>
      </c>
      <c r="D140" s="97" t="s">
        <v>167</v>
      </c>
      <c r="E140" s="97" t="s">
        <v>574</v>
      </c>
      <c r="F140" s="97" t="str">
        <f t="shared" si="9"/>
        <v>Numeric: 2 decimals</v>
      </c>
      <c r="G140" s="97" t="s">
        <v>329</v>
      </c>
      <c r="H140" s="97" t="s">
        <v>335</v>
      </c>
      <c r="I140" s="233"/>
      <c r="J140" s="233"/>
    </row>
    <row r="141" spans="1:10">
      <c r="A141" s="232" t="str">
        <f t="shared" si="10"/>
        <v>B06.00_Amount of the external liabilities</v>
      </c>
      <c r="B141" s="97" t="s">
        <v>572</v>
      </c>
      <c r="C141" s="97" t="str">
        <f t="shared" si="11"/>
        <v>B06.00;c0040</v>
      </c>
      <c r="D141" s="97" t="s">
        <v>168</v>
      </c>
      <c r="E141" s="97" t="s">
        <v>575</v>
      </c>
      <c r="F141" s="97" t="str">
        <f t="shared" si="9"/>
        <v>Numeric: 2 decimals</v>
      </c>
      <c r="G141" s="97" t="s">
        <v>329</v>
      </c>
      <c r="H141" s="97" t="s">
        <v>335</v>
      </c>
      <c r="I141" s="233"/>
      <c r="J141" s="233"/>
    </row>
    <row r="142" spans="1:10">
      <c r="A142" s="232" t="str">
        <f t="shared" si="10"/>
        <v>B06.00_Identifier of the intragroup liability subscribed by the SPV</v>
      </c>
      <c r="B142" s="97" t="s">
        <v>572</v>
      </c>
      <c r="C142" s="97" t="str">
        <f t="shared" si="11"/>
        <v>B06.00;c0050</v>
      </c>
      <c r="D142" s="234" t="s">
        <v>170</v>
      </c>
      <c r="E142" s="97" t="s">
        <v>576</v>
      </c>
      <c r="F142" s="97" t="str">
        <f t="shared" si="9"/>
        <v>String: Free text</v>
      </c>
      <c r="G142" s="97" t="s">
        <v>330</v>
      </c>
      <c r="H142" s="97" t="s">
        <v>333</v>
      </c>
      <c r="I142" s="233"/>
      <c r="J142" s="233"/>
    </row>
    <row r="143" spans="1:10">
      <c r="A143" s="232" t="str">
        <f t="shared" si="10"/>
        <v>B90.00_Row number</v>
      </c>
      <c r="B143" s="97" t="s">
        <v>463</v>
      </c>
      <c r="C143" s="97" t="str">
        <f t="shared" si="11"/>
        <v>B90.00;c0010</v>
      </c>
      <c r="D143" s="97" t="s">
        <v>165</v>
      </c>
      <c r="E143" s="97" t="s">
        <v>176</v>
      </c>
      <c r="F143" s="97" t="str">
        <f t="shared" si="9"/>
        <v>Numeric: Integer</v>
      </c>
      <c r="G143" s="97" t="s">
        <v>329</v>
      </c>
      <c r="H143" s="97" t="s">
        <v>332</v>
      </c>
      <c r="I143" s="233"/>
      <c r="J143" s="233"/>
    </row>
    <row r="144" spans="1:10">
      <c r="A144" s="232" t="str">
        <f t="shared" si="10"/>
        <v>B90.00_Tab of origin</v>
      </c>
      <c r="B144" s="97" t="s">
        <v>463</v>
      </c>
      <c r="C144" s="97" t="str">
        <f t="shared" si="11"/>
        <v>B90.00;c0011</v>
      </c>
      <c r="D144" s="234" t="s">
        <v>352</v>
      </c>
      <c r="E144" s="97" t="s">
        <v>344</v>
      </c>
      <c r="F144" s="97" t="str">
        <f t="shared" si="9"/>
        <v>String: Drop down</v>
      </c>
      <c r="G144" s="97" t="s">
        <v>330</v>
      </c>
      <c r="H144" s="97" t="s">
        <v>557</v>
      </c>
      <c r="I144" s="233"/>
      <c r="J144" s="233"/>
    </row>
    <row r="145" spans="1:10">
      <c r="A145" s="232" t="str">
        <f t="shared" si="10"/>
        <v>B90.00_Unique identification number (known to the counterparty)</v>
      </c>
      <c r="B145" s="97" t="s">
        <v>463</v>
      </c>
      <c r="C145" s="97" t="str">
        <f t="shared" si="11"/>
        <v>B90.00;c0020</v>
      </c>
      <c r="D145" s="97" t="s">
        <v>166</v>
      </c>
      <c r="E145" s="97" t="s">
        <v>178</v>
      </c>
      <c r="F145" s="97" t="str">
        <f t="shared" si="9"/>
        <v>String: Free text</v>
      </c>
      <c r="G145" s="97" t="s">
        <v>330</v>
      </c>
      <c r="H145" s="97" t="s">
        <v>333</v>
      </c>
      <c r="I145" s="233"/>
      <c r="J145" s="233"/>
    </row>
    <row r="146" spans="1:10">
      <c r="A146" s="232" t="str">
        <f t="shared" si="10"/>
        <v xml:space="preserve">B90.00_Counterparty within the resolution group </v>
      </c>
      <c r="B146" s="97" t="s">
        <v>463</v>
      </c>
      <c r="C146" s="97" t="str">
        <f t="shared" si="11"/>
        <v>B90.00;c0030</v>
      </c>
      <c r="D146" s="97" t="s">
        <v>167</v>
      </c>
      <c r="E146" s="97" t="s">
        <v>464</v>
      </c>
      <c r="F146" s="97" t="str">
        <f t="shared" si="9"/>
        <v>String: Drop-down</v>
      </c>
      <c r="G146" s="97" t="s">
        <v>330</v>
      </c>
      <c r="H146" s="97" t="s">
        <v>337</v>
      </c>
      <c r="I146" s="233"/>
      <c r="J146" s="233"/>
    </row>
    <row r="147" spans="1:10">
      <c r="A147" s="232" t="str">
        <f t="shared" si="10"/>
        <v>B90.00_Counterparty name</v>
      </c>
      <c r="B147" s="97" t="s">
        <v>463</v>
      </c>
      <c r="C147" s="97" t="str">
        <f t="shared" si="11"/>
        <v>B90.00;c0040</v>
      </c>
      <c r="D147" s="97" t="s">
        <v>168</v>
      </c>
      <c r="E147" s="97" t="s">
        <v>346</v>
      </c>
      <c r="F147" s="97" t="str">
        <f t="shared" si="9"/>
        <v>String: Free text</v>
      </c>
      <c r="G147" s="97" t="s">
        <v>330</v>
      </c>
      <c r="H147" s="97" t="s">
        <v>333</v>
      </c>
      <c r="I147" s="97" t="s">
        <v>544</v>
      </c>
      <c r="J147" s="233"/>
    </row>
    <row r="148" spans="1:10">
      <c r="A148" s="232" t="str">
        <f t="shared" si="10"/>
        <v>B90.00_Counterparty identifier (preferably LEI)</v>
      </c>
      <c r="B148" s="97" t="s">
        <v>463</v>
      </c>
      <c r="C148" s="97" t="str">
        <f t="shared" si="11"/>
        <v>B90.00;c0050</v>
      </c>
      <c r="D148" s="97" t="s">
        <v>170</v>
      </c>
      <c r="E148" s="97" t="s">
        <v>347</v>
      </c>
      <c r="F148" s="97" t="str">
        <f t="shared" ref="F148:F153" si="12">CONCATENATE(G148,": ",H148)</f>
        <v>String: Free text</v>
      </c>
      <c r="G148" s="97" t="s">
        <v>330</v>
      </c>
      <c r="H148" s="97" t="s">
        <v>333</v>
      </c>
      <c r="I148" s="97" t="s">
        <v>544</v>
      </c>
      <c r="J148" s="233"/>
    </row>
    <row r="149" spans="1:10">
      <c r="A149" s="232" t="str">
        <f t="shared" ref="A149:A153" si="13">CONCATENATE(B149,"_",E149)</f>
        <v>B90.00_Type of counterparty identifier</v>
      </c>
      <c r="B149" s="97" t="s">
        <v>463</v>
      </c>
      <c r="C149" s="97" t="str">
        <f t="shared" ref="C149:C153" si="14">CONCATENATE(B149,";c",D149)</f>
        <v>B90.00;c0060</v>
      </c>
      <c r="D149" s="97" t="s">
        <v>172</v>
      </c>
      <c r="E149" s="97" t="s">
        <v>348</v>
      </c>
      <c r="F149" s="97" t="str">
        <f t="shared" si="12"/>
        <v>String: Free text, but fixed values for specific items</v>
      </c>
      <c r="G149" s="97" t="s">
        <v>330</v>
      </c>
      <c r="H149" s="97" t="s">
        <v>334</v>
      </c>
      <c r="I149" s="97" t="s">
        <v>544</v>
      </c>
      <c r="J149" s="233"/>
    </row>
    <row r="150" spans="1:10">
      <c r="A150" s="232" t="str">
        <f t="shared" si="13"/>
        <v>B90.00_Internal identifier of the counterparty</v>
      </c>
      <c r="B150" s="97" t="s">
        <v>463</v>
      </c>
      <c r="C150" s="97" t="str">
        <f t="shared" si="14"/>
        <v>B90.00;c0070</v>
      </c>
      <c r="D150" s="97" t="s">
        <v>173</v>
      </c>
      <c r="E150" s="97" t="s">
        <v>349</v>
      </c>
      <c r="F150" s="97" t="str">
        <f t="shared" si="12"/>
        <v>String: Free text</v>
      </c>
      <c r="G150" s="97" t="s">
        <v>330</v>
      </c>
      <c r="H150" s="97" t="s">
        <v>333</v>
      </c>
      <c r="I150" s="97" t="s">
        <v>544</v>
      </c>
      <c r="J150" s="233"/>
    </row>
    <row r="151" spans="1:10">
      <c r="A151" s="232" t="str">
        <f t="shared" si="13"/>
        <v>B90.00_Counterparty type</v>
      </c>
      <c r="B151" s="97" t="s">
        <v>463</v>
      </c>
      <c r="C151" s="97" t="str">
        <f t="shared" si="14"/>
        <v>B90.00;c0080</v>
      </c>
      <c r="D151" s="97" t="s">
        <v>174</v>
      </c>
      <c r="E151" s="97" t="s">
        <v>350</v>
      </c>
      <c r="F151" s="97" t="str">
        <f t="shared" si="12"/>
        <v>String: Drop-down</v>
      </c>
      <c r="G151" s="97" t="s">
        <v>330</v>
      </c>
      <c r="H151" s="97" t="s">
        <v>337</v>
      </c>
      <c r="I151" s="97" t="s">
        <v>544</v>
      </c>
      <c r="J151" s="233"/>
    </row>
    <row r="152" spans="1:10">
      <c r="A152" s="232" t="str">
        <f t="shared" si="13"/>
        <v>B90.00_Country of the counterparty</v>
      </c>
      <c r="B152" s="97" t="s">
        <v>463</v>
      </c>
      <c r="C152" s="97" t="str">
        <f t="shared" si="14"/>
        <v>B90.00;c0090</v>
      </c>
      <c r="D152" s="97" t="s">
        <v>175</v>
      </c>
      <c r="E152" s="97" t="s">
        <v>351</v>
      </c>
      <c r="F152" s="97" t="str">
        <f t="shared" si="12"/>
        <v xml:space="preserve">String: ISO 3166-1 </v>
      </c>
      <c r="G152" s="97" t="s">
        <v>330</v>
      </c>
      <c r="H152" s="97" t="s">
        <v>353</v>
      </c>
      <c r="I152" s="97" t="s">
        <v>577</v>
      </c>
      <c r="J152" s="233"/>
    </row>
    <row r="153" spans="1:10">
      <c r="A153" s="232" t="str">
        <f t="shared" si="13"/>
        <v>B90.00_Relevant amount for Bail-in/WDC</v>
      </c>
      <c r="B153" s="97" t="s">
        <v>463</v>
      </c>
      <c r="C153" s="97" t="str">
        <f t="shared" si="14"/>
        <v>B90.00;c0100</v>
      </c>
      <c r="D153" s="234" t="s">
        <v>257</v>
      </c>
      <c r="E153" s="97" t="s">
        <v>188</v>
      </c>
      <c r="F153" s="97" t="str">
        <f t="shared" si="12"/>
        <v>Numeric: 2 decimals</v>
      </c>
      <c r="G153" s="97" t="s">
        <v>329</v>
      </c>
      <c r="H153" s="97" t="s">
        <v>335</v>
      </c>
      <c r="I153" s="233"/>
      <c r="J153" s="233"/>
    </row>
  </sheetData>
  <autoFilter ref="A1:J153"/>
  <pageMargins left="0.7" right="0.7" top="0.75" bottom="0.75" header="0.3" footer="0.3"/>
  <pageSetup orientation="portrait" r:id="rId1"/>
  <headerFooter>
    <oddHeader>&amp;L&amp;"Calibri"&amp;10&amp;K000000Confidential&amp;1#_x000D_&amp;"Calibri"&amp;11&amp;K000000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0b91f8ae2242d586332765a1ede4a52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23bb2f5e9caa679000e507973eba19cf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52B2AB-DB18-4926-BBBC-A0BB4E911218}"/>
</file>

<file path=customXml/itemProps2.xml><?xml version="1.0" encoding="utf-8"?>
<ds:datastoreItem xmlns:ds="http://schemas.openxmlformats.org/officeDocument/2006/customXml" ds:itemID="{CC06B9A6-1AF8-41DA-9C3A-0D8AD36A39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9F497E-AAFE-4F33-944E-3CFEC3CDFC86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09d3dac3-f296-4107-b579-4b1e37be6169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5ad20f8b-9281-4829-a9aa-2b5a878ba2cc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BA_BST individual (ifrs9)</vt:lpstr>
      <vt:lpstr>EMISSÕES</vt:lpstr>
      <vt:lpstr>MBDT -----&gt;</vt:lpstr>
      <vt:lpstr>B9900</vt:lpstr>
      <vt:lpstr>VALIDATIONS -----&gt;</vt:lpstr>
      <vt:lpstr>Lists</vt:lpstr>
      <vt:lpstr>Sheet13</vt:lpstr>
      <vt:lpstr>B0200</vt:lpstr>
      <vt:lpstr>B9000</vt:lpstr>
      <vt:lpstr>VALIDATIONS</vt:lpstr>
      <vt:lpstr>Level 1 Guidance</vt:lpstr>
      <vt:lpstr>Aux Validations</vt:lpstr>
      <vt:lpstr>Level 2 Guidance</vt:lpstr>
      <vt:lpstr>Data types</vt:lpstr>
      <vt:lpstr>'BA_BST individual (ifrs9)'!Print_Area</vt:lpstr>
      <vt:lpstr>EMISSÕES!Print_Area</vt:lpstr>
      <vt:lpstr>EMISSÕES!Print_Titles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Nuno Capelão Mendes</dc:creator>
  <cp:lastModifiedBy>Luís Filipe da Silva Pragosa</cp:lastModifiedBy>
  <dcterms:created xsi:type="dcterms:W3CDTF">2025-09-22T08:43:27Z</dcterms:created>
  <dcterms:modified xsi:type="dcterms:W3CDTF">2025-09-23T09:12:25Z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2025-09-23T09:12:11Z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9fb1ef08-cb5e-4ae0-a168-3533d45e1c11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