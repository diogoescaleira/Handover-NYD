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Coord_Financeira_Arquivo\9999_12_RESOLUCAO\Resolution Pack\WORKING LINES\BAIL IN\"/>
    </mc:Choice>
  </mc:AlternateContent>
  <bookViews>
    <workbookView xWindow="0" yWindow="0" windowWidth="19200" windowHeight="11430" tabRatio="906"/>
  </bookViews>
  <sheets>
    <sheet name="Resumo" sheetId="6" r:id="rId1"/>
    <sheet name="Notas" sheetId="7" r:id="rId2"/>
    <sheet name="IDENTIFICATION" sheetId="1" r:id="rId3"/>
    <sheet name="OWN FUNDS" sheetId="2" r:id="rId4"/>
    <sheet name="AMOUNTS" sheetId="3" r:id="rId5"/>
    <sheet name="INVESTOR CREDITOR" sheetId="4" r:id="rId6"/>
    <sheet name="GUARANTEES" sheetId="5" r:id="rId7"/>
  </sheets>
  <definedNames>
    <definedName name="_xlnm._FilterDatabase" localSheetId="4" hidden="1">AMOUNTS!$A$1:$B$9</definedName>
    <definedName name="_xlnm._FilterDatabase" localSheetId="6" hidden="1">GUARANTEES!$A$1:$B$19</definedName>
    <definedName name="_xlnm._FilterDatabase" localSheetId="2" hidden="1">IDENTIFICATION!$A$1:$B$14</definedName>
    <definedName name="_xlnm._FilterDatabase" localSheetId="5" hidden="1">'INVESTOR CREDITOR'!$A$1:$B$7</definedName>
    <definedName name="_xlnm._FilterDatabase" localSheetId="3" hidden="1">'OWN FUNDS'!$A$1:$B$9</definedName>
    <definedName name="_xlnm._FilterDatabase" localSheetId="0" hidden="1">Resumo!$A$1:$A$6</definedName>
    <definedName name="_Toc51154475" localSheetId="4">AMOUNTS!$A$1</definedName>
    <definedName name="_Toc51154475" localSheetId="6">GUARANTEES!$A$1</definedName>
    <definedName name="_Toc51154475" localSheetId="2">IDENTIFICATION!$A$1</definedName>
    <definedName name="_Toc51154475" localSheetId="5">'INVESTOR CREDITOR'!$A$1</definedName>
    <definedName name="_Toc51154475" localSheetId="3">'OWN FUNDS'!$A$1</definedName>
    <definedName name="_Toc51154475" localSheetId="0">Resumo!#REF!</definedName>
    <definedName name="_Toc51154476" localSheetId="4">AMOUNTS!#REF!</definedName>
    <definedName name="_Toc51154476" localSheetId="6">GUARANTEES!#REF!</definedName>
    <definedName name="_Toc51154476" localSheetId="2">IDENTIFICATION!#REF!</definedName>
    <definedName name="_Toc51154476" localSheetId="5">'INVESTOR CREDITOR'!#REF!</definedName>
    <definedName name="_Toc51154476" localSheetId="3">'OWN FUNDS'!#REF!</definedName>
    <definedName name="_Toc51154476" localSheetId="0">Resumo!#REF!</definedName>
    <definedName name="_Toc51154477" localSheetId="4">AMOUNTS!#REF!</definedName>
    <definedName name="_Toc51154477" localSheetId="6">GUARANTEES!#REF!</definedName>
    <definedName name="_Toc51154477" localSheetId="2">IDENTIFICATION!#REF!</definedName>
    <definedName name="_Toc51154477" localSheetId="5">'INVESTOR CREDITOR'!#REF!</definedName>
    <definedName name="_Toc51154477" localSheetId="3">'OWN FUNDS'!#REF!</definedName>
    <definedName name="_Toc51154477" localSheetId="0">Resumo!#REF!</definedName>
    <definedName name="_Toc51154478" localSheetId="4">AMOUNTS!#REF!</definedName>
    <definedName name="_Toc51154478" localSheetId="6">GUARANTEES!#REF!</definedName>
    <definedName name="_Toc51154478" localSheetId="2">IDENTIFICATION!#REF!</definedName>
    <definedName name="_Toc51154478" localSheetId="5">'INVESTOR CREDITOR'!#REF!</definedName>
    <definedName name="_Toc51154478" localSheetId="3">'OWN FUNDS'!#REF!</definedName>
    <definedName name="_Toc51154478" localSheetId="0">Resumo!#REF!</definedName>
    <definedName name="_Toc51154479" localSheetId="4">AMOUNTS!#REF!</definedName>
    <definedName name="_Toc51154479" localSheetId="6">GUARANTEES!#REF!</definedName>
    <definedName name="_Toc51154479" localSheetId="2">IDENTIFICATION!#REF!</definedName>
    <definedName name="_Toc51154479" localSheetId="5">'INVESTOR CREDITOR'!#REF!</definedName>
    <definedName name="_Toc51154479" localSheetId="3">'OWN FUNDS'!#REF!</definedName>
    <definedName name="_Toc51154479" localSheetId="0">Resumo!#REF!</definedName>
    <definedName name="_Toc51154480" localSheetId="4">AMOUNTS!#REF!</definedName>
    <definedName name="_Toc51154480" localSheetId="6">GUARANTEES!#REF!</definedName>
    <definedName name="_Toc51154480" localSheetId="2">IDENTIFICATION!#REF!</definedName>
    <definedName name="_Toc51154480" localSheetId="5">'INVESTOR CREDITOR'!#REF!</definedName>
    <definedName name="_Toc51154480" localSheetId="3">'OWN FUNDS'!#REF!</definedName>
    <definedName name="_Toc51154480" localSheetId="0">Resumo!#REF!</definedName>
    <definedName name="_Toc51154482" localSheetId="4">AMOUNTS!#REF!</definedName>
    <definedName name="_Toc51154482" localSheetId="6">GUARANTEES!#REF!</definedName>
    <definedName name="_Toc51154482" localSheetId="2">IDENTIFICATION!#REF!</definedName>
    <definedName name="_Toc51154482" localSheetId="5">'INVESTOR CREDITOR'!#REF!</definedName>
    <definedName name="_Toc51154482" localSheetId="3">'OWN FUNDS'!#REF!</definedName>
    <definedName name="_Toc51154482" localSheetId="0">Resumo!#REF!</definedName>
    <definedName name="_Toc51154483" localSheetId="4">AMOUNTS!#REF!</definedName>
    <definedName name="_Toc51154483" localSheetId="6">GUARANTEES!#REF!</definedName>
    <definedName name="_Toc51154483" localSheetId="2">IDENTIFICATION!#REF!</definedName>
    <definedName name="_Toc51154483" localSheetId="5">'INVESTOR CREDITOR'!#REF!</definedName>
    <definedName name="_Toc51154483" localSheetId="3">'OWN FUNDS'!#REF!</definedName>
    <definedName name="_Toc51154483" localSheetId="0">Resumo!#REF!</definedName>
    <definedName name="_Toc51154484" localSheetId="4">AMOUNTS!#REF!</definedName>
    <definedName name="_Toc51154484" localSheetId="6">GUARANTEES!#REF!</definedName>
    <definedName name="_Toc51154484" localSheetId="2">IDENTIFICATION!#REF!</definedName>
    <definedName name="_Toc51154484" localSheetId="5">'INVESTOR CREDITOR'!#REF!</definedName>
    <definedName name="_Toc51154484" localSheetId="3">'OWN FUNDS'!#REF!</definedName>
    <definedName name="_Toc51154484" localSheetId="0">Resumo!#REF!</definedName>
    <definedName name="_Toc51154485" localSheetId="4">AMOUNTS!#REF!</definedName>
    <definedName name="_Toc51154485" localSheetId="6">GUARANTEES!#REF!</definedName>
    <definedName name="_Toc51154485" localSheetId="2">IDENTIFICATION!#REF!</definedName>
    <definedName name="_Toc51154485" localSheetId="5">'INVESTOR CREDITOR'!#REF!</definedName>
    <definedName name="_Toc51154485" localSheetId="3">'OWN FUNDS'!#REF!</definedName>
    <definedName name="_Toc51154485" localSheetId="0">Resumo!#REF!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3" i="7" l="1"/>
  <c r="A4" i="7" s="1"/>
  <c r="A3" i="1" l="1"/>
  <c r="A4" i="1" s="1"/>
  <c r="A5" i="1" s="1"/>
  <c r="A6" i="1" s="1"/>
  <c r="A7" i="1" s="1"/>
  <c r="A8" i="1" s="1"/>
  <c r="A9" i="1" s="1"/>
  <c r="A10" i="1" s="1"/>
  <c r="A11" i="1" s="1"/>
  <c r="A12" i="1" s="1"/>
  <c r="A13" i="1" s="1"/>
  <c r="A14" i="1" s="1"/>
</calcChain>
</file>

<file path=xl/sharedStrings.xml><?xml version="1.0" encoding="utf-8"?>
<sst xmlns="http://schemas.openxmlformats.org/spreadsheetml/2006/main" count="294" uniqueCount="187">
  <si>
    <t>SRB_ID</t>
  </si>
  <si>
    <t>Data Point</t>
  </si>
  <si>
    <t>Atributo</t>
  </si>
  <si>
    <t>Definição</t>
  </si>
  <si>
    <t>1. DATA POINTS FOR IDENTIFICATION</t>
  </si>
  <si>
    <t xml:space="preserve">Legal entity </t>
  </si>
  <si>
    <t>[Entity name]</t>
  </si>
  <si>
    <t>Name of the subsidiary. Free-form text identification of incorporation name of the entity for which the table is reported. Please state the official name as it is listed in corporate acts, including the indication of the incorporation form.</t>
  </si>
  <si>
    <t>Legal entity identifier</t>
  </si>
  <si>
    <t>[LEI code]</t>
  </si>
  <si>
    <t>LEI code (unique code) identifying the reporting entity.</t>
  </si>
  <si>
    <t xml:space="preserve">Unique identification number for the liability </t>
  </si>
  <si>
    <t>[ISIN/Specific ID]</t>
  </si>
  <si>
    <t>ID provided by the resolution entity for a  liability (e.g. ISIN, contract number, account number).</t>
  </si>
  <si>
    <t>Nature of the instrument</t>
  </si>
  <si>
    <t>[e.g. bond, shares, reserves, contingent liability]</t>
  </si>
  <si>
    <t>Information on the nature of the liability</t>
  </si>
  <si>
    <t>Jurisdiction governing the contract of the claim</t>
  </si>
  <si>
    <t>[e.g. FR, IT]</t>
  </si>
  <si>
    <t>ISO 3166-1 alpha 2-country code. The name of the country whose law governs the instrument. If the contract is governed by the law of more than one country, the jurisdiction, which has the highest relevance for the recognition of write down and conversion powers shall be reported. If required, IRT might also request the ISO 3166-2 to ensure more granular information (e.g. state level).</t>
  </si>
  <si>
    <t>Contract currency</t>
  </si>
  <si>
    <t>[e.g. EUR, USD]</t>
  </si>
  <si>
    <t>ISO 4217 currency code. The currency in which the instrument is issued.</t>
  </si>
  <si>
    <t>Issuance Date</t>
  </si>
  <si>
    <t>[date]</t>
  </si>
  <si>
    <t>Date of the original issuance of the instrument</t>
  </si>
  <si>
    <t>Legal Maturity Date</t>
  </si>
  <si>
    <t>Date of the legal, final maturity of the instrument. For perpetual instruments, this should be ‘2099-01-31’.</t>
  </si>
  <si>
    <t>Earliest redemption date</t>
  </si>
  <si>
    <t>If an option exists for the holders of the instrument to request early reimbursement, or conditions for early reimbursement are contractually foreseen, the earliest occurrence date should be completed. If the early reimbursement relates to only a portion of the liability (e.g. early reimbursement of 50% of the nominal amount), the liability should be split to take into account this partial early redemption clause.</t>
  </si>
  <si>
    <t>Date of the next interest payment</t>
  </si>
  <si>
    <t>The payment date from which the income distribution is made available for payment by the bank.</t>
  </si>
  <si>
    <t>Outstanding amount</t>
  </si>
  <si>
    <t>[Euro amount]</t>
  </si>
  <si>
    <t>The amount is the aggregate of the outstanding principal amount as at the request date plus, if applicable, interest accrued up to the request date and fees and charges, irrespective of whether and to what extent the relevant principal, interest or fees and charges liability was already due as at the request date and whether it is required to be recognised as an item of liabilities in the balance sheet of the subsidiary of the resolution entity prepared in accordance with the applicable accounting principles.</t>
  </si>
  <si>
    <t>Rank of liability within the bail-in cascade</t>
  </si>
  <si>
    <t>[number]</t>
  </si>
  <si>
    <t>Rank of liability according to the national insolvency ranking.</t>
  </si>
  <si>
    <t>Is the instrument structurally subordinated</t>
  </si>
  <si>
    <t>[yes/no]</t>
  </si>
  <si>
    <t>Flag to identify if a liability is issued to or bought by an existing shareholder that is not part of the same resolution group according to Article 12g(2)a point i SRMR.</t>
  </si>
  <si>
    <t>2. DATA POINTS FOR LINK WITH OWN FUNDS</t>
  </si>
  <si>
    <t>Type of own funds at point of entry (PoE) level</t>
  </si>
  <si>
    <t>[acc. LDR guidance]</t>
  </si>
  <si>
    <t>According to existing LDR guidance value can be ‘CET1’, ‘Fully Compliant AT1’, ‘Grandfathered AT1’, ‘Fully Compliant T2’, ‘Grandfathered T2’, ‘T2 in phase-out’ or ‘Partially AT1 and T2’.</t>
  </si>
  <si>
    <t>Amount eligible as own funds at PoE level</t>
  </si>
  <si>
    <t>The actual amount in EUR of the instrument qualifying as own funds, taking into account phase-out as applicable.</t>
  </si>
  <si>
    <t>Amount of subordinated liabilities not eligible as own funds at PoE level</t>
  </si>
  <si>
    <t>The actual amount in EUR of the subordinated debt instrument not qualifying as own funds</t>
  </si>
  <si>
    <t xml:space="preserve">If liability is, at the level of the resolution entity and/ or consolidated (CON) level, assigned to more than one own funds component </t>
  </si>
  <si>
    <t>[AT1/T2]</t>
  </si>
  <si>
    <t>This data point is requested for the case that the liability is assigned to more than one own funds component and is needed to calculate the impact of the write-down and conversion powers / bail-in tool on the own funds.</t>
  </si>
  <si>
    <t>Eligible amount for own funds component according to point above</t>
  </si>
  <si>
    <t>This data point is requested for the case that not the full amount of the liability is eligible as own funds.</t>
  </si>
  <si>
    <t>If own funds, agio of the liability/instrument</t>
  </si>
  <si>
    <t>To the extent relevant under (national) GAAP, bond premium classified in capital reserves.</t>
  </si>
  <si>
    <t>Carrying amount IFRS</t>
  </si>
  <si>
    <t>To the extent relevant for the bank, carrying amount under IFRS.</t>
  </si>
  <si>
    <t>Carrying amount national GAAP</t>
  </si>
  <si>
    <t>Carrying amount under national GAAP</t>
  </si>
  <si>
    <t>3. DATA POINTS FOR AMOUNTS REQUIRED FOR CALCULATION</t>
  </si>
  <si>
    <t>Original amount issued in EUR</t>
  </si>
  <si>
    <t>Original amount issued in EUR.</t>
  </si>
  <si>
    <t>Original amount issued in foreign currency</t>
  </si>
  <si>
    <t>[Amount in FX]</t>
  </si>
  <si>
    <t>Original amount issued in foreign currency.</t>
  </si>
  <si>
    <t>Outstanding principal amount</t>
  </si>
  <si>
    <t>Value of the outstanding principal amount of the instrument.</t>
  </si>
  <si>
    <t>Accrued interest</t>
  </si>
  <si>
    <t>Value of the outstanding accrued interest on the instrument.</t>
  </si>
  <si>
    <t>Relevant amount for write-down/conversion</t>
  </si>
  <si>
    <t>Amount eligible for calculation of write-down / conversion rate. Defined as the outstanding amount of the liability (including accrued interest) less existing components not subject to write-down / conversion power according to Article 21 SRMR. In jurisdictions where accrued interest may not rank pari passu to the liability amount, jurisdictions may want to request reporting of interest accruals on separate line items</t>
  </si>
  <si>
    <t xml:space="preserve">Portion of the liability held by the resolution entity </t>
  </si>
  <si>
    <t>Portion of the liability held by the subsidiary itself as principal amount plus accrued interest and fees and charges (if applicable)</t>
  </si>
  <si>
    <t>Instrument/liability meets the requirements of Article 21(7a) SRMR</t>
  </si>
  <si>
    <t>Flag to identify if a liability fulfils the criteria laid down in Article 21(7)a SRMR (conditions referred to in point (a) of Article 12g(2) SRMR, except the condition related to the remaining maturity of liabilities as set out in Article 72c(1) CRR).</t>
  </si>
  <si>
    <t>Applicable fees and charges</t>
  </si>
  <si>
    <t>Total amount of applicable fees and charges (e.g. contractual fees for late payments) linked to the instrument, if the fee or charge is payable and due, but not yet settled with the counterparty as of the request date. This is to the extent that the fee or charge is not covered within the outstanding principal amount or the accrued interest or a separate liability. Fees and charges do not comprise agios or fees in conjunction with the listing of an instrument.</t>
  </si>
  <si>
    <t>4. DATA POINTS FOR INFORMATION ON THE INVESTOR/CREDITOR</t>
  </si>
  <si>
    <t>Country of contracting party</t>
  </si>
  <si>
    <t>[Country Code]</t>
  </si>
  <si>
    <t>Home State of the counterparty (investor/creditor).</t>
  </si>
  <si>
    <t>Tax residence of contracting party</t>
  </si>
  <si>
    <t>Tax residence of the counterparty (investor/creditor), if Home State of the counterparty is not available.</t>
  </si>
  <si>
    <t xml:space="preserve">Name of contracting party </t>
  </si>
  <si>
    <t>[Name]</t>
  </si>
  <si>
    <t>The name of the investor/creditor</t>
  </si>
  <si>
    <t>Identifier of contracting party</t>
  </si>
  <si>
    <t>[LEI code/MFI ID/ Other ID]</t>
  </si>
  <si>
    <t>Please report the creditor’s LEI code, issued by the Global Legal Entity Identifier Foundation and recommended by the FSB. In the absence of a LEI code, the ECB Monetary Financial Institutions identifier (MFI ID) used in RIAD should be reported. Exclusively in absence of both these identifiers, other identifier could be reported (there should be only one unique identifier used per counterparty).</t>
  </si>
  <si>
    <t>Counterparty type</t>
  </si>
  <si>
    <t>Drop-down: Households (1) Non-financial corporations (SMEs) (2) Non-financial corporations (non-SMEs) (3) Credit institutions (4) Other financial corporations (5) General governments &amp; Central banks (6) Non-identified counterparties (listed on an exchange platform) (7) Non identified, not listed on an exchange platform. (8)</t>
  </si>
  <si>
    <t>Counterparty of the liability, i.e. households, non-financial corporations (SMEs), non-financial corporations (non-SMEs), Credit institutions, Other financial corporations, General governments &amp; Central banks, non-identified counterparties (listed on an exchange platform) or others.</t>
  </si>
  <si>
    <t>Counterparty within the resolution group</t>
  </si>
  <si>
    <t>Drop-down: - Intragroup and intra-resolution group (1) - Intragroup but not intra-resolution group (2) - No</t>
  </si>
  <si>
    <t>Flag whether the counterparty is part of the resolution group.</t>
  </si>
  <si>
    <t>5. DATA POINTS FOR GUARANTEES</t>
  </si>
  <si>
    <t>Identifier of the guarantee issued by the resolution entity, which is owed to the subsidiary/affiliated entity</t>
  </si>
  <si>
    <t>[Internal identification number]</t>
  </si>
  <si>
    <t>Identification number of the guaranteed liability in the group entity.</t>
  </si>
  <si>
    <t>Group counterparty identifier</t>
  </si>
  <si>
    <t>[LEI of the counterparty]</t>
  </si>
  <si>
    <t>LEI of the resolution entity or other entities of the group providing the guarantees.</t>
  </si>
  <si>
    <t>Amount of the guarantee provided by the resolution entity or other entities of the group, which is owed to the subsidiary/affiliated entity</t>
  </si>
  <si>
    <t>Outstanding amount guaranteed by the resolution entity</t>
  </si>
  <si>
    <t>Maximum amount of the guarantee</t>
  </si>
  <si>
    <t>Maximum amount guaranteed by the resolution entity.</t>
  </si>
  <si>
    <t>Type of guarantee</t>
  </si>
  <si>
    <t>Drop down: - Issuance (1) - Counterparty (2) - Unlimited (3) - Other (4)</t>
  </si>
  <si>
    <t>The type of guarantee from a  predefined list, either: - ‘Issuance’ for guarantees on specific instruments/liabilities that have been issued; - ‘Counterparty’ for guarantees granted to a  specific counterparty of the institution; - ‘Unlimited’ for general guarantees not limited to a fixed amount; - ‘Other types of guarantee than issuance guarantees, counterparty guarantees and unlimited guarantees’.</t>
  </si>
  <si>
    <t>Guarantee Trigger</t>
  </si>
  <si>
    <t>Drop down: - Default (1) - Solvency-related (2) - Liquidity-related (3) - Other (4)</t>
  </si>
  <si>
    <t>Provide the type of event triggering the activation of the guarantee/financial support, i.e. the event enabling the right for the counterparty to execute the guarantee, either ‘Default’, ‘Solvency-related’, Liquidity related’ or ‘Other’ from a predefined list.</t>
  </si>
  <si>
    <t>Guarantee fulfils the requirements pursuant to Article 12g(3) SRMR</t>
  </si>
  <si>
    <t>[Yes/No]</t>
  </si>
  <si>
    <t>Guarantee fulfils the requirements pursuant to Article 12g(3) SRMR. “Yes” should be selected only if the SRB officially recognised that all necessary requirements have been fulfilled</t>
  </si>
  <si>
    <t>Percentage of collateralisation of the guarantee provided by the resolution entity through a financial collateral arrangement</t>
  </si>
  <si>
    <t>[% of Euro amount]</t>
  </si>
  <si>
    <t>A financial collateral arrangement means a title transfer financial collateral arrangement or a security financial collateral arrangement whether or not these are covered by a master agreement or general terms and conditions.</t>
  </si>
  <si>
    <t>Issuance Date of the collateral</t>
  </si>
  <si>
    <t>Date of the original issuance of the collateral.</t>
  </si>
  <si>
    <t>Legal Maturity date</t>
  </si>
  <si>
    <t>Date of the legal, final maturity of the collateral.</t>
  </si>
  <si>
    <t>Identifier of the securities used as a collateral for the guarantee</t>
  </si>
  <si>
    <t>Identification number of the securities used as collateral for the guarantee.</t>
  </si>
  <si>
    <t>Collateralisation by assets of the resolution entity</t>
  </si>
  <si>
    <t>Identifier of whether liability has been collateralised by assets of the institution under resolution itself.</t>
  </si>
  <si>
    <t>Location of the security</t>
  </si>
  <si>
    <t>ISO 3166-1 alpha 2 country code (ISO 3166-1 alpha-2 codes of the country where the security is located).</t>
  </si>
  <si>
    <t xml:space="preserve">Type of collateralisation </t>
  </si>
  <si>
    <t>[e.g. securities, loans]</t>
  </si>
  <si>
    <t>Specify type of collateral as defined per Article 12g(3)(f) of SRMR and Article 197 CRR2.</t>
  </si>
  <si>
    <t>Value of collateral</t>
  </si>
  <si>
    <t>The amount of the value of the collateral as determined for the relevant ‘type of collateral value’. For unsecured liabilities, this category shall be reported as zero.</t>
  </si>
  <si>
    <t xml:space="preserve">Type of protection value </t>
  </si>
  <si>
    <t>Drop-down: - Notional amount (1) - Fair value (2) - Market value (3) - Long-term sustainable value (4) - Other protection value (5)</t>
  </si>
  <si>
    <t>Identification of the type of value as it appears in the data attribute ‘Value of collateral’.</t>
  </si>
  <si>
    <t>Date of the value of the security</t>
  </si>
  <si>
    <t>The date on which the most recent estimate or valuation of the collateral was carried out before the reporting reference date</t>
  </si>
  <si>
    <t>Protection valuation approach</t>
  </si>
  <si>
    <t>Drop-down: - Mark-to-market valuation (1) - Counterparty estimation (2) - Creditor valuation (3) - Third party valuation (4)</t>
  </si>
  <si>
    <t>The type of collateral assessment to determine their fair value.</t>
  </si>
  <si>
    <t>Data-sets</t>
  </si>
  <si>
    <t>Comentário</t>
  </si>
  <si>
    <t>Campo Fixo - "Banco Santander Totta S.A."</t>
  </si>
  <si>
    <t>Campo Fixo - "549300URJH9VSI58CS32"</t>
  </si>
  <si>
    <t>Code list dependendo do produto</t>
  </si>
  <si>
    <t>Tabela Data Lake</t>
  </si>
  <si>
    <t>Campo Data Lake</t>
  </si>
  <si>
    <t xml:space="preserve">Code list dependendo do produto </t>
  </si>
  <si>
    <t>AL029_CNT_CORE / AL030_SLD_CORE_M</t>
  </si>
  <si>
    <t>Para todos produtos é o dia seguinte à data de referência com exceção de títulos emitidos e derivados que é igual</t>
  </si>
  <si>
    <t xml:space="preserve">AL029_CNT_CORE / AL030_SLD_CORE_M
CT610_titulos </t>
  </si>
  <si>
    <t>Chave cempresa_cbalcao_cnumecta_zdeposit para ALM
isin para emissões (títulos)</t>
  </si>
  <si>
    <t>Para todos os produtos menos emissões (títulos)
Para emissões (títulos)</t>
  </si>
  <si>
    <t>cproduto / csubproduto / origem
Origem</t>
  </si>
  <si>
    <t>cmoeda_pass
cmoeda</t>
  </si>
  <si>
    <t>dinicio
dt_emissão</t>
  </si>
  <si>
    <t>dfim
dt_vencim</t>
  </si>
  <si>
    <t>lei_aplicavel</t>
  </si>
  <si>
    <t xml:space="preserve">CT610_titulos </t>
  </si>
  <si>
    <t>Para todos os produtos menos emissões (títulos) - "PT"
Para emissões (títulos)</t>
  </si>
  <si>
    <t>#</t>
  </si>
  <si>
    <t>Data set</t>
  </si>
  <si>
    <t>TODOS</t>
  </si>
  <si>
    <t>dt_prox_liq_jur_pass
dt_proc_liq_jur</t>
  </si>
  <si>
    <t>Para a parte das emissões de títulos, a ligação entre a AL029/AL030 e a CT610 deverá ser feita por ISIN/ZDEPOSIT</t>
  </si>
  <si>
    <t>mon_cap_st1_vivo</t>
  </si>
  <si>
    <t>Origem</t>
  </si>
  <si>
    <t>n/a</t>
  </si>
  <si>
    <t>Sempre 0</t>
  </si>
  <si>
    <t>mon_cap_st1_vivo + mon_jur_st1</t>
  </si>
  <si>
    <t>AL030_SLD_CORE_M</t>
  </si>
  <si>
    <t>Fórmula dependendo do campo "origem" da CT610_títulos - 0 para que não tiver na CT610 o valor para o que tiver</t>
  </si>
  <si>
    <t>mon_jur_st1</t>
  </si>
  <si>
    <t>mon_comissões + mon_despesas</t>
  </si>
  <si>
    <t>ct003_univ_cli</t>
  </si>
  <si>
    <t>gcliente</t>
  </si>
  <si>
    <t>cpais_doc_identif1</t>
  </si>
  <si>
    <t>code list com base neste campo</t>
  </si>
  <si>
    <t>cpais_doc_residencia</t>
  </si>
  <si>
    <t>clei</t>
  </si>
  <si>
    <t>contraparte</t>
  </si>
  <si>
    <t>zcliente</t>
  </si>
  <si>
    <t>code list com base neste campo.
Há uma flag se diz isto mas só se quer alguns dos intragrupos, não todos</t>
  </si>
  <si>
    <t>Os depósitos de clientes terá de ser feito um cruzamento com a tabela do FGD (FG001_FGD no cap tools). Os depósitos depois são divididos entre cobertos e não cobertos sendo que têm tratamento diferente consoante o caso.</t>
  </si>
  <si>
    <t>Terá de atacar as tabelas fazendo o filtro para passivo  com exceção do Data point 5 que tem uma parte de extrapatrimonial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</si>
</sst>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0"/>
      <color theme="1"/>
      <name val="Santander Text"/>
      <family val="2"/>
    </font>
    <font>
      <b/>
      <sz val="10"/>
      <color rgb="FFFFFFFF"/>
      <name val="Santander Text"/>
      <family val="2"/>
    </font>
    <font>
      <sz val="10"/>
      <color rgb="FF000000"/>
      <name val="Santander Text"/>
      <family val="2"/>
    </font>
  </fonts>
  <fills count="3">
    <fill>
      <patternFill patternType="none"/>
    </fill>
    <fill>
      <patternFill patternType="gray125"/>
    </fill>
    <fill>
      <patternFill patternType="solid">
        <fgColor rgb="FFFF0000"/>
        <bgColor indexed="64"/>
      </patternFill>
    </fill>
  </fills>
  <borders count="6">
    <border>
      <left/>
      <right/>
      <top/>
      <bottom/>
      <diagonal/>
    </border>
    <border>
      <left/>
      <right style="medium">
        <color rgb="FFD9D9D9"/>
      </right>
      <top style="medium">
        <color rgb="FFD9D9D9"/>
      </top>
      <bottom style="medium">
        <color rgb="FFD9D9D9"/>
      </bottom>
      <diagonal/>
    </border>
    <border>
      <left style="medium">
        <color rgb="FFD9D9D9"/>
      </left>
      <right style="medium">
        <color rgb="FFD9D9D9"/>
      </right>
      <top style="medium">
        <color rgb="FFD9D9D9"/>
      </top>
      <bottom style="medium">
        <color rgb="FFD9D9D9"/>
      </bottom>
      <diagonal/>
    </border>
    <border>
      <left/>
      <right style="medium">
        <color rgb="FFD9D9D9"/>
      </right>
      <top/>
      <bottom style="medium">
        <color rgb="FFD9D9D9"/>
      </bottom>
      <diagonal/>
    </border>
    <border>
      <left style="medium">
        <color rgb="FFD9D9D9"/>
      </left>
      <right style="medium">
        <color rgb="FFD9D9D9"/>
      </right>
      <top/>
      <bottom style="medium">
        <color rgb="FFD9D9D9"/>
      </bottom>
      <diagonal/>
    </border>
    <border>
      <left/>
      <right style="medium">
        <color rgb="FFD9D9D9"/>
      </right>
      <top/>
      <bottom/>
      <diagonal/>
    </border>
  </borders>
  <cellStyleXfs count="1">
    <xf numFmtId="0" fontId="0" fillId="0" borderId="0"/>
  </cellStyleXfs>
  <cellXfs count="17">
    <xf numFmtId="0" fontId="0" fillId="0" borderId="0" xfId="0"/>
    <xf numFmtId="0" fontId="0" fillId="0" borderId="0" xfId="0" applyFont="1"/>
    <xf numFmtId="0" fontId="2" fillId="0" borderId="3" xfId="0" applyFont="1" applyBorder="1" applyAlignment="1">
      <alignment horizontal="left" vertical="center"/>
    </xf>
    <xf numFmtId="0" fontId="2" fillId="0" borderId="3" xfId="0" applyFont="1" applyBorder="1" applyAlignment="1">
      <alignment horizontal="left" vertical="center" wrapText="1"/>
    </xf>
    <xf numFmtId="0" fontId="2" fillId="0" borderId="5" xfId="0" applyFont="1" applyBorder="1" applyAlignment="1">
      <alignment horizontal="left" vertical="center" wrapText="1"/>
    </xf>
    <xf numFmtId="0" fontId="2" fillId="0" borderId="1" xfId="0" applyFont="1" applyBorder="1" applyAlignment="1">
      <alignment horizontal="left" vertical="center" wrapText="1"/>
    </xf>
    <xf numFmtId="0" fontId="0" fillId="0" borderId="0" xfId="0" applyFont="1" applyAlignment="1">
      <alignment horizontal="left"/>
    </xf>
    <xf numFmtId="0" fontId="1" fillId="2" borderId="1" xfId="0" applyFont="1" applyFill="1" applyBorder="1" applyAlignment="1">
      <alignment horizontal="left" vertical="center"/>
    </xf>
    <xf numFmtId="0" fontId="2" fillId="0" borderId="2" xfId="0" applyFont="1" applyBorder="1" applyAlignment="1">
      <alignment horizontal="left" vertical="center" wrapText="1"/>
    </xf>
    <xf numFmtId="0" fontId="1" fillId="2" borderId="1" xfId="0" applyFont="1" applyFill="1" applyBorder="1" applyAlignment="1">
      <alignment horizontal="left" vertical="center" wrapText="1"/>
    </xf>
    <xf numFmtId="0" fontId="1" fillId="2" borderId="2" xfId="0" applyFont="1" applyFill="1" applyBorder="1" applyAlignment="1">
      <alignment horizontal="center" vertical="center" wrapText="1"/>
    </xf>
    <xf numFmtId="0" fontId="0" fillId="0" borderId="0" xfId="0" applyFont="1" applyAlignment="1">
      <alignment wrapText="1"/>
    </xf>
    <xf numFmtId="0" fontId="2" fillId="0" borderId="2" xfId="0" applyFont="1" applyBorder="1" applyAlignment="1">
      <alignment horizontal="center" vertical="center" wrapText="1"/>
    </xf>
    <xf numFmtId="0" fontId="0" fillId="0" borderId="0" xfId="0" applyFont="1" applyAlignment="1">
      <alignment horizontal="left" wrapText="1"/>
    </xf>
    <xf numFmtId="0" fontId="2" fillId="0" borderId="4" xfId="0" applyFont="1" applyBorder="1" applyAlignment="1">
      <alignment horizontal="center" vertical="center" wrapText="1"/>
    </xf>
    <xf numFmtId="0" fontId="0" fillId="0" borderId="0" xfId="0" applyAlignment="1">
      <alignment vertical="center" wrapText="1"/>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Views>
    <sheetView showGridLines="0" tabSelected="1" zoomScale="85" zoomScaleNormal="85" workbookViewId="0"/>
  </sheetViews>
  <sheetFormatPr defaultColWidth="9.1328125" defaultRowHeight="16.5" x14ac:dyDescent="0.65"/>
  <cols>
    <col min="1" max="1" width="54.59765625" style="6" bestFit="1" customWidth="1"/>
    <col min="2" max="16384" width="9.1328125" style="1"/>
  </cols>
  <sheetData>
    <row r="1" spans="1:1" ht="16.899999999999999" thickBot="1" x14ac:dyDescent="0.7">
      <c r="A1" s="7" t="s">
        <v>142</v>
      </c>
    </row>
    <row r="2" spans="1:1" ht="16.899999999999999" thickBot="1" x14ac:dyDescent="0.7">
      <c r="A2" s="2" t="s">
        <v>4</v>
      </c>
    </row>
    <row r="3" spans="1:1" ht="16.899999999999999" thickBot="1" x14ac:dyDescent="0.7">
      <c r="A3" s="2" t="s">
        <v>41</v>
      </c>
    </row>
    <row r="4" spans="1:1" ht="16.899999999999999" thickBot="1" x14ac:dyDescent="0.7">
      <c r="A4" s="2" t="s">
        <v>60</v>
      </c>
    </row>
    <row r="5" spans="1:1" ht="16.899999999999999" thickBot="1" x14ac:dyDescent="0.7">
      <c r="A5" s="2" t="s">
        <v>78</v>
      </c>
    </row>
    <row r="6" spans="1:1" ht="16.899999999999999" thickBot="1" x14ac:dyDescent="0.7">
      <c r="A6" s="2" t="s">
        <v>96</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Views>
    <sheetView workbookViewId="0">
      <selection activeCell="B4" sqref="B4"/>
    </sheetView>
  </sheetViews>
  <sheetFormatPr defaultRowHeight="16.5" x14ac:dyDescent="0.65"/>
  <cols>
    <col min="1" max="1" width="9.06640625" style="16"/>
    <col min="2" max="2" width="88.46484375" style="16" bestFit="1" customWidth="1"/>
    <col min="3" max="3" width="29.796875" style="16" bestFit="1" customWidth="1"/>
    <col min="4" max="16384" width="9.06640625" style="16"/>
  </cols>
  <sheetData>
    <row r="1" spans="1:3" ht="16.899999999999999" thickBot="1" x14ac:dyDescent="0.7">
      <c r="A1" s="7" t="s">
        <v>162</v>
      </c>
      <c r="B1" s="7" t="s">
        <v>143</v>
      </c>
      <c r="C1" s="7" t="s">
        <v>163</v>
      </c>
    </row>
    <row r="2" spans="1:3" ht="33" x14ac:dyDescent="0.65">
      <c r="A2" s="16">
        <v>1</v>
      </c>
      <c r="B2" s="15" t="s">
        <v>186</v>
      </c>
      <c r="C2" s="16" t="s">
        <v>164</v>
      </c>
    </row>
    <row r="3" spans="1:3" ht="49.5" x14ac:dyDescent="0.65">
      <c r="A3" s="16">
        <f>+A2+1</f>
        <v>2</v>
      </c>
      <c r="B3" s="15" t="s">
        <v>185</v>
      </c>
      <c r="C3" s="16" t="s">
        <v>164</v>
      </c>
    </row>
    <row r="4" spans="1:3" x14ac:dyDescent="0.65">
      <c r="A4" s="16">
        <f>+A3+1</f>
        <v>3</v>
      </c>
      <c r="B4" s="16" t="s">
        <v>166</v>
      </c>
      <c r="C4" s="16" t="s">
        <v>4</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Views>
    <sheetView showGridLines="0" topLeftCell="D1" zoomScale="85" zoomScaleNormal="85" workbookViewId="0">
      <selection activeCell="G6" sqref="G6"/>
    </sheetView>
  </sheetViews>
  <sheetFormatPr defaultColWidth="9.1328125" defaultRowHeight="16.5" x14ac:dyDescent="0.65"/>
  <cols>
    <col min="1" max="1" width="7" style="11" customWidth="1"/>
    <col min="2" max="2" width="36.265625" style="13" customWidth="1"/>
    <col min="3" max="3" width="39.73046875" style="13" customWidth="1"/>
    <col min="4" max="4" width="81.1328125" style="13" customWidth="1"/>
    <col min="5" max="5" width="9.1328125" style="11"/>
    <col min="6" max="6" width="77.86328125" style="13" customWidth="1"/>
    <col min="7" max="7" width="51.9296875" style="13" customWidth="1"/>
    <col min="8" max="8" width="53.6640625" style="13" customWidth="1"/>
    <col min="9" max="16384" width="9.1328125" style="11"/>
  </cols>
  <sheetData>
    <row r="1" spans="1:8" ht="16.899999999999999" thickBot="1" x14ac:dyDescent="0.7">
      <c r="A1" s="10" t="s">
        <v>0</v>
      </c>
      <c r="B1" s="9" t="s">
        <v>1</v>
      </c>
      <c r="C1" s="9" t="s">
        <v>2</v>
      </c>
      <c r="D1" s="9" t="s">
        <v>3</v>
      </c>
      <c r="F1" s="9" t="s">
        <v>147</v>
      </c>
      <c r="G1" s="9" t="s">
        <v>148</v>
      </c>
      <c r="H1" s="9" t="s">
        <v>143</v>
      </c>
    </row>
    <row r="2" spans="1:8" ht="49.9" thickBot="1" x14ac:dyDescent="0.7">
      <c r="A2" s="14">
        <v>1</v>
      </c>
      <c r="B2" s="3" t="s">
        <v>5</v>
      </c>
      <c r="C2" s="3" t="s">
        <v>6</v>
      </c>
      <c r="D2" s="3" t="s">
        <v>7</v>
      </c>
      <c r="F2" s="8"/>
      <c r="G2" s="8"/>
      <c r="H2" s="8" t="s">
        <v>144</v>
      </c>
    </row>
    <row r="3" spans="1:8" ht="16.899999999999999" thickBot="1" x14ac:dyDescent="0.7">
      <c r="A3" s="14">
        <f>+A2+1</f>
        <v>2</v>
      </c>
      <c r="B3" s="3" t="s">
        <v>8</v>
      </c>
      <c r="C3" s="3" t="s">
        <v>9</v>
      </c>
      <c r="D3" s="3" t="s">
        <v>10</v>
      </c>
      <c r="F3" s="8"/>
      <c r="G3" s="8"/>
      <c r="H3" s="8" t="s">
        <v>145</v>
      </c>
    </row>
    <row r="4" spans="1:8" ht="49.9" thickBot="1" x14ac:dyDescent="0.7">
      <c r="A4" s="14">
        <f t="shared" ref="A4:A14" si="0">+A3+1</f>
        <v>3</v>
      </c>
      <c r="B4" s="3" t="s">
        <v>11</v>
      </c>
      <c r="C4" s="3" t="s">
        <v>12</v>
      </c>
      <c r="D4" s="3" t="s">
        <v>13</v>
      </c>
      <c r="F4" s="8" t="s">
        <v>152</v>
      </c>
      <c r="G4" s="8" t="s">
        <v>153</v>
      </c>
      <c r="H4" s="8" t="s">
        <v>154</v>
      </c>
    </row>
    <row r="5" spans="1:8" ht="49.9" thickBot="1" x14ac:dyDescent="0.7">
      <c r="A5" s="14">
        <f t="shared" si="0"/>
        <v>4</v>
      </c>
      <c r="B5" s="4" t="s">
        <v>14</v>
      </c>
      <c r="C5" s="4" t="s">
        <v>15</v>
      </c>
      <c r="D5" s="4" t="s">
        <v>16</v>
      </c>
      <c r="F5" s="8" t="s">
        <v>152</v>
      </c>
      <c r="G5" s="8" t="s">
        <v>155</v>
      </c>
      <c r="H5" s="8" t="s">
        <v>149</v>
      </c>
    </row>
    <row r="6" spans="1:8" ht="66.400000000000006" thickBot="1" x14ac:dyDescent="0.7">
      <c r="A6" s="14">
        <f t="shared" si="0"/>
        <v>5</v>
      </c>
      <c r="B6" s="5" t="s">
        <v>17</v>
      </c>
      <c r="C6" s="5" t="s">
        <v>18</v>
      </c>
      <c r="D6" s="5" t="s">
        <v>19</v>
      </c>
      <c r="F6" s="8" t="s">
        <v>160</v>
      </c>
      <c r="G6" s="8" t="s">
        <v>159</v>
      </c>
      <c r="H6" s="8" t="s">
        <v>161</v>
      </c>
    </row>
    <row r="7" spans="1:8" ht="49.9" thickBot="1" x14ac:dyDescent="0.7">
      <c r="A7" s="14">
        <f t="shared" si="0"/>
        <v>6</v>
      </c>
      <c r="B7" s="3" t="s">
        <v>20</v>
      </c>
      <c r="C7" s="3" t="s">
        <v>21</v>
      </c>
      <c r="D7" s="3" t="s">
        <v>22</v>
      </c>
      <c r="F7" s="8" t="s">
        <v>152</v>
      </c>
      <c r="G7" s="8" t="s">
        <v>156</v>
      </c>
      <c r="H7" s="8" t="s">
        <v>154</v>
      </c>
    </row>
    <row r="8" spans="1:8" ht="49.9" thickBot="1" x14ac:dyDescent="0.7">
      <c r="A8" s="14">
        <f t="shared" si="0"/>
        <v>7</v>
      </c>
      <c r="B8" s="3" t="s">
        <v>23</v>
      </c>
      <c r="C8" s="3" t="s">
        <v>24</v>
      </c>
      <c r="D8" s="3" t="s">
        <v>25</v>
      </c>
      <c r="F8" s="8" t="s">
        <v>152</v>
      </c>
      <c r="G8" s="8" t="s">
        <v>157</v>
      </c>
      <c r="H8" s="8" t="s">
        <v>154</v>
      </c>
    </row>
    <row r="9" spans="1:8" ht="49.9" thickBot="1" x14ac:dyDescent="0.7">
      <c r="A9" s="14">
        <f t="shared" si="0"/>
        <v>8</v>
      </c>
      <c r="B9" s="3" t="s">
        <v>26</v>
      </c>
      <c r="C9" s="3" t="s">
        <v>24</v>
      </c>
      <c r="D9" s="3" t="s">
        <v>27</v>
      </c>
      <c r="F9" s="8" t="s">
        <v>152</v>
      </c>
      <c r="G9" s="8" t="s">
        <v>158</v>
      </c>
      <c r="H9" s="8" t="s">
        <v>154</v>
      </c>
    </row>
    <row r="10" spans="1:8" ht="82.9" thickBot="1" x14ac:dyDescent="0.7">
      <c r="A10" s="14">
        <f t="shared" si="0"/>
        <v>9</v>
      </c>
      <c r="B10" s="3" t="s">
        <v>28</v>
      </c>
      <c r="C10" s="3" t="s">
        <v>24</v>
      </c>
      <c r="D10" s="3" t="s">
        <v>29</v>
      </c>
      <c r="F10" s="8" t="s">
        <v>150</v>
      </c>
      <c r="G10" s="8"/>
      <c r="H10" s="8" t="s">
        <v>151</v>
      </c>
    </row>
    <row r="11" spans="1:8" ht="49.9" thickBot="1" x14ac:dyDescent="0.7">
      <c r="A11" s="14">
        <f t="shared" si="0"/>
        <v>10</v>
      </c>
      <c r="B11" s="3" t="s">
        <v>30</v>
      </c>
      <c r="C11" s="3" t="s">
        <v>24</v>
      </c>
      <c r="D11" s="3" t="s">
        <v>31</v>
      </c>
      <c r="F11" s="8" t="s">
        <v>152</v>
      </c>
      <c r="G11" s="8" t="s">
        <v>165</v>
      </c>
      <c r="H11" s="8" t="s">
        <v>154</v>
      </c>
    </row>
    <row r="12" spans="1:8" ht="82.9" thickBot="1" x14ac:dyDescent="0.7">
      <c r="A12" s="14">
        <f t="shared" si="0"/>
        <v>11</v>
      </c>
      <c r="B12" s="3" t="s">
        <v>32</v>
      </c>
      <c r="C12" s="3" t="s">
        <v>33</v>
      </c>
      <c r="D12" s="3" t="s">
        <v>34</v>
      </c>
      <c r="F12" s="8" t="s">
        <v>150</v>
      </c>
      <c r="G12" s="8" t="s">
        <v>167</v>
      </c>
      <c r="H12" s="8"/>
    </row>
    <row r="13" spans="1:8" ht="49.9" thickBot="1" x14ac:dyDescent="0.7">
      <c r="A13" s="14">
        <f t="shared" si="0"/>
        <v>12</v>
      </c>
      <c r="B13" s="3" t="s">
        <v>35</v>
      </c>
      <c r="C13" s="3" t="s">
        <v>36</v>
      </c>
      <c r="D13" s="3" t="s">
        <v>37</v>
      </c>
      <c r="F13" s="8" t="s">
        <v>152</v>
      </c>
      <c r="G13" s="8" t="s">
        <v>155</v>
      </c>
      <c r="H13" s="8" t="s">
        <v>146</v>
      </c>
    </row>
    <row r="14" spans="1:8" ht="49.9" thickBot="1" x14ac:dyDescent="0.7">
      <c r="A14" s="14">
        <f t="shared" si="0"/>
        <v>13</v>
      </c>
      <c r="B14" s="3" t="s">
        <v>38</v>
      </c>
      <c r="C14" s="3" t="s">
        <v>39</v>
      </c>
      <c r="D14" s="3" t="s">
        <v>40</v>
      </c>
      <c r="F14" s="8" t="s">
        <v>152</v>
      </c>
      <c r="G14" s="8" t="s">
        <v>155</v>
      </c>
      <c r="H14" s="8" t="s">
        <v>146</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Views>
    <sheetView showGridLines="0" topLeftCell="C1" zoomScale="85" zoomScaleNormal="85" workbookViewId="0">
      <selection activeCell="F5" sqref="F5:H5"/>
    </sheetView>
  </sheetViews>
  <sheetFormatPr defaultColWidth="9.1328125" defaultRowHeight="16.5" x14ac:dyDescent="0.65"/>
  <cols>
    <col min="1" max="1" width="7" style="11" customWidth="1"/>
    <col min="2" max="2" width="36.265625" style="13" customWidth="1"/>
    <col min="3" max="3" width="39.73046875" style="13" customWidth="1"/>
    <col min="4" max="4" width="81.1328125" style="13" customWidth="1"/>
    <col min="5" max="5" width="9.1328125" style="11"/>
    <col min="6" max="8" width="32.265625" style="13" customWidth="1"/>
    <col min="9" max="16384" width="9.1328125" style="11"/>
  </cols>
  <sheetData>
    <row r="1" spans="1:8" ht="16.899999999999999" thickBot="1" x14ac:dyDescent="0.7">
      <c r="A1" s="10" t="s">
        <v>0</v>
      </c>
      <c r="B1" s="9" t="s">
        <v>1</v>
      </c>
      <c r="C1" s="9" t="s">
        <v>2</v>
      </c>
      <c r="D1" s="9" t="s">
        <v>3</v>
      </c>
      <c r="F1" s="9" t="s">
        <v>147</v>
      </c>
      <c r="G1" s="9" t="s">
        <v>148</v>
      </c>
      <c r="H1" s="9" t="s">
        <v>143</v>
      </c>
    </row>
    <row r="2" spans="1:8" ht="33.4" thickBot="1" x14ac:dyDescent="0.7">
      <c r="A2" s="12">
        <v>14</v>
      </c>
      <c r="B2" s="8" t="s">
        <v>42</v>
      </c>
      <c r="C2" s="8" t="s">
        <v>43</v>
      </c>
      <c r="D2" s="3" t="s">
        <v>44</v>
      </c>
      <c r="F2" s="8" t="s">
        <v>160</v>
      </c>
      <c r="G2" s="8" t="s">
        <v>168</v>
      </c>
      <c r="H2" s="8" t="s">
        <v>149</v>
      </c>
    </row>
    <row r="3" spans="1:8" ht="49.9" thickBot="1" x14ac:dyDescent="0.7">
      <c r="A3" s="12">
        <v>15</v>
      </c>
      <c r="B3" s="8" t="s">
        <v>45</v>
      </c>
      <c r="C3" s="8" t="s">
        <v>33</v>
      </c>
      <c r="D3" s="3" t="s">
        <v>46</v>
      </c>
      <c r="F3" s="8" t="s">
        <v>172</v>
      </c>
      <c r="G3" s="8" t="s">
        <v>171</v>
      </c>
      <c r="H3" s="8" t="s">
        <v>173</v>
      </c>
    </row>
    <row r="4" spans="1:8" ht="33.4" thickBot="1" x14ac:dyDescent="0.7">
      <c r="A4" s="12">
        <v>16</v>
      </c>
      <c r="B4" s="8" t="s">
        <v>47</v>
      </c>
      <c r="C4" s="8" t="s">
        <v>33</v>
      </c>
      <c r="D4" s="3" t="s">
        <v>48</v>
      </c>
      <c r="F4" s="8" t="s">
        <v>169</v>
      </c>
      <c r="G4" s="8" t="s">
        <v>169</v>
      </c>
      <c r="H4" s="8" t="s">
        <v>169</v>
      </c>
    </row>
    <row r="5" spans="1:8" ht="66.400000000000006" thickBot="1" x14ac:dyDescent="0.7">
      <c r="A5" s="12">
        <v>17</v>
      </c>
      <c r="B5" s="8" t="s">
        <v>49</v>
      </c>
      <c r="C5" s="8" t="s">
        <v>50</v>
      </c>
      <c r="D5" s="4" t="s">
        <v>51</v>
      </c>
      <c r="F5" s="8" t="s">
        <v>160</v>
      </c>
      <c r="G5" s="8" t="s">
        <v>168</v>
      </c>
      <c r="H5" s="8" t="s">
        <v>149</v>
      </c>
    </row>
    <row r="6" spans="1:8" ht="49.9" thickBot="1" x14ac:dyDescent="0.7">
      <c r="A6" s="12">
        <v>18</v>
      </c>
      <c r="B6" s="8" t="s">
        <v>52</v>
      </c>
      <c r="C6" s="8" t="s">
        <v>33</v>
      </c>
      <c r="D6" s="5" t="s">
        <v>53</v>
      </c>
      <c r="F6" s="8" t="s">
        <v>172</v>
      </c>
      <c r="G6" s="8" t="s">
        <v>171</v>
      </c>
      <c r="H6" s="8" t="s">
        <v>173</v>
      </c>
    </row>
    <row r="7" spans="1:8" ht="49.9" thickBot="1" x14ac:dyDescent="0.7">
      <c r="A7" s="12">
        <v>19</v>
      </c>
      <c r="B7" s="8" t="s">
        <v>54</v>
      </c>
      <c r="C7" s="8" t="s">
        <v>33</v>
      </c>
      <c r="D7" s="3" t="s">
        <v>55</v>
      </c>
      <c r="F7" s="8" t="s">
        <v>172</v>
      </c>
      <c r="G7" s="8" t="s">
        <v>171</v>
      </c>
      <c r="H7" s="8" t="s">
        <v>173</v>
      </c>
    </row>
    <row r="8" spans="1:8" ht="49.9" thickBot="1" x14ac:dyDescent="0.7">
      <c r="A8" s="12">
        <v>20</v>
      </c>
      <c r="B8" s="8" t="s">
        <v>56</v>
      </c>
      <c r="C8" s="8" t="s">
        <v>33</v>
      </c>
      <c r="D8" s="3" t="s">
        <v>57</v>
      </c>
      <c r="F8" s="8" t="s">
        <v>172</v>
      </c>
      <c r="G8" s="8" t="s">
        <v>171</v>
      </c>
      <c r="H8" s="8" t="s">
        <v>173</v>
      </c>
    </row>
    <row r="9" spans="1:8" ht="49.9" thickBot="1" x14ac:dyDescent="0.7">
      <c r="A9" s="12">
        <v>21</v>
      </c>
      <c r="B9" s="8" t="s">
        <v>58</v>
      </c>
      <c r="C9" s="8" t="s">
        <v>33</v>
      </c>
      <c r="D9" s="3" t="s">
        <v>59</v>
      </c>
      <c r="F9" s="8" t="s">
        <v>172</v>
      </c>
      <c r="G9" s="8" t="s">
        <v>171</v>
      </c>
      <c r="H9" s="8" t="s">
        <v>173</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Views>
    <sheetView showGridLines="0" topLeftCell="C1" zoomScale="85" zoomScaleNormal="85" workbookViewId="0">
      <selection activeCell="G9" sqref="G9"/>
    </sheetView>
  </sheetViews>
  <sheetFormatPr defaultColWidth="9.1328125" defaultRowHeight="16.5" x14ac:dyDescent="0.65"/>
  <cols>
    <col min="1" max="1" width="7" style="11" customWidth="1"/>
    <col min="2" max="2" width="36.265625" style="13" customWidth="1"/>
    <col min="3" max="3" width="39.73046875" style="13" customWidth="1"/>
    <col min="4" max="4" width="81.1328125" style="13" customWidth="1"/>
    <col min="5" max="5" width="9.1328125" style="11"/>
    <col min="6" max="8" width="32.265625" style="13" customWidth="1"/>
    <col min="9" max="16384" width="9.1328125" style="11"/>
  </cols>
  <sheetData>
    <row r="1" spans="1:8" ht="16.899999999999999" thickBot="1" x14ac:dyDescent="0.7">
      <c r="A1" s="10" t="s">
        <v>0</v>
      </c>
      <c r="B1" s="9" t="s">
        <v>1</v>
      </c>
      <c r="C1" s="9" t="s">
        <v>2</v>
      </c>
      <c r="D1" s="9" t="s">
        <v>3</v>
      </c>
      <c r="F1" s="9" t="s">
        <v>147</v>
      </c>
      <c r="G1" s="9" t="s">
        <v>148</v>
      </c>
      <c r="H1" s="9" t="s">
        <v>143</v>
      </c>
    </row>
    <row r="2" spans="1:8" ht="16.899999999999999" thickBot="1" x14ac:dyDescent="0.7">
      <c r="A2" s="12">
        <v>22</v>
      </c>
      <c r="B2" s="8" t="s">
        <v>61</v>
      </c>
      <c r="C2" s="8" t="s">
        <v>33</v>
      </c>
      <c r="D2" s="8" t="s">
        <v>62</v>
      </c>
      <c r="F2" s="8"/>
      <c r="G2" s="8"/>
      <c r="H2" s="8"/>
    </row>
    <row r="3" spans="1:8" ht="16.899999999999999" thickBot="1" x14ac:dyDescent="0.7">
      <c r="A3" s="12">
        <v>23</v>
      </c>
      <c r="B3" s="8" t="s">
        <v>63</v>
      </c>
      <c r="C3" s="8" t="s">
        <v>64</v>
      </c>
      <c r="D3" s="8" t="s">
        <v>65</v>
      </c>
      <c r="F3" s="8"/>
      <c r="G3" s="8"/>
      <c r="H3" s="8"/>
    </row>
    <row r="4" spans="1:8" ht="16.899999999999999" thickBot="1" x14ac:dyDescent="0.7">
      <c r="A4" s="12">
        <v>24</v>
      </c>
      <c r="B4" s="8" t="s">
        <v>66</v>
      </c>
      <c r="C4" s="8" t="s">
        <v>33</v>
      </c>
      <c r="D4" s="8" t="s">
        <v>67</v>
      </c>
      <c r="F4" s="8" t="s">
        <v>172</v>
      </c>
      <c r="G4" s="8" t="s">
        <v>167</v>
      </c>
      <c r="H4" s="8"/>
    </row>
    <row r="5" spans="1:8" ht="16.899999999999999" thickBot="1" x14ac:dyDescent="0.7">
      <c r="A5" s="12">
        <v>25</v>
      </c>
      <c r="B5" s="8" t="s">
        <v>68</v>
      </c>
      <c r="C5" s="8" t="s">
        <v>33</v>
      </c>
      <c r="D5" s="8" t="s">
        <v>69</v>
      </c>
      <c r="F5" s="8" t="s">
        <v>172</v>
      </c>
      <c r="G5" s="8" t="s">
        <v>174</v>
      </c>
      <c r="H5" s="8"/>
    </row>
    <row r="6" spans="1:8" ht="82.9" thickBot="1" x14ac:dyDescent="0.7">
      <c r="A6" s="12">
        <v>26</v>
      </c>
      <c r="B6" s="8" t="s">
        <v>70</v>
      </c>
      <c r="C6" s="8" t="s">
        <v>33</v>
      </c>
      <c r="D6" s="8" t="s">
        <v>71</v>
      </c>
      <c r="F6" s="8" t="s">
        <v>172</v>
      </c>
      <c r="G6" s="8" t="s">
        <v>171</v>
      </c>
      <c r="H6" s="8" t="s">
        <v>173</v>
      </c>
    </row>
    <row r="7" spans="1:8" ht="33.4" thickBot="1" x14ac:dyDescent="0.7">
      <c r="A7" s="12">
        <v>27</v>
      </c>
      <c r="B7" s="8" t="s">
        <v>72</v>
      </c>
      <c r="C7" s="8" t="s">
        <v>33</v>
      </c>
      <c r="D7" s="8" t="s">
        <v>73</v>
      </c>
      <c r="F7" s="8"/>
      <c r="G7" s="8"/>
      <c r="H7" s="8" t="s">
        <v>170</v>
      </c>
    </row>
    <row r="8" spans="1:8" ht="49.9" thickBot="1" x14ac:dyDescent="0.7">
      <c r="A8" s="12">
        <v>28</v>
      </c>
      <c r="B8" s="8" t="s">
        <v>74</v>
      </c>
      <c r="C8" s="8" t="s">
        <v>39</v>
      </c>
      <c r="D8" s="8" t="s">
        <v>75</v>
      </c>
      <c r="F8" s="8" t="s">
        <v>160</v>
      </c>
      <c r="G8" s="8" t="s">
        <v>168</v>
      </c>
      <c r="H8" s="8" t="s">
        <v>149</v>
      </c>
    </row>
    <row r="9" spans="1:8" ht="82.9" thickBot="1" x14ac:dyDescent="0.7">
      <c r="A9" s="12">
        <v>29</v>
      </c>
      <c r="B9" s="8" t="s">
        <v>76</v>
      </c>
      <c r="C9" s="8" t="s">
        <v>33</v>
      </c>
      <c r="D9" s="8" t="s">
        <v>77</v>
      </c>
      <c r="F9" s="8" t="s">
        <v>172</v>
      </c>
      <c r="G9" s="8" t="s">
        <v>175</v>
      </c>
      <c r="H9" s="8"/>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
  <sheetViews>
    <sheetView showGridLines="0" topLeftCell="C1" zoomScale="85" zoomScaleNormal="85" workbookViewId="0">
      <selection activeCell="F5" sqref="F5:G5"/>
    </sheetView>
  </sheetViews>
  <sheetFormatPr defaultColWidth="9.1328125" defaultRowHeight="16.5" x14ac:dyDescent="0.65"/>
  <cols>
    <col min="1" max="1" width="7" style="11" customWidth="1"/>
    <col min="2" max="2" width="36.265625" style="13" customWidth="1"/>
    <col min="3" max="3" width="39.73046875" style="13" customWidth="1"/>
    <col min="4" max="4" width="81.1328125" style="13" customWidth="1"/>
    <col min="5" max="5" width="9.1328125" style="11"/>
    <col min="6" max="8" width="32.265625" style="13" customWidth="1"/>
    <col min="9" max="16384" width="9.1328125" style="11"/>
  </cols>
  <sheetData>
    <row r="1" spans="1:8" ht="16.899999999999999" thickBot="1" x14ac:dyDescent="0.7">
      <c r="A1" s="10" t="s">
        <v>0</v>
      </c>
      <c r="B1" s="9" t="s">
        <v>1</v>
      </c>
      <c r="C1" s="9" t="s">
        <v>2</v>
      </c>
      <c r="D1" s="9" t="s">
        <v>3</v>
      </c>
      <c r="F1" s="9" t="s">
        <v>147</v>
      </c>
      <c r="G1" s="9" t="s">
        <v>148</v>
      </c>
      <c r="H1" s="9" t="s">
        <v>143</v>
      </c>
    </row>
    <row r="2" spans="1:8" ht="16.899999999999999" thickBot="1" x14ac:dyDescent="0.7">
      <c r="A2" s="12">
        <v>30</v>
      </c>
      <c r="B2" s="8" t="s">
        <v>79</v>
      </c>
      <c r="C2" s="8" t="s">
        <v>80</v>
      </c>
      <c r="D2" s="8" t="s">
        <v>81</v>
      </c>
      <c r="F2" s="8" t="s">
        <v>176</v>
      </c>
      <c r="G2" s="8" t="s">
        <v>180</v>
      </c>
      <c r="H2" s="8" t="s">
        <v>179</v>
      </c>
    </row>
    <row r="3" spans="1:8" ht="16.899999999999999" thickBot="1" x14ac:dyDescent="0.7">
      <c r="A3" s="12">
        <v>31</v>
      </c>
      <c r="B3" s="8" t="s">
        <v>82</v>
      </c>
      <c r="C3" s="8" t="s">
        <v>80</v>
      </c>
      <c r="D3" s="8" t="s">
        <v>83</v>
      </c>
      <c r="F3" s="8" t="s">
        <v>176</v>
      </c>
      <c r="G3" s="8" t="s">
        <v>178</v>
      </c>
      <c r="H3" s="8" t="s">
        <v>179</v>
      </c>
    </row>
    <row r="4" spans="1:8" ht="16.899999999999999" thickBot="1" x14ac:dyDescent="0.7">
      <c r="A4" s="12">
        <v>32</v>
      </c>
      <c r="B4" s="8" t="s">
        <v>84</v>
      </c>
      <c r="C4" s="8" t="s">
        <v>85</v>
      </c>
      <c r="D4" s="8" t="s">
        <v>86</v>
      </c>
      <c r="F4" s="8" t="s">
        <v>176</v>
      </c>
      <c r="G4" s="8" t="s">
        <v>177</v>
      </c>
      <c r="H4" s="8"/>
    </row>
    <row r="5" spans="1:8" ht="66.400000000000006" thickBot="1" x14ac:dyDescent="0.7">
      <c r="A5" s="12">
        <v>33</v>
      </c>
      <c r="B5" s="8" t="s">
        <v>87</v>
      </c>
      <c r="C5" s="8" t="s">
        <v>88</v>
      </c>
      <c r="D5" s="8" t="s">
        <v>89</v>
      </c>
      <c r="F5" s="8" t="s">
        <v>176</v>
      </c>
      <c r="G5" s="8" t="s">
        <v>181</v>
      </c>
      <c r="H5" s="8"/>
    </row>
    <row r="6" spans="1:8" ht="132.4" thickBot="1" x14ac:dyDescent="0.7">
      <c r="A6" s="12">
        <v>34</v>
      </c>
      <c r="B6" s="8" t="s">
        <v>90</v>
      </c>
      <c r="C6" s="8" t="s">
        <v>91</v>
      </c>
      <c r="D6" s="8" t="s">
        <v>92</v>
      </c>
      <c r="F6" s="8" t="s">
        <v>176</v>
      </c>
      <c r="G6" s="8" t="s">
        <v>182</v>
      </c>
      <c r="H6" s="8"/>
    </row>
    <row r="7" spans="1:8" ht="66.400000000000006" thickBot="1" x14ac:dyDescent="0.7">
      <c r="A7" s="12">
        <v>35</v>
      </c>
      <c r="B7" s="8" t="s">
        <v>93</v>
      </c>
      <c r="C7" s="8" t="s">
        <v>94</v>
      </c>
      <c r="D7" s="8" t="s">
        <v>95</v>
      </c>
      <c r="F7" s="8" t="s">
        <v>176</v>
      </c>
      <c r="G7" s="8" t="s">
        <v>183</v>
      </c>
      <c r="H7" s="8" t="s">
        <v>184</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
  <sheetViews>
    <sheetView showGridLines="0" topLeftCell="C1" zoomScale="85" zoomScaleNormal="85" workbookViewId="0">
      <selection activeCell="F2" sqref="F2:H4"/>
    </sheetView>
  </sheetViews>
  <sheetFormatPr defaultColWidth="9.1328125" defaultRowHeight="16.5" x14ac:dyDescent="0.65"/>
  <cols>
    <col min="1" max="1" width="7" style="11" customWidth="1"/>
    <col min="2" max="2" width="36.265625" style="13" customWidth="1"/>
    <col min="3" max="3" width="39.73046875" style="13" customWidth="1"/>
    <col min="4" max="4" width="81.1328125" style="13" customWidth="1"/>
    <col min="5" max="5" width="9.1328125" style="11"/>
    <col min="6" max="8" width="32.265625" style="13" customWidth="1"/>
    <col min="9" max="16384" width="9.1328125" style="11"/>
  </cols>
  <sheetData>
    <row r="1" spans="1:8" ht="16.899999999999999" thickBot="1" x14ac:dyDescent="0.7">
      <c r="A1" s="10" t="s">
        <v>0</v>
      </c>
      <c r="B1" s="9" t="s">
        <v>1</v>
      </c>
      <c r="C1" s="9" t="s">
        <v>2</v>
      </c>
      <c r="D1" s="9" t="s">
        <v>3</v>
      </c>
      <c r="F1" s="9" t="s">
        <v>147</v>
      </c>
      <c r="G1" s="9" t="s">
        <v>148</v>
      </c>
      <c r="H1" s="9" t="s">
        <v>143</v>
      </c>
    </row>
    <row r="2" spans="1:8" ht="49.9" thickBot="1" x14ac:dyDescent="0.7">
      <c r="A2" s="14">
        <v>36</v>
      </c>
      <c r="B2" s="3" t="s">
        <v>97</v>
      </c>
      <c r="C2" s="3" t="s">
        <v>98</v>
      </c>
      <c r="D2" s="3" t="s">
        <v>99</v>
      </c>
      <c r="F2" s="8"/>
      <c r="G2" s="8"/>
      <c r="H2" s="8"/>
    </row>
    <row r="3" spans="1:8" ht="16.899999999999999" thickBot="1" x14ac:dyDescent="0.7">
      <c r="A3" s="14">
        <v>37</v>
      </c>
      <c r="B3" s="3" t="s">
        <v>100</v>
      </c>
      <c r="C3" s="3" t="s">
        <v>101</v>
      </c>
      <c r="D3" s="3" t="s">
        <v>102</v>
      </c>
      <c r="F3" s="8"/>
      <c r="G3" s="8"/>
      <c r="H3" s="8"/>
    </row>
    <row r="4" spans="1:8" ht="66.400000000000006" thickBot="1" x14ac:dyDescent="0.7">
      <c r="A4" s="14">
        <v>38</v>
      </c>
      <c r="B4" s="3" t="s">
        <v>103</v>
      </c>
      <c r="C4" s="3" t="s">
        <v>33</v>
      </c>
      <c r="D4" s="3" t="s">
        <v>104</v>
      </c>
      <c r="F4" s="8"/>
      <c r="G4" s="8"/>
      <c r="H4" s="8"/>
    </row>
    <row r="5" spans="1:8" ht="16.899999999999999" thickBot="1" x14ac:dyDescent="0.7">
      <c r="A5" s="14">
        <v>39</v>
      </c>
      <c r="B5" s="3" t="s">
        <v>105</v>
      </c>
      <c r="C5" s="3" t="s">
        <v>33</v>
      </c>
      <c r="D5" s="3" t="s">
        <v>106</v>
      </c>
      <c r="F5" s="8"/>
      <c r="G5" s="8"/>
      <c r="H5" s="8"/>
    </row>
    <row r="6" spans="1:8" ht="82.9" thickBot="1" x14ac:dyDescent="0.7">
      <c r="A6" s="14">
        <v>40</v>
      </c>
      <c r="B6" s="3" t="s">
        <v>107</v>
      </c>
      <c r="C6" s="3" t="s">
        <v>108</v>
      </c>
      <c r="D6" s="3" t="s">
        <v>109</v>
      </c>
      <c r="F6" s="8"/>
      <c r="G6" s="8"/>
      <c r="H6" s="8"/>
    </row>
    <row r="7" spans="1:8" ht="49.9" thickBot="1" x14ac:dyDescent="0.7">
      <c r="A7" s="14">
        <v>41</v>
      </c>
      <c r="B7" s="3" t="s">
        <v>110</v>
      </c>
      <c r="C7" s="3" t="s">
        <v>111</v>
      </c>
      <c r="D7" s="3" t="s">
        <v>112</v>
      </c>
      <c r="F7" s="8"/>
      <c r="G7" s="8"/>
      <c r="H7" s="8"/>
    </row>
    <row r="8" spans="1:8" ht="33.4" thickBot="1" x14ac:dyDescent="0.7">
      <c r="A8" s="14">
        <v>42</v>
      </c>
      <c r="B8" s="3" t="s">
        <v>113</v>
      </c>
      <c r="C8" s="3" t="s">
        <v>114</v>
      </c>
      <c r="D8" s="3" t="s">
        <v>115</v>
      </c>
      <c r="F8" s="8"/>
      <c r="G8" s="8"/>
      <c r="H8" s="8"/>
    </row>
    <row r="9" spans="1:8" ht="49.9" thickBot="1" x14ac:dyDescent="0.7">
      <c r="A9" s="14">
        <v>43</v>
      </c>
      <c r="B9" s="3" t="s">
        <v>116</v>
      </c>
      <c r="C9" s="3" t="s">
        <v>117</v>
      </c>
      <c r="D9" s="3" t="s">
        <v>118</v>
      </c>
      <c r="F9" s="8"/>
      <c r="G9" s="8"/>
      <c r="H9" s="8"/>
    </row>
    <row r="10" spans="1:8" ht="16.899999999999999" thickBot="1" x14ac:dyDescent="0.7">
      <c r="A10" s="14">
        <v>44</v>
      </c>
      <c r="B10" s="3" t="s">
        <v>119</v>
      </c>
      <c r="C10" s="3" t="s">
        <v>24</v>
      </c>
      <c r="D10" s="3" t="s">
        <v>120</v>
      </c>
      <c r="F10" s="8"/>
      <c r="G10" s="8"/>
      <c r="H10" s="8"/>
    </row>
    <row r="11" spans="1:8" ht="16.899999999999999" thickBot="1" x14ac:dyDescent="0.7">
      <c r="A11" s="14">
        <v>45</v>
      </c>
      <c r="B11" s="3" t="s">
        <v>121</v>
      </c>
      <c r="C11" s="3" t="s">
        <v>24</v>
      </c>
      <c r="D11" s="3" t="s">
        <v>122</v>
      </c>
      <c r="F11" s="8"/>
      <c r="G11" s="8"/>
      <c r="H11" s="8"/>
    </row>
    <row r="12" spans="1:8" ht="33.4" thickBot="1" x14ac:dyDescent="0.7">
      <c r="A12" s="14">
        <v>46</v>
      </c>
      <c r="B12" s="3" t="s">
        <v>123</v>
      </c>
      <c r="C12" s="3" t="s">
        <v>98</v>
      </c>
      <c r="D12" s="3" t="s">
        <v>124</v>
      </c>
      <c r="F12" s="8"/>
      <c r="G12" s="8"/>
      <c r="H12" s="8"/>
    </row>
    <row r="13" spans="1:8" ht="33.4" thickBot="1" x14ac:dyDescent="0.7">
      <c r="A13" s="14">
        <v>47</v>
      </c>
      <c r="B13" s="3" t="s">
        <v>125</v>
      </c>
      <c r="C13" s="3" t="s">
        <v>114</v>
      </c>
      <c r="D13" s="3" t="s">
        <v>126</v>
      </c>
      <c r="F13" s="8"/>
      <c r="G13" s="8"/>
      <c r="H13" s="8"/>
    </row>
    <row r="14" spans="1:8" ht="33.4" thickBot="1" x14ac:dyDescent="0.7">
      <c r="A14" s="14">
        <v>48</v>
      </c>
      <c r="B14" s="3" t="s">
        <v>127</v>
      </c>
      <c r="C14" s="3" t="s">
        <v>18</v>
      </c>
      <c r="D14" s="3" t="s">
        <v>128</v>
      </c>
      <c r="F14" s="8"/>
      <c r="G14" s="8"/>
      <c r="H14" s="8"/>
    </row>
    <row r="15" spans="1:8" ht="16.899999999999999" thickBot="1" x14ac:dyDescent="0.7">
      <c r="A15" s="14">
        <v>49</v>
      </c>
      <c r="B15" s="3" t="s">
        <v>129</v>
      </c>
      <c r="C15" s="3" t="s">
        <v>130</v>
      </c>
      <c r="D15" s="3" t="s">
        <v>131</v>
      </c>
      <c r="F15" s="8"/>
      <c r="G15" s="8"/>
      <c r="H15" s="8"/>
    </row>
    <row r="16" spans="1:8" ht="33.4" thickBot="1" x14ac:dyDescent="0.7">
      <c r="A16" s="14">
        <v>50</v>
      </c>
      <c r="B16" s="3" t="s">
        <v>132</v>
      </c>
      <c r="C16" s="3" t="s">
        <v>33</v>
      </c>
      <c r="D16" s="3" t="s">
        <v>133</v>
      </c>
      <c r="F16" s="8"/>
      <c r="G16" s="8"/>
      <c r="H16" s="8"/>
    </row>
    <row r="17" spans="1:8" ht="49.9" thickBot="1" x14ac:dyDescent="0.7">
      <c r="A17" s="14">
        <v>51</v>
      </c>
      <c r="B17" s="3" t="s">
        <v>134</v>
      </c>
      <c r="C17" s="3" t="s">
        <v>135</v>
      </c>
      <c r="D17" s="3" t="s">
        <v>136</v>
      </c>
      <c r="F17" s="8"/>
      <c r="G17" s="8"/>
      <c r="H17" s="8"/>
    </row>
    <row r="18" spans="1:8" ht="33.4" thickBot="1" x14ac:dyDescent="0.7">
      <c r="A18" s="14">
        <v>52</v>
      </c>
      <c r="B18" s="3" t="s">
        <v>137</v>
      </c>
      <c r="C18" s="3" t="s">
        <v>24</v>
      </c>
      <c r="D18" s="3" t="s">
        <v>138</v>
      </c>
      <c r="F18" s="8"/>
      <c r="G18" s="8"/>
      <c r="H18" s="8"/>
    </row>
    <row r="19" spans="1:8" ht="49.9" thickBot="1" x14ac:dyDescent="0.7">
      <c r="A19" s="14">
        <v>53</v>
      </c>
      <c r="B19" s="3" t="s">
        <v>139</v>
      </c>
      <c r="C19" s="3" t="s">
        <v>140</v>
      </c>
      <c r="D19" s="3" t="s">
        <v>141</v>
      </c>
      <c r="F19" s="8"/>
      <c r="G19" s="3"/>
      <c r="H19" s="3"/>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B6B9A5E792D2446B8986FAE34BEC557" ma:contentTypeVersion="13" ma:contentTypeDescription="Criar um novo documento." ma:contentTypeScope="" ma:versionID="af2f9aa599193a55c79d292d76b6e337">
  <xsd:schema xmlns:xsd="http://www.w3.org/2001/XMLSchema" xmlns:xs="http://www.w3.org/2001/XMLSchema" xmlns:p="http://schemas.microsoft.com/office/2006/metadata/properties" xmlns:ns1="http://schemas.microsoft.com/sharepoint/v3" xmlns:ns2="5ad20f8b-9281-4829-a9aa-2b5a878ba2cc" xmlns:ns3="09d3dac3-f296-4107-b579-4b1e37be6169" targetNamespace="http://schemas.microsoft.com/office/2006/metadata/properties" ma:root="true" ma:fieldsID="04b25a183bab0937220f8c9e03018195" ns1:_="" ns2:_="" ns3:_="">
    <xsd:import namespace="http://schemas.microsoft.com/sharepoint/v3"/>
    <xsd:import namespace="5ad20f8b-9281-4829-a9aa-2b5a878ba2cc"/>
    <xsd:import namespace="09d3dac3-f296-4107-b579-4b1e37be616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d20f8b-9281-4829-a9aa-2b5a878ba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d3dac3-f296-4107-b579-4b1e37be616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f43633d-4f01-4e5f-8ed6-670c29f8108f}" ma:internalName="TaxCatchAll" ma:showField="CatchAllData" ma:web="09d3dac3-f296-4107-b579-4b1e37be6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4113ED-A459-4C18-BF25-4C6DDAFB935E}"/>
</file>

<file path=customXml/itemProps2.xml><?xml version="1.0" encoding="utf-8"?>
<ds:datastoreItem xmlns:ds="http://schemas.openxmlformats.org/officeDocument/2006/customXml" ds:itemID="{0592D4BB-A1B7-409C-B13C-812A698B41D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Resumo</vt:lpstr>
      <vt:lpstr>Notas</vt:lpstr>
      <vt:lpstr>IDENTIFICATION</vt:lpstr>
      <vt:lpstr>OWN FUNDS</vt:lpstr>
      <vt:lpstr>AMOUNTS</vt:lpstr>
      <vt:lpstr>INVESTOR CREDITOR</vt:lpstr>
      <vt:lpstr>GUARANTEES</vt:lpstr>
      <vt:lpstr>AMOUNTS!_Toc51154475</vt:lpstr>
      <vt:lpstr>GUARANTEES!_Toc51154475</vt:lpstr>
      <vt:lpstr>IDENTIFICATION!_Toc51154475</vt:lpstr>
      <vt:lpstr>'INVESTOR CREDITOR'!_Toc51154475</vt:lpstr>
      <vt:lpstr>'OWN FUNDS'!_Toc51154475</vt:lpstr>
    </vt:vector>
  </TitlesOfParts>
  <Company>Banco Santander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Nuno Capelão Mendes</dc:creator>
  <cp:lastModifiedBy>Pedro Nuno Capelão Mendes</cp:lastModifiedBy>
  <dcterms:created xsi:type="dcterms:W3CDTF">2024-06-24T08:49:13Z</dcterms:created>
  <dcterms:modified xsi:type="dcterms:W3CDTF">2024-06-28T16:40:08Z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2024-06-25T06:53:40Z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1719279f-019f-4843-bec0-ae41c5bda5cf</vt:lpwstr>
  </property>
  <property fmtid="{D5CDD505-2E9C-101B-9397-08002B2CF9AE}" pid="8" name="MSIP_Label_0c2abd79-57a9-4473-8700-c843f76a1e37_ContentBits">
    <vt:lpwstr>0</vt:lpwstr>
  </property>
</Properties>
</file>