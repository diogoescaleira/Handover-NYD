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58309\OneDrive - Santander Office 365\FMIR_LDR_Valuation\"/>
    </mc:Choice>
  </mc:AlternateContent>
  <bookViews>
    <workbookView xWindow="0" yWindow="0" windowWidth="28800" windowHeight="12450"/>
  </bookViews>
  <sheets>
    <sheet name="Detalhe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4" i="3" l="1"/>
  <c r="M99" i="3"/>
  <c r="M98" i="3"/>
  <c r="M97" i="3"/>
  <c r="N34" i="3" l="1"/>
  <c r="N25" i="3"/>
  <c r="N28" i="3"/>
  <c r="N31" i="3" l="1"/>
  <c r="N42" i="3"/>
  <c r="N43" i="3"/>
  <c r="N35" i="3" l="1"/>
  <c r="N36" i="3"/>
  <c r="M83" i="3" l="1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N23" i="3" l="1"/>
  <c r="N22" i="3"/>
  <c r="M96" i="3"/>
  <c r="M8" i="3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N21" i="3"/>
  <c r="N24" i="3"/>
  <c r="M26" i="3"/>
  <c r="N26" i="3" s="1"/>
  <c r="N27" i="3"/>
  <c r="M29" i="3"/>
  <c r="N29" i="3" s="1"/>
  <c r="M30" i="3"/>
  <c r="N30" i="3" s="1"/>
  <c r="M45" i="3"/>
  <c r="M46" i="3"/>
  <c r="M47" i="3"/>
  <c r="M84" i="3"/>
  <c r="M85" i="3"/>
  <c r="M86" i="3"/>
  <c r="M87" i="3"/>
  <c r="M88" i="3"/>
  <c r="M89" i="3"/>
  <c r="M90" i="3"/>
  <c r="M91" i="3"/>
  <c r="M92" i="3"/>
  <c r="M93" i="3"/>
  <c r="M94" i="3"/>
  <c r="M95" i="3"/>
  <c r="N32" i="3"/>
  <c r="M33" i="3"/>
  <c r="N33" i="3" s="1"/>
  <c r="N37" i="3"/>
  <c r="N38" i="3"/>
  <c r="N39" i="3"/>
  <c r="M40" i="3"/>
  <c r="N40" i="3" s="1"/>
  <c r="M41" i="3"/>
  <c r="N41" i="3" s="1"/>
  <c r="N8" i="3" l="1"/>
  <c r="M5" i="3"/>
</calcChain>
</file>

<file path=xl/sharedStrings.xml><?xml version="1.0" encoding="utf-8"?>
<sst xmlns="http://schemas.openxmlformats.org/spreadsheetml/2006/main" count="300" uniqueCount="159">
  <si>
    <t>Validação</t>
  </si>
  <si>
    <t>Total</t>
  </si>
  <si>
    <t>ID</t>
  </si>
  <si>
    <t>Processo</t>
  </si>
  <si>
    <t>Tipologia</t>
  </si>
  <si>
    <t>Descrição</t>
  </si>
  <si>
    <t>Analise</t>
  </si>
  <si>
    <t>Desenvolvimento</t>
  </si>
  <si>
    <t>Testes</t>
  </si>
  <si>
    <t>Criação da release para passagem a ambientes de PRE e PRO</t>
  </si>
  <si>
    <t>1 - Geração Ficheiro</t>
  </si>
  <si>
    <t>Pedido de ingestas</t>
  </si>
  <si>
    <t>Acessos à informação</t>
  </si>
  <si>
    <t>Construção de processo automático</t>
  </si>
  <si>
    <t>days</t>
  </si>
  <si>
    <t>Documentação</t>
  </si>
  <si>
    <t>Documentação relativa à construção das queries</t>
  </si>
  <si>
    <t>Criação das release tasks</t>
  </si>
  <si>
    <t>Documentação relativa à origens dos campos (modelo fisico com traçabilidade)</t>
  </si>
  <si>
    <t>DDR do desenvolvimento</t>
  </si>
  <si>
    <t>01 - Security Groups</t>
  </si>
  <si>
    <t>02 - Releases</t>
  </si>
  <si>
    <t>03 - Permission Setup</t>
  </si>
  <si>
    <t>04 - Service Principal Name (SPN)</t>
  </si>
  <si>
    <t>05 - Cluster Policy</t>
  </si>
  <si>
    <t>06 - Análise</t>
  </si>
  <si>
    <t>Criação de user group c/ nomenclatura aprovada</t>
  </si>
  <si>
    <t>adicionar users ao user group</t>
  </si>
  <si>
    <t>Pedido de adição de users ao user group</t>
  </si>
  <si>
    <t>dar acessos ao user group</t>
  </si>
  <si>
    <t>Pedido de sincronização entre azure &amp; Databricks</t>
  </si>
  <si>
    <t>editar as permissões em azure</t>
  </si>
  <si>
    <t>(RLS) Creação de diretorias em Databricks</t>
  </si>
  <si>
    <t>Criar notebooks acessíveis a todos os users</t>
  </si>
  <si>
    <t>Pedido de profis técnicos no Datalake</t>
  </si>
  <si>
    <t>Aceder às tabelas</t>
  </si>
  <si>
    <t>Pedido de acessos ao data lake</t>
  </si>
  <si>
    <t>Pedido de Service Principal com o acrónimo do novo projeto</t>
  </si>
  <si>
    <t>Dar permissão de acesso aos recursos criados em azure ao SPN</t>
  </si>
  <si>
    <t>Guardar o segredo do SPN</t>
  </si>
  <si>
    <t>Permissões para o SPN (ACL's)</t>
  </si>
  <si>
    <t>Correr os notebooks com as credenciais do SPN</t>
  </si>
  <si>
    <t>Permissões de escrita (para o csv) na storage account</t>
  </si>
  <si>
    <t>dar permissão de escrita ao SPN</t>
  </si>
  <si>
    <t>Permissões de leitura e execução na storage account</t>
  </si>
  <si>
    <t>Ter acesso às tabelas</t>
  </si>
  <si>
    <t>Correr pipelines</t>
  </si>
  <si>
    <t>Exemplo</t>
  </si>
  <si>
    <t>RITM008102540</t>
  </si>
  <si>
    <t>RITM008272200</t>
  </si>
  <si>
    <t>RITM008231357</t>
  </si>
  <si>
    <t>RTSK2651887</t>
  </si>
  <si>
    <t>RITM007969684</t>
  </si>
  <si>
    <t>RITM007863639</t>
  </si>
  <si>
    <t>RITM007997173</t>
  </si>
  <si>
    <t>RITM008185686</t>
  </si>
  <si>
    <t>RITM008313585</t>
  </si>
  <si>
    <t>RITM008224517</t>
  </si>
  <si>
    <t>RITM008360569</t>
  </si>
  <si>
    <t>RITM008324244</t>
  </si>
  <si>
    <t>13 - Criação da Release para ambientes de PRE e PRO</t>
  </si>
  <si>
    <t>Tarefa</t>
  </si>
  <si>
    <t>Script hql</t>
  </si>
  <si>
    <t>07 - Script</t>
  </si>
  <si>
    <t>00 - Arquitetura</t>
  </si>
  <si>
    <t>Criação/acompanhamento do DTT</t>
  </si>
  <si>
    <t>Reuniões com arquitetura para desenvolvimento do DT</t>
  </si>
  <si>
    <t>09 - Frontend</t>
  </si>
  <si>
    <t>Criação do módulo/linha que permite lançar o processo via frontend</t>
  </si>
  <si>
    <t>08 - Ingestas</t>
  </si>
  <si>
    <t>Script Postgresql</t>
  </si>
  <si>
    <t>Criação do script hbase para lançamento do processo via frontend</t>
  </si>
  <si>
    <t>Criação dos scripts de Postgresql para lançamento do processo via frontend</t>
  </si>
  <si>
    <t>Alteração do frontend</t>
  </si>
  <si>
    <t>Documento do manual de utilizador</t>
  </si>
  <si>
    <t>10 - DB</t>
  </si>
  <si>
    <t>11 - Programa</t>
  </si>
  <si>
    <t>12 - Documentação</t>
  </si>
  <si>
    <t>Script hbase/mongoDB</t>
  </si>
  <si>
    <t>Criação dos scripts de Postgresql das tabelas de parametrização</t>
  </si>
  <si>
    <t>Pedido de ingestas da tabela CD_CAPTOOLS.CT001_UNIV_SALDO</t>
  </si>
  <si>
    <t>Pedido de ingestas da tabela CD_CAPTOOLS.CT083_UNIV_SAL_D</t>
  </si>
  <si>
    <t>Pedido de ingestas da tabela CD_CAPTOOLS.CT004_UNIV_CTO</t>
  </si>
  <si>
    <t>Pedido de ingestas da tabela CD_CAPTOOLS.CT085_UNIV_CTO_D</t>
  </si>
  <si>
    <t>Pedido de ingestas da tabelaCD_CAPTOOLS.CT003_UNIV_CLI</t>
  </si>
  <si>
    <t>Pedido de ingestas da tabela CD_CAPTOOLS.CT084_UNIV_CLI_D</t>
  </si>
  <si>
    <t>Pedido de ingestas da tabela CD_CAPTOOLS.CT610_TITULOS</t>
  </si>
  <si>
    <t>Pedido de ingestas da tabela CD_CAPTOOLS.CT081_FINREP</t>
  </si>
  <si>
    <t>Pedido de ingestas da tabela CD_CAPTOOLS.PERIMETRO</t>
  </si>
  <si>
    <t>Pedido de ingestas da tabela CD_CAPTOOLS.CT010_DIM_VALOR</t>
  </si>
  <si>
    <t>Pedido de ingestas da tabela CD_CAPTOOLS.CT070_UNIV_GR_CLI</t>
  </si>
  <si>
    <t>Pedido de ingestas da tabela CD_CAPTOOLS.CT088_UNIV_GR_CLI_D</t>
  </si>
  <si>
    <t>Pedido de ingestas da tabela CD_CAPTOOLS.FR802_PL_CONTAS</t>
  </si>
  <si>
    <t>Pedido de ingestas da tabela CD_CAPTOOLS.FR003_COLATERAIS</t>
  </si>
  <si>
    <t>Pedido de ingestas da tabela CD_CAPTOOLS.KT_CHAVES_FINREP</t>
  </si>
  <si>
    <t>Pedido de ingestas da tabela CD_CAPTOOLS.FR009_RECUP</t>
  </si>
  <si>
    <t>Pedido de ingestas da tabela CD_CAPTOOLS.CT013_RWA_PRINC</t>
  </si>
  <si>
    <t>Pedido de ingestas da tabela CD_CAPTOOLS.CT014_RWA_IRB</t>
  </si>
  <si>
    <t>Pedido de ingestas da tabela CD_CAPTOOLS.CT021_RWA_CLI</t>
  </si>
  <si>
    <t>Pedido de ingestas da tabela CD_CAPTOOLS.KT_CHAVES_BDR</t>
  </si>
  <si>
    <t>Pedido de ingestas da tabela CD_CAPTOOLS.IMCATF046_FLAG_FECHO</t>
  </si>
  <si>
    <t>Pedido de ingestas da tabela CD_CAPTOOLS.IFRS9_OUT_EXPECTED_LOSS_8_7</t>
  </si>
  <si>
    <t>Pedido de ingestas da tabela CD_CAPTOOLS.IFRS9_OUT_STAGING_8_7</t>
  </si>
  <si>
    <t>Pedido de ingestas da tabela CD_CAPTOOLS.KT_CHAVES_IFRS9</t>
  </si>
  <si>
    <t>Pedido de ingestas da tabela CD_ALM.AL029_CNT_CORE_M</t>
  </si>
  <si>
    <t>Pedido de ingestas da tabela CD_ALM.AL001_CNT_CORE</t>
  </si>
  <si>
    <t>Pedido de ingestas da tabela CD_ALM.AL030_SLD_CORE_M</t>
  </si>
  <si>
    <t>Pedido de ingestas da tabela CD_ALM.AL002_SLD_CORE</t>
  </si>
  <si>
    <t>Pedido de ingestas da tabela CD_ALM.KT_CHAVES_ALM_M</t>
  </si>
  <si>
    <t>Pedido de ingestas da tabela CD_ALM.KT_CHAVES_ALM</t>
  </si>
  <si>
    <t>Pedido de ingestas da tabela CD_ALM.AL006_SAQ_PPC</t>
  </si>
  <si>
    <t>Pedido de ingestas da tabela CD_ALM.AL007_PROG_PPC</t>
  </si>
  <si>
    <t>Pedido de ingestas da tabela CD_ALM.AL031_PERI_ALM_M</t>
  </si>
  <si>
    <t>Pedido de ingestas da tabela CD_ALM.AL008_PERI_ALM</t>
  </si>
  <si>
    <t>Pedido de ingestas da tabela CD_ALM.AL005_DET_SWAPC</t>
  </si>
  <si>
    <t>Pedido de ingestas da tabela CD_ALM.AL011_DERIVADOS</t>
  </si>
  <si>
    <t>Pedido de ingestas da tabela CD_EMPRESTIMOS.GPT32_BEMIMOVE</t>
  </si>
  <si>
    <t>Pedido de ingestas da tabela CD_LOAN_TAPES_BCE.LT002_INSTRUMENT</t>
  </si>
  <si>
    <t>Pedido de ingestas da tabela CD_LOAN_TAPES_BCE.LT003_ENTITY</t>
  </si>
  <si>
    <t>Pedido de ingestas da tabela CD_LOAN_TAPES_BCE.LT004_PROTECTION</t>
  </si>
  <si>
    <t>Pedido de ingestas da tabela CD_LOAN_TAPES_BCE.LT005_INSTR_ENT</t>
  </si>
  <si>
    <t>Pedido de ingestas da tabela CD_LOAN_TAPES_BCE.LT006_INSTR_PROT</t>
  </si>
  <si>
    <t>Pedido de ingestas da tabela CD_CLIENTES.CLT18_CTACLI</t>
  </si>
  <si>
    <t xml:space="preserve">Pedido de ingestas da tabela CD_ALM.AL015_ACT_FIN </t>
  </si>
  <si>
    <t>Pedido de ingestas da tabela CD_CAPTOOLS.CLIENTES_INTRAGRUPO</t>
  </si>
  <si>
    <t>Pedido de ingestas da tabela CD_CAPTOOLS.CT007_PV_PLANOS</t>
  </si>
  <si>
    <t>Pedido de ingestas da tabela CD_CAPTOOLS.CT008_PV_CONTAS</t>
  </si>
  <si>
    <t>Pedido de ingestas da tabela CD_CAPTOOLS.CT011_DIM_HIER</t>
  </si>
  <si>
    <t>Pedido de ingestas da tabela CD_CAPTOOLS.CT063_UNIV_PME</t>
  </si>
  <si>
    <t>Pedido de ingestas da tabela CD_CAPTOOLS.CT069_UNIV_GR_EC</t>
  </si>
  <si>
    <t>Obtenção de informação para as novas tabelas do LDR</t>
  </si>
  <si>
    <t>Obtenção de informação para as novas tabelas do FMIR</t>
  </si>
  <si>
    <t>Obtenção de informação para as novas tabelas de Valuation</t>
  </si>
  <si>
    <t>Obtenção dos campos/informação necessários</t>
  </si>
  <si>
    <t>Pedido de cluster policy</t>
  </si>
  <si>
    <t>Pedido de Secret Scope</t>
  </si>
  <si>
    <t>Definição com CDO do schema, das tabelas e dos campos</t>
  </si>
  <si>
    <t>Testes Report FMIR</t>
  </si>
  <si>
    <t>Testes Report LDR</t>
  </si>
  <si>
    <t>Testes Report EVALUATION</t>
  </si>
  <si>
    <t>14 - Testes</t>
  </si>
  <si>
    <t>Validação dos campos disponibilizados</t>
  </si>
  <si>
    <t>Validação do pedido de ingestas</t>
  </si>
  <si>
    <r>
      <t xml:space="preserve">Criação dos scripts de </t>
    </r>
    <r>
      <rPr>
        <i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TABLES</t>
    </r>
    <r>
      <rPr>
        <sz val="11"/>
        <color theme="1"/>
        <rFont val="Calibri"/>
        <family val="2"/>
        <scheme val="minor"/>
      </rPr>
      <t xml:space="preserve"> de upload manual no Datalake</t>
    </r>
  </si>
  <si>
    <r>
      <t xml:space="preserve">Criação dos scripts de </t>
    </r>
    <r>
      <rPr>
        <i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TABLES</t>
    </r>
    <r>
      <rPr>
        <sz val="11"/>
        <color theme="1"/>
        <rFont val="Calibri"/>
        <family val="2"/>
        <scheme val="minor"/>
      </rPr>
      <t xml:space="preserve"> das tabelas principais no Datalake</t>
    </r>
  </si>
  <si>
    <t>Criação dos scripts de Postgresql das tabelas manuais</t>
  </si>
  <si>
    <t>Script Postgresql (UPL)</t>
  </si>
  <si>
    <t>Script Postgresql (CT)</t>
  </si>
  <si>
    <r>
      <t xml:space="preserve">Criação dos scripts de </t>
    </r>
    <r>
      <rPr>
        <i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TABLES</t>
    </r>
    <r>
      <rPr>
        <sz val="11"/>
        <color theme="1"/>
        <rFont val="Calibri"/>
        <family val="2"/>
        <scheme val="minor"/>
      </rPr>
      <t xml:space="preserve"> das tabelas de parametrização no Datalake</t>
    </r>
  </si>
  <si>
    <t>Construção do programa em Python Report FMIR</t>
  </si>
  <si>
    <t>Construção do programa em Python Report LDR</t>
  </si>
  <si>
    <t>Construção do programa em Python Report VALUATION</t>
  </si>
  <si>
    <t>Pedido de ingestas da tabela CD_ESTRUTURAIS.TAT91_TABELAS</t>
  </si>
  <si>
    <t>Total [h]</t>
  </si>
  <si>
    <t>Total [d]</t>
  </si>
  <si>
    <t>Pedido de ingestas da tabela CD_ALM.EPT03</t>
  </si>
  <si>
    <t>Pedido de ingestas da tabela CD_CAPTOOLS.CT005_UNIV_PERIM</t>
  </si>
  <si>
    <t>Pedido de ingestas da tabela  cd_captools.ct024_rwa_master</t>
  </si>
  <si>
    <t>Pedido de ingestas da tabela  cd_clientes.customers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</si>
</sst>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vertical="center" wrapText="1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7" xfId="0" applyNumberFormat="1" applyFont="1" applyFill="1" applyBorder="1" applyAlignment="1">
      <alignment horizontal="center" vertical="center"/>
    </xf>
    <xf numFmtId="0" fontId="4" fillId="2" borderId="7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left" vertical="center" wrapText="1"/>
    </xf>
    <xf numFmtId="0" fontId="7" fillId="2" borderId="7" xfId="0" applyNumberFormat="1" applyFont="1" applyFill="1" applyBorder="1" applyAlignment="1">
      <alignment horizontal="center" vertical="center"/>
    </xf>
    <xf numFmtId="0" fontId="7" fillId="2" borderId="7" xfId="0" applyNumberFormat="1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10" xfId="0" applyNumberFormat="1" applyFont="1" applyFill="1" applyBorder="1" applyAlignment="1">
      <alignment horizontal="center" vertical="center"/>
    </xf>
    <xf numFmtId="0" fontId="7" fillId="2" borderId="11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4" borderId="0" xfId="0" applyFont="1" applyFill="1" applyAlignment="1">
      <alignment vertical="center"/>
    </xf>
    <xf numFmtId="0" fontId="4" fillId="2" borderId="7" xfId="0" applyFont="1" applyFill="1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2" borderId="7" xfId="0" applyFill="1" applyBorder="1" applyAlignment="1">
      <alignment vertical="center"/>
    </xf>
    <xf numFmtId="0" fontId="7" fillId="2" borderId="7" xfId="0" applyFont="1" applyFill="1" applyBorder="1" applyAlignment="1">
      <alignment vertical="center" wrapText="1"/>
    </xf>
    <xf numFmtId="0" fontId="0" fillId="0" borderId="7" xfId="0" applyFont="1" applyBorder="1" applyAlignment="1">
      <alignment vertical="center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border outline="0">
        <top style="thin">
          <color rgb="FF969696"/>
        </top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96969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969696"/>
        </left>
        <right style="thin">
          <color rgb="FF969696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07065" y="190500"/>
    <xdr:ext cx="1169726" cy="203162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7065" y="190500"/>
          <a:ext cx="1169726" cy="203162"/>
        </a:xfrm>
        <a:prstGeom prst="rect">
          <a:avLst/>
        </a:prstGeom>
      </xdr:spPr>
    </xdr:pic>
    <xdr:clientData/>
  </xdr:absoluteAnchor>
</xdr:wsDr>
</file>

<file path=xl/tables/table1.xml><?xml version="1.0" encoding="utf-8"?>
<table xmlns="http://schemas.openxmlformats.org/spreadsheetml/2006/main" id="2" name="Table13" displayName="Table13" ref="C7:N44" totalsRowShown="0" headerRowDxfId="16" dataDxfId="14" headerRowBorderDxfId="15" tableBorderDxfId="13" totalsRowBorderDxfId="12">
  <autoFilter ref="C7:N44"/>
  <tableColumns count="12">
    <tableColumn id="1" name="ID" dataDxfId="11"/>
    <tableColumn id="2" name="Processo" dataDxfId="10"/>
    <tableColumn id="3" name="Tipologia" dataDxfId="9"/>
    <tableColumn id="4" name="Descrição" dataDxfId="8"/>
    <tableColumn id="10" name="Tarefa" dataDxfId="7"/>
    <tableColumn id="11" name="Exemplo" dataDxfId="6"/>
    <tableColumn id="6" name="Analise" dataDxfId="5"/>
    <tableColumn id="7" name="Desenvolvimento" dataDxfId="4"/>
    <tableColumn id="13" name="Validação" dataDxfId="3"/>
    <tableColumn id="8" name="Testes" dataDxfId="2"/>
    <tableColumn id="9" name="Total [h]" dataDxfId="1">
      <calculatedColumnFormula>SUM(I8:L8)</calculatedColumnFormula>
    </tableColumn>
    <tableColumn id="5" name="Total [d]" dataDxfId="0">
      <calculatedColumnFormula>Table13[[#This Row],[Total '[h']]]/8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9"/>
  <sheetViews>
    <sheetView showGridLines="0" tabSelected="1" zoomScale="80" zoomScaleNormal="80" workbookViewId="0">
      <selection activeCell="M22" sqref="M22"/>
    </sheetView>
  </sheetViews>
  <sheetFormatPr defaultColWidth="9.140625" defaultRowHeight="15" outlineLevelCol="1" x14ac:dyDescent="0.25"/>
  <cols>
    <col min="1" max="2" width="3.140625" style="3" customWidth="1"/>
    <col min="3" max="3" width="5.42578125" style="3" customWidth="1"/>
    <col min="4" max="4" width="14.5703125" style="3" hidden="1" customWidth="1"/>
    <col min="5" max="5" width="54.85546875" style="3" bestFit="1" customWidth="1"/>
    <col min="6" max="6" width="84.85546875" style="3" bestFit="1" customWidth="1"/>
    <col min="7" max="7" width="54.5703125" style="3" bestFit="1" customWidth="1"/>
    <col min="8" max="8" width="14.7109375" style="3" bestFit="1" customWidth="1"/>
    <col min="9" max="9" width="12.85546875" style="3" hidden="1" customWidth="1" outlineLevel="1"/>
    <col min="10" max="10" width="21.85546875" style="3" hidden="1" customWidth="1" outlineLevel="1"/>
    <col min="11" max="11" width="15.140625" style="3" hidden="1" customWidth="1" outlineLevel="1"/>
    <col min="12" max="12" width="10.5703125" style="3" hidden="1" customWidth="1" outlineLevel="1"/>
    <col min="13" max="13" width="13.28515625" style="3" customWidth="1" collapsed="1"/>
    <col min="14" max="14" width="13.28515625" style="3" customWidth="1"/>
    <col min="15" max="16384" width="9.140625" style="3"/>
  </cols>
  <sheetData>
    <row r="1" spans="2:15" x14ac:dyDescent="0.25">
      <c r="D1" s="1"/>
      <c r="E1" s="1"/>
      <c r="F1" s="2"/>
      <c r="G1" s="2"/>
      <c r="H1" s="2"/>
      <c r="I1" s="1"/>
      <c r="J1" s="1"/>
      <c r="K1" s="1"/>
      <c r="L1" s="1"/>
      <c r="M1" s="1"/>
      <c r="N1" s="1"/>
    </row>
    <row r="2" spans="2:15" x14ac:dyDescent="0.25">
      <c r="B2" s="32"/>
      <c r="C2" s="32"/>
      <c r="D2" s="1"/>
      <c r="E2" s="1"/>
      <c r="F2" s="2"/>
      <c r="G2" s="2"/>
      <c r="H2" s="2"/>
      <c r="I2" s="1"/>
      <c r="J2" s="1"/>
      <c r="K2" s="1"/>
      <c r="L2" s="1"/>
      <c r="M2" s="1"/>
      <c r="N2" s="1"/>
    </row>
    <row r="3" spans="2:15" ht="15.75" thickBot="1" x14ac:dyDescent="0.3">
      <c r="C3" s="4"/>
      <c r="D3" s="5"/>
      <c r="E3" s="5"/>
      <c r="F3" s="6"/>
      <c r="G3" s="6"/>
      <c r="H3" s="6"/>
      <c r="I3" s="5"/>
      <c r="J3" s="5"/>
      <c r="K3" s="5"/>
      <c r="L3" s="5"/>
      <c r="M3" s="5"/>
      <c r="N3" s="7"/>
    </row>
    <row r="4" spans="2:15" ht="15.75" thickTop="1" x14ac:dyDescent="0.25">
      <c r="D4" s="1"/>
      <c r="E4" s="1"/>
      <c r="F4" s="2"/>
      <c r="G4" s="2"/>
      <c r="H4" s="2"/>
      <c r="I4" s="1"/>
      <c r="J4" s="1"/>
      <c r="K4" s="1"/>
      <c r="L4" s="1"/>
      <c r="M4" s="1"/>
      <c r="N4" s="1"/>
      <c r="O4" s="12" t="s">
        <v>14</v>
      </c>
    </row>
    <row r="5" spans="2:15" x14ac:dyDescent="0.25">
      <c r="C5" s="33" t="s">
        <v>10</v>
      </c>
      <c r="E5" s="1"/>
      <c r="F5" s="2"/>
      <c r="G5" s="2"/>
      <c r="H5" s="2"/>
      <c r="J5" s="34"/>
      <c r="K5" s="34"/>
      <c r="L5" s="35" t="s">
        <v>1</v>
      </c>
      <c r="M5" s="36">
        <f>+SUM(M8:M1048576)</f>
        <v>1778</v>
      </c>
      <c r="N5" s="1"/>
      <c r="O5" s="13"/>
    </row>
    <row r="6" spans="2:15" x14ac:dyDescent="0.25">
      <c r="E6" s="1"/>
      <c r="F6" s="2"/>
      <c r="G6" s="2"/>
      <c r="H6" s="2"/>
      <c r="I6" s="1"/>
      <c r="J6" s="1"/>
      <c r="K6" s="1"/>
      <c r="L6" s="1"/>
      <c r="M6" s="1"/>
      <c r="N6" s="1"/>
    </row>
    <row r="7" spans="2:15" x14ac:dyDescent="0.25">
      <c r="C7" s="8" t="s">
        <v>2</v>
      </c>
      <c r="D7" s="9" t="s">
        <v>3</v>
      </c>
      <c r="E7" s="15" t="s">
        <v>4</v>
      </c>
      <c r="F7" s="15" t="s">
        <v>5</v>
      </c>
      <c r="G7" s="15" t="s">
        <v>61</v>
      </c>
      <c r="H7" s="15" t="s">
        <v>47</v>
      </c>
      <c r="I7" s="15" t="s">
        <v>6</v>
      </c>
      <c r="J7" s="15" t="s">
        <v>7</v>
      </c>
      <c r="K7" s="15" t="s">
        <v>0</v>
      </c>
      <c r="L7" s="15" t="s">
        <v>8</v>
      </c>
      <c r="M7" s="16" t="s">
        <v>153</v>
      </c>
      <c r="N7" s="16" t="s">
        <v>154</v>
      </c>
    </row>
    <row r="8" spans="2:15" x14ac:dyDescent="0.25">
      <c r="C8" s="10">
        <v>1</v>
      </c>
      <c r="D8" s="17"/>
      <c r="E8" s="23" t="s">
        <v>64</v>
      </c>
      <c r="F8" s="37" t="s">
        <v>65</v>
      </c>
      <c r="G8" s="18" t="s">
        <v>66</v>
      </c>
      <c r="H8" s="22"/>
      <c r="I8" s="19">
        <v>8</v>
      </c>
      <c r="J8" s="19">
        <v>0</v>
      </c>
      <c r="K8" s="19">
        <v>1</v>
      </c>
      <c r="L8" s="19"/>
      <c r="M8" s="20">
        <f t="shared" ref="M8:M29" si="0">SUM(I8:L8)</f>
        <v>9</v>
      </c>
      <c r="N8" s="29">
        <f>Table13[[#This Row],[Total '[h']]]/8</f>
        <v>1.125</v>
      </c>
    </row>
    <row r="9" spans="2:15" x14ac:dyDescent="0.25">
      <c r="C9" s="10">
        <v>2</v>
      </c>
      <c r="D9" s="14"/>
      <c r="E9" s="38" t="s">
        <v>20</v>
      </c>
      <c r="F9" s="39" t="s">
        <v>26</v>
      </c>
      <c r="G9" s="38" t="s">
        <v>27</v>
      </c>
      <c r="H9" s="38" t="s">
        <v>48</v>
      </c>
      <c r="I9" s="38"/>
      <c r="J9" s="38">
        <v>8</v>
      </c>
      <c r="K9" s="38"/>
      <c r="L9" s="38"/>
      <c r="M9" s="21">
        <f t="shared" si="0"/>
        <v>8</v>
      </c>
      <c r="N9" s="26">
        <f>Table13[[#This Row],[Total '[h']]]/8</f>
        <v>1</v>
      </c>
    </row>
    <row r="10" spans="2:15" x14ac:dyDescent="0.25">
      <c r="C10" s="10">
        <v>3</v>
      </c>
      <c r="D10" s="14"/>
      <c r="E10" s="38" t="s">
        <v>20</v>
      </c>
      <c r="F10" s="39" t="s">
        <v>28</v>
      </c>
      <c r="G10" s="38" t="s">
        <v>29</v>
      </c>
      <c r="H10" s="38" t="s">
        <v>49</v>
      </c>
      <c r="I10" s="38"/>
      <c r="J10" s="38">
        <v>4</v>
      </c>
      <c r="K10" s="38"/>
      <c r="L10" s="38"/>
      <c r="M10" s="21">
        <f t="shared" si="0"/>
        <v>4</v>
      </c>
      <c r="N10" s="26">
        <f>Table13[[#This Row],[Total '[h']]]/8</f>
        <v>0.5</v>
      </c>
    </row>
    <row r="11" spans="2:15" x14ac:dyDescent="0.25">
      <c r="C11" s="10">
        <v>4</v>
      </c>
      <c r="D11" s="14"/>
      <c r="E11" s="38" t="s">
        <v>20</v>
      </c>
      <c r="F11" s="39" t="s">
        <v>30</v>
      </c>
      <c r="G11" s="38" t="s">
        <v>31</v>
      </c>
      <c r="H11" s="38" t="s">
        <v>50</v>
      </c>
      <c r="I11" s="38"/>
      <c r="J11" s="38">
        <v>4</v>
      </c>
      <c r="K11" s="38"/>
      <c r="L11" s="38"/>
      <c r="M11" s="21">
        <f t="shared" si="0"/>
        <v>4</v>
      </c>
      <c r="N11" s="26">
        <f>Table13[[#This Row],[Total '[h']]]/8</f>
        <v>0.5</v>
      </c>
    </row>
    <row r="12" spans="2:15" x14ac:dyDescent="0.25">
      <c r="C12" s="10">
        <v>5</v>
      </c>
      <c r="D12" s="14"/>
      <c r="E12" s="38" t="s">
        <v>21</v>
      </c>
      <c r="F12" s="39" t="s">
        <v>32</v>
      </c>
      <c r="G12" s="38" t="s">
        <v>33</v>
      </c>
      <c r="H12" s="38" t="s">
        <v>51</v>
      </c>
      <c r="I12" s="38"/>
      <c r="J12" s="38">
        <v>8</v>
      </c>
      <c r="K12" s="38"/>
      <c r="L12" s="38"/>
      <c r="M12" s="21">
        <f t="shared" si="0"/>
        <v>8</v>
      </c>
      <c r="N12" s="26">
        <f>Table13[[#This Row],[Total '[h']]]/8</f>
        <v>1</v>
      </c>
    </row>
    <row r="13" spans="2:15" x14ac:dyDescent="0.25">
      <c r="C13" s="10">
        <v>6</v>
      </c>
      <c r="D13" s="11"/>
      <c r="E13" s="38" t="s">
        <v>22</v>
      </c>
      <c r="F13" s="39" t="s">
        <v>34</v>
      </c>
      <c r="G13" s="38" t="s">
        <v>35</v>
      </c>
      <c r="H13" s="38" t="s">
        <v>52</v>
      </c>
      <c r="I13" s="38"/>
      <c r="J13" s="38">
        <v>4</v>
      </c>
      <c r="K13" s="38"/>
      <c r="L13" s="38"/>
      <c r="M13" s="21">
        <f t="shared" si="0"/>
        <v>4</v>
      </c>
      <c r="N13" s="26">
        <f>Table13[[#This Row],[Total '[h']]]/8</f>
        <v>0.5</v>
      </c>
    </row>
    <row r="14" spans="2:15" x14ac:dyDescent="0.25">
      <c r="C14" s="10">
        <v>7</v>
      </c>
      <c r="D14" s="14"/>
      <c r="E14" s="38" t="s">
        <v>22</v>
      </c>
      <c r="F14" s="39" t="s">
        <v>36</v>
      </c>
      <c r="G14" s="38" t="s">
        <v>35</v>
      </c>
      <c r="H14" s="38" t="s">
        <v>53</v>
      </c>
      <c r="I14" s="38"/>
      <c r="J14" s="38">
        <v>4</v>
      </c>
      <c r="K14" s="38"/>
      <c r="L14" s="38"/>
      <c r="M14" s="21">
        <f t="shared" si="0"/>
        <v>4</v>
      </c>
      <c r="N14" s="26">
        <f>Table13[[#This Row],[Total '[h']]]/8</f>
        <v>0.5</v>
      </c>
    </row>
    <row r="15" spans="2:15" ht="30" x14ac:dyDescent="0.25">
      <c r="C15" s="10">
        <v>8</v>
      </c>
      <c r="D15" s="14"/>
      <c r="E15" s="38" t="s">
        <v>23</v>
      </c>
      <c r="F15" s="39" t="s">
        <v>37</v>
      </c>
      <c r="G15" s="39" t="s">
        <v>38</v>
      </c>
      <c r="H15" s="38" t="s">
        <v>54</v>
      </c>
      <c r="I15" s="38"/>
      <c r="J15" s="38">
        <v>16</v>
      </c>
      <c r="K15" s="38"/>
      <c r="L15" s="38"/>
      <c r="M15" s="21">
        <f t="shared" si="0"/>
        <v>16</v>
      </c>
      <c r="N15" s="26">
        <f>Table13[[#This Row],[Total '[h']]]/8</f>
        <v>2</v>
      </c>
    </row>
    <row r="16" spans="2:15" x14ac:dyDescent="0.25">
      <c r="C16" s="10">
        <v>9</v>
      </c>
      <c r="D16" s="14"/>
      <c r="E16" s="38" t="s">
        <v>23</v>
      </c>
      <c r="F16" s="39" t="s">
        <v>135</v>
      </c>
      <c r="G16" s="38" t="s">
        <v>39</v>
      </c>
      <c r="H16" s="38" t="s">
        <v>55</v>
      </c>
      <c r="I16" s="38"/>
      <c r="J16" s="38">
        <v>8</v>
      </c>
      <c r="K16" s="38"/>
      <c r="L16" s="38"/>
      <c r="M16" s="21">
        <f t="shared" si="0"/>
        <v>8</v>
      </c>
      <c r="N16" s="26">
        <f>Table13[[#This Row],[Total '[h']]]/8</f>
        <v>1</v>
      </c>
    </row>
    <row r="17" spans="3:14" x14ac:dyDescent="0.25">
      <c r="C17" s="10">
        <v>10</v>
      </c>
      <c r="D17" s="14"/>
      <c r="E17" s="38" t="s">
        <v>23</v>
      </c>
      <c r="F17" s="39" t="s">
        <v>40</v>
      </c>
      <c r="G17" s="38" t="s">
        <v>41</v>
      </c>
      <c r="H17" s="38" t="s">
        <v>56</v>
      </c>
      <c r="I17" s="38"/>
      <c r="J17" s="38">
        <v>4</v>
      </c>
      <c r="K17" s="38"/>
      <c r="L17" s="38"/>
      <c r="M17" s="21">
        <f t="shared" si="0"/>
        <v>4</v>
      </c>
      <c r="N17" s="26">
        <f>Table13[[#This Row],[Total '[h']]]/8</f>
        <v>0.5</v>
      </c>
    </row>
    <row r="18" spans="3:14" x14ac:dyDescent="0.25">
      <c r="C18" s="10">
        <v>11</v>
      </c>
      <c r="D18" s="14"/>
      <c r="E18" s="38" t="s">
        <v>23</v>
      </c>
      <c r="F18" s="39" t="s">
        <v>42</v>
      </c>
      <c r="G18" s="38" t="s">
        <v>43</v>
      </c>
      <c r="H18" s="38" t="s">
        <v>57</v>
      </c>
      <c r="I18" s="38"/>
      <c r="J18" s="38">
        <v>4</v>
      </c>
      <c r="K18" s="38"/>
      <c r="L18" s="38"/>
      <c r="M18" s="21">
        <f t="shared" si="0"/>
        <v>4</v>
      </c>
      <c r="N18" s="26">
        <f>Table13[[#This Row],[Total '[h']]]/8</f>
        <v>0.5</v>
      </c>
    </row>
    <row r="19" spans="3:14" x14ac:dyDescent="0.25">
      <c r="C19" s="10">
        <v>12</v>
      </c>
      <c r="D19" s="14"/>
      <c r="E19" s="38" t="s">
        <v>23</v>
      </c>
      <c r="F19" s="39" t="s">
        <v>44</v>
      </c>
      <c r="G19" s="38" t="s">
        <v>45</v>
      </c>
      <c r="H19" s="38" t="s">
        <v>58</v>
      </c>
      <c r="I19" s="38"/>
      <c r="J19" s="38">
        <v>4</v>
      </c>
      <c r="K19" s="38"/>
      <c r="L19" s="38"/>
      <c r="M19" s="21">
        <f t="shared" si="0"/>
        <v>4</v>
      </c>
      <c r="N19" s="26">
        <f>Table13[[#This Row],[Total '[h']]]/8</f>
        <v>0.5</v>
      </c>
    </row>
    <row r="20" spans="3:14" x14ac:dyDescent="0.25">
      <c r="C20" s="10">
        <v>13</v>
      </c>
      <c r="D20" s="14"/>
      <c r="E20" s="38" t="s">
        <v>24</v>
      </c>
      <c r="F20" s="39" t="s">
        <v>134</v>
      </c>
      <c r="G20" s="38" t="s">
        <v>46</v>
      </c>
      <c r="H20" s="38" t="s">
        <v>59</v>
      </c>
      <c r="I20" s="38"/>
      <c r="J20" s="38">
        <v>8</v>
      </c>
      <c r="K20" s="38"/>
      <c r="L20" s="38"/>
      <c r="M20" s="21">
        <f t="shared" si="0"/>
        <v>8</v>
      </c>
      <c r="N20" s="26">
        <f>Table13[[#This Row],[Total '[h']]]/8</f>
        <v>1</v>
      </c>
    </row>
    <row r="21" spans="3:14" x14ac:dyDescent="0.25">
      <c r="C21" s="10">
        <v>14</v>
      </c>
      <c r="D21" s="14"/>
      <c r="E21" s="38" t="s">
        <v>25</v>
      </c>
      <c r="F21" s="39" t="s">
        <v>131</v>
      </c>
      <c r="G21" s="38" t="s">
        <v>133</v>
      </c>
      <c r="H21" s="38"/>
      <c r="I21" s="38">
        <v>200</v>
      </c>
      <c r="J21" s="38">
        <v>0</v>
      </c>
      <c r="K21" s="38">
        <v>36</v>
      </c>
      <c r="L21" s="38">
        <v>0</v>
      </c>
      <c r="M21" s="21">
        <v>200</v>
      </c>
      <c r="N21" s="26">
        <f>Table13[[#This Row],[Total '[h']]]/8</f>
        <v>25</v>
      </c>
    </row>
    <row r="22" spans="3:14" x14ac:dyDescent="0.25">
      <c r="C22" s="10">
        <v>15</v>
      </c>
      <c r="D22" s="14"/>
      <c r="E22" s="38" t="s">
        <v>25</v>
      </c>
      <c r="F22" s="39" t="s">
        <v>130</v>
      </c>
      <c r="G22" s="38" t="s">
        <v>133</v>
      </c>
      <c r="H22" s="38"/>
      <c r="I22" s="38">
        <v>350</v>
      </c>
      <c r="J22" s="38">
        <v>0</v>
      </c>
      <c r="K22" s="38">
        <v>24</v>
      </c>
      <c r="L22" s="38">
        <v>0</v>
      </c>
      <c r="M22" s="21">
        <v>320</v>
      </c>
      <c r="N22" s="26">
        <f>Table13[[#This Row],[Total '[h']]]/8</f>
        <v>40</v>
      </c>
    </row>
    <row r="23" spans="3:14" x14ac:dyDescent="0.25">
      <c r="C23" s="10">
        <v>16</v>
      </c>
      <c r="D23" s="14"/>
      <c r="E23" s="38" t="s">
        <v>25</v>
      </c>
      <c r="F23" s="39" t="s">
        <v>132</v>
      </c>
      <c r="G23" s="38" t="s">
        <v>133</v>
      </c>
      <c r="H23" s="38"/>
      <c r="I23" s="38">
        <v>200</v>
      </c>
      <c r="J23" s="38">
        <v>0</v>
      </c>
      <c r="K23" s="38">
        <v>24</v>
      </c>
      <c r="L23" s="38">
        <v>0</v>
      </c>
      <c r="M23" s="21">
        <v>145</v>
      </c>
      <c r="N23" s="26">
        <f>Table13[[#This Row],[Total '[h']]]/8</f>
        <v>18.125</v>
      </c>
    </row>
    <row r="24" spans="3:14" x14ac:dyDescent="0.25">
      <c r="C24" s="10">
        <v>17</v>
      </c>
      <c r="D24" s="14"/>
      <c r="E24" s="38" t="s">
        <v>63</v>
      </c>
      <c r="F24" s="39" t="s">
        <v>144</v>
      </c>
      <c r="G24" s="38" t="s">
        <v>62</v>
      </c>
      <c r="H24" s="38"/>
      <c r="I24" s="38">
        <v>2</v>
      </c>
      <c r="J24" s="38">
        <v>3</v>
      </c>
      <c r="K24" s="38">
        <v>2</v>
      </c>
      <c r="L24" s="38">
        <v>6</v>
      </c>
      <c r="M24" s="21">
        <v>24</v>
      </c>
      <c r="N24" s="26">
        <f>Table13[[#This Row],[Total '[h']]]/8</f>
        <v>3</v>
      </c>
    </row>
    <row r="25" spans="3:14" x14ac:dyDescent="0.25">
      <c r="C25" s="10">
        <v>18</v>
      </c>
      <c r="D25" s="14"/>
      <c r="E25" s="38" t="s">
        <v>63</v>
      </c>
      <c r="F25" s="39" t="s">
        <v>148</v>
      </c>
      <c r="G25" s="38" t="s">
        <v>62</v>
      </c>
      <c r="H25" s="38"/>
      <c r="I25" s="38">
        <v>2</v>
      </c>
      <c r="J25" s="38">
        <v>3</v>
      </c>
      <c r="K25" s="38">
        <v>2</v>
      </c>
      <c r="L25" s="38">
        <v>6</v>
      </c>
      <c r="M25" s="21">
        <v>16</v>
      </c>
      <c r="N25" s="26">
        <f>Table13[[#This Row],[Total '[h']]]/8</f>
        <v>2</v>
      </c>
    </row>
    <row r="26" spans="3:14" x14ac:dyDescent="0.25">
      <c r="C26" s="10">
        <v>19</v>
      </c>
      <c r="D26" s="17"/>
      <c r="E26" s="38" t="s">
        <v>63</v>
      </c>
      <c r="F26" s="39" t="s">
        <v>79</v>
      </c>
      <c r="G26" s="38" t="s">
        <v>147</v>
      </c>
      <c r="H26" s="38"/>
      <c r="I26" s="38">
        <v>1</v>
      </c>
      <c r="J26" s="38">
        <v>3</v>
      </c>
      <c r="K26" s="38">
        <v>2</v>
      </c>
      <c r="L26" s="38">
        <v>8</v>
      </c>
      <c r="M26" s="21">
        <f t="shared" si="0"/>
        <v>14</v>
      </c>
      <c r="N26" s="26">
        <f>Table13[[#This Row],[Total '[h']]]/8</f>
        <v>1.75</v>
      </c>
    </row>
    <row r="27" spans="3:14" x14ac:dyDescent="0.25">
      <c r="C27" s="10">
        <v>20</v>
      </c>
      <c r="D27" s="17"/>
      <c r="E27" s="38" t="s">
        <v>63</v>
      </c>
      <c r="F27" s="39" t="s">
        <v>143</v>
      </c>
      <c r="G27" s="38" t="s">
        <v>62</v>
      </c>
      <c r="H27" s="38"/>
      <c r="I27" s="38">
        <v>1</v>
      </c>
      <c r="J27" s="38">
        <v>3</v>
      </c>
      <c r="K27" s="38">
        <v>2</v>
      </c>
      <c r="L27" s="38">
        <v>8</v>
      </c>
      <c r="M27" s="20">
        <v>12</v>
      </c>
      <c r="N27" s="26">
        <f>Table13[[#This Row],[Total '[h']]]/8</f>
        <v>1.5</v>
      </c>
    </row>
    <row r="28" spans="3:14" x14ac:dyDescent="0.25">
      <c r="C28" s="10">
        <v>21</v>
      </c>
      <c r="D28" s="24"/>
      <c r="E28" s="38" t="s">
        <v>63</v>
      </c>
      <c r="F28" s="39" t="s">
        <v>145</v>
      </c>
      <c r="G28" s="38" t="s">
        <v>146</v>
      </c>
      <c r="H28" s="38"/>
      <c r="I28" s="26"/>
      <c r="J28" s="26"/>
      <c r="K28" s="26"/>
      <c r="L28" s="26"/>
      <c r="M28" s="20">
        <v>24</v>
      </c>
      <c r="N28" s="26">
        <f>Table13[[#This Row],[Total '[h']]]/8</f>
        <v>3</v>
      </c>
    </row>
    <row r="29" spans="3:14" x14ac:dyDescent="0.25">
      <c r="C29" s="10">
        <v>22</v>
      </c>
      <c r="D29" s="17"/>
      <c r="E29" s="38" t="s">
        <v>63</v>
      </c>
      <c r="F29" s="37" t="s">
        <v>72</v>
      </c>
      <c r="G29" s="38" t="s">
        <v>70</v>
      </c>
      <c r="H29" s="38"/>
      <c r="I29" s="20">
        <v>1</v>
      </c>
      <c r="J29" s="20">
        <v>2</v>
      </c>
      <c r="K29" s="20">
        <v>2</v>
      </c>
      <c r="L29" s="20">
        <v>8</v>
      </c>
      <c r="M29" s="20">
        <f t="shared" si="0"/>
        <v>13</v>
      </c>
      <c r="N29" s="26">
        <f>Table13[[#This Row],[Total '[h']]]/8</f>
        <v>1.625</v>
      </c>
    </row>
    <row r="30" spans="3:14" x14ac:dyDescent="0.25">
      <c r="C30" s="10">
        <v>23</v>
      </c>
      <c r="D30" s="17"/>
      <c r="E30" s="38" t="s">
        <v>63</v>
      </c>
      <c r="F30" s="37" t="s">
        <v>71</v>
      </c>
      <c r="G30" s="18" t="s">
        <v>78</v>
      </c>
      <c r="H30" s="38"/>
      <c r="I30" s="20">
        <v>1</v>
      </c>
      <c r="J30" s="20">
        <v>2</v>
      </c>
      <c r="K30" s="38">
        <v>1</v>
      </c>
      <c r="L30" s="38">
        <v>8</v>
      </c>
      <c r="M30" s="20">
        <f>SUM(I30:L30)</f>
        <v>12</v>
      </c>
      <c r="N30" s="26">
        <f>Table13[[#This Row],[Total '[h']]]/8</f>
        <v>1.5</v>
      </c>
    </row>
    <row r="31" spans="3:14" s="1" customFormat="1" x14ac:dyDescent="0.25">
      <c r="C31" s="10">
        <v>24</v>
      </c>
      <c r="D31" s="24"/>
      <c r="E31" s="40" t="s">
        <v>69</v>
      </c>
      <c r="F31" s="41" t="s">
        <v>141</v>
      </c>
      <c r="G31" s="25" t="s">
        <v>142</v>
      </c>
      <c r="H31" s="40"/>
      <c r="I31" s="26"/>
      <c r="J31" s="26"/>
      <c r="K31" s="26"/>
      <c r="L31" s="26"/>
      <c r="M31" s="27">
        <v>55</v>
      </c>
      <c r="N31" s="26">
        <f>Table13[[#This Row],[Total '[h']]]/8</f>
        <v>6.875</v>
      </c>
    </row>
    <row r="32" spans="3:14" x14ac:dyDescent="0.25">
      <c r="C32" s="10">
        <v>25</v>
      </c>
      <c r="D32" s="14"/>
      <c r="E32" s="38" t="s">
        <v>67</v>
      </c>
      <c r="F32" s="39" t="s">
        <v>68</v>
      </c>
      <c r="G32" s="38" t="s">
        <v>73</v>
      </c>
      <c r="H32" s="38"/>
      <c r="I32" s="38">
        <v>4</v>
      </c>
      <c r="J32" s="38">
        <v>6</v>
      </c>
      <c r="K32" s="38">
        <v>1</v>
      </c>
      <c r="L32" s="38">
        <v>8</v>
      </c>
      <c r="M32" s="21">
        <v>24</v>
      </c>
      <c r="N32" s="26">
        <f>Table13[[#This Row],[Total '[h']]]/8</f>
        <v>3</v>
      </c>
    </row>
    <row r="33" spans="3:14" x14ac:dyDescent="0.25">
      <c r="C33" s="10">
        <v>26</v>
      </c>
      <c r="D33" s="14"/>
      <c r="E33" s="38" t="s">
        <v>75</v>
      </c>
      <c r="F33" s="39" t="s">
        <v>136</v>
      </c>
      <c r="G33" s="38" t="s">
        <v>12</v>
      </c>
      <c r="H33" s="38"/>
      <c r="I33" s="38">
        <v>28</v>
      </c>
      <c r="J33" s="38">
        <v>0</v>
      </c>
      <c r="K33" s="38">
        <v>1</v>
      </c>
      <c r="L33" s="38">
        <v>1</v>
      </c>
      <c r="M33" s="21">
        <f t="shared" ref="M33:M41" si="1">SUM(I33:L33)</f>
        <v>30</v>
      </c>
      <c r="N33" s="26">
        <f>Table13[[#This Row],[Total '[h']]]/8</f>
        <v>3.75</v>
      </c>
    </row>
    <row r="34" spans="3:14" x14ac:dyDescent="0.25">
      <c r="C34" s="10">
        <v>27</v>
      </c>
      <c r="D34" s="14"/>
      <c r="E34" s="38" t="s">
        <v>76</v>
      </c>
      <c r="F34" s="39" t="s">
        <v>149</v>
      </c>
      <c r="G34" s="38" t="s">
        <v>13</v>
      </c>
      <c r="H34" s="38"/>
      <c r="I34" s="38">
        <v>4</v>
      </c>
      <c r="J34" s="38">
        <v>48</v>
      </c>
      <c r="K34" s="38">
        <v>4</v>
      </c>
      <c r="L34" s="38">
        <v>24</v>
      </c>
      <c r="M34" s="21">
        <v>48</v>
      </c>
      <c r="N34" s="26">
        <f>Table13[[#This Row],[Total '[h']]]/8</f>
        <v>6</v>
      </c>
    </row>
    <row r="35" spans="3:14" x14ac:dyDescent="0.25">
      <c r="C35" s="10">
        <v>28</v>
      </c>
      <c r="D35" s="24"/>
      <c r="E35" s="38" t="s">
        <v>76</v>
      </c>
      <c r="F35" s="41" t="s">
        <v>150</v>
      </c>
      <c r="G35" s="38" t="s">
        <v>13</v>
      </c>
      <c r="H35" s="38"/>
      <c r="I35" s="26"/>
      <c r="J35" s="26"/>
      <c r="K35" s="26"/>
      <c r="L35" s="26"/>
      <c r="M35" s="27">
        <v>288</v>
      </c>
      <c r="N35" s="26">
        <f>Table13[[#This Row],[Total '[h']]]/8</f>
        <v>36</v>
      </c>
    </row>
    <row r="36" spans="3:14" x14ac:dyDescent="0.25">
      <c r="C36" s="10">
        <v>29</v>
      </c>
      <c r="D36" s="24"/>
      <c r="E36" s="38" t="s">
        <v>76</v>
      </c>
      <c r="F36" s="41" t="s">
        <v>151</v>
      </c>
      <c r="G36" s="38" t="s">
        <v>13</v>
      </c>
      <c r="H36" s="38"/>
      <c r="I36" s="26"/>
      <c r="J36" s="26"/>
      <c r="K36" s="26"/>
      <c r="L36" s="26"/>
      <c r="M36" s="27">
        <v>192</v>
      </c>
      <c r="N36" s="26">
        <f>Table13[[#This Row],[Total '[h']]]/8</f>
        <v>24</v>
      </c>
    </row>
    <row r="37" spans="3:14" x14ac:dyDescent="0.25">
      <c r="C37" s="10">
        <v>30</v>
      </c>
      <c r="D37" s="14"/>
      <c r="E37" s="38" t="s">
        <v>77</v>
      </c>
      <c r="F37" s="39" t="s">
        <v>19</v>
      </c>
      <c r="G37" s="38" t="s">
        <v>15</v>
      </c>
      <c r="H37" s="38"/>
      <c r="I37" s="38">
        <v>0</v>
      </c>
      <c r="J37" s="38">
        <v>16</v>
      </c>
      <c r="K37" s="38">
        <v>0</v>
      </c>
      <c r="L37" s="38">
        <v>0</v>
      </c>
      <c r="M37" s="21">
        <v>40</v>
      </c>
      <c r="N37" s="26">
        <f>Table13[[#This Row],[Total '[h']]]/8</f>
        <v>5</v>
      </c>
    </row>
    <row r="38" spans="3:14" x14ac:dyDescent="0.25">
      <c r="C38" s="10">
        <v>31</v>
      </c>
      <c r="D38" s="11"/>
      <c r="E38" s="38" t="s">
        <v>77</v>
      </c>
      <c r="F38" s="39" t="s">
        <v>18</v>
      </c>
      <c r="G38" s="38" t="s">
        <v>15</v>
      </c>
      <c r="H38" s="38"/>
      <c r="I38" s="38">
        <v>0</v>
      </c>
      <c r="J38" s="38">
        <v>8</v>
      </c>
      <c r="K38" s="38">
        <v>0</v>
      </c>
      <c r="L38" s="38">
        <v>0</v>
      </c>
      <c r="M38" s="21">
        <v>48</v>
      </c>
      <c r="N38" s="26">
        <f>Table13[[#This Row],[Total '[h']]]/8</f>
        <v>6</v>
      </c>
    </row>
    <row r="39" spans="3:14" x14ac:dyDescent="0.25">
      <c r="C39" s="10">
        <v>32</v>
      </c>
      <c r="D39" s="11"/>
      <c r="E39" s="38" t="s">
        <v>77</v>
      </c>
      <c r="F39" s="39" t="s">
        <v>16</v>
      </c>
      <c r="G39" s="38" t="s">
        <v>15</v>
      </c>
      <c r="H39" s="38"/>
      <c r="I39" s="38">
        <v>0</v>
      </c>
      <c r="J39" s="38">
        <v>6</v>
      </c>
      <c r="K39" s="38">
        <v>0</v>
      </c>
      <c r="L39" s="38">
        <v>0</v>
      </c>
      <c r="M39" s="21">
        <v>24</v>
      </c>
      <c r="N39" s="26">
        <f>Table13[[#This Row],[Total '[h']]]/8</f>
        <v>3</v>
      </c>
    </row>
    <row r="40" spans="3:14" x14ac:dyDescent="0.25">
      <c r="C40" s="10">
        <v>33</v>
      </c>
      <c r="D40" s="11"/>
      <c r="E40" s="38" t="s">
        <v>77</v>
      </c>
      <c r="F40" s="39" t="s">
        <v>74</v>
      </c>
      <c r="G40" s="38" t="s">
        <v>15</v>
      </c>
      <c r="H40" s="38"/>
      <c r="I40" s="38">
        <v>2</v>
      </c>
      <c r="J40" s="38">
        <v>4</v>
      </c>
      <c r="K40" s="38">
        <v>0</v>
      </c>
      <c r="L40" s="38">
        <v>0</v>
      </c>
      <c r="M40" s="21">
        <f t="shared" si="1"/>
        <v>6</v>
      </c>
      <c r="N40" s="26">
        <f>Table13[[#This Row],[Total '[h']]]/8</f>
        <v>0.75</v>
      </c>
    </row>
    <row r="41" spans="3:14" ht="30" x14ac:dyDescent="0.25">
      <c r="C41" s="10">
        <v>34</v>
      </c>
      <c r="D41" s="11"/>
      <c r="E41" s="38" t="s">
        <v>60</v>
      </c>
      <c r="F41" s="39" t="s">
        <v>17</v>
      </c>
      <c r="G41" s="39" t="s">
        <v>9</v>
      </c>
      <c r="H41" s="38"/>
      <c r="I41" s="38">
        <v>0</v>
      </c>
      <c r="J41" s="38">
        <v>2</v>
      </c>
      <c r="K41" s="38">
        <v>0</v>
      </c>
      <c r="L41" s="38">
        <v>0</v>
      </c>
      <c r="M41" s="21">
        <f t="shared" si="1"/>
        <v>2</v>
      </c>
      <c r="N41" s="26">
        <f>Table13[[#This Row],[Total '[h']]]/8</f>
        <v>0.25</v>
      </c>
    </row>
    <row r="42" spans="3:14" x14ac:dyDescent="0.25">
      <c r="C42" s="10">
        <v>35</v>
      </c>
      <c r="D42" s="24"/>
      <c r="E42" s="28" t="s">
        <v>140</v>
      </c>
      <c r="F42" s="28" t="s">
        <v>137</v>
      </c>
      <c r="G42" s="25"/>
      <c r="H42" s="38"/>
      <c r="I42" s="26"/>
      <c r="J42" s="26"/>
      <c r="K42" s="26"/>
      <c r="L42" s="26"/>
      <c r="M42" s="27">
        <v>16</v>
      </c>
      <c r="N42" s="26">
        <f>Table13[[#This Row],[Total '[h']]]/8</f>
        <v>2</v>
      </c>
    </row>
    <row r="43" spans="3:14" x14ac:dyDescent="0.25">
      <c r="C43" s="10">
        <v>36</v>
      </c>
      <c r="D43" s="24"/>
      <c r="E43" s="28" t="s">
        <v>140</v>
      </c>
      <c r="F43" s="28" t="s">
        <v>138</v>
      </c>
      <c r="G43" s="25"/>
      <c r="H43" s="38"/>
      <c r="I43" s="26"/>
      <c r="J43" s="26"/>
      <c r="K43" s="26"/>
      <c r="L43" s="26"/>
      <c r="M43" s="27">
        <v>80</v>
      </c>
      <c r="N43" s="26">
        <f>Table13[[#This Row],[Total '[h']]]/8</f>
        <v>10</v>
      </c>
    </row>
    <row r="44" spans="3:14" x14ac:dyDescent="0.25">
      <c r="C44" s="10">
        <v>37</v>
      </c>
      <c r="D44" s="24"/>
      <c r="E44" s="28" t="s">
        <v>140</v>
      </c>
      <c r="F44" s="28" t="s">
        <v>139</v>
      </c>
      <c r="G44" s="25"/>
      <c r="H44" s="38"/>
      <c r="I44" s="26"/>
      <c r="J44" s="26"/>
      <c r="K44" s="26"/>
      <c r="L44" s="26"/>
      <c r="M44" s="27">
        <v>60</v>
      </c>
      <c r="N44" s="26">
        <f>Table13[[#This Row],[Total '[h']]]/8</f>
        <v>7.5</v>
      </c>
    </row>
    <row r="45" spans="3:14" x14ac:dyDescent="0.25">
      <c r="C45" s="17">
        <v>38</v>
      </c>
      <c r="D45" s="24"/>
      <c r="E45" s="28" t="s">
        <v>69</v>
      </c>
      <c r="F45" s="23" t="s">
        <v>80</v>
      </c>
      <c r="G45" s="25" t="s">
        <v>11</v>
      </c>
      <c r="H45" s="38"/>
      <c r="I45" s="26"/>
      <c r="J45" s="26"/>
      <c r="K45" s="26"/>
      <c r="L45" s="26"/>
      <c r="M45" s="27">
        <f>SUM(I45:L45)</f>
        <v>0</v>
      </c>
      <c r="N45" s="26"/>
    </row>
    <row r="46" spans="3:14" x14ac:dyDescent="0.25">
      <c r="C46" s="17">
        <v>39</v>
      </c>
      <c r="D46" s="24"/>
      <c r="E46" s="28" t="s">
        <v>69</v>
      </c>
      <c r="F46" s="23" t="s">
        <v>81</v>
      </c>
      <c r="G46" s="25" t="s">
        <v>11</v>
      </c>
      <c r="H46" s="38"/>
      <c r="I46" s="26"/>
      <c r="J46" s="26"/>
      <c r="K46" s="26"/>
      <c r="L46" s="26"/>
      <c r="M46" s="27">
        <f>SUM(I46:L46)</f>
        <v>0</v>
      </c>
      <c r="N46" s="30"/>
    </row>
    <row r="47" spans="3:14" x14ac:dyDescent="0.25">
      <c r="C47" s="17">
        <v>40</v>
      </c>
      <c r="D47" s="24"/>
      <c r="E47" s="28" t="s">
        <v>69</v>
      </c>
      <c r="F47" s="23" t="s">
        <v>83</v>
      </c>
      <c r="G47" s="25" t="s">
        <v>11</v>
      </c>
      <c r="H47" s="38"/>
      <c r="I47" s="26"/>
      <c r="J47" s="26"/>
      <c r="K47" s="26"/>
      <c r="L47" s="26"/>
      <c r="M47" s="27">
        <f>SUM(I47:L47)</f>
        <v>0</v>
      </c>
      <c r="N47" s="30"/>
    </row>
    <row r="48" spans="3:14" x14ac:dyDescent="0.25">
      <c r="C48" s="17">
        <v>41</v>
      </c>
      <c r="D48" s="24"/>
      <c r="E48" s="28" t="s">
        <v>69</v>
      </c>
      <c r="F48" s="23" t="s">
        <v>84</v>
      </c>
      <c r="G48" s="25" t="s">
        <v>11</v>
      </c>
      <c r="H48" s="38"/>
      <c r="I48" s="26"/>
      <c r="J48" s="26"/>
      <c r="K48" s="26"/>
      <c r="L48" s="26"/>
      <c r="M48" s="27">
        <f t="shared" ref="M48:M83" si="2">SUM(I48:L48)</f>
        <v>0</v>
      </c>
      <c r="N48" s="30"/>
    </row>
    <row r="49" spans="3:14" x14ac:dyDescent="0.25">
      <c r="C49" s="17">
        <v>42</v>
      </c>
      <c r="D49" s="24"/>
      <c r="E49" s="28" t="s">
        <v>69</v>
      </c>
      <c r="F49" s="23" t="s">
        <v>85</v>
      </c>
      <c r="G49" s="25" t="s">
        <v>11</v>
      </c>
      <c r="H49" s="38"/>
      <c r="I49" s="26"/>
      <c r="J49" s="26"/>
      <c r="K49" s="26"/>
      <c r="L49" s="26"/>
      <c r="M49" s="27">
        <f t="shared" si="2"/>
        <v>0</v>
      </c>
      <c r="N49" s="30"/>
    </row>
    <row r="50" spans="3:14" x14ac:dyDescent="0.25">
      <c r="C50" s="17">
        <v>43</v>
      </c>
      <c r="D50" s="24"/>
      <c r="E50" s="28" t="s">
        <v>69</v>
      </c>
      <c r="F50" s="23" t="s">
        <v>86</v>
      </c>
      <c r="G50" s="25" t="s">
        <v>11</v>
      </c>
      <c r="H50" s="38"/>
      <c r="I50" s="26"/>
      <c r="J50" s="26"/>
      <c r="K50" s="26"/>
      <c r="L50" s="26"/>
      <c r="M50" s="27">
        <f t="shared" si="2"/>
        <v>0</v>
      </c>
      <c r="N50" s="30"/>
    </row>
    <row r="51" spans="3:14" x14ac:dyDescent="0.25">
      <c r="C51" s="17">
        <v>44</v>
      </c>
      <c r="D51" s="24"/>
      <c r="E51" s="28" t="s">
        <v>69</v>
      </c>
      <c r="F51" s="31" t="s">
        <v>152</v>
      </c>
      <c r="G51" s="25" t="s">
        <v>11</v>
      </c>
      <c r="H51" s="38"/>
      <c r="I51" s="26"/>
      <c r="J51" s="26"/>
      <c r="K51" s="26"/>
      <c r="L51" s="26"/>
      <c r="M51" s="27">
        <f t="shared" si="2"/>
        <v>0</v>
      </c>
      <c r="N51" s="30"/>
    </row>
    <row r="52" spans="3:14" x14ac:dyDescent="0.25">
      <c r="C52" s="17">
        <v>45</v>
      </c>
      <c r="D52" s="24"/>
      <c r="E52" s="28" t="s">
        <v>69</v>
      </c>
      <c r="F52" s="23" t="s">
        <v>87</v>
      </c>
      <c r="G52" s="25" t="s">
        <v>11</v>
      </c>
      <c r="H52" s="38"/>
      <c r="I52" s="26"/>
      <c r="J52" s="26"/>
      <c r="K52" s="26"/>
      <c r="L52" s="26"/>
      <c r="M52" s="27">
        <f t="shared" si="2"/>
        <v>0</v>
      </c>
      <c r="N52" s="30"/>
    </row>
    <row r="53" spans="3:14" x14ac:dyDescent="0.25">
      <c r="C53" s="17">
        <v>46</v>
      </c>
      <c r="D53" s="24"/>
      <c r="E53" s="28" t="s">
        <v>69</v>
      </c>
      <c r="F53" s="23" t="s">
        <v>88</v>
      </c>
      <c r="G53" s="25" t="s">
        <v>11</v>
      </c>
      <c r="H53" s="38"/>
      <c r="I53" s="26"/>
      <c r="J53" s="26"/>
      <c r="K53" s="26"/>
      <c r="L53" s="26"/>
      <c r="M53" s="27">
        <f t="shared" si="2"/>
        <v>0</v>
      </c>
      <c r="N53" s="30"/>
    </row>
    <row r="54" spans="3:14" x14ac:dyDescent="0.25">
      <c r="C54" s="17">
        <v>47</v>
      </c>
      <c r="D54" s="24"/>
      <c r="E54" s="28" t="s">
        <v>69</v>
      </c>
      <c r="F54" s="23" t="s">
        <v>89</v>
      </c>
      <c r="G54" s="25" t="s">
        <v>11</v>
      </c>
      <c r="H54" s="38"/>
      <c r="I54" s="26"/>
      <c r="J54" s="26"/>
      <c r="K54" s="26"/>
      <c r="L54" s="26"/>
      <c r="M54" s="27">
        <f t="shared" si="2"/>
        <v>0</v>
      </c>
      <c r="N54" s="30"/>
    </row>
    <row r="55" spans="3:14" x14ac:dyDescent="0.25">
      <c r="C55" s="17">
        <v>48</v>
      </c>
      <c r="D55" s="24"/>
      <c r="E55" s="28" t="s">
        <v>69</v>
      </c>
      <c r="F55" s="23" t="s">
        <v>90</v>
      </c>
      <c r="G55" s="25" t="s">
        <v>11</v>
      </c>
      <c r="H55" s="38"/>
      <c r="I55" s="26"/>
      <c r="J55" s="26"/>
      <c r="K55" s="26"/>
      <c r="L55" s="26"/>
      <c r="M55" s="27">
        <f t="shared" si="2"/>
        <v>0</v>
      </c>
      <c r="N55" s="30"/>
    </row>
    <row r="56" spans="3:14" x14ac:dyDescent="0.25">
      <c r="C56" s="17">
        <v>49</v>
      </c>
      <c r="D56" s="24"/>
      <c r="E56" s="28" t="s">
        <v>69</v>
      </c>
      <c r="F56" s="23" t="s">
        <v>91</v>
      </c>
      <c r="G56" s="25" t="s">
        <v>11</v>
      </c>
      <c r="H56" s="38"/>
      <c r="I56" s="26"/>
      <c r="J56" s="26"/>
      <c r="K56" s="26"/>
      <c r="L56" s="26"/>
      <c r="M56" s="27">
        <f t="shared" si="2"/>
        <v>0</v>
      </c>
      <c r="N56" s="30"/>
    </row>
    <row r="57" spans="3:14" x14ac:dyDescent="0.25">
      <c r="C57" s="17">
        <v>50</v>
      </c>
      <c r="D57" s="24"/>
      <c r="E57" s="28" t="s">
        <v>69</v>
      </c>
      <c r="F57" s="23" t="s">
        <v>92</v>
      </c>
      <c r="G57" s="25" t="s">
        <v>11</v>
      </c>
      <c r="H57" s="38"/>
      <c r="I57" s="26"/>
      <c r="J57" s="26"/>
      <c r="K57" s="26"/>
      <c r="L57" s="26"/>
      <c r="M57" s="27">
        <f t="shared" si="2"/>
        <v>0</v>
      </c>
      <c r="N57" s="30"/>
    </row>
    <row r="58" spans="3:14" x14ac:dyDescent="0.25">
      <c r="C58" s="17">
        <v>51</v>
      </c>
      <c r="D58" s="24"/>
      <c r="E58" s="28" t="s">
        <v>69</v>
      </c>
      <c r="F58" s="23" t="s">
        <v>93</v>
      </c>
      <c r="G58" s="25" t="s">
        <v>11</v>
      </c>
      <c r="H58" s="38"/>
      <c r="I58" s="26"/>
      <c r="J58" s="26"/>
      <c r="K58" s="26"/>
      <c r="L58" s="26"/>
      <c r="M58" s="27">
        <f t="shared" si="2"/>
        <v>0</v>
      </c>
      <c r="N58" s="30"/>
    </row>
    <row r="59" spans="3:14" x14ac:dyDescent="0.25">
      <c r="C59" s="17">
        <v>52</v>
      </c>
      <c r="D59" s="24"/>
      <c r="E59" s="28" t="s">
        <v>69</v>
      </c>
      <c r="F59" s="23" t="s">
        <v>94</v>
      </c>
      <c r="G59" s="25" t="s">
        <v>11</v>
      </c>
      <c r="H59" s="38"/>
      <c r="I59" s="26"/>
      <c r="J59" s="26"/>
      <c r="K59" s="26"/>
      <c r="L59" s="26"/>
      <c r="M59" s="27">
        <f t="shared" si="2"/>
        <v>0</v>
      </c>
      <c r="N59" s="30"/>
    </row>
    <row r="60" spans="3:14" x14ac:dyDescent="0.25">
      <c r="C60" s="17">
        <v>53</v>
      </c>
      <c r="D60" s="24"/>
      <c r="E60" s="28" t="s">
        <v>69</v>
      </c>
      <c r="F60" s="23" t="s">
        <v>95</v>
      </c>
      <c r="G60" s="25" t="s">
        <v>11</v>
      </c>
      <c r="H60" s="38"/>
      <c r="I60" s="26"/>
      <c r="J60" s="26"/>
      <c r="K60" s="26"/>
      <c r="L60" s="26"/>
      <c r="M60" s="27">
        <f t="shared" si="2"/>
        <v>0</v>
      </c>
      <c r="N60" s="30"/>
    </row>
    <row r="61" spans="3:14" x14ac:dyDescent="0.25">
      <c r="C61" s="17">
        <v>54</v>
      </c>
      <c r="D61" s="24"/>
      <c r="E61" s="28" t="s">
        <v>69</v>
      </c>
      <c r="F61" s="23" t="s">
        <v>96</v>
      </c>
      <c r="G61" s="25" t="s">
        <v>11</v>
      </c>
      <c r="H61" s="38"/>
      <c r="I61" s="26"/>
      <c r="J61" s="26"/>
      <c r="K61" s="26"/>
      <c r="L61" s="26"/>
      <c r="M61" s="27">
        <f t="shared" si="2"/>
        <v>0</v>
      </c>
      <c r="N61" s="30"/>
    </row>
    <row r="62" spans="3:14" x14ac:dyDescent="0.25">
      <c r="C62" s="17">
        <v>55</v>
      </c>
      <c r="D62" s="24"/>
      <c r="E62" s="28" t="s">
        <v>69</v>
      </c>
      <c r="F62" s="23" t="s">
        <v>97</v>
      </c>
      <c r="G62" s="25" t="s">
        <v>11</v>
      </c>
      <c r="H62" s="38"/>
      <c r="I62" s="26"/>
      <c r="J62" s="26"/>
      <c r="K62" s="26"/>
      <c r="L62" s="26"/>
      <c r="M62" s="27">
        <f t="shared" si="2"/>
        <v>0</v>
      </c>
      <c r="N62" s="30"/>
    </row>
    <row r="63" spans="3:14" x14ac:dyDescent="0.25">
      <c r="C63" s="17">
        <v>56</v>
      </c>
      <c r="D63" s="24"/>
      <c r="E63" s="28" t="s">
        <v>69</v>
      </c>
      <c r="F63" s="23" t="s">
        <v>98</v>
      </c>
      <c r="G63" s="25" t="s">
        <v>11</v>
      </c>
      <c r="H63" s="38"/>
      <c r="I63" s="26"/>
      <c r="J63" s="26"/>
      <c r="K63" s="26"/>
      <c r="L63" s="26"/>
      <c r="M63" s="27">
        <f t="shared" si="2"/>
        <v>0</v>
      </c>
      <c r="N63" s="30"/>
    </row>
    <row r="64" spans="3:14" x14ac:dyDescent="0.25">
      <c r="C64" s="17">
        <v>57</v>
      </c>
      <c r="D64" s="24"/>
      <c r="E64" s="28" t="s">
        <v>69</v>
      </c>
      <c r="F64" s="23" t="s">
        <v>99</v>
      </c>
      <c r="G64" s="25" t="s">
        <v>11</v>
      </c>
      <c r="H64" s="38"/>
      <c r="I64" s="26"/>
      <c r="J64" s="26"/>
      <c r="K64" s="26"/>
      <c r="L64" s="26"/>
      <c r="M64" s="27">
        <f t="shared" si="2"/>
        <v>0</v>
      </c>
      <c r="N64" s="30"/>
    </row>
    <row r="65" spans="3:14" x14ac:dyDescent="0.25">
      <c r="C65" s="17">
        <v>58</v>
      </c>
      <c r="D65" s="24"/>
      <c r="E65" s="28" t="s">
        <v>69</v>
      </c>
      <c r="F65" s="23" t="s">
        <v>100</v>
      </c>
      <c r="G65" s="25" t="s">
        <v>11</v>
      </c>
      <c r="H65" s="38"/>
      <c r="I65" s="26"/>
      <c r="J65" s="26"/>
      <c r="K65" s="26"/>
      <c r="L65" s="26"/>
      <c r="M65" s="27">
        <f t="shared" si="2"/>
        <v>0</v>
      </c>
      <c r="N65" s="30"/>
    </row>
    <row r="66" spans="3:14" x14ac:dyDescent="0.25">
      <c r="C66" s="17">
        <v>59</v>
      </c>
      <c r="D66" s="24"/>
      <c r="E66" s="28" t="s">
        <v>69</v>
      </c>
      <c r="F66" s="23" t="s">
        <v>101</v>
      </c>
      <c r="G66" s="25" t="s">
        <v>11</v>
      </c>
      <c r="H66" s="38"/>
      <c r="I66" s="26"/>
      <c r="J66" s="26"/>
      <c r="K66" s="26"/>
      <c r="L66" s="26"/>
      <c r="M66" s="27">
        <f t="shared" si="2"/>
        <v>0</v>
      </c>
      <c r="N66" s="30"/>
    </row>
    <row r="67" spans="3:14" x14ac:dyDescent="0.25">
      <c r="C67" s="17">
        <v>60</v>
      </c>
      <c r="D67" s="24"/>
      <c r="E67" s="28" t="s">
        <v>69</v>
      </c>
      <c r="F67" s="23" t="s">
        <v>102</v>
      </c>
      <c r="G67" s="25" t="s">
        <v>11</v>
      </c>
      <c r="H67" s="38"/>
      <c r="I67" s="26"/>
      <c r="J67" s="26"/>
      <c r="K67" s="26"/>
      <c r="L67" s="26"/>
      <c r="M67" s="27">
        <f t="shared" si="2"/>
        <v>0</v>
      </c>
      <c r="N67" s="30"/>
    </row>
    <row r="68" spans="3:14" x14ac:dyDescent="0.25">
      <c r="C68" s="17">
        <v>61</v>
      </c>
      <c r="D68" s="24"/>
      <c r="E68" s="28" t="s">
        <v>69</v>
      </c>
      <c r="F68" s="23" t="s">
        <v>103</v>
      </c>
      <c r="G68" s="25" t="s">
        <v>11</v>
      </c>
      <c r="H68" s="38"/>
      <c r="I68" s="26"/>
      <c r="J68" s="26"/>
      <c r="K68" s="26"/>
      <c r="L68" s="26"/>
      <c r="M68" s="27">
        <f t="shared" si="2"/>
        <v>0</v>
      </c>
      <c r="N68" s="30"/>
    </row>
    <row r="69" spans="3:14" x14ac:dyDescent="0.25">
      <c r="C69" s="17">
        <v>62</v>
      </c>
      <c r="D69" s="24"/>
      <c r="E69" s="28" t="s">
        <v>69</v>
      </c>
      <c r="F69" s="23" t="s">
        <v>104</v>
      </c>
      <c r="G69" s="25" t="s">
        <v>11</v>
      </c>
      <c r="H69" s="38"/>
      <c r="I69" s="26"/>
      <c r="J69" s="26"/>
      <c r="K69" s="26"/>
      <c r="L69" s="26"/>
      <c r="M69" s="27">
        <f t="shared" si="2"/>
        <v>0</v>
      </c>
      <c r="N69" s="30"/>
    </row>
    <row r="70" spans="3:14" x14ac:dyDescent="0.25">
      <c r="C70" s="17">
        <v>63</v>
      </c>
      <c r="D70" s="24"/>
      <c r="E70" s="28" t="s">
        <v>69</v>
      </c>
      <c r="F70" s="23" t="s">
        <v>105</v>
      </c>
      <c r="G70" s="25" t="s">
        <v>11</v>
      </c>
      <c r="H70" s="38"/>
      <c r="I70" s="26"/>
      <c r="J70" s="26"/>
      <c r="K70" s="26"/>
      <c r="L70" s="26"/>
      <c r="M70" s="27">
        <f t="shared" si="2"/>
        <v>0</v>
      </c>
      <c r="N70" s="30"/>
    </row>
    <row r="71" spans="3:14" x14ac:dyDescent="0.25">
      <c r="C71" s="17">
        <v>64</v>
      </c>
      <c r="D71" s="24"/>
      <c r="E71" s="28" t="s">
        <v>69</v>
      </c>
      <c r="F71" s="23" t="s">
        <v>106</v>
      </c>
      <c r="G71" s="25" t="s">
        <v>11</v>
      </c>
      <c r="H71" s="38"/>
      <c r="I71" s="26"/>
      <c r="J71" s="26"/>
      <c r="K71" s="26"/>
      <c r="L71" s="26"/>
      <c r="M71" s="27">
        <f t="shared" si="2"/>
        <v>0</v>
      </c>
      <c r="N71" s="30"/>
    </row>
    <row r="72" spans="3:14" x14ac:dyDescent="0.25">
      <c r="C72" s="17">
        <v>65</v>
      </c>
      <c r="D72" s="24"/>
      <c r="E72" s="28" t="s">
        <v>69</v>
      </c>
      <c r="F72" s="23" t="s">
        <v>107</v>
      </c>
      <c r="G72" s="25" t="s">
        <v>11</v>
      </c>
      <c r="H72" s="38"/>
      <c r="I72" s="26"/>
      <c r="J72" s="26"/>
      <c r="K72" s="26"/>
      <c r="L72" s="26"/>
      <c r="M72" s="27">
        <f t="shared" si="2"/>
        <v>0</v>
      </c>
      <c r="N72" s="30"/>
    </row>
    <row r="73" spans="3:14" x14ac:dyDescent="0.25">
      <c r="C73" s="17">
        <v>66</v>
      </c>
      <c r="D73" s="24"/>
      <c r="E73" s="28" t="s">
        <v>69</v>
      </c>
      <c r="F73" s="23" t="s">
        <v>108</v>
      </c>
      <c r="G73" s="25" t="s">
        <v>11</v>
      </c>
      <c r="H73" s="38"/>
      <c r="I73" s="26"/>
      <c r="J73" s="26"/>
      <c r="K73" s="26"/>
      <c r="L73" s="26"/>
      <c r="M73" s="27">
        <f t="shared" si="2"/>
        <v>0</v>
      </c>
      <c r="N73" s="30"/>
    </row>
    <row r="74" spans="3:14" x14ac:dyDescent="0.25">
      <c r="C74" s="17">
        <v>67</v>
      </c>
      <c r="D74" s="24"/>
      <c r="E74" s="28" t="s">
        <v>69</v>
      </c>
      <c r="F74" s="23" t="s">
        <v>109</v>
      </c>
      <c r="G74" s="25" t="s">
        <v>11</v>
      </c>
      <c r="H74" s="38"/>
      <c r="I74" s="26"/>
      <c r="J74" s="26"/>
      <c r="K74" s="26"/>
      <c r="L74" s="26"/>
      <c r="M74" s="27">
        <f t="shared" si="2"/>
        <v>0</v>
      </c>
      <c r="N74" s="30"/>
    </row>
    <row r="75" spans="3:14" x14ac:dyDescent="0.25">
      <c r="C75" s="17">
        <v>68</v>
      </c>
      <c r="D75" s="24"/>
      <c r="E75" s="28" t="s">
        <v>69</v>
      </c>
      <c r="F75" s="23" t="s">
        <v>110</v>
      </c>
      <c r="G75" s="25" t="s">
        <v>11</v>
      </c>
      <c r="H75" s="38"/>
      <c r="I75" s="26"/>
      <c r="J75" s="26"/>
      <c r="K75" s="26"/>
      <c r="L75" s="26"/>
      <c r="M75" s="27">
        <f t="shared" si="2"/>
        <v>0</v>
      </c>
      <c r="N75" s="30"/>
    </row>
    <row r="76" spans="3:14" x14ac:dyDescent="0.25">
      <c r="C76" s="17">
        <v>69</v>
      </c>
      <c r="D76" s="24"/>
      <c r="E76" s="28" t="s">
        <v>69</v>
      </c>
      <c r="F76" s="23" t="s">
        <v>111</v>
      </c>
      <c r="G76" s="25" t="s">
        <v>11</v>
      </c>
      <c r="H76" s="38"/>
      <c r="I76" s="26"/>
      <c r="J76" s="26"/>
      <c r="K76" s="26"/>
      <c r="L76" s="26"/>
      <c r="M76" s="27">
        <f t="shared" si="2"/>
        <v>0</v>
      </c>
      <c r="N76" s="30"/>
    </row>
    <row r="77" spans="3:14" x14ac:dyDescent="0.25">
      <c r="C77" s="17">
        <v>70</v>
      </c>
      <c r="D77" s="24"/>
      <c r="E77" s="28" t="s">
        <v>69</v>
      </c>
      <c r="F77" s="23" t="s">
        <v>112</v>
      </c>
      <c r="G77" s="25" t="s">
        <v>11</v>
      </c>
      <c r="H77" s="38"/>
      <c r="I77" s="26"/>
      <c r="J77" s="26"/>
      <c r="K77" s="26"/>
      <c r="L77" s="26"/>
      <c r="M77" s="27">
        <f t="shared" si="2"/>
        <v>0</v>
      </c>
      <c r="N77" s="30"/>
    </row>
    <row r="78" spans="3:14" x14ac:dyDescent="0.25">
      <c r="C78" s="17">
        <v>71</v>
      </c>
      <c r="D78" s="24"/>
      <c r="E78" s="28" t="s">
        <v>69</v>
      </c>
      <c r="F78" s="23" t="s">
        <v>113</v>
      </c>
      <c r="G78" s="25" t="s">
        <v>11</v>
      </c>
      <c r="H78" s="38"/>
      <c r="I78" s="26"/>
      <c r="J78" s="26"/>
      <c r="K78" s="26"/>
      <c r="L78" s="26"/>
      <c r="M78" s="27">
        <f t="shared" si="2"/>
        <v>0</v>
      </c>
      <c r="N78" s="30"/>
    </row>
    <row r="79" spans="3:14" x14ac:dyDescent="0.25">
      <c r="C79" s="17">
        <v>72</v>
      </c>
      <c r="D79" s="24"/>
      <c r="E79" s="28" t="s">
        <v>69</v>
      </c>
      <c r="F79" s="23" t="s">
        <v>114</v>
      </c>
      <c r="G79" s="25" t="s">
        <v>11</v>
      </c>
      <c r="H79" s="38"/>
      <c r="I79" s="26"/>
      <c r="J79" s="26"/>
      <c r="K79" s="26"/>
      <c r="L79" s="26"/>
      <c r="M79" s="27">
        <f t="shared" si="2"/>
        <v>0</v>
      </c>
      <c r="N79" s="30"/>
    </row>
    <row r="80" spans="3:14" x14ac:dyDescent="0.25">
      <c r="C80" s="17">
        <v>73</v>
      </c>
      <c r="D80" s="24"/>
      <c r="E80" s="28" t="s">
        <v>69</v>
      </c>
      <c r="F80" s="23" t="s">
        <v>115</v>
      </c>
      <c r="G80" s="25" t="s">
        <v>11</v>
      </c>
      <c r="H80" s="38"/>
      <c r="I80" s="26"/>
      <c r="J80" s="26"/>
      <c r="K80" s="26"/>
      <c r="L80" s="26"/>
      <c r="M80" s="27">
        <f t="shared" si="2"/>
        <v>0</v>
      </c>
      <c r="N80" s="30"/>
    </row>
    <row r="81" spans="3:14" x14ac:dyDescent="0.25">
      <c r="C81" s="17">
        <v>74</v>
      </c>
      <c r="D81" s="24"/>
      <c r="E81" s="28" t="s">
        <v>69</v>
      </c>
      <c r="F81" s="23" t="s">
        <v>155</v>
      </c>
      <c r="G81" s="25" t="s">
        <v>11</v>
      </c>
      <c r="H81" s="38"/>
      <c r="I81" s="26"/>
      <c r="J81" s="26"/>
      <c r="K81" s="26"/>
      <c r="L81" s="26"/>
      <c r="M81" s="27">
        <f t="shared" si="2"/>
        <v>0</v>
      </c>
      <c r="N81" s="30"/>
    </row>
    <row r="82" spans="3:14" x14ac:dyDescent="0.25">
      <c r="C82" s="17">
        <v>75</v>
      </c>
      <c r="D82" s="24"/>
      <c r="E82" s="28" t="s">
        <v>69</v>
      </c>
      <c r="F82" s="23" t="s">
        <v>116</v>
      </c>
      <c r="G82" s="25" t="s">
        <v>11</v>
      </c>
      <c r="H82" s="38"/>
      <c r="I82" s="26"/>
      <c r="J82" s="26"/>
      <c r="K82" s="26"/>
      <c r="L82" s="26"/>
      <c r="M82" s="27">
        <f t="shared" si="2"/>
        <v>0</v>
      </c>
      <c r="N82" s="30"/>
    </row>
    <row r="83" spans="3:14" x14ac:dyDescent="0.25">
      <c r="C83" s="17">
        <v>76</v>
      </c>
      <c r="D83" s="24"/>
      <c r="E83" s="28" t="s">
        <v>69</v>
      </c>
      <c r="F83" s="23" t="s">
        <v>82</v>
      </c>
      <c r="G83" s="25" t="s">
        <v>11</v>
      </c>
      <c r="H83" s="38"/>
      <c r="I83" s="26"/>
      <c r="J83" s="26"/>
      <c r="K83" s="26"/>
      <c r="L83" s="26"/>
      <c r="M83" s="27">
        <f t="shared" si="2"/>
        <v>0</v>
      </c>
      <c r="N83" s="30"/>
    </row>
    <row r="84" spans="3:14" x14ac:dyDescent="0.25">
      <c r="C84" s="17">
        <v>77</v>
      </c>
      <c r="D84" s="24"/>
      <c r="E84" s="28" t="s">
        <v>69</v>
      </c>
      <c r="F84" s="23" t="s">
        <v>117</v>
      </c>
      <c r="G84" s="25" t="s">
        <v>11</v>
      </c>
      <c r="H84" s="38"/>
      <c r="I84" s="26"/>
      <c r="J84" s="26"/>
      <c r="K84" s="26"/>
      <c r="L84" s="26"/>
      <c r="M84" s="27">
        <f t="shared" ref="M84:M88" si="3">SUM(I84:L84)</f>
        <v>0</v>
      </c>
      <c r="N84" s="30"/>
    </row>
    <row r="85" spans="3:14" x14ac:dyDescent="0.25">
      <c r="C85" s="17">
        <v>78</v>
      </c>
      <c r="D85" s="24"/>
      <c r="E85" s="28" t="s">
        <v>69</v>
      </c>
      <c r="F85" s="23" t="s">
        <v>118</v>
      </c>
      <c r="G85" s="25" t="s">
        <v>11</v>
      </c>
      <c r="H85" s="38"/>
      <c r="I85" s="26"/>
      <c r="J85" s="26"/>
      <c r="K85" s="26"/>
      <c r="L85" s="26"/>
      <c r="M85" s="27">
        <f t="shared" si="3"/>
        <v>0</v>
      </c>
      <c r="N85" s="30"/>
    </row>
    <row r="86" spans="3:14" x14ac:dyDescent="0.25">
      <c r="C86" s="17">
        <v>79</v>
      </c>
      <c r="D86" s="24"/>
      <c r="E86" s="28" t="s">
        <v>69</v>
      </c>
      <c r="F86" s="23" t="s">
        <v>119</v>
      </c>
      <c r="G86" s="25" t="s">
        <v>11</v>
      </c>
      <c r="H86" s="38"/>
      <c r="I86" s="26"/>
      <c r="J86" s="26"/>
      <c r="K86" s="26"/>
      <c r="L86" s="26"/>
      <c r="M86" s="27">
        <f t="shared" si="3"/>
        <v>0</v>
      </c>
      <c r="N86" s="30"/>
    </row>
    <row r="87" spans="3:14" x14ac:dyDescent="0.25">
      <c r="C87" s="17">
        <v>80</v>
      </c>
      <c r="D87" s="24"/>
      <c r="E87" s="28" t="s">
        <v>69</v>
      </c>
      <c r="F87" s="23" t="s">
        <v>120</v>
      </c>
      <c r="G87" s="25" t="s">
        <v>11</v>
      </c>
      <c r="H87" s="38"/>
      <c r="I87" s="26"/>
      <c r="J87" s="26"/>
      <c r="K87" s="26"/>
      <c r="L87" s="26"/>
      <c r="M87" s="27">
        <f t="shared" si="3"/>
        <v>0</v>
      </c>
      <c r="N87" s="30"/>
    </row>
    <row r="88" spans="3:14" x14ac:dyDescent="0.25">
      <c r="C88" s="17">
        <v>81</v>
      </c>
      <c r="D88" s="24"/>
      <c r="E88" s="28" t="s">
        <v>69</v>
      </c>
      <c r="F88" s="23" t="s">
        <v>121</v>
      </c>
      <c r="G88" s="25" t="s">
        <v>11</v>
      </c>
      <c r="H88" s="38"/>
      <c r="I88" s="26"/>
      <c r="J88" s="26"/>
      <c r="K88" s="26"/>
      <c r="L88" s="26"/>
      <c r="M88" s="27">
        <f t="shared" si="3"/>
        <v>0</v>
      </c>
      <c r="N88" s="30"/>
    </row>
    <row r="89" spans="3:14" x14ac:dyDescent="0.25">
      <c r="C89" s="17">
        <v>82</v>
      </c>
      <c r="D89" s="24"/>
      <c r="E89" s="28" t="s">
        <v>69</v>
      </c>
      <c r="F89" s="23" t="s">
        <v>122</v>
      </c>
      <c r="G89" s="25" t="s">
        <v>11</v>
      </c>
      <c r="H89" s="38"/>
      <c r="I89" s="26"/>
      <c r="J89" s="26"/>
      <c r="K89" s="26"/>
      <c r="L89" s="26"/>
      <c r="M89" s="27">
        <f t="shared" ref="M89:M95" si="4">SUM(I89:L89)</f>
        <v>0</v>
      </c>
      <c r="N89" s="30"/>
    </row>
    <row r="90" spans="3:14" x14ac:dyDescent="0.25">
      <c r="C90" s="17">
        <v>83</v>
      </c>
      <c r="D90" s="24"/>
      <c r="E90" s="28" t="s">
        <v>69</v>
      </c>
      <c r="F90" s="23" t="s">
        <v>123</v>
      </c>
      <c r="G90" s="25" t="s">
        <v>11</v>
      </c>
      <c r="H90" s="38"/>
      <c r="I90" s="26"/>
      <c r="J90" s="26"/>
      <c r="K90" s="26"/>
      <c r="L90" s="26"/>
      <c r="M90" s="27">
        <f t="shared" si="4"/>
        <v>0</v>
      </c>
      <c r="N90" s="30"/>
    </row>
    <row r="91" spans="3:14" x14ac:dyDescent="0.25">
      <c r="C91" s="17">
        <v>84</v>
      </c>
      <c r="D91" s="24"/>
      <c r="E91" s="28" t="s">
        <v>69</v>
      </c>
      <c r="F91" s="23" t="s">
        <v>124</v>
      </c>
      <c r="G91" s="25" t="s">
        <v>11</v>
      </c>
      <c r="H91" s="38"/>
      <c r="I91" s="26"/>
      <c r="J91" s="26"/>
      <c r="K91" s="26"/>
      <c r="L91" s="26"/>
      <c r="M91" s="27">
        <f t="shared" si="4"/>
        <v>0</v>
      </c>
      <c r="N91" s="30"/>
    </row>
    <row r="92" spans="3:14" x14ac:dyDescent="0.25">
      <c r="C92" s="17">
        <v>85</v>
      </c>
      <c r="D92" s="24"/>
      <c r="E92" s="28" t="s">
        <v>69</v>
      </c>
      <c r="F92" s="23" t="s">
        <v>125</v>
      </c>
      <c r="G92" s="25" t="s">
        <v>11</v>
      </c>
      <c r="H92" s="38"/>
      <c r="I92" s="26"/>
      <c r="J92" s="26"/>
      <c r="K92" s="26"/>
      <c r="L92" s="26"/>
      <c r="M92" s="27">
        <f t="shared" si="4"/>
        <v>0</v>
      </c>
      <c r="N92" s="30"/>
    </row>
    <row r="93" spans="3:14" x14ac:dyDescent="0.25">
      <c r="C93" s="17">
        <v>86</v>
      </c>
      <c r="D93" s="24"/>
      <c r="E93" s="28" t="s">
        <v>69</v>
      </c>
      <c r="F93" s="23" t="s">
        <v>126</v>
      </c>
      <c r="G93" s="25" t="s">
        <v>11</v>
      </c>
      <c r="H93" s="38"/>
      <c r="I93" s="26"/>
      <c r="J93" s="26"/>
      <c r="K93" s="26"/>
      <c r="L93" s="26"/>
      <c r="M93" s="27">
        <f t="shared" si="4"/>
        <v>0</v>
      </c>
      <c r="N93" s="30"/>
    </row>
    <row r="94" spans="3:14" x14ac:dyDescent="0.25">
      <c r="C94" s="17">
        <v>87</v>
      </c>
      <c r="D94" s="24"/>
      <c r="E94" s="28" t="s">
        <v>69</v>
      </c>
      <c r="F94" s="23" t="s">
        <v>127</v>
      </c>
      <c r="G94" s="25" t="s">
        <v>11</v>
      </c>
      <c r="H94" s="38"/>
      <c r="I94" s="26"/>
      <c r="J94" s="26"/>
      <c r="K94" s="26"/>
      <c r="L94" s="26"/>
      <c r="M94" s="27">
        <f t="shared" si="4"/>
        <v>0</v>
      </c>
      <c r="N94" s="30"/>
    </row>
    <row r="95" spans="3:14" x14ac:dyDescent="0.25">
      <c r="C95" s="17">
        <v>88</v>
      </c>
      <c r="D95" s="24"/>
      <c r="E95" s="28" t="s">
        <v>69</v>
      </c>
      <c r="F95" s="23" t="s">
        <v>128</v>
      </c>
      <c r="G95" s="25" t="s">
        <v>11</v>
      </c>
      <c r="H95" s="38"/>
      <c r="I95" s="26"/>
      <c r="J95" s="26"/>
      <c r="K95" s="26"/>
      <c r="L95" s="26"/>
      <c r="M95" s="27">
        <f t="shared" si="4"/>
        <v>0</v>
      </c>
      <c r="N95" s="30"/>
    </row>
    <row r="96" spans="3:14" x14ac:dyDescent="0.25">
      <c r="C96" s="17">
        <v>89</v>
      </c>
      <c r="D96" s="24"/>
      <c r="E96" s="28" t="s">
        <v>69</v>
      </c>
      <c r="F96" s="23" t="s">
        <v>129</v>
      </c>
      <c r="G96" s="25" t="s">
        <v>11</v>
      </c>
      <c r="H96" s="38"/>
      <c r="I96" s="26"/>
      <c r="J96" s="26"/>
      <c r="K96" s="26"/>
      <c r="L96" s="26"/>
      <c r="M96" s="27">
        <f t="shared" ref="M96" si="5">SUM(I96:L96)</f>
        <v>0</v>
      </c>
      <c r="N96" s="30"/>
    </row>
    <row r="97" spans="3:14" x14ac:dyDescent="0.25">
      <c r="C97" s="17">
        <v>90</v>
      </c>
      <c r="D97" s="24"/>
      <c r="E97" s="28" t="s">
        <v>69</v>
      </c>
      <c r="F97" s="23" t="s">
        <v>156</v>
      </c>
      <c r="G97" s="25" t="s">
        <v>11</v>
      </c>
      <c r="H97" s="38"/>
      <c r="I97" s="26"/>
      <c r="J97" s="26"/>
      <c r="K97" s="26"/>
      <c r="L97" s="26"/>
      <c r="M97" s="27">
        <f t="shared" ref="M97:M98" si="6">SUM(I97:L97)</f>
        <v>0</v>
      </c>
      <c r="N97" s="30"/>
    </row>
    <row r="98" spans="3:14" x14ac:dyDescent="0.25">
      <c r="C98" s="17">
        <v>91</v>
      </c>
      <c r="E98" s="28" t="s">
        <v>69</v>
      </c>
      <c r="F98" s="42" t="s">
        <v>157</v>
      </c>
      <c r="G98" s="25" t="s">
        <v>11</v>
      </c>
      <c r="H98" s="38"/>
      <c r="I98" s="26"/>
      <c r="J98" s="26"/>
      <c r="K98" s="26"/>
      <c r="L98" s="26"/>
      <c r="M98" s="27">
        <f t="shared" si="6"/>
        <v>0</v>
      </c>
      <c r="N98" s="30"/>
    </row>
    <row r="99" spans="3:14" x14ac:dyDescent="0.25">
      <c r="C99" s="17">
        <v>92</v>
      </c>
      <c r="E99" s="28" t="s">
        <v>69</v>
      </c>
      <c r="F99" s="42" t="s">
        <v>158</v>
      </c>
      <c r="G99" s="25" t="s">
        <v>11</v>
      </c>
      <c r="H99" s="38"/>
      <c r="I99" s="26"/>
      <c r="J99" s="26"/>
      <c r="K99" s="26"/>
      <c r="L99" s="26"/>
      <c r="M99" s="27">
        <f t="shared" ref="M99" si="7">SUM(I99:L99)</f>
        <v>0</v>
      </c>
      <c r="N99" s="30"/>
    </row>
  </sheetData>
  <conditionalFormatting sqref="F32">
    <cfRule type="duplicateValues" dxfId="30" priority="25"/>
  </conditionalFormatting>
  <conditionalFormatting sqref="F21">
    <cfRule type="duplicateValues" dxfId="29" priority="23"/>
  </conditionalFormatting>
  <conditionalFormatting sqref="F29:F30">
    <cfRule type="duplicateValues" dxfId="28" priority="21"/>
  </conditionalFormatting>
  <conditionalFormatting sqref="F16">
    <cfRule type="duplicateValues" dxfId="27" priority="14"/>
  </conditionalFormatting>
  <conditionalFormatting sqref="F18">
    <cfRule type="duplicateValues" dxfId="26" priority="13"/>
  </conditionalFormatting>
  <conditionalFormatting sqref="F13">
    <cfRule type="duplicateValues" dxfId="25" priority="12"/>
  </conditionalFormatting>
  <conditionalFormatting sqref="F27">
    <cfRule type="duplicateValues" dxfId="24" priority="45"/>
  </conditionalFormatting>
  <conditionalFormatting sqref="F31">
    <cfRule type="duplicateValues" dxfId="23" priority="6"/>
  </conditionalFormatting>
  <conditionalFormatting sqref="F22">
    <cfRule type="duplicateValues" dxfId="22" priority="5"/>
  </conditionalFormatting>
  <conditionalFormatting sqref="F23">
    <cfRule type="duplicateValues" dxfId="21" priority="4"/>
  </conditionalFormatting>
  <conditionalFormatting sqref="F24">
    <cfRule type="duplicateValues" dxfId="20" priority="3"/>
  </conditionalFormatting>
  <conditionalFormatting sqref="F28">
    <cfRule type="duplicateValues" dxfId="19" priority="2"/>
  </conditionalFormatting>
  <conditionalFormatting sqref="F25">
    <cfRule type="duplicateValues" dxfId="18" priority="1"/>
  </conditionalFormatting>
  <conditionalFormatting sqref="F33:F37 F26 F9:F12 F17 F19:F20 F14:F15">
    <cfRule type="duplicateValues" dxfId="17" priority="55"/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2" ma:contentTypeDescription="Criar um novo documento." ma:contentTypeScope="" ma:versionID="a7a7c7330211281f7243a22470ce2e5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c28e91176c9b4921ea9a3bbad06dd6c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AE6A0E-221D-4910-B88F-2D05A63207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A3B927-4CD6-4F87-ABB1-BAC7F4B47C89}">
  <ds:schemaRefs>
    <ds:schemaRef ds:uri="http://schemas.microsoft.com/sharepoint/v3"/>
    <ds:schemaRef ds:uri="http://purl.org/dc/terms/"/>
    <ds:schemaRef ds:uri="1b30ed65-c9c4-4bfc-b56a-35d0aa6c175e"/>
    <ds:schemaRef ds:uri="http://schemas.microsoft.com/office/2006/documentManagement/types"/>
    <ds:schemaRef ds:uri="http://schemas.microsoft.com/office/infopath/2007/PartnerControls"/>
    <ds:schemaRef ds:uri="b394c2f2-f20c-49fe-8106-878cd9a0fe78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CAE0007-58C2-436B-9E35-12404A91C8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Detalhe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Romão dos Santos Gomes</dc:creator>
  <cp:lastModifiedBy>Luís Filipe da Silva Pragosa</cp:lastModifiedBy>
  <dcterms:created xsi:type="dcterms:W3CDTF">2023-05-30T10:01:50Z</dcterms:created>
  <dcterms:modified xsi:type="dcterms:W3CDTF">2023-08-09T10:46:12Z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2023-05-30T13:12:47Z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1fe51ee3-b5a6-4be2-8ecf-ea68a7b18378</vt:lpwstr>
  </property>
  <property fmtid="{D5CDD505-2E9C-101B-9397-08002B2CF9AE}" pid="8" name="MSIP_Label_0c2abd79-57a9-4473-8700-c843f76a1e37_ContentBits">
    <vt:lpwstr>0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  <property fmtid="{D5CDD505-2E9C-101B-9397-08002B2CF9AE}" pid="11" name="ContentTypeId">
    <vt:lpwstr>0x0101009919D1966C74534B93803F0D2F66461C</vt:lpwstr>
  </property>
</Properties>
</file>