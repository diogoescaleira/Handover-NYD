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"/>
    </mc:Choice>
  </mc:AlternateContent>
  <xr:revisionPtr revIDLastSave="18" documentId="8_{52BB18BA-05C5-4636-9BD5-6EA1FE529CEE}" xr6:coauthVersionLast="47" xr6:coauthVersionMax="47" xr10:uidLastSave="{31A40AD8-F135-402D-863F-884F9AA1F8C0}"/>
  <workbookProtection workbookAlgorithmName="SHA-512" workbookHashValue="LB62vPp/qJnmupgaUYgnIySthb0+/n7WBneyIfQ2bp8hvn8SAtCbho7IUvXQnzPO42B+2HJke5UzZtlHl4Y5iQ==" workbookSaltValue="2ZdwSXMaH8HawQ/d3hH7Rw==" workbookSpinCount="100000" lockStructure="1"/>
  <bookViews>
    <workbookView xWindow="28680" yWindow="-120" windowWidth="29040" windowHeight="15720" xr2:uid="{00000000-000D-0000-FFFF-FFFF00000000}"/>
  </bookViews>
  <sheets>
    <sheet name="Esquema" sheetId="16" r:id="rId1"/>
    <sheet name="2. Status Detalhe Campos" sheetId="17" r:id="rId2"/>
    <sheet name="Aux - Pivots2" sheetId="18" state="hidden" r:id="rId3"/>
    <sheet name="Auxiliar" sheetId="3" state="hidden" r:id="rId4"/>
  </sheets>
  <definedNames>
    <definedName name="_xlnm._FilterDatabase" localSheetId="1" hidden="1">'2. Status Detalhe Campos'!$A$6:$H$605</definedName>
    <definedName name="_xlcn.WorksheetConnection_2.StatusDetalheCamposB6G599" hidden="1">'2. Status Detalhe Campos'!$B$6:$G$595</definedName>
    <definedName name="_xlcn.WorksheetConnection_2.StatusDetalheCamposB6G605" hidden="1">'2. Status Detalhe Campos'!$B$6:$G$605</definedName>
    <definedName name="_xlcn.WorksheetConnection_Sheet2B2G545" hidden="1">'2. Status Detalhe Campos'!$B$6:$G$544</definedName>
    <definedName name="_xlcn.WorksheetConnection_TestesGDPilar3Plano_versãotrabalho_V1.2.xlsxTable4" hidden="1">Table4[]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Testes GD Pilar 3 - Plano_versão trabalho_V1.2.xlsx!Table4"/>
          <x15:modelTable id="Range" name="Range" connection="WorksheetConnection_Sheet2!$B$2:$G$545"/>
          <x15:modelTable id="Range 2" name="Range 2" connection="WorksheetConnection_2. Status Detalhe Campos!$B$6:$G$605"/>
          <x15:modelTable id="Range 1" name="Range 1" connection="WorksheetConnection_2. Status Detalhe Campos!$B$6:$G$59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5" i="17" l="1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 l="1"/>
  <c r="A7" i="17"/>
  <c r="C22" i="3"/>
  <c r="C23" i="3" l="1"/>
  <c r="C21" i="3"/>
  <c r="C20" i="3"/>
  <c r="C19" i="3"/>
  <c r="C18" i="3"/>
  <c r="C17" i="3"/>
  <c r="C1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599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2.StatusDetalheCamposB6G599"/>
        </x15:connection>
      </ext>
    </extLst>
  </connection>
  <connection id="3" xr16:uid="{00000000-0015-0000-FFFF-FFFF02000000}" name="WorksheetConnection_2. Status Detalhe Campos!$B$6:$G$605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"/>
        </x15:connection>
      </ext>
    </extLst>
  </connection>
  <connection id="4" xr16:uid="{00000000-0015-0000-FFFF-FFFF03000000}" name="WorksheetConnection_Sheet2!$B$2:$G$54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"/>
        </x15:connection>
      </ext>
    </extLst>
  </connection>
  <connection id="5" xr16:uid="{00000000-0015-0000-FFFF-FFFF04000000}" name="WorksheetConnection_Testes GD Pilar 3 - Plano_versão trabalho_V1.2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TestesGDPilar3Plano_versãotrabalho_V1.2.xlsxTable4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ThisWorkbookDataModel"/>
    <s v="{[Range 1].[Tipo de teste].&amp;[2. Campo]}"/>
    <s v="{[Range 1].[Âmbito].&amp;[GD]}"/>
    <s v="{[Table4].[Âmbito].&amp;[Pilar III]}"/>
    <s v="{[Table4].[Sub-âmbito].&amp;[Bens Imóveis - Input],[Table4].[Sub-âmbito].&amp;[Bens Imóveis - Output]}"/>
    <s v="{[Table4].[Tipo de teste].&amp;[2. Campo]}"/>
    <s v="{[Table4].[Sub-âmbito].&amp;[Modelo Verde - Input],[Table4].[Sub-âmbito].&amp;[Modelo Verde - Output]}"/>
    <s v="{[Table4].[Sub-âmbito].&amp;[Pilar III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<sst xmlns="http://schemas.openxmlformats.org/spreadsheetml/2006/main" count="4017" uniqueCount="499">
  <si>
    <t>Modelo Relacional - Modelo Verde</t>
  </si>
  <si>
    <t>Modelo Relacional - Bens Imóveis</t>
  </si>
  <si>
    <t>Legenda:</t>
  </si>
  <si>
    <t>Tabelas âmbito de atuação</t>
  </si>
  <si>
    <t>Âmbito</t>
  </si>
  <si>
    <t>Sub-âmbito</t>
  </si>
  <si>
    <t>Tipo de teste</t>
  </si>
  <si>
    <t>Tabela</t>
  </si>
  <si>
    <t>Campo</t>
  </si>
  <si>
    <t>Status</t>
  </si>
  <si>
    <t>Pilar III</t>
  </si>
  <si>
    <t>7. Por iniciar</t>
  </si>
  <si>
    <t>GD</t>
  </si>
  <si>
    <t>Bens Imóveis - Input</t>
  </si>
  <si>
    <t>1. Universo</t>
  </si>
  <si>
    <t>cd_imv_inp_certif_estimativa</t>
  </si>
  <si>
    <t>n.a.</t>
  </si>
  <si>
    <t>2. Campo</t>
  </si>
  <si>
    <t>cempbem</t>
  </si>
  <si>
    <t>chave_encriptada</t>
  </si>
  <si>
    <t>ckbalbem</t>
  </si>
  <si>
    <t>ckctabem</t>
  </si>
  <si>
    <t>ckrefbem</t>
  </si>
  <si>
    <t>data_extraccao_info</t>
  </si>
  <si>
    <t>epc</t>
  </si>
  <si>
    <t>fornecedor</t>
  </si>
  <si>
    <t>metodo_info</t>
  </si>
  <si>
    <t>score_qualidade</t>
  </si>
  <si>
    <t>vlr_cnsm_ano</t>
  </si>
  <si>
    <t>vlr_emss_ano</t>
  </si>
  <si>
    <t>Bens Imóveis - Output</t>
  </si>
  <si>
    <t>cd_imv_out_prc</t>
  </si>
  <si>
    <t>cd_imv_out_trz_cred_prc</t>
  </si>
  <si>
    <t>cempresa</t>
  </si>
  <si>
    <t>ckbalcao</t>
  </si>
  <si>
    <t>cknumcta</t>
  </si>
  <si>
    <t>cod_estd_prcs</t>
  </si>
  <si>
    <t>cod_grt</t>
  </si>
  <si>
    <t>cod_moeda</t>
  </si>
  <si>
    <t>cod_observacao</t>
  </si>
  <si>
    <t>cod_prd_grnt</t>
  </si>
  <si>
    <t>cod_sprd_grnt</t>
  </si>
  <si>
    <t>cod_tipo</t>
  </si>
  <si>
    <t>comp_id_gar</t>
  </si>
  <si>
    <t>data_inicio</t>
  </si>
  <si>
    <t>data_vcmt</t>
  </si>
  <si>
    <t>montante_eur</t>
  </si>
  <si>
    <t>montante_org</t>
  </si>
  <si>
    <t>origem</t>
  </si>
  <si>
    <t>ref_date</t>
  </si>
  <si>
    <t>cempresp</t>
  </si>
  <si>
    <t>ckbalres</t>
  </si>
  <si>
    <t>ckctares</t>
  </si>
  <si>
    <t>ckrefresp</t>
  </si>
  <si>
    <t>cod_fnld</t>
  </si>
  <si>
    <t>cod_ocupacao</t>
  </si>
  <si>
    <t>cod_prd_resp</t>
  </si>
  <si>
    <t>cod_sit</t>
  </si>
  <si>
    <t>cod_sprd_resp</t>
  </si>
  <si>
    <t>data_fim</t>
  </si>
  <si>
    <t>idetgar</t>
  </si>
  <si>
    <t>num_prop</t>
  </si>
  <si>
    <t>cd_imv_out_trz_prc_bens_imv</t>
  </si>
  <si>
    <t>data_assc</t>
  </si>
  <si>
    <t>flg_adj</t>
  </si>
  <si>
    <t>flg_col</t>
  </si>
  <si>
    <t>flg_fin</t>
  </si>
  <si>
    <t>flg_pro</t>
  </si>
  <si>
    <t>cd_imv_out_bens</t>
  </si>
  <si>
    <t>ano_construcao</t>
  </si>
  <si>
    <t>area_util</t>
  </si>
  <si>
    <t>cod_art_matr</t>
  </si>
  <si>
    <t>cod_avl</t>
  </si>
  <si>
    <t>cod_bem</t>
  </si>
  <si>
    <t>cod_disconf</t>
  </si>
  <si>
    <t>cod_fin_bem</t>
  </si>
  <si>
    <t>cod_idd_pred</t>
  </si>
  <si>
    <t>cod_morada</t>
  </si>
  <si>
    <t>cod_pais</t>
  </si>
  <si>
    <t>cod_post</t>
  </si>
  <si>
    <t>cod_tp_bem</t>
  </si>
  <si>
    <t>data_avl</t>
  </si>
  <si>
    <t>data_lic_util</t>
  </si>
  <si>
    <t>ficha</t>
  </si>
  <si>
    <t>id_frac</t>
  </si>
  <si>
    <t>localid</t>
  </si>
  <si>
    <t>lote</t>
  </si>
  <si>
    <t>montante_avl</t>
  </si>
  <si>
    <t>montante_avl_dist</t>
  </si>
  <si>
    <t>montante_vnd_rap</t>
  </si>
  <si>
    <t>morada</t>
  </si>
  <si>
    <t>num</t>
  </si>
  <si>
    <t>perc_obra</t>
  </si>
  <si>
    <t>prealcons</t>
  </si>
  <si>
    <t>urbaniz</t>
  </si>
  <si>
    <t>cd_imv_out_certif</t>
  </si>
  <si>
    <t>cod_cnsrvtr_rgst_prdl</t>
  </si>
  <si>
    <t>cod_inscrc</t>
  </si>
  <si>
    <t>cod_sce</t>
  </si>
  <si>
    <t>data_epc</t>
  </si>
  <si>
    <t>data_exprc_epc</t>
  </si>
  <si>
    <t>flg_efcc_enrg_cnsm_tp_s</t>
  </si>
  <si>
    <t>flg_efcnc_enrg_cnsm_tp_t</t>
  </si>
  <si>
    <t>flg_efcnc_enrgtc</t>
  </si>
  <si>
    <t>flg_efcnc_enrgtc_rnvv</t>
  </si>
  <si>
    <t>flg_nzeb</t>
  </si>
  <si>
    <t>nvl_efcc_enrg</t>
  </si>
  <si>
    <t>tp_crtfcd</t>
  </si>
  <si>
    <t>vlr_agua_qnt_sant_edfc</t>
  </si>
  <si>
    <t>vlr_agua_qnt_snt_rnvv</t>
  </si>
  <si>
    <t>vlr_agua_qnt_sntr_rfrc</t>
  </si>
  <si>
    <t>vlr_alttt</t>
  </si>
  <si>
    <t>vlr_aqcmnt_ambnt_edfc</t>
  </si>
  <si>
    <t>vlr_aqcmnt_ambnt_rfrc</t>
  </si>
  <si>
    <t>vlr_aqcmnt_ambnt_rnvv</t>
  </si>
  <si>
    <t>vlr_arrfcmnt_ambnt_edfc</t>
  </si>
  <si>
    <t>vlr_arrfcmnt_ambnt_renvv</t>
  </si>
  <si>
    <t>vlr_arrfcmnt_ambnt_rfrc</t>
  </si>
  <si>
    <t>vlr_class_enrg_aps_mdd</t>
  </si>
  <si>
    <t>vlr_comp_trmc_cbrtrs</t>
  </si>
  <si>
    <t>vlr_comp_trmc_jnls</t>
  </si>
  <si>
    <t>vlr_comp_trmc_prds</t>
  </si>
  <si>
    <t>vlr_comp_trmc_pvmnts</t>
  </si>
  <si>
    <t>vlr_comp_trmc_sstmtcn_vntld</t>
  </si>
  <si>
    <t>vlr_cst_ttl_invstmnt_estmd</t>
  </si>
  <si>
    <t>vlr_drc_estc_aqcmnt</t>
  </si>
  <si>
    <t>vlr_drc_estc_arrfcmnt</t>
  </si>
  <si>
    <t>vlr_emss_co2</t>
  </si>
  <si>
    <t>vlr_enrg_eltc_vntldr</t>
  </si>
  <si>
    <t>vlr_enrg_fnts_rnvv_otr_uso</t>
  </si>
  <si>
    <t>vlr_enrg_fnts_rnvv_regl</t>
  </si>
  <si>
    <t>vlr_enrg_renew</t>
  </si>
  <si>
    <t>vlr_enrg_utl_agua_qt_snt</t>
  </si>
  <si>
    <t>vlr_enrg_utl_arrfcmnt</t>
  </si>
  <si>
    <t>vlr_grs_dia</t>
  </si>
  <si>
    <t>vlr_ncssdd_enrg_prmr</t>
  </si>
  <si>
    <t>vlr_ncssdd_enrg_utl_aqcd</t>
  </si>
  <si>
    <t>vlr_prd_gnh_invrn_prd_prt</t>
  </si>
  <si>
    <t>vlr_prd_gnh_invrn_pvmnt</t>
  </si>
  <si>
    <t>vlr_prds_gnhs_invrn_cbrtr</t>
  </si>
  <si>
    <t>vlr_prds_gnhs_invrn_jnl</t>
  </si>
  <si>
    <t>vlr_prds_gnhs_invrn_rfc</t>
  </si>
  <si>
    <t>vlr_prds_gnhs_invrn_vntnh</t>
  </si>
  <si>
    <t>vlr_prds_gnhs_vr_cbrtr</t>
  </si>
  <si>
    <t>vlr_prds_gnhs_vr_jnl</t>
  </si>
  <si>
    <t>vlr_prds_gnhs_vr_prd_prt</t>
  </si>
  <si>
    <t>vlr_prds_gnhs_vr_rfrc</t>
  </si>
  <si>
    <t>vlr_rdc_anl_estmd_ftr</t>
  </si>
  <si>
    <t>vlr_tmprtr_md_extrr</t>
  </si>
  <si>
    <t>zn_clmtc_invrn</t>
  </si>
  <si>
    <t>zn_clmtc_vr</t>
  </si>
  <si>
    <t>2. Em Teste</t>
  </si>
  <si>
    <t>Modelo Verde - Input</t>
  </si>
  <si>
    <t>modesg_param_sfcs_taxon_europeia</t>
  </si>
  <si>
    <t>cbalcao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</si>
  <si>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</si>
  <si>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</si>
  <si>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</si>
  <si>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</si>
  <si>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</si>
  <si>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</si>
  <si>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</si>
  <si>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</si>
  <si>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</si>
  <si>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</si>
  <si>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</si>
  <si>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</si>
  <si>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</si>
  <si>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</si>
  <si>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</si>
  <si>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</si>
  <si>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</si>
  <si>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</si>
  <si>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</si>
  <si>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</si>
  <si>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</si>
  <si>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</si>
  <si>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zcliente</t>
  </si>
  <si>
    <t>zdeposit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</si>
  <si>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</si>
  <si>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</si>
  <si>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</si>
  <si>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</si>
  <si>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</si>
  <si>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</si>
  <si>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</si>
  <si>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</si>
  <si>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</si>
  <si>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</si>
  <si>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</si>
  <si>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</si>
  <si>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</si>
  <si>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</si>
  <si>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</si>
  <si>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data_level_5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</si>
  <si>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</si>
  <si>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</si>
  <si>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</si>
  <si>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</si>
  <si>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</si>
  <si>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</si>
  <si>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</si>
  <si>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</si>
  <si>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</si>
  <si>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</si>
  <si>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</si>
  <si>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</si>
  <si>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</si>
  <si>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</si>
  <si>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</si>
  <si>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</si>
  <si>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</si>
  <si>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</si>
  <si>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</si>
  <si>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</si>
  <si>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</si>
  <si>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</si>
  <si>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</si>
  <si>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</si>
  <si>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</si>
  <si>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</si>
  <si>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</si>
  <si>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</si>
  <si>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</si>
  <si>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</si>
  <si>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</si>
  <si>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</si>
  <si>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</si>
  <si>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</si>
  <si>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</si>
  <si>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</si>
  <si>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</si>
  <si>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</si>
  <si>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</si>
  <si>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</si>
  <si>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</si>
  <si>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</si>
  <si>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</si>
  <si>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</si>
  <si>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</si>
  <si>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</si>
  <si>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</si>
  <si>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</si>
  <si>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</si>
  <si>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</si>
  <si>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</si>
  <si>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</si>
  <si>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</si>
  <si>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</si>
  <si>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</si>
  <si>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</si>
  <si>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</si>
  <si>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</si>
  <si>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</si>
  <si>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</si>
  <si>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</si>
  <si>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</si>
  <si>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</si>
  <si>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</si>
  <si>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</si>
  <si>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</si>
  <si>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</si>
  <si>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</si>
  <si>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</si>
  <si>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classification_level_1</t>
  </si>
  <si>
    <t>asset_class</t>
  </si>
  <si>
    <t>methodology_option</t>
  </si>
  <si>
    <t>unidades_fator_de_emissao</t>
  </si>
  <si>
    <t>emission_factor_type</t>
  </si>
  <si>
    <t>tipo_bem</t>
  </si>
  <si>
    <t>tipo_finalidade_bem</t>
  </si>
  <si>
    <t>flg_ftr_emss_area</t>
  </si>
  <si>
    <t>unidade_fator_emissao</t>
  </si>
  <si>
    <t>scp_ftr_emss_ano1</t>
  </si>
  <si>
    <t>Modelo Verde - Output</t>
  </si>
  <si>
    <t>modesg_out_bens_imoveis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</si>
  <si>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</si>
  <si>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</si>
  <si>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</si>
  <si>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</si>
  <si>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</si>
  <si>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</si>
  <si>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</si>
  <si>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</si>
  <si>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</si>
  <si>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</si>
  <si>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</si>
  <si>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</si>
  <si>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</si>
  <si>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</si>
  <si>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</si>
  <si>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ordem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</si>
  <si>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</si>
  <si>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</si>
  <si>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</si>
  <si>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</si>
  <si>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</si>
  <si>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</si>
  <si>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</si>
  <si>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</si>
  <si>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</si>
  <si>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</si>
  <si>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</si>
  <si>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</si>
  <si>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</si>
  <si>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</si>
  <si>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</si>
  <si>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</si>
  <si>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</si>
  <si>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</si>
  <si>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</si>
  <si>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</si>
  <si>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</si>
  <si>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</si>
  <si>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</si>
  <si>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</si>
  <si>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</si>
  <si>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</si>
  <si>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</si>
  <si>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</si>
  <si>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</si>
  <si>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</si>
  <si>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</si>
  <si>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</si>
  <si>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</si>
  <si>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</si>
  <si>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</si>
  <si>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</si>
  <si>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</si>
  <si>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</si>
  <si>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</si>
  <si>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</si>
  <si>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</si>
  <si>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</si>
  <si>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</si>
  <si>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</si>
  <si>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</si>
  <si>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</si>
  <si>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</si>
  <si>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</si>
  <si>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</si>
  <si>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</si>
  <si>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</si>
  <si>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</si>
  <si>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</si>
  <si>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lt825_mthd_usd_instrmnt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</si>
  <si>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</si>
  <si>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</si>
  <si>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</si>
  <si>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</si>
  <si>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</si>
  <si>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</si>
  <si>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</si>
  <si>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</si>
  <si>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</si>
  <si>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</si>
  <si>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</si>
  <si>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</si>
  <si>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</si>
  <si>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</si>
  <si>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</si>
  <si>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</si>
  <si>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</si>
  <si>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</si>
  <si>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</si>
  <si>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</si>
  <si>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</si>
  <si>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</si>
  <si>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</si>
  <si>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</si>
  <si>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</si>
  <si>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</si>
  <si>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</si>
  <si>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</si>
  <si>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</si>
  <si>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</si>
  <si>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</si>
  <si>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</si>
  <si>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</si>
  <si>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</si>
  <si>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</si>
  <si>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</si>
  <si>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</si>
  <si>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</si>
  <si>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</si>
  <si>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</si>
  <si>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</si>
  <si>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</si>
  <si>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</si>
  <si>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</si>
  <si>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</si>
  <si>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</si>
  <si>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</si>
  <si>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</si>
  <si>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</si>
  <si>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</si>
  <si>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</si>
  <si>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</si>
  <si>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lt002_insrmnt</t>
  </si>
  <si>
    <t>off_blnc_sht_amnt_instrmnt</t>
  </si>
  <si>
    <t>prvsns_off_blnc_sht</t>
  </si>
  <si>
    <t>rwa</t>
  </si>
  <si>
    <t>cod_soc_intrgrp</t>
  </si>
  <si>
    <t>bsnss_area_dstntn</t>
  </si>
  <si>
    <t>flg_intrbsnss</t>
  </si>
  <si>
    <t>intrbsnss_adj_cod</t>
  </si>
  <si>
    <t>cod_soc_dstntn</t>
  </si>
  <si>
    <t>rwa_off_blnc</t>
  </si>
  <si>
    <t>intrnl_trnsfr_rt_off_blnc</t>
  </si>
  <si>
    <t>bsnss_area</t>
  </si>
  <si>
    <t>avrg_blnc</t>
  </si>
  <si>
    <t>nt_ln_lss_prvsn</t>
  </si>
  <si>
    <t>mngmnt_prdct</t>
  </si>
  <si>
    <t>nw_bsnss</t>
  </si>
  <si>
    <t>grss_intrst_incm_ccrr</t>
  </si>
  <si>
    <t>nt_ln_lss_prvsn_off_blnc</t>
  </si>
  <si>
    <t>avrg_blnc_off_blnc</t>
  </si>
  <si>
    <t>bsnss_area_ccrr</t>
  </si>
  <si>
    <t>grss_cmmssn_expns_off_blnc_ccrr</t>
  </si>
  <si>
    <t>grss_cmmssn_expns_off_blnc</t>
  </si>
  <si>
    <t>grss_cmmssn_incm_off_blnc_ccrr</t>
  </si>
  <si>
    <t>grss_cmmssn_incm_ccrr</t>
  </si>
  <si>
    <t>intrnl_trnsfr_rt</t>
  </si>
  <si>
    <t>grss_cmmssn_expns</t>
  </si>
  <si>
    <t>grss_cmmssn_expns_ccrr</t>
  </si>
  <si>
    <t>grss_intrst_expns</t>
  </si>
  <si>
    <t>grss_intrst_expns_ccrr</t>
  </si>
  <si>
    <t>gns_fnncl_trnsctn_exchng_dffrncs</t>
  </si>
  <si>
    <t>gns_fnncl_trnsctn_exchng_ccrr</t>
  </si>
  <si>
    <t>cnclld_instrmnt_stts</t>
  </si>
  <si>
    <t>0. Cancelado</t>
  </si>
  <si>
    <t>1. Concluído</t>
  </si>
  <si>
    <t>3. Pendente de outros desenvolvimentos</t>
  </si>
  <si>
    <t>4. Validação EF</t>
  </si>
  <si>
    <t>5. Em Correção</t>
  </si>
  <si>
    <t>6. Em implementação (re-especificação)</t>
  </si>
  <si>
    <t>2. Modelo Verde</t>
  </si>
  <si>
    <t>3. Loan Tape | Pilar III</t>
  </si>
  <si>
    <t>4. Loan Tape | Green Dashboard</t>
  </si>
  <si>
    <t>Status Atual</t>
  </si>
  <si>
    <t>Observações</t>
  </si>
  <si>
    <t>26/07/2024: Conclusão de testes ao universo MUG e GP. Adjudicados fora de âmbito deste projeto.</t>
  </si>
  <si>
    <t>19/07/2024: Campo eliminado do Modelo para garantir coerência com MUG</t>
  </si>
  <si>
    <t>22/07/2024: Entrega de campo para testes</t>
  </si>
  <si>
    <t>Novo Campo - IT já implementou</t>
  </si>
  <si>
    <t>Novo Campo</t>
  </si>
  <si>
    <t>Alteração estrutural</t>
  </si>
  <si>
    <t>Novo Campo no input corporativo</t>
  </si>
  <si>
    <t>18/07/2024: Em validação com Corporação sobre a possibilidade de valores zero (contra especificação)</t>
  </si>
  <si>
    <t>Pendente do input</t>
  </si>
  <si>
    <t>Pendente de definição de prioridade por parte de área de negócio (Bernardo Vedor)</t>
  </si>
  <si>
    <t>26/07/2024: Campo não espelhado na documentação da Deloitte (LT ESTR)</t>
  </si>
  <si>
    <t>08/07/2024: Entrega de campo para testes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</si>
  <si>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</si>
  <si>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</si>
  <si>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</si>
  <si>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</si>
  <si>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</si>
  <si>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</si>
  <si>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</si>
  <si>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</si>
  <si>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</si>
  <si>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Grand Total</t>
  </si>
  <si>
    <t>1. Modelo Bens imóveis</t>
  </si>
  <si>
    <t>(Multiple Items)</t>
  </si>
  <si>
    <t>Count of Campo</t>
  </si>
  <si>
    <t>Column Labels</t>
  </si>
  <si>
    <t>Row Labels</t>
  </si>
  <si>
    <t>Complexidade</t>
  </si>
  <si>
    <t>1. Teste de universo</t>
  </si>
  <si>
    <t>Alta</t>
  </si>
  <si>
    <t>2. Simulação</t>
  </si>
  <si>
    <t>3. Testes comparativos (Espec. VS Impl.)</t>
  </si>
  <si>
    <t>4. Validação de parametrizações</t>
  </si>
  <si>
    <t>6. Validação de formatos</t>
  </si>
  <si>
    <t>7. Validação de controlos corporativos</t>
  </si>
  <si>
    <t>5. Teste comparativos com LT</t>
  </si>
  <si>
    <t>Baixa</t>
  </si>
  <si>
    <t>Média</t>
  </si>
  <si>
    <t>9. Teste de Integridade</t>
  </si>
  <si>
    <t>8. Teste de Carregamento</t>
  </si>
  <si>
    <t>Estimação Horas</t>
  </si>
  <si>
    <t>Tipologia de testes</t>
  </si>
  <si>
    <t>Categorização de Testes</t>
  </si>
  <si>
    <t>Descrição</t>
  </si>
  <si>
    <t>1. Validação de universo de contratos (quando comparado âmbito "CDG" e "PM", e numero de registos)
2. Controlos sobre o desdobramento de chaves nas relações FR-MIS</t>
  </si>
  <si>
    <t>Simulação da especificação funcional.
Suplementarmente, realizar reuniões de validações e esclarecimentos funcionais junto do negócio/owner.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</si>
  <si>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</si>
  <si>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</si>
  <si>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</si>
  <si>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</si>
  <si>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Validar controlos corporativos e se a especificação cumpre os requisitos.</t>
  </si>
  <si>
    <t>Garantir que o carregamento do ficheiro é realizado com sucesso no Front.</t>
  </si>
  <si>
    <t>Garantir integridade entre o ficheiro importado pela equipa de testes e o ficheiro de tecnologia (Ex: Garantir que a informação de todos os campos está correta de acordo com os dados corporativos)</t>
  </si>
  <si>
    <t>Pendente de outros campos/tabelas</t>
  </si>
  <si>
    <t>Validação da Susana/conceito/alterações</t>
  </si>
  <si>
    <t>Por IT</t>
  </si>
  <si>
    <t>Campo eliminado</t>
  </si>
  <si>
    <t>Esquema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</si>
</sst>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color rgb="FFC00000"/>
      <name val="Santander Text"/>
      <family val="2"/>
    </font>
    <font>
      <sz val="11"/>
      <color rgb="FF00B050"/>
      <name val="Santander Text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rgb="FFFF0000"/>
      <name val="Santander Headline"/>
      <family val="2"/>
    </font>
    <font>
      <b/>
      <sz val="11"/>
      <color rgb="FFC00000"/>
      <name val="Santander Text"/>
      <family val="2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sz val="11"/>
      <color theme="1"/>
      <name val="Santander Headline"/>
      <family val="2"/>
    </font>
    <font>
      <b/>
      <sz val="11"/>
      <name val="Santander Headline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000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6" fillId="0" borderId="0"/>
  </cellStyleXfs>
  <cellXfs count="5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wrapText="1"/>
    </xf>
    <xf numFmtId="0" fontId="0" fillId="5" borderId="0" xfId="0" applyFill="1"/>
    <xf numFmtId="0" fontId="5" fillId="0" borderId="0" xfId="0" applyFont="1"/>
    <xf numFmtId="0" fontId="7" fillId="0" borderId="0" xfId="0" applyFont="1"/>
    <xf numFmtId="10" fontId="4" fillId="0" borderId="1" xfId="1" applyNumberFormat="1" applyFont="1" applyBorder="1" applyAlignment="1">
      <alignment vertical="center"/>
    </xf>
    <xf numFmtId="10" fontId="3" fillId="0" borderId="1" xfId="1" applyNumberFormat="1" applyFont="1" applyBorder="1" applyAlignment="1">
      <alignment horizontal="left"/>
    </xf>
    <xf numFmtId="10" fontId="2" fillId="0" borderId="1" xfId="1" applyNumberFormat="1" applyFont="1" applyBorder="1" applyAlignment="1">
      <alignment vertical="center"/>
    </xf>
    <xf numFmtId="10" fontId="8" fillId="0" borderId="1" xfId="1" applyNumberFormat="1" applyFont="1" applyBorder="1" applyAlignment="1">
      <alignment horizontal="left"/>
    </xf>
    <xf numFmtId="0" fontId="2" fillId="0" borderId="0" xfId="0" applyFont="1"/>
    <xf numFmtId="0" fontId="2" fillId="0" borderId="0" xfId="0" quotePrefix="1" applyFont="1" applyAlignment="1">
      <alignment wrapText="1"/>
    </xf>
    <xf numFmtId="0" fontId="2" fillId="6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9" fillId="0" borderId="0" xfId="0" applyFont="1"/>
    <xf numFmtId="0" fontId="0" fillId="4" borderId="0" xfId="0" applyFill="1"/>
    <xf numFmtId="0" fontId="2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2" fillId="0" borderId="0" xfId="0" applyFont="1"/>
    <xf numFmtId="0" fontId="13" fillId="2" borderId="1" xfId="0" applyFont="1" applyFill="1" applyBorder="1" applyAlignment="1">
      <alignment horizontal="left"/>
    </xf>
    <xf numFmtId="0" fontId="10" fillId="4" borderId="5" xfId="0" applyFont="1" applyFill="1" applyBorder="1" applyAlignment="1">
      <alignment horizontal="left" vertical="center"/>
    </xf>
    <xf numFmtId="9" fontId="0" fillId="0" borderId="0" xfId="0" applyNumberFormat="1"/>
    <xf numFmtId="0" fontId="2" fillId="9" borderId="0" xfId="0" applyFont="1" applyFill="1"/>
    <xf numFmtId="0" fontId="2" fillId="5" borderId="0" xfId="0" applyFont="1" applyFill="1"/>
    <xf numFmtId="9" fontId="2" fillId="0" borderId="0" xfId="1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5" fillId="5" borderId="0" xfId="0" applyFont="1" applyFill="1"/>
    <xf numFmtId="0" fontId="11" fillId="0" borderId="0" xfId="0" applyFont="1"/>
    <xf numFmtId="0" fontId="10" fillId="4" borderId="14" xfId="0" applyFont="1" applyFill="1" applyBorder="1" applyAlignment="1">
      <alignment horizontal="left" vertical="center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horizontal="left" vertical="center"/>
    </xf>
    <xf numFmtId="0" fontId="14" fillId="0" borderId="14" xfId="0" applyFont="1" applyBorder="1"/>
    <xf numFmtId="0" fontId="17" fillId="0" borderId="14" xfId="0" applyFont="1" applyBorder="1" applyAlignment="1">
      <alignment horizontal="left" vertical="center" readingOrder="1"/>
    </xf>
    <xf numFmtId="0" fontId="16" fillId="10" borderId="14" xfId="0" applyFont="1" applyFill="1" applyBorder="1" applyAlignment="1">
      <alignment vertical="center"/>
    </xf>
    <xf numFmtId="0" fontId="15" fillId="0" borderId="0" xfId="0" applyFont="1"/>
    <xf numFmtId="0" fontId="2" fillId="0" borderId="15" xfId="0" applyFont="1" applyBorder="1"/>
    <xf numFmtId="0" fontId="16" fillId="10" borderId="5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left" vertical="center"/>
    </xf>
    <xf numFmtId="0" fontId="14" fillId="0" borderId="4" xfId="0" applyFont="1" applyBorder="1"/>
    <xf numFmtId="0" fontId="14" fillId="7" borderId="4" xfId="0" applyFont="1" applyFill="1" applyBorder="1"/>
    <xf numFmtId="0" fontId="14" fillId="8" borderId="4" xfId="0" applyFont="1" applyFill="1" applyBorder="1"/>
    <xf numFmtId="0" fontId="16" fillId="10" borderId="8" xfId="0" applyFont="1" applyFill="1" applyBorder="1" applyAlignment="1">
      <alignment vertical="center"/>
    </xf>
    <xf numFmtId="0" fontId="16" fillId="10" borderId="16" xfId="0" applyFont="1" applyFill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/>
    <xf numFmtId="0" fontId="14" fillId="0" borderId="6" xfId="0" applyFont="1" applyBorder="1"/>
    <xf numFmtId="14" fontId="14" fillId="0" borderId="4" xfId="0" applyNumberFormat="1" applyFont="1" applyBorder="1"/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3"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pivotCacheDefinition" Target="pivotCache/pivotCacheDefinition6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571682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19075"/>
          <a:ext cx="857432" cy="151838"/>
        </a:xfrm>
        <a:prstGeom prst="rect">
          <a:avLst/>
        </a:prstGeom>
      </xdr:spPr>
    </xdr:pic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6758" y="96612"/>
          <a:ext cx="934444" cy="438730"/>
        </a:xfrm>
        <a:prstGeom prst="rect">
          <a:avLst/>
        </a:prstGeom>
      </xdr:spPr>
    </xdr:pic>
    <xdr:clientData/>
  </xdr:twoCellAnchor>
  <xdr:twoCellAnchor>
    <xdr:from>
      <xdr:col>7</xdr:col>
      <xdr:colOff>581353</xdr:colOff>
      <xdr:row>11</xdr:row>
      <xdr:rowOff>55176</xdr:rowOff>
    </xdr:from>
    <xdr:to>
      <xdr:col>12</xdr:col>
      <xdr:colOff>616762</xdr:colOff>
      <xdr:row>19</xdr:row>
      <xdr:rowOff>56436</xdr:rowOff>
    </xdr:to>
    <xdr:sp macro="" textlink="">
      <xdr:nvSpPr>
        <xdr:cNvPr id="5" name="Rectángulo 6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525824" y="2318764"/>
          <a:ext cx="3397173" cy="179420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11</xdr:row>
      <xdr:rowOff>58986</xdr:rowOff>
    </xdr:from>
    <xdr:to>
      <xdr:col>7</xdr:col>
      <xdr:colOff>50743</xdr:colOff>
      <xdr:row>19</xdr:row>
      <xdr:rowOff>35714</xdr:rowOff>
    </xdr:to>
    <xdr:sp macro="" textlink="">
      <xdr:nvSpPr>
        <xdr:cNvPr id="6" name="Rectángulo 6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01851" y="2322574"/>
          <a:ext cx="3393363" cy="1769669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592594</xdr:colOff>
      <xdr:row>9</xdr:row>
      <xdr:rowOff>134438</xdr:rowOff>
    </xdr:from>
    <xdr:to>
      <xdr:col>12</xdr:col>
      <xdr:colOff>628479</xdr:colOff>
      <xdr:row>11</xdr:row>
      <xdr:rowOff>27604</xdr:rowOff>
    </xdr:to>
    <xdr:sp macro="" textlink="">
      <xdr:nvSpPr>
        <xdr:cNvPr id="7" name="Rectángulo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537065" y="1949791"/>
          <a:ext cx="3397649" cy="34140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(Clientes)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9</xdr:row>
      <xdr:rowOff>130628</xdr:rowOff>
    </xdr:from>
    <xdr:to>
      <xdr:col>7</xdr:col>
      <xdr:colOff>50744</xdr:colOff>
      <xdr:row>11</xdr:row>
      <xdr:rowOff>27346</xdr:rowOff>
    </xdr:to>
    <xdr:sp macro="" textlink="">
      <xdr:nvSpPr>
        <xdr:cNvPr id="8" name="Rectángulo 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01852" y="1945981"/>
          <a:ext cx="3393363" cy="344953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239945</xdr:colOff>
      <xdr:row>11</xdr:row>
      <xdr:rowOff>188463</xdr:rowOff>
    </xdr:from>
    <xdr:to>
      <xdr:col>6</xdr:col>
      <xdr:colOff>483717</xdr:colOff>
      <xdr:row>12</xdr:row>
      <xdr:rowOff>206908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822651" y="2452051"/>
          <a:ext cx="2933184" cy="24256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List of Paris Excluded Companies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239944</xdr:colOff>
      <xdr:row>13</xdr:row>
      <xdr:rowOff>59112</xdr:rowOff>
    </xdr:from>
    <xdr:to>
      <xdr:col>6</xdr:col>
      <xdr:colOff>483716</xdr:colOff>
      <xdr:row>14</xdr:row>
      <xdr:rowOff>77558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22650" y="2770936"/>
          <a:ext cx="2933184" cy="24256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GAR External Data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227553</xdr:colOff>
      <xdr:row>14</xdr:row>
      <xdr:rowOff>172929</xdr:rowOff>
    </xdr:from>
    <xdr:to>
      <xdr:col>6</xdr:col>
      <xdr:colOff>478945</xdr:colOff>
      <xdr:row>15</xdr:row>
      <xdr:rowOff>170419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810259" y="3108870"/>
          <a:ext cx="2940804" cy="22160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Physical risk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239944</xdr:colOff>
      <xdr:row>16</xdr:row>
      <xdr:rowOff>211594</xdr:rowOff>
    </xdr:from>
    <xdr:to>
      <xdr:col>6</xdr:col>
      <xdr:colOff>483716</xdr:colOff>
      <xdr:row>17</xdr:row>
      <xdr:rowOff>209084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822650" y="3595770"/>
          <a:ext cx="2933184" cy="22160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Emissions Data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11</xdr:row>
      <xdr:rowOff>188463</xdr:rowOff>
    </xdr:from>
    <xdr:to>
      <xdr:col>12</xdr:col>
      <xdr:colOff>387865</xdr:colOff>
      <xdr:row>12</xdr:row>
      <xdr:rowOff>203098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4749007" y="2452051"/>
          <a:ext cx="2945093" cy="23875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modesg_inp_empr_excl_paris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13</xdr:row>
      <xdr:rowOff>62922</xdr:rowOff>
    </xdr:from>
    <xdr:to>
      <xdr:col>12</xdr:col>
      <xdr:colOff>387865</xdr:colOff>
      <xdr:row>14</xdr:row>
      <xdr:rowOff>77558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4749007" y="2774746"/>
          <a:ext cx="2945093" cy="23875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modesg_inp_nfrd_alinhamento_tax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14</xdr:row>
      <xdr:rowOff>169119</xdr:rowOff>
    </xdr:from>
    <xdr:to>
      <xdr:col>12</xdr:col>
      <xdr:colOff>387865</xdr:colOff>
      <xdr:row>15</xdr:row>
      <xdr:rowOff>174229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4749007" y="3105060"/>
          <a:ext cx="2945093" cy="22922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modesg_inp_risco_fisico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16</xdr:row>
      <xdr:rowOff>41674</xdr:rowOff>
    </xdr:from>
    <xdr:to>
      <xdr:col>12</xdr:col>
      <xdr:colOff>387865</xdr:colOff>
      <xdr:row>18</xdr:row>
      <xdr:rowOff>154886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4752817" y="3425850"/>
          <a:ext cx="2943188" cy="561448"/>
          <a:chOff x="4320951" y="2385099"/>
          <a:chExt cx="2955600" cy="547350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4320951" y="2385099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modesg_inp_emss_scib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4320951" y="2701548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modesg_inp_emss_nace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7</xdr:col>
      <xdr:colOff>92391</xdr:colOff>
      <xdr:row>12</xdr:row>
      <xdr:rowOff>92294</xdr:rowOff>
    </xdr:from>
    <xdr:to>
      <xdr:col>7</xdr:col>
      <xdr:colOff>549591</xdr:colOff>
      <xdr:row>12</xdr:row>
      <xdr:rowOff>92294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4036862" y="2580000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92391</xdr:colOff>
      <xdr:row>13</xdr:row>
      <xdr:rowOff>173725</xdr:rowOff>
    </xdr:from>
    <xdr:to>
      <xdr:col>7</xdr:col>
      <xdr:colOff>549591</xdr:colOff>
      <xdr:row>13</xdr:row>
      <xdr:rowOff>173725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4036862" y="2885549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92391</xdr:colOff>
      <xdr:row>15</xdr:row>
      <xdr:rowOff>59615</xdr:rowOff>
    </xdr:from>
    <xdr:to>
      <xdr:col>7</xdr:col>
      <xdr:colOff>549591</xdr:colOff>
      <xdr:row>15</xdr:row>
      <xdr:rowOff>59615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4036862" y="3219674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92641</xdr:colOff>
      <xdr:row>17</xdr:row>
      <xdr:rowOff>96318</xdr:rowOff>
    </xdr:from>
    <xdr:to>
      <xdr:col>7</xdr:col>
      <xdr:colOff>578627</xdr:colOff>
      <xdr:row>18</xdr:row>
      <xdr:rowOff>21287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4037112" y="3704612"/>
          <a:ext cx="485986" cy="149087"/>
        </a:xfrm>
        <a:prstGeom prst="bentConnector3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92641</xdr:colOff>
      <xdr:row>16</xdr:row>
      <xdr:rowOff>167718</xdr:rowOff>
    </xdr:from>
    <xdr:to>
      <xdr:col>7</xdr:col>
      <xdr:colOff>578627</xdr:colOff>
      <xdr:row>17</xdr:row>
      <xdr:rowOff>60757</xdr:rowOff>
    </xdr:to>
    <xdr:cxnSp macro="">
      <xdr:nvCxnSpPr>
        <xdr:cNvPr id="21" name="Elb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4037112" y="3551894"/>
          <a:ext cx="485986" cy="117157"/>
        </a:xfrm>
        <a:prstGeom prst="bentConnector3">
          <a:avLst>
            <a:gd name="adj1" fmla="val 50000"/>
          </a:avLst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478829</xdr:colOff>
      <xdr:row>11</xdr:row>
      <xdr:rowOff>55176</xdr:rowOff>
    </xdr:from>
    <xdr:to>
      <xdr:col>18</xdr:col>
      <xdr:colOff>514237</xdr:colOff>
      <xdr:row>19</xdr:row>
      <xdr:rowOff>56436</xdr:rowOff>
    </xdr:to>
    <xdr:sp macro="" textlink="">
      <xdr:nvSpPr>
        <xdr:cNvPr id="22" name="Rectángulo 68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457417" y="2318764"/>
          <a:ext cx="3397173" cy="179420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478829</xdr:colOff>
      <xdr:row>9</xdr:row>
      <xdr:rowOff>134438</xdr:rowOff>
    </xdr:from>
    <xdr:to>
      <xdr:col>18</xdr:col>
      <xdr:colOff>514713</xdr:colOff>
      <xdr:row>11</xdr:row>
      <xdr:rowOff>27604</xdr:rowOff>
    </xdr:to>
    <xdr:sp macro="" textlink="">
      <xdr:nvSpPr>
        <xdr:cNvPr id="23" name="Rectángulo 6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457417" y="1949791"/>
          <a:ext cx="3397649" cy="34140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(Clientes)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152071</xdr:colOff>
      <xdr:row>14</xdr:row>
      <xdr:rowOff>169119</xdr:rowOff>
    </xdr:from>
    <xdr:to>
      <xdr:col>18</xdr:col>
      <xdr:colOff>162928</xdr:colOff>
      <xdr:row>15</xdr:row>
      <xdr:rowOff>174229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803012" y="3105060"/>
          <a:ext cx="2700269" cy="22922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modesg_out_empr_info_nfin</a:t>
          </a:r>
        </a:p>
      </xdr:txBody>
    </xdr:sp>
    <xdr:clientData/>
  </xdr:twoCellAnchor>
  <xdr:twoCellAnchor>
    <xdr:from>
      <xdr:col>12</xdr:col>
      <xdr:colOff>616762</xdr:colOff>
      <xdr:row>15</xdr:row>
      <xdr:rowOff>55805</xdr:rowOff>
    </xdr:from>
    <xdr:to>
      <xdr:col>13</xdr:col>
      <xdr:colOff>478828</xdr:colOff>
      <xdr:row>15</xdr:row>
      <xdr:rowOff>55805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5" idx="3"/>
          <a:endCxn id="22" idx="1"/>
        </xdr:cNvCxnSpPr>
      </xdr:nvCxnSpPr>
      <xdr:spPr>
        <a:xfrm>
          <a:off x="7922997" y="3215864"/>
          <a:ext cx="534419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588488</xdr:colOff>
      <xdr:row>21</xdr:row>
      <xdr:rowOff>184117</xdr:rowOff>
    </xdr:from>
    <xdr:to>
      <xdr:col>12</xdr:col>
      <xdr:colOff>628677</xdr:colOff>
      <xdr:row>24</xdr:row>
      <xdr:rowOff>169587</xdr:rowOff>
    </xdr:to>
    <xdr:sp macro="" textlink="">
      <xdr:nvSpPr>
        <xdr:cNvPr id="33" name="Rectángulo 6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532959" y="4688882"/>
          <a:ext cx="3401953" cy="65782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15335</xdr:colOff>
      <xdr:row>21</xdr:row>
      <xdr:rowOff>183660</xdr:rowOff>
    </xdr:from>
    <xdr:to>
      <xdr:col>7</xdr:col>
      <xdr:colOff>53618</xdr:colOff>
      <xdr:row>24</xdr:row>
      <xdr:rowOff>141842</xdr:rowOff>
    </xdr:to>
    <xdr:sp macro="" textlink="">
      <xdr:nvSpPr>
        <xdr:cNvPr id="34" name="Rectángulo 6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98041" y="4688425"/>
          <a:ext cx="3400048" cy="63053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590212</xdr:colOff>
      <xdr:row>20</xdr:row>
      <xdr:rowOff>21405</xdr:rowOff>
    </xdr:from>
    <xdr:to>
      <xdr:col>12</xdr:col>
      <xdr:colOff>628971</xdr:colOff>
      <xdr:row>21</xdr:row>
      <xdr:rowOff>145043</xdr:rowOff>
    </xdr:to>
    <xdr:sp macro="" textlink="">
      <xdr:nvSpPr>
        <xdr:cNvPr id="35" name="Rectángulo 6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4534683" y="4302052"/>
          <a:ext cx="3400523" cy="34775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(Taxonomia</a:t>
          </a:r>
          <a:r>
            <a:rPr kumimoji="0" lang="en-GB" sz="12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 Europeira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9621</xdr:colOff>
      <xdr:row>20</xdr:row>
      <xdr:rowOff>17595</xdr:rowOff>
    </xdr:from>
    <xdr:to>
      <xdr:col>7</xdr:col>
      <xdr:colOff>47904</xdr:colOff>
      <xdr:row>21</xdr:row>
      <xdr:rowOff>148625</xdr:rowOff>
    </xdr:to>
    <xdr:sp macro="" textlink="">
      <xdr:nvSpPr>
        <xdr:cNvPr id="36" name="Rectángulo 6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92327" y="4298242"/>
          <a:ext cx="3400048" cy="355148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Ficheiro de parametrização</a:t>
          </a:r>
        </a:p>
      </xdr:txBody>
    </xdr:sp>
    <xdr:clientData/>
  </xdr:twoCellAnchor>
  <xdr:twoCellAnchor>
    <xdr:from>
      <xdr:col>2</xdr:col>
      <xdr:colOff>245618</xdr:colOff>
      <xdr:row>22</xdr:row>
      <xdr:rowOff>85592</xdr:rowOff>
    </xdr:from>
    <xdr:to>
      <xdr:col>6</xdr:col>
      <xdr:colOff>474733</xdr:colOff>
      <xdr:row>24</xdr:row>
      <xdr:rowOff>32937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828324" y="4814474"/>
          <a:ext cx="2918527" cy="39558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 defTabSz="914400" rtl="0" eaLnBrk="1" latinLnBrk="0" hangingPunct="1">
            <a:defRPr/>
          </a:pPr>
          <a:r>
            <a:rPr lang="pt-PT" sz="1200" kern="1200">
              <a:solidFill>
                <a:prstClr val="black"/>
              </a:solidFill>
              <a:latin typeface="Santander Text" panose="020B0504020201020104" pitchFamily="34" charset="0"/>
              <a:ea typeface="+mn-ea"/>
              <a:cs typeface="+mn-cs"/>
            </a:rPr>
            <a:t>Modelo Verde - Parametrização SFCS e Taxonomia Europeia</a:t>
          </a:r>
          <a:endParaRPr lang="pt-BR" altLang="pt-PT" sz="1200" kern="1200">
            <a:solidFill>
              <a:prstClr val="black"/>
            </a:solidFill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133797</xdr:colOff>
      <xdr:row>22</xdr:row>
      <xdr:rowOff>88512</xdr:rowOff>
    </xdr:from>
    <xdr:to>
      <xdr:col>12</xdr:col>
      <xdr:colOff>401491</xdr:colOff>
      <xdr:row>24</xdr:row>
      <xdr:rowOff>20120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750621" y="4817394"/>
          <a:ext cx="2957105" cy="37984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modesg_param_sfcs_taxon_europeia</a:t>
          </a:r>
        </a:p>
      </xdr:txBody>
    </xdr:sp>
    <xdr:clientData/>
  </xdr:twoCellAnchor>
  <xdr:twoCellAnchor>
    <xdr:from>
      <xdr:col>7</xdr:col>
      <xdr:colOff>92391</xdr:colOff>
      <xdr:row>22</xdr:row>
      <xdr:rowOff>209096</xdr:rowOff>
    </xdr:from>
    <xdr:to>
      <xdr:col>7</xdr:col>
      <xdr:colOff>549591</xdr:colOff>
      <xdr:row>22</xdr:row>
      <xdr:rowOff>209096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4036862" y="4937978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479765</xdr:colOff>
      <xdr:row>21</xdr:row>
      <xdr:rowOff>184117</xdr:rowOff>
    </xdr:from>
    <xdr:to>
      <xdr:col>18</xdr:col>
      <xdr:colOff>518048</xdr:colOff>
      <xdr:row>24</xdr:row>
      <xdr:rowOff>169587</xdr:rowOff>
    </xdr:to>
    <xdr:sp macro="" textlink="">
      <xdr:nvSpPr>
        <xdr:cNvPr id="40" name="Rectángulo 6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8458353" y="4688882"/>
          <a:ext cx="3400048" cy="65782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479765</xdr:colOff>
      <xdr:row>20</xdr:row>
      <xdr:rowOff>21405</xdr:rowOff>
    </xdr:from>
    <xdr:to>
      <xdr:col>18</xdr:col>
      <xdr:colOff>510903</xdr:colOff>
      <xdr:row>21</xdr:row>
      <xdr:rowOff>145043</xdr:rowOff>
    </xdr:to>
    <xdr:sp macro="" textlink="">
      <xdr:nvSpPr>
        <xdr:cNvPr id="41" name="Rectángulo 6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458353" y="4302052"/>
          <a:ext cx="3392903" cy="34775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(Taxonomia Europeira)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153302</xdr:colOff>
      <xdr:row>22</xdr:row>
      <xdr:rowOff>88512</xdr:rowOff>
    </xdr:from>
    <xdr:to>
      <xdr:col>18</xdr:col>
      <xdr:colOff>172157</xdr:colOff>
      <xdr:row>24</xdr:row>
      <xdr:rowOff>20120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8804243" y="4817394"/>
          <a:ext cx="2708267" cy="37984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modesg_out_sfcs_taxon_europeia</a:t>
          </a:r>
        </a:p>
      </xdr:txBody>
    </xdr:sp>
    <xdr:clientData/>
  </xdr:twoCellAnchor>
  <xdr:twoCellAnchor>
    <xdr:from>
      <xdr:col>12</xdr:col>
      <xdr:colOff>593637</xdr:colOff>
      <xdr:row>22</xdr:row>
      <xdr:rowOff>209096</xdr:rowOff>
    </xdr:from>
    <xdr:to>
      <xdr:col>13</xdr:col>
      <xdr:colOff>479765</xdr:colOff>
      <xdr:row>22</xdr:row>
      <xdr:rowOff>209096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7899872" y="4937978"/>
          <a:ext cx="558481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590968</xdr:colOff>
      <xdr:row>27</xdr:row>
      <xdr:rowOff>62138</xdr:rowOff>
    </xdr:from>
    <xdr:to>
      <xdr:col>12</xdr:col>
      <xdr:colOff>626197</xdr:colOff>
      <xdr:row>31</xdr:row>
      <xdr:rowOff>49392</xdr:rowOff>
    </xdr:to>
    <xdr:sp macro="" textlink="">
      <xdr:nvSpPr>
        <xdr:cNvPr id="45" name="Rectángulo 68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4535439" y="5911609"/>
          <a:ext cx="3396993" cy="88372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27</xdr:row>
      <xdr:rowOff>56422</xdr:rowOff>
    </xdr:from>
    <xdr:to>
      <xdr:col>7</xdr:col>
      <xdr:colOff>54373</xdr:colOff>
      <xdr:row>31</xdr:row>
      <xdr:rowOff>43023</xdr:rowOff>
    </xdr:to>
    <xdr:sp macro="" textlink="">
      <xdr:nvSpPr>
        <xdr:cNvPr id="46" name="Rectángulo 6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601851" y="5905893"/>
          <a:ext cx="3396993" cy="883071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588878</xdr:colOff>
      <xdr:row>25</xdr:row>
      <xdr:rowOff>131271</xdr:rowOff>
    </xdr:from>
    <xdr:to>
      <xdr:col>12</xdr:col>
      <xdr:colOff>626487</xdr:colOff>
      <xdr:row>27</xdr:row>
      <xdr:rowOff>26599</xdr:rowOff>
    </xdr:to>
    <xdr:sp macro="" textlink="">
      <xdr:nvSpPr>
        <xdr:cNvPr id="47" name="Rectángulo 6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533349" y="5532506"/>
          <a:ext cx="3399373" cy="343564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(Bens Móveis - Veículos)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25</xdr:row>
      <xdr:rowOff>131271</xdr:rowOff>
    </xdr:from>
    <xdr:to>
      <xdr:col>7</xdr:col>
      <xdr:colOff>54374</xdr:colOff>
      <xdr:row>27</xdr:row>
      <xdr:rowOff>33981</xdr:rowOff>
    </xdr:to>
    <xdr:sp macro="" textlink="">
      <xdr:nvSpPr>
        <xdr:cNvPr id="48" name="Rectángulo 6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601852" y="5532506"/>
          <a:ext cx="3396993" cy="350946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247679</xdr:colOff>
      <xdr:row>28</xdr:row>
      <xdr:rowOff>163553</xdr:rowOff>
    </xdr:from>
    <xdr:to>
      <xdr:col>6</xdr:col>
      <xdr:colOff>479609</xdr:colOff>
      <xdr:row>29</xdr:row>
      <xdr:rowOff>175249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830385" y="6237141"/>
          <a:ext cx="2921342" cy="23581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Emissions Data</a:t>
          </a:r>
          <a:endParaRPr lang="pt-BR" altLang="pt-PT" sz="1200">
            <a:solidFill>
              <a:prstClr val="black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8</xdr:col>
      <xdr:colOff>136199</xdr:colOff>
      <xdr:row>27</xdr:row>
      <xdr:rowOff>223796</xdr:rowOff>
    </xdr:from>
    <xdr:to>
      <xdr:col>12</xdr:col>
      <xdr:colOff>397183</xdr:colOff>
      <xdr:row>29</xdr:row>
      <xdr:rowOff>5660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753023" y="6073267"/>
          <a:ext cx="2950395" cy="23009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modesg_inp_emss_vcls</a:t>
          </a:r>
        </a:p>
      </xdr:txBody>
    </xdr:sp>
    <xdr:clientData/>
  </xdr:twoCellAnchor>
  <xdr:twoCellAnchor>
    <xdr:from>
      <xdr:col>8</xdr:col>
      <xdr:colOff>136199</xdr:colOff>
      <xdr:row>29</xdr:row>
      <xdr:rowOff>104325</xdr:rowOff>
    </xdr:from>
    <xdr:to>
      <xdr:col>12</xdr:col>
      <xdr:colOff>397183</xdr:colOff>
      <xdr:row>30</xdr:row>
      <xdr:rowOff>131261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4753023" y="6402031"/>
          <a:ext cx="2950395" cy="25105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modesg_inp_km_medios_emss_vcls</a:t>
          </a:r>
        </a:p>
      </xdr:txBody>
    </xdr:sp>
    <xdr:clientData/>
  </xdr:twoCellAnchor>
  <xdr:twoCellAnchor>
    <xdr:from>
      <xdr:col>13</xdr:col>
      <xdr:colOff>477105</xdr:colOff>
      <xdr:row>27</xdr:row>
      <xdr:rowOff>62138</xdr:rowOff>
    </xdr:from>
    <xdr:to>
      <xdr:col>18</xdr:col>
      <xdr:colOff>514238</xdr:colOff>
      <xdr:row>31</xdr:row>
      <xdr:rowOff>49392</xdr:rowOff>
    </xdr:to>
    <xdr:sp macro="" textlink="">
      <xdr:nvSpPr>
        <xdr:cNvPr id="52" name="Rectángulo 6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8455693" y="5911609"/>
          <a:ext cx="3398898" cy="88372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477105</xdr:colOff>
      <xdr:row>25</xdr:row>
      <xdr:rowOff>131271</xdr:rowOff>
    </xdr:from>
    <xdr:to>
      <xdr:col>18</xdr:col>
      <xdr:colOff>514713</xdr:colOff>
      <xdr:row>27</xdr:row>
      <xdr:rowOff>26599</xdr:rowOff>
    </xdr:to>
    <xdr:sp macro="" textlink="">
      <xdr:nvSpPr>
        <xdr:cNvPr id="53" name="Rectángulo 6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8455693" y="5532506"/>
          <a:ext cx="3399373" cy="343564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(Bens Móveis - Veículos)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154334</xdr:colOff>
      <xdr:row>28</xdr:row>
      <xdr:rowOff>154356</xdr:rowOff>
    </xdr:from>
    <xdr:to>
      <xdr:col>18</xdr:col>
      <xdr:colOff>172276</xdr:colOff>
      <xdr:row>29</xdr:row>
      <xdr:rowOff>175577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8805275" y="6227944"/>
          <a:ext cx="2707354" cy="24533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modesg_out_emss_vcls</a:t>
          </a:r>
        </a:p>
      </xdr:txBody>
    </xdr:sp>
    <xdr:clientData/>
  </xdr:twoCellAnchor>
  <xdr:twoCellAnchor>
    <xdr:from>
      <xdr:col>7</xdr:col>
      <xdr:colOff>96437</xdr:colOff>
      <xdr:row>28</xdr:row>
      <xdr:rowOff>172499</xdr:rowOff>
    </xdr:from>
    <xdr:to>
      <xdr:col>7</xdr:col>
      <xdr:colOff>578627</xdr:colOff>
      <xdr:row>30</xdr:row>
      <xdr:rowOff>22209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4037098" y="6242277"/>
          <a:ext cx="487905" cy="297946"/>
          <a:chOff x="3740581" y="4615607"/>
          <a:chExt cx="588196" cy="312799"/>
        </a:xfrm>
      </xdr:grpSpPr>
      <xdr:cxnSp macro="">
        <xdr:nvCxnSpPr>
          <xdr:cNvPr id="58" name="Elbow Connector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CxnSpPr/>
        </xdr:nvCxnSpPr>
        <xdr:spPr>
          <a:xfrm>
            <a:off x="3740581" y="4768205"/>
            <a:ext cx="588196" cy="160201"/>
          </a:xfrm>
          <a:prstGeom prst="bentConnector3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Elbow Connector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CxnSpPr/>
        </xdr:nvCxnSpPr>
        <xdr:spPr>
          <a:xfrm flipV="1">
            <a:off x="3740581" y="4615607"/>
            <a:ext cx="588196" cy="117930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590968</xdr:colOff>
      <xdr:row>33</xdr:row>
      <xdr:rowOff>163193</xdr:rowOff>
    </xdr:from>
    <xdr:to>
      <xdr:col>12</xdr:col>
      <xdr:colOff>626197</xdr:colOff>
      <xdr:row>37</xdr:row>
      <xdr:rowOff>136861</xdr:rowOff>
    </xdr:to>
    <xdr:sp macro="" textlink="">
      <xdr:nvSpPr>
        <xdr:cNvPr id="61" name="Rectángulo 6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4535439" y="7357369"/>
          <a:ext cx="3396993" cy="87013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33</xdr:row>
      <xdr:rowOff>153667</xdr:rowOff>
    </xdr:from>
    <xdr:to>
      <xdr:col>7</xdr:col>
      <xdr:colOff>54373</xdr:colOff>
      <xdr:row>37</xdr:row>
      <xdr:rowOff>128903</xdr:rowOff>
    </xdr:to>
    <xdr:sp macro="" textlink="">
      <xdr:nvSpPr>
        <xdr:cNvPr id="62" name="Rectángulo 68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601851" y="7347843"/>
          <a:ext cx="3396993" cy="871707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588878</xdr:colOff>
      <xdr:row>32</xdr:row>
      <xdr:rowOff>21981</xdr:rowOff>
    </xdr:from>
    <xdr:to>
      <xdr:col>12</xdr:col>
      <xdr:colOff>626487</xdr:colOff>
      <xdr:row>33</xdr:row>
      <xdr:rowOff>126529</xdr:rowOff>
    </xdr:to>
    <xdr:sp macro="" textlink="">
      <xdr:nvSpPr>
        <xdr:cNvPr id="63" name="Rectángulo 6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4533349" y="6992040"/>
          <a:ext cx="3399373" cy="32866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(Bens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Im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óveis)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32</xdr:row>
      <xdr:rowOff>6741</xdr:rowOff>
    </xdr:from>
    <xdr:to>
      <xdr:col>7</xdr:col>
      <xdr:colOff>54374</xdr:colOff>
      <xdr:row>33</xdr:row>
      <xdr:rowOff>131962</xdr:rowOff>
    </xdr:to>
    <xdr:sp macro="" textlink="">
      <xdr:nvSpPr>
        <xdr:cNvPr id="64" name="Rectángulo 6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601852" y="6976800"/>
          <a:ext cx="3396993" cy="349338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247679</xdr:colOff>
      <xdr:row>35</xdr:row>
      <xdr:rowOff>7461</xdr:rowOff>
    </xdr:from>
    <xdr:to>
      <xdr:col>6</xdr:col>
      <xdr:colOff>479609</xdr:colOff>
      <xdr:row>36</xdr:row>
      <xdr:rowOff>33847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830385" y="7649873"/>
          <a:ext cx="2921342" cy="25050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Physical risk</a:t>
          </a:r>
          <a:endParaRPr lang="pt-BR" altLang="pt-PT" sz="1200">
            <a:solidFill>
              <a:prstClr val="black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8</xdr:col>
      <xdr:colOff>136199</xdr:colOff>
      <xdr:row>34</xdr:row>
      <xdr:rowOff>106130</xdr:rowOff>
    </xdr:from>
    <xdr:to>
      <xdr:col>12</xdr:col>
      <xdr:colOff>397183</xdr:colOff>
      <xdr:row>35</xdr:row>
      <xdr:rowOff>88700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 bwMode="auto">
        <a:xfrm>
          <a:off x="4753023" y="7524424"/>
          <a:ext cx="2950395" cy="20668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modesg_inp_emss_bens_imoveis</a:t>
          </a:r>
        </a:p>
      </xdr:txBody>
    </xdr:sp>
    <xdr:clientData/>
  </xdr:twoCellAnchor>
  <xdr:twoCellAnchor>
    <xdr:from>
      <xdr:col>8</xdr:col>
      <xdr:colOff>136199</xdr:colOff>
      <xdr:row>35</xdr:row>
      <xdr:rowOff>192404</xdr:rowOff>
    </xdr:from>
    <xdr:to>
      <xdr:col>12</xdr:col>
      <xdr:colOff>397183</xdr:colOff>
      <xdr:row>36</xdr:row>
      <xdr:rowOff>205455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4753023" y="7834816"/>
          <a:ext cx="2950395" cy="23716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modesg_inp_risco_fisico</a:t>
          </a:r>
        </a:p>
      </xdr:txBody>
    </xdr:sp>
    <xdr:clientData/>
  </xdr:twoCellAnchor>
  <xdr:twoCellAnchor>
    <xdr:from>
      <xdr:col>13</xdr:col>
      <xdr:colOff>477105</xdr:colOff>
      <xdr:row>33</xdr:row>
      <xdr:rowOff>163193</xdr:rowOff>
    </xdr:from>
    <xdr:to>
      <xdr:col>18</xdr:col>
      <xdr:colOff>514238</xdr:colOff>
      <xdr:row>37</xdr:row>
      <xdr:rowOff>136861</xdr:rowOff>
    </xdr:to>
    <xdr:sp macro="" textlink="">
      <xdr:nvSpPr>
        <xdr:cNvPr id="68" name="Rectángulo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8455693" y="7357369"/>
          <a:ext cx="3398898" cy="87013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477105</xdr:colOff>
      <xdr:row>32</xdr:row>
      <xdr:rowOff>21981</xdr:rowOff>
    </xdr:from>
    <xdr:to>
      <xdr:col>18</xdr:col>
      <xdr:colOff>514713</xdr:colOff>
      <xdr:row>33</xdr:row>
      <xdr:rowOff>126529</xdr:rowOff>
    </xdr:to>
    <xdr:sp macro="" textlink="">
      <xdr:nvSpPr>
        <xdr:cNvPr id="69" name="Rectángulo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8455693" y="6992040"/>
          <a:ext cx="3399373" cy="32866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(Bens Imóveis)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154334</xdr:colOff>
      <xdr:row>35</xdr:row>
      <xdr:rowOff>32396</xdr:rowOff>
    </xdr:from>
    <xdr:to>
      <xdr:col>18</xdr:col>
      <xdr:colOff>172276</xdr:colOff>
      <xdr:row>36</xdr:row>
      <xdr:rowOff>49257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8805275" y="7674808"/>
          <a:ext cx="2707354" cy="24097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modesg_out_bens_imoveis</a:t>
          </a:r>
        </a:p>
      </xdr:txBody>
    </xdr:sp>
    <xdr:clientData/>
  </xdr:twoCellAnchor>
  <xdr:twoCellAnchor>
    <xdr:from>
      <xdr:col>7</xdr:col>
      <xdr:colOff>94532</xdr:colOff>
      <xdr:row>35</xdr:row>
      <xdr:rowOff>27801</xdr:rowOff>
    </xdr:from>
    <xdr:to>
      <xdr:col>7</xdr:col>
      <xdr:colOff>578627</xdr:colOff>
      <xdr:row>36</xdr:row>
      <xdr:rowOff>131241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4042813" y="7668308"/>
          <a:ext cx="482190" cy="333272"/>
          <a:chOff x="3740581" y="4615607"/>
          <a:chExt cx="588196" cy="312799"/>
        </a:xfrm>
      </xdr:grpSpPr>
      <xdr:cxnSp macro="">
        <xdr:nvCxnSpPr>
          <xdr:cNvPr id="74" name="Elbow Connector 7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CxnSpPr/>
        </xdr:nvCxnSpPr>
        <xdr:spPr>
          <a:xfrm>
            <a:off x="3740581" y="4768205"/>
            <a:ext cx="588196" cy="160201"/>
          </a:xfrm>
          <a:prstGeom prst="bentConnector3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Elbow Connector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CxnSpPr/>
        </xdr:nvCxnSpPr>
        <xdr:spPr>
          <a:xfrm flipV="1">
            <a:off x="3740581" y="4615607"/>
            <a:ext cx="588196" cy="117930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662654</xdr:colOff>
      <xdr:row>10</xdr:row>
      <xdr:rowOff>2001</xdr:rowOff>
    </xdr:from>
    <xdr:to>
      <xdr:col>38</xdr:col>
      <xdr:colOff>51446</xdr:colOff>
      <xdr:row>30</xdr:row>
      <xdr:rowOff>14018</xdr:rowOff>
    </xdr:to>
    <xdr:grpSp>
      <xdr:nvGrpSpPr>
        <xdr:cNvPr id="218" name="Group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>
          <a:grpSpLocks noChangeAspect="1"/>
        </xdr:cNvGrpSpPr>
      </xdr:nvGrpSpPr>
      <xdr:grpSpPr>
        <a:xfrm>
          <a:off x="13351523" y="2041472"/>
          <a:ext cx="11491145" cy="4498180"/>
          <a:chOff x="13239750" y="1986643"/>
          <a:chExt cx="11382083" cy="4372314"/>
        </a:xfrm>
      </xdr:grpSpPr>
      <xdr:grpSp>
        <xdr:nvGrpSpPr>
          <xdr:cNvPr id="183" name="Group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>
            <a:grpSpLocks noChangeAspect="1"/>
          </xdr:cNvGrpSpPr>
        </xdr:nvGrpSpPr>
        <xdr:grpSpPr>
          <a:xfrm>
            <a:off x="13239750" y="1986643"/>
            <a:ext cx="3419733" cy="860016"/>
            <a:chOff x="520414" y="633351"/>
            <a:chExt cx="3415923" cy="867636"/>
          </a:xfrm>
        </xdr:grpSpPr>
        <xdr:sp macro="" textlink="">
          <xdr:nvSpPr>
            <xdr:cNvPr id="215" name="Rectángulo 68">
              <a:extLst>
                <a:ext uri="{FF2B5EF4-FFF2-40B4-BE49-F238E27FC236}">
                  <a16:creationId xmlns:a16="http://schemas.microsoft.com/office/drawing/2014/main" id="{00000000-0008-0000-0000-0000D7000000}"/>
                </a:ext>
              </a:extLst>
            </xdr:cNvPr>
            <xdr:cNvSpPr/>
          </xdr:nvSpPr>
          <xdr:spPr>
            <a:xfrm>
              <a:off x="520414" y="1000488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6" name="Rectángulo 69">
              <a:extLst>
                <a:ext uri="{FF2B5EF4-FFF2-40B4-BE49-F238E27FC236}">
                  <a16:creationId xmlns:a16="http://schemas.microsoft.com/office/drawing/2014/main" id="{00000000-0008-0000-0000-0000D8000000}"/>
                </a:ext>
              </a:extLst>
            </xdr:cNvPr>
            <xdr:cNvSpPr/>
          </xdr:nvSpPr>
          <xdr:spPr>
            <a:xfrm>
              <a:off x="520415" y="633351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i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Inputs</a:t>
              </a:r>
            </a:p>
          </xdr:txBody>
        </xdr:sp>
        <xdr:sp macro="" textlink="">
          <xdr:nvSpPr>
            <xdr:cNvPr id="217" name="Rectangle 216">
              <a:extLst>
                <a:ext uri="{FF2B5EF4-FFF2-40B4-BE49-F238E27FC236}">
                  <a16:creationId xmlns:a16="http://schemas.microsoft.com/office/drawing/2014/main" id="{00000000-0008-0000-0000-0000D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1135287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SANTANDER_INMUEBLES (Gloval)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184" name="Group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3068642"/>
            <a:ext cx="3415923" cy="869541"/>
            <a:chOff x="520414" y="1738251"/>
            <a:chExt cx="3415923" cy="867636"/>
          </a:xfrm>
        </xdr:grpSpPr>
        <xdr:sp macro="" textlink="">
          <xdr:nvSpPr>
            <xdr:cNvPr id="212" name="Rectángulo 68">
              <a:extLst>
                <a:ext uri="{FF2B5EF4-FFF2-40B4-BE49-F238E27FC236}">
                  <a16:creationId xmlns:a16="http://schemas.microsoft.com/office/drawing/2014/main" id="{00000000-0008-0000-0000-0000D4000000}"/>
                </a:ext>
              </a:extLst>
            </xdr:cNvPr>
            <xdr:cNvSpPr/>
          </xdr:nvSpPr>
          <xdr:spPr>
            <a:xfrm>
              <a:off x="520414" y="2105388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3" name="Rectángulo 69">
              <a:extLst>
                <a:ext uri="{FF2B5EF4-FFF2-40B4-BE49-F238E27FC236}">
                  <a16:creationId xmlns:a16="http://schemas.microsoft.com/office/drawing/2014/main" id="{00000000-0008-0000-0000-0000D5000000}"/>
                </a:ext>
              </a:extLst>
            </xdr:cNvPr>
            <xdr:cNvSpPr/>
          </xdr:nvSpPr>
          <xdr:spPr>
            <a:xfrm>
              <a:off x="520415" y="1738251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MUG</a:t>
              </a:r>
            </a:p>
          </xdr:txBody>
        </xdr:sp>
        <xdr:sp macro="" textlink="">
          <xdr:nvSpPr>
            <xdr:cNvPr id="214" name="Rectangle 213">
              <a:extLst>
                <a:ext uri="{FF2B5EF4-FFF2-40B4-BE49-F238E27FC236}">
                  <a16:creationId xmlns:a16="http://schemas.microsoft.com/office/drawing/2014/main" id="{00000000-0008-0000-0000-0000D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2240187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Imóveis colaterizados</a:t>
              </a:r>
            </a:p>
          </xdr:txBody>
        </xdr:sp>
      </xdr:grpSp>
      <xdr:grpSp>
        <xdr:nvGrpSpPr>
          <xdr:cNvPr id="185" name="Group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5495131"/>
            <a:ext cx="3415923" cy="863826"/>
            <a:chOff x="520414" y="4143744"/>
            <a:chExt cx="3415923" cy="867636"/>
          </a:xfrm>
        </xdr:grpSpPr>
        <xdr:sp macro="" textlink="">
          <xdr:nvSpPr>
            <xdr:cNvPr id="209" name="Rectángulo 68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SpPr/>
          </xdr:nvSpPr>
          <xdr:spPr>
            <a:xfrm>
              <a:off x="520414" y="4510881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0" name="Rectángulo 69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SpPr/>
          </xdr:nvSpPr>
          <xdr:spPr>
            <a:xfrm>
              <a:off x="520415" y="4143744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IVT</a:t>
              </a:r>
            </a:p>
          </xdr:txBody>
        </xdr:sp>
        <xdr:sp macro="" textlink="">
          <xdr:nvSpPr>
            <xdr:cNvPr id="211" name="Rectangle 210">
              <a:extLst>
                <a:ext uri="{FF2B5EF4-FFF2-40B4-BE49-F238E27FC236}">
                  <a16:creationId xmlns:a16="http://schemas.microsoft.com/office/drawing/2014/main" id="{00000000-0008-0000-0000-0000D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4645680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Imóveis adjudicados</a:t>
              </a: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86" name="Rectángulo 69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>
            <a:spLocks noChangeAspect="1"/>
          </xdr:cNvSpPr>
        </xdr:nvSpPr>
        <xdr:spPr>
          <a:xfrm>
            <a:off x="17219563" y="1986643"/>
            <a:ext cx="3412590" cy="340305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Bens Imóveis - </a:t>
            </a:r>
            <a:r>
              <a:rPr lang="en-GB" sz="1200" b="1" i="1">
                <a:solidFill>
                  <a:prstClr val="white"/>
                </a:solidFill>
                <a:latin typeface="Santander Text" panose="020B0504020201020104" pitchFamily="34" charset="0"/>
              </a:rPr>
              <a:t>Inputs</a:t>
            </a:r>
          </a:p>
        </xdr:txBody>
      </xdr:sp>
      <xdr:grpSp>
        <xdr:nvGrpSpPr>
          <xdr:cNvPr id="187" name="Group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GrpSpPr>
            <a:grpSpLocks noChangeAspect="1"/>
          </xdr:cNvGrpSpPr>
        </xdr:nvGrpSpPr>
        <xdr:grpSpPr>
          <a:xfrm>
            <a:off x="17210176" y="2353780"/>
            <a:ext cx="3423542" cy="497912"/>
            <a:chOff x="4490840" y="1002094"/>
            <a:chExt cx="3415922" cy="507437"/>
          </a:xfrm>
        </xdr:grpSpPr>
        <xdr:sp macro="" textlink="">
          <xdr:nvSpPr>
            <xdr:cNvPr id="207" name="Rectángulo 68">
              <a:extLst>
                <a:ext uri="{FF2B5EF4-FFF2-40B4-BE49-F238E27FC236}">
                  <a16:creationId xmlns:a16="http://schemas.microsoft.com/office/drawing/2014/main" id="{00000000-0008-0000-0000-0000CF000000}"/>
                </a:ext>
              </a:extLst>
            </xdr:cNvPr>
            <xdr:cNvSpPr/>
          </xdr:nvSpPr>
          <xdr:spPr>
            <a:xfrm>
              <a:off x="4490840" y="1002094"/>
              <a:ext cx="3415922" cy="50743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08" name="Rectangle 207">
              <a:extLst>
                <a:ext uri="{FF2B5EF4-FFF2-40B4-BE49-F238E27FC236}">
                  <a16:creationId xmlns:a16="http://schemas.microsoft.com/office/drawing/2014/main" id="{00000000-0008-0000-0000-0000D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21001" y="1140362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cd_imv_inp_certif_estimativa</a:t>
              </a:r>
            </a:p>
          </xdr:txBody>
        </xdr:sp>
      </xdr:grpSp>
      <xdr:cxnSp macro="">
        <xdr:nvCxnSpPr>
          <xdr:cNvPr id="188" name="Straight Arrow Connector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CxnSpPr>
            <a:cxnSpLocks noChangeAspect="1"/>
          </xdr:cNvCxnSpPr>
        </xdr:nvCxnSpPr>
        <xdr:spPr>
          <a:xfrm>
            <a:off x="16631367" y="2597062"/>
            <a:ext cx="564898" cy="0"/>
          </a:xfrm>
          <a:prstGeom prst="straightConnector1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grpSp>
        <xdr:nvGrpSpPr>
          <xdr:cNvPr id="189" name="Group 188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4152546"/>
            <a:ext cx="3415923" cy="1128221"/>
            <a:chOff x="520414" y="2870282"/>
            <a:chExt cx="3415923" cy="1132031"/>
          </a:xfrm>
        </xdr:grpSpPr>
        <xdr:sp macro="" textlink="">
          <xdr:nvSpPr>
            <xdr:cNvPr id="203" name="Rectángulo 68">
              <a:extLst>
                <a:ext uri="{FF2B5EF4-FFF2-40B4-BE49-F238E27FC236}">
                  <a16:creationId xmlns:a16="http://schemas.microsoft.com/office/drawing/2014/main" id="{00000000-0008-0000-0000-0000CB000000}"/>
                </a:ext>
              </a:extLst>
            </xdr:cNvPr>
            <xdr:cNvSpPr/>
          </xdr:nvSpPr>
          <xdr:spPr>
            <a:xfrm>
              <a:off x="520414" y="3237419"/>
              <a:ext cx="3415922" cy="764894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04" name="Rectángulo 69">
              <a:extLst>
                <a:ext uri="{FF2B5EF4-FFF2-40B4-BE49-F238E27FC236}">
                  <a16:creationId xmlns:a16="http://schemas.microsoft.com/office/drawing/2014/main" id="{00000000-0008-0000-0000-0000CC000000}"/>
                </a:ext>
              </a:extLst>
            </xdr:cNvPr>
            <xdr:cNvSpPr/>
          </xdr:nvSpPr>
          <xdr:spPr>
            <a:xfrm>
              <a:off x="520415" y="2870282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Aplicação GP</a:t>
              </a:r>
            </a:p>
          </xdr:txBody>
        </xdr:sp>
        <xdr:sp macro="" textlink="">
          <xdr:nvSpPr>
            <xdr:cNvPr id="205" name="Rectangle 204">
              <a:extLst>
                <a:ext uri="{FF2B5EF4-FFF2-40B4-BE49-F238E27FC236}">
                  <a16:creationId xmlns:a16="http://schemas.microsoft.com/office/drawing/2014/main" id="{00000000-0008-0000-0000-0000C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3372218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exclusivamente financiados</a:t>
              </a:r>
            </a:p>
          </xdr:txBody>
        </xdr:sp>
        <xdr:sp macro="" textlink="">
          <xdr:nvSpPr>
            <xdr:cNvPr id="206" name="Rectangle 205">
              <a:extLst>
                <a:ext uri="{FF2B5EF4-FFF2-40B4-BE49-F238E27FC236}">
                  <a16:creationId xmlns:a16="http://schemas.microsoft.com/office/drawing/2014/main" id="{00000000-0008-0000-0000-0000C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3686543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sobre empr. não hipotecários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90" name="Rectángulo 69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>
            <a:spLocks noChangeAspect="1"/>
          </xdr:cNvSpPr>
        </xdr:nvSpPr>
        <xdr:spPr>
          <a:xfrm>
            <a:off x="21203528" y="1986643"/>
            <a:ext cx="3412590" cy="340305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Bens imóveis 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Outputs</a:t>
            </a:r>
          </a:p>
        </xdr:txBody>
      </xdr:sp>
      <xdr:grpSp>
        <xdr:nvGrpSpPr>
          <xdr:cNvPr id="191" name="Group 190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GrpSpPr>
            <a:grpSpLocks noChangeAspect="1"/>
          </xdr:cNvGrpSpPr>
        </xdr:nvGrpSpPr>
        <xdr:grpSpPr>
          <a:xfrm>
            <a:off x="21200196" y="2353780"/>
            <a:ext cx="3421637" cy="1747244"/>
            <a:chOff x="4814690" y="2904017"/>
            <a:chExt cx="3415922" cy="1749149"/>
          </a:xfrm>
        </xdr:grpSpPr>
        <xdr:sp macro="" textlink="">
          <xdr:nvSpPr>
            <xdr:cNvPr id="196" name="Rectángulo 68">
              <a:extLst>
                <a:ext uri="{FF2B5EF4-FFF2-40B4-BE49-F238E27FC236}">
                  <a16:creationId xmlns:a16="http://schemas.microsoft.com/office/drawing/2014/main" id="{00000000-0008-0000-0000-0000C4000000}"/>
                </a:ext>
              </a:extLst>
            </xdr:cNvPr>
            <xdr:cNvSpPr/>
          </xdr:nvSpPr>
          <xdr:spPr>
            <a:xfrm>
              <a:off x="4814690" y="2904017"/>
              <a:ext cx="3415922" cy="174914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197" name="Rectangle 196">
              <a:extLst>
                <a:ext uri="{FF2B5EF4-FFF2-40B4-BE49-F238E27FC236}">
                  <a16:creationId xmlns:a16="http://schemas.microsoft.com/office/drawing/2014/main" id="{00000000-0008-0000-0000-0000C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030243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cd_imv_out_bens</a:t>
              </a:r>
            </a:p>
          </xdr:txBody>
        </xdr: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00000000-0008-0000-0000-0000C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346692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cd_imv_out_certif</a:t>
              </a:r>
            </a:p>
          </xdr:txBody>
        </xdr:sp>
        <xdr:sp macro="" textlink="">
          <xdr:nvSpPr>
            <xdr:cNvPr id="199" name="Rectangle 198">
              <a:extLst>
                <a:ext uri="{FF2B5EF4-FFF2-40B4-BE49-F238E27FC236}">
                  <a16:creationId xmlns:a16="http://schemas.microsoft.com/office/drawing/2014/main" id="{00000000-0008-0000-0000-0000C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663141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cd_imv_out_prc</a:t>
              </a:r>
            </a:p>
          </xdr:txBody>
        </xdr:sp>
        <xdr:grpSp>
          <xdr:nvGrpSpPr>
            <xdr:cNvPr id="200" name="Group 199">
              <a:extLst>
                <a:ext uri="{FF2B5EF4-FFF2-40B4-BE49-F238E27FC236}">
                  <a16:creationId xmlns:a16="http://schemas.microsoft.com/office/drawing/2014/main" id="{00000000-0008-0000-0000-0000C8000000}"/>
                </a:ext>
              </a:extLst>
            </xdr:cNvPr>
            <xdr:cNvGrpSpPr/>
          </xdr:nvGrpSpPr>
          <xdr:grpSpPr>
            <a:xfrm>
              <a:off x="5044851" y="3979590"/>
              <a:ext cx="2955600" cy="547350"/>
              <a:chOff x="4320951" y="2385099"/>
              <a:chExt cx="2955600" cy="547350"/>
            </a:xfrm>
          </xdr:grpSpPr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00000000-0008-0000-0000-0000C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0951" y="2385099"/>
                <a:ext cx="2955600" cy="2309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6876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3751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06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74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4377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125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1981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49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lvl="0" algn="ctr" defTabSz="914400">
                  <a:defRPr/>
                </a:pPr>
                <a:r>
                  <a:rPr lang="en-US" altLang="pt-PT" sz="1200">
                    <a:solidFill>
                      <a:prstClr val="black"/>
                    </a:solidFill>
                    <a:latin typeface="Santander Text" panose="020B0504020201020104" pitchFamily="34" charset="0"/>
                  </a:rPr>
                  <a:t>cd_imv_out_trz_cred_prc</a:t>
                </a:r>
                <a:endPara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endParaRP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00000000-0008-0000-0000-0000C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0951" y="2701548"/>
                <a:ext cx="2955600" cy="2309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6876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3751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06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74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4377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125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1981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49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lvl="0" algn="ctr" defTabSz="914400">
                  <a:defRPr/>
                </a:pPr>
                <a:r>
                  <a:rPr lang="en-US" altLang="pt-PT" sz="1200">
                    <a:solidFill>
                      <a:prstClr val="black"/>
                    </a:solidFill>
                    <a:latin typeface="Santander Text" panose="020B0504020201020104" pitchFamily="34" charset="0"/>
                  </a:rPr>
                  <a:t>cd_imv_out_trz_prc_bens_imv</a:t>
                </a:r>
                <a:endPara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endParaRPr>
              </a:p>
            </xdr:txBody>
          </xdr:sp>
        </xdr:grpSp>
      </xdr:grpSp>
      <xdr:cxnSp macro="">
        <xdr:nvCxnSpPr>
          <xdr:cNvPr id="192" name="Elbow Connector 96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CxnSpPr>
            <a:cxnSpLocks noChangeAspect="1"/>
            <a:stCxn id="212" idx="3"/>
            <a:endCxn id="196" idx="1"/>
          </xdr:cNvCxnSpPr>
        </xdr:nvCxnSpPr>
        <xdr:spPr>
          <a:xfrm flipV="1">
            <a:off x="16657577" y="3227402"/>
            <a:ext cx="4542619" cy="45236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Elbow Connector 97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CxnSpPr>
            <a:cxnSpLocks noChangeAspect="1"/>
            <a:endCxn id="196" idx="1"/>
          </xdr:cNvCxnSpPr>
        </xdr:nvCxnSpPr>
        <xdr:spPr>
          <a:xfrm flipV="1">
            <a:off x="16669605" y="3227402"/>
            <a:ext cx="4530591" cy="1676634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Elbow Connector 98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CxnSpPr>
            <a:cxnSpLocks noChangeAspect="1"/>
            <a:endCxn id="196" idx="1"/>
          </xdr:cNvCxnSpPr>
        </xdr:nvCxnSpPr>
        <xdr:spPr>
          <a:xfrm flipV="1">
            <a:off x="16671660" y="3227402"/>
            <a:ext cx="4528536" cy="2885838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5" name="Elbow Connector 96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CxnSpPr>
            <a:cxnSpLocks/>
          </xdr:cNvCxnSpPr>
        </xdr:nvCxnSpPr>
        <xdr:spPr>
          <a:xfrm>
            <a:off x="20655403" y="2581779"/>
            <a:ext cx="753986" cy="352607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625783</xdr:colOff>
      <xdr:row>29</xdr:row>
      <xdr:rowOff>56381</xdr:rowOff>
    </xdr:from>
    <xdr:to>
      <xdr:col>13</xdr:col>
      <xdr:colOff>479957</xdr:colOff>
      <xdr:row>29</xdr:row>
      <xdr:rowOff>56381</xdr:rowOff>
    </xdr:to>
    <xdr:cxnSp macro="">
      <xdr:nvCxnSpPr>
        <xdr:cNvPr id="221" name="Straight Arrow Connector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CxnSpPr>
          <a:stCxn id="45" idx="3"/>
          <a:endCxn id="52" idx="1"/>
        </xdr:cNvCxnSpPr>
      </xdr:nvCxnSpPr>
      <xdr:spPr>
        <a:xfrm>
          <a:off x="7932018" y="6354087"/>
          <a:ext cx="526527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625783</xdr:colOff>
      <xdr:row>35</xdr:row>
      <xdr:rowOff>144332</xdr:rowOff>
    </xdr:from>
    <xdr:to>
      <xdr:col>13</xdr:col>
      <xdr:colOff>479957</xdr:colOff>
      <xdr:row>35</xdr:row>
      <xdr:rowOff>144332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CxnSpPr>
          <a:stCxn id="61" idx="3"/>
          <a:endCxn id="68" idx="1"/>
        </xdr:cNvCxnSpPr>
      </xdr:nvCxnSpPr>
      <xdr:spPr>
        <a:xfrm>
          <a:off x="7932018" y="7786744"/>
          <a:ext cx="526527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43171297" backgroundQuery="1" createdVersion="8" refreshedVersion="8" minRefreshableVersion="3" recordCount="0" supportSubquery="1" supportAdvancedDrill="1" xr:uid="{00000000-000A-0000-FFFF-FFFFE6000000}">
  <cacheSource type="external" connectionId="1"/>
  <cacheFields count="5">
    <cacheField name="[Range 1].[Âmbito].[Âmbito]" caption="Âmbito" numFmtId="0" hierarchy="6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1">
        <s v="lt002_insrmnt"/>
      </sharedItems>
    </cacheField>
    <cacheField name="[Measures].[Count of Campo 3]" caption="Count of Campo 3" numFmtId="0" hierarchy="35" level="32767"/>
    <cacheField name="[Range 1].[Status Atual].[Status Atual]" caption="Status Atual" numFmtId="0" hierarchy="11" level="1">
      <sharedItems count="4">
        <s v="1. Concluído"/>
        <s v="2. Em Teste"/>
        <s v="3. Pendente de outros desenvolvimentos"/>
        <s v="5. Em Correção" u="1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2" memberValueDatatype="130" unbalanced="0">
      <fieldsUsage count="2">
        <fieldUsage x="-1"/>
        <fieldUsage x="4"/>
      </fieldsUsage>
    </cacheHierarchy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0" memberValueDatatype="130" unbalanced="0"/>
    <cacheHierarchy uniqueName="[Table4].[Sub-âmbito]" caption="Sub-âmbito" attribute="1" defaultMemberUniqueName="[Table4].[Sub-âmbito].[All]" allUniqueName="[Table4].[Sub-âmbito].[All]" dimensionUniqueName="[Table4]" displayFolder="" count="0" memberValueDatatype="130" unbalanced="0"/>
    <cacheHierarchy uniqueName="[Table4].[Tipo de teste]" caption="Tipo de teste" attribute="1" defaultMemberUniqueName="[Table4].[Tipo de teste].[All]" allUniqueName="[Table4].[Tipo de teste].[All]" dimensionUniqueName="[Table4]" displayFolder="" count="0" memberValueDatatype="130" unbalanced="0"/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0" memberValueDatatype="130" unbalanced="0"/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32175928" backgroundQuery="1" createdVersion="8" refreshedVersion="8" minRefreshableVersion="3" recordCount="0" supportSubquery="1" supportAdvancedDrill="1" xr:uid="{00000000-000A-0000-FFFF-FFFFD7000000}">
  <cacheSource type="external" connectionId="1"/>
  <cacheFields count="6"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6">
        <s v="cd_imv_inp_certif_estimativa"/>
        <s v="cd_imv_out_bens"/>
        <s v="cd_imv_out_certif"/>
        <s v="cd_imv_out_prc"/>
        <s v="cd_imv_out_trz_cred_prc"/>
        <s v="cd_imv_out_trz_prc_bens_imv"/>
      </sharedItems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5">
        <s v="0. Cancelado"/>
        <s v="1. Concluído"/>
        <s v="2. Em Teste"/>
        <s v="4. Validação EF"/>
        <s v="5. Em Correção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0" memberValueDatatype="130" unbalanced="0"/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30555558" backgroundQuery="1" createdVersion="8" refreshedVersion="8" minRefreshableVersion="3" recordCount="0" supportSubquery="1" supportAdvancedDrill="1" xr:uid="{00000000-000A-0000-FFFF-FFFFDA000000}">
  <cacheSource type="external" connectionId="1"/>
  <cacheFields count="7">
    <cacheField name="[Range].[Sub-âmbito].[Sub-âmbito]" caption="Sub-âmbito" numFmtId="0" hierarchy="1" level="1">
      <sharedItems containsSemiMixedTypes="0" containsNonDate="0" containsString="0"/>
    </cacheField>
    <cacheField name="[Range].[Tipo de teste].[Tipo de teste]" caption="Tipo de teste" numFmtId="0" hierarchy="2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5">
        <s v="0. Cancelado"/>
        <s v="1. Concluído"/>
        <s v="2. Em Teste"/>
        <s v="4. Validação EF"/>
        <s v="5. Em Correção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po de teste]" caption="Tipo de teste" attribute="1" defaultMemberUniqueName="[Range].[Tipo de teste].[All]" allUniqueName="[Range].[Tipo de test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0" memberValueDatatype="130" unbalanced="0"/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33912037" backgroundQuery="1" createdVersion="8" refreshedVersion="8" minRefreshableVersion="3" recordCount="0" supportSubquery="1" supportAdvancedDrill="1" xr:uid="{00000000-000A-0000-FFFF-FFFFD4000000}">
  <cacheSource type="external" connectionId="1"/>
  <cacheFields count="10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13">
        <s v="modesg_inp_empr_excl_paris"/>
        <s v="modesg_inp_emss_bens_imoveis"/>
        <s v="modesg_inp_emss_nace"/>
        <s v="modesg_inp_emss_scib"/>
        <s v="modesg_inp_emss_vcls"/>
        <s v="modesg_inp_km_medios_emss_vcls"/>
        <s v="modesg_inp_nfrd_alinhamento_tax"/>
        <s v="modesg_inp_risco_fisico"/>
        <s v="modesg_out_bens_imoveis"/>
        <s v="modesg_out_empr_info_nfin"/>
        <s v="modesg_out_emss_vcls"/>
        <s v="modesg_out_sfcs_taxon_europeia"/>
        <s v="modesg_param_sfcs_taxon_europeia"/>
      </sharedItems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13">
        <s v="modesg_inp_empr_excl_paris"/>
        <s v="modesg_inp_emss_bens_imoveis"/>
        <s v="modesg_inp_emss_nace"/>
        <s v="modesg_inp_emss_scib"/>
        <s v="modesg_inp_emss_vcls"/>
        <s v="modesg_inp_km_medios_emss_vcls"/>
        <s v="modesg_inp_nfrd_alinhamento_tax"/>
        <s v="modesg_inp_risco_fisico"/>
        <s v="modesg_out_bens_imoveis"/>
        <s v="modesg_out_empr_info_nfin"/>
        <s v="modesg_out_emss_vcls"/>
        <s v="modesg_out_sfcs_taxon_europeia"/>
        <s v="modesg_param_sfcs_taxon_europeia"/>
      </sharedItems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7">
        <s v="0. Cancelado"/>
        <s v="1. Concluído"/>
        <s v="2. Em Teste"/>
        <s v="3. Pendente de outros desenvolvimentos"/>
        <s v="4. Validação EF"/>
        <s v="5. Em Correção"/>
        <s v="7. Por iniciar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9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41782404" backgroundQuery="1" createdVersion="8" refreshedVersion="8" minRefreshableVersion="3" recordCount="0" supportSubquery="1" supportAdvancedDrill="1" xr:uid="{00000000-000A-0000-FFFF-FFFFE9000000}">
  <cacheSource type="external" connectionId="1"/>
  <cacheFields count="4">
    <cacheField name="[Range 1].[Âmbito].[Âmbito]" caption="Âmbito" numFmtId="0" hierarchy="6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Measures].[Count of Campo 3]" caption="Count of Campo 3" numFmtId="0" hierarchy="35" level="32767"/>
    <cacheField name="[Range 1].[Status Atual].[Status Atual]" caption="Status Atual" numFmtId="0" hierarchy="11" level="1">
      <sharedItems count="4">
        <s v="1. Concluído"/>
        <s v="2. Em Teste"/>
        <s v="3. Pendente de outros desenvolvimentos"/>
        <s v="5. Em Correção" u="1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2" memberValueDatatype="130" unbalanced="0">
      <fieldsUsage count="2">
        <fieldUsage x="-1"/>
        <fieldUsage x="3"/>
      </fieldsUsage>
    </cacheHierarchy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0" memberValueDatatype="130" unbalanced="0"/>
    <cacheHierarchy uniqueName="[Table4].[Sub-âmbito]" caption="Sub-âmbito" attribute="1" defaultMemberUniqueName="[Table4].[Sub-âmbito].[All]" allUniqueName="[Table4].[Sub-âmbito].[All]" dimensionUniqueName="[Table4]" displayFolder="" count="0" memberValueDatatype="130" unbalanced="0"/>
    <cacheHierarchy uniqueName="[Table4].[Tipo de teste]" caption="Tipo de teste" attribute="1" defaultMemberUniqueName="[Table4].[Tipo de teste].[All]" allUniqueName="[Table4].[Tipo de teste].[All]" dimensionUniqueName="[Table4]" displayFolder="" count="0" memberValueDatatype="130" unbalanced="0"/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0" memberValueDatatype="130" unbalanced="0"/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27083333" backgroundQuery="1" createdVersion="8" refreshedVersion="8" minRefreshableVersion="3" recordCount="0" supportSubquery="1" supportAdvancedDrill="1" xr:uid="{00000000-000A-0000-FFFF-FFFFE0000000}">
  <cacheSource type="external" connectionId="1"/>
  <cacheFields count="10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7">
        <s v="lt002_instrument"/>
        <s v="lt003_entity"/>
        <s v="lt004_protection"/>
        <s v="lt005_instr_ent"/>
        <s v="lt006_instr_prot"/>
        <s v="lt825_mthd_usd_instrmnt"/>
        <s v="lt826_esg_sbsctr"/>
      </sharedItems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7">
        <s v="lt002_instrument"/>
        <s v="lt003_entity"/>
        <s v="lt004_protection"/>
        <s v="lt005_instr_ent"/>
        <s v="lt006_instr_prot"/>
        <s v="lt825_mthd_usd_instrmnt"/>
        <s v="lt826_esg_sbsctr"/>
      </sharedItems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6">
        <s v="1. Concluído"/>
        <s v="2. Em Teste"/>
        <s v="7. Por iniciar"/>
        <s v="3. Pendente de outros desenvolvimentos" u="1"/>
        <s v="4. Validação EF" u="1"/>
        <s v="5. Em Correção" u="1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9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28935187" backgroundQuery="1" createdVersion="8" refreshedVersion="8" minRefreshableVersion="3" recordCount="0" supportSubquery="1" supportAdvancedDrill="1" xr:uid="{00000000-000A-0000-FFFF-FFFFDD000000}">
  <cacheSource type="external" connectionId="1"/>
  <cacheFields count="7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Status Atual].[Status Atual]" caption="Status Atual" numFmtId="0" hierarchy="23" level="1">
      <sharedItems count="3">
        <s v="1. Concluído"/>
        <s v="2. Em Teste"/>
        <s v="7. Por iniciar"/>
      </sharedItems>
    </cacheField>
    <cacheField name="[Measures].[Count of Campo 4]" caption="Count of Campo 4" numFmtId="0" hierarchy="36" level="32767"/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25347224" backgroundQuery="1" createdVersion="8" refreshedVersion="8" minRefreshableVersion="3" recordCount="0" supportSubquery="1" supportAdvancedDrill="1" xr:uid="{00000000-000A-0000-FFFF-FFFFE3000000}">
  <cacheSource type="external" connectionId="1"/>
  <cacheFields count="8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7">
        <s v="0. Cancelado"/>
        <s v="1. Concluído"/>
        <s v="2. Em Teste"/>
        <s v="3. Pendente de outros desenvolvimentos"/>
        <s v="4. Validação EF"/>
        <s v="5. Em Correção"/>
        <s v="7. Por iniciar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7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9:H17" firstHeaderRow="1" firstDataRow="2" firstDataCol="1" rowPageCount="3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6">
        <item x="5"/>
        <item x="4"/>
        <item x="3"/>
        <item x="2"/>
        <item x="1"/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3">
    <pageField fld="0" hier="18" name="[Table4].[Âmbito].&amp;[Pilar III]" cap="Pilar III"/>
    <pageField fld="1" hier="19" name="[Table4].[Sub-âmbito].&amp;[Bens Imóveis - Input]" cap="Bens Imóveis - Input"/>
    <pageField fld="2" hier="20" name="[Table4].[Tipo de teste].&amp;[2. Campo]" cap="2. Campo"/>
  </pageFields>
  <dataFields count="1">
    <dataField name="Count of Campo" fld="4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Bens Imóveis - Input]"/>
        <member name="[Table4].[Sub-âmbito].&amp;[Bens Imóveis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10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>
  <location ref="B115:C119" firstHeaderRow="1" firstDataRow="1" firstDataCol="1" rowPageCount="3" colPageCount="1"/>
  <pivotFields count="7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3">
        <item x="2"/>
        <item x="0"/>
        <item x="1"/>
      </items>
    </pivotField>
    <pivotField dataField="1" subtotalTop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2" hier="18" name="[Table4].[Âmbito].&amp;[Pilar III]" cap="Pilar III"/>
    <pageField fld="3" hier="19" name="[Table4].[Sub-âmbito].&amp;[Pilar III]" cap="Pilar III"/>
    <pageField fld="4" hier="20" name="[Table4].[Tipo de teste].&amp;[2. Campo]" cap="2. Campo"/>
  </pageFields>
  <dataFields count="1">
    <dataField name="Count of Campo" fld="6" subtotal="count" baseField="0" baseItem="0"/>
  </dataFields>
  <chartFormats count="4"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1" level="1">
        <member name="[Range 1].[Sub-âmbito].&amp;[Pilar II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1" level="1">
        <member name="[Table4].[Sub-âmbito].&amp;[Pilar III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8">
  <location ref="B27:C33" firstHeaderRow="1" firstDataRow="1" firstDataCol="1" rowPageCount="3" colPageCount="1"/>
  <pivotFields count="7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2" hier="18" name="[Table4].[Âmbito].&amp;[Pilar III]" cap="Pilar III"/>
    <pageField fld="3" hier="19" name="[Table4].[Sub-âmbito].&amp;[Bens Imóveis - Input]" cap="Bens Imóveis - Input"/>
    <pageField fld="4" hier="20" name="[Table4].[Tipo de teste].&amp;[2. Campo]" cap="2. Campo"/>
  </pageFields>
  <dataFields count="1">
    <dataField name="Count of Campo" fld="5" subtotal="count" baseField="0" baseItem="0"/>
  </dataFields>
  <pivotHierarchies count="37">
    <pivotHierarchy dragToData="1"/>
    <pivotHierarchy multipleItemSelectionAllowed="1" dragToData="1">
      <members count="2" level="1">
        <member name="[Range].[Sub-âmbito].&amp;[Bens Imóveis - Input]"/>
        <member name="[Range].[Sub-âmbito].&amp;[Bens Imóveis - Output]"/>
      </members>
    </pivotHierarchy>
    <pivotHierarchy multipleItemSelectionAllowed="1" dragToData="1">
      <members count="1" level="1">
        <member name="[Range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Bens Imóveis - Input]"/>
        <member name="[Table4].[Sub-âmbito].&amp;[Bens Imóveis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94:F103" firstHeaderRow="1" firstDataRow="2" firstDataCol="1" rowPageCount="3" colPageCount="1"/>
  <pivotFields count="10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sortType="descending" defaultSubtotal="0" defaultAttributeDrillState="1">
      <items count="7">
        <item x="6"/>
        <item x="5"/>
        <item x="4"/>
        <item x="3"/>
        <item x="2"/>
        <item x="1"/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pageFields count="3">
    <pageField fld="4" hier="18" name="[Table4].[Âmbito].&amp;[Pilar III]" cap="Pilar III"/>
    <pageField fld="5" hier="19" name="[Table4].[Sub-âmbito].&amp;[Pilar III]" cap="Pilar III"/>
    <pageField fld="6" hier="20" name="[Table4].[Tipo de teste].&amp;[2. Campo]" cap="2. Campo"/>
  </pageFields>
  <dataFields count="1">
    <dataField name="Count of Campo" fld="8" subtotal="count" baseField="0" baseItem="0"/>
  </dataFields>
  <chartFormats count="8"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1" level="1">
        <member name="[Range 1].[Sub-âmbito].&amp;[Pilar III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1" level="1">
        <member name="[Table4].[Sub-âmbito].&amp;[Pilar III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48:J63" firstHeaderRow="1" firstDataRow="2" firstDataCol="1" rowPageCount="3" colPageCount="1"/>
  <pivotFields count="10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sortType="descending" defaultSubtotal="0" defaultAttributeDrillState="1">
      <items count="13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13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3">
    <pageField fld="4" hier="18" name="[Table4].[Âmbito].&amp;[Pilar III]" cap="Pilar III"/>
    <pageField fld="5" hier="19" name="[Table4].[Sub-âmbito].&amp;[Modelo Verde - Input]" cap="Modelo Verde - Input"/>
    <pageField fld="6" hier="20" name="[Table4].[Tipo de teste].&amp;[2. Campo]" cap="2. Campo"/>
  </pageFields>
  <dataFields count="1">
    <dataField name="Count of Campo" fld="8" subtotal="count" baseField="0" baseItem="0"/>
  </dataFields>
  <chartFormats count="9"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2" level="1">
        <member name="[Range 1].[Sub-âmbito].&amp;[Modelo Verde - Input]"/>
        <member name="[Range 1].[Sub-âmbito].&amp;[Modelo Verde - Output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Modelo Verde - Input]"/>
        <member name="[Table4].[Sub-âmbito].&amp;[Modelo Verde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8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B72:C80" firstHeaderRow="1" firstDataRow="1" firstDataCol="1" rowPageCount="3" colPageCount="1"/>
  <pivotFields count="8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3">
    <pageField fld="3" hier="18" name="[Table4].[Âmbito].&amp;[Pilar III]" cap="Pilar III"/>
    <pageField fld="4" hier="19" name="[Table4].[Sub-âmbito].&amp;[Modelo Verde - Input]" cap="Modelo Verde - Input"/>
    <pageField fld="5" hier="20" name="[Table4].[Tipo de teste].&amp;[2. Campo]" cap="2. Campo"/>
  </pageFields>
  <dataFields count="1">
    <dataField name="Count of Campo" fld="6" subtotal="count" baseField="0" baseItem="0"/>
  </dataFields>
  <chartFormats count="8"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2" level="1">
        <member name="[Range 1].[Sub-âmbito].&amp;[Modelo Verde - Input]"/>
        <member name="[Range 1].[Sub-âmbito].&amp;[Modelo Verde - Output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Modelo Verde - Input]"/>
        <member name="[Table4].[Sub-âmbito].&amp;[Modelo Verde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144:C148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0" hier="6" name="[Range 1].[Âmbito].&amp;[GD]" cap="GD"/>
    <pageField fld="1" hier="8" name="[Range 1].[Tipo de teste].&amp;[2. Campo]" cap="2. Campo"/>
  </pageFields>
  <dataFields count="1">
    <dataField name="Count of Campo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GD]"/>
      </members>
    </pivotHierarchy>
    <pivotHierarchy dragToData="1"/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. Status Detalhe Campos!$B$6:$G$599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35:F138" firstHeaderRow="1" firstDataRow="2" firstDataCol="1" rowPageCount="2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2">
    <i>
      <x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0" hier="6" name="[Range 1].[Âmbito].&amp;[GD]" cap="GD"/>
    <pageField fld="1" hier="8" name="[Range 1].[Tipo de teste].&amp;[2. Campo]" cap="2. Campo"/>
  </pageFields>
  <dataFields count="1">
    <dataField name="Count of Campo" fld="3" subtotal="count" baseField="0" baseItem="0"/>
  </dataFields>
  <chartFormats count="6"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GD]"/>
      </members>
    </pivotHierarchy>
    <pivotHierarchy dragToData="1"/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. Status Detalhe Campos!$B$6:$G$599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H605" totalsRowShown="0" headerRowDxfId="12" tableBorderDxfId="11">
  <autoFilter ref="B6:H605" xr:uid="{00000000-0009-0000-0100-000004000000}"/>
  <tableColumns count="7">
    <tableColumn id="1" xr3:uid="{00000000-0010-0000-0000-000001000000}" name="Âmbito" dataDxfId="10"/>
    <tableColumn id="2" xr3:uid="{00000000-0010-0000-0000-000002000000}" name="Sub-âmbito" dataDxfId="9"/>
    <tableColumn id="3" xr3:uid="{00000000-0010-0000-0000-000003000000}" name="Tipo de teste" dataDxfId="8"/>
    <tableColumn id="4" xr3:uid="{00000000-0010-0000-0000-000004000000}" name="Tabela" dataDxfId="7"/>
    <tableColumn id="5" xr3:uid="{00000000-0010-0000-0000-000005000000}" name="Campo" dataDxfId="6"/>
    <tableColumn id="6" xr3:uid="{00000000-0010-0000-0000-000006000000}" name="Status Atual" dataDxfId="5"/>
    <tableColumn id="8" xr3:uid="{00000000-0010-0000-0000-000008000000}" name="Observações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N42"/>
  <sheetViews>
    <sheetView showGridLines="0" tabSelected="1" zoomScale="85" zoomScaleNormal="85" workbookViewId="0">
      <selection activeCell="A5" sqref="A5"/>
    </sheetView>
  </sheetViews>
  <sheetFormatPr defaultColWidth="0" defaultRowHeight="17.55" customHeight="1" zeroHeight="1" x14ac:dyDescent="0.45"/>
  <cols>
    <col min="1" max="2" width="3.69921875" style="11" customWidth="1"/>
    <col min="3" max="38" width="8.69921875" style="11" customWidth="1"/>
    <col min="39" max="40" width="3.69921875" style="11" customWidth="1"/>
    <col min="41" max="16384" width="8.69921875" style="11" hidden="1"/>
  </cols>
  <sheetData>
    <row r="1" spans="1:40" ht="17.399999999999999" x14ac:dyDescent="0.45">
      <c r="AN1" s="27"/>
    </row>
    <row r="2" spans="1:40" ht="17.399999999999999" x14ac:dyDescent="0.45"/>
    <row r="3" spans="1:40" ht="17.399999999999999" x14ac:dyDescent="0.45"/>
    <row r="4" spans="1:40" ht="4.95" customHeight="1" x14ac:dyDescent="0.4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pans="1:40" ht="17.399999999999999" x14ac:dyDescent="0.4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</row>
    <row r="6" spans="1:40" ht="22.2" x14ac:dyDescent="0.55000000000000004">
      <c r="A6" s="26"/>
      <c r="B6" s="36" t="s">
        <v>498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spans="1:40" ht="4.95" customHeight="1" x14ac:dyDescent="0.4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</row>
    <row r="8" spans="1:40" ht="17.399999999999999" x14ac:dyDescent="0.45">
      <c r="A8" s="26"/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30"/>
      <c r="AN8" s="26"/>
    </row>
    <row r="9" spans="1:40" ht="22.2" x14ac:dyDescent="0.55000000000000004">
      <c r="A9" s="26"/>
      <c r="B9" s="31"/>
      <c r="C9" s="44" t="s">
        <v>0</v>
      </c>
      <c r="T9" s="45"/>
      <c r="V9" s="44" t="s">
        <v>1</v>
      </c>
      <c r="AM9" s="32"/>
      <c r="AN9" s="26"/>
    </row>
    <row r="10" spans="1:40" ht="17.399999999999999" x14ac:dyDescent="0.45">
      <c r="A10" s="26"/>
      <c r="B10" s="31"/>
      <c r="T10" s="45"/>
      <c r="AM10" s="32"/>
      <c r="AN10" s="26"/>
    </row>
    <row r="11" spans="1:40" ht="17.399999999999999" x14ac:dyDescent="0.45">
      <c r="A11" s="26"/>
      <c r="B11" s="31"/>
      <c r="T11" s="45"/>
      <c r="AM11" s="32"/>
      <c r="AN11" s="26"/>
    </row>
    <row r="12" spans="1:40" ht="17.399999999999999" x14ac:dyDescent="0.45">
      <c r="A12" s="26"/>
      <c r="B12" s="31"/>
      <c r="T12" s="45"/>
      <c r="AM12" s="32"/>
      <c r="AN12" s="26"/>
    </row>
    <row r="13" spans="1:40" ht="17.399999999999999" x14ac:dyDescent="0.45">
      <c r="A13" s="26"/>
      <c r="B13" s="31"/>
      <c r="T13" s="45"/>
      <c r="AM13" s="32"/>
      <c r="AN13" s="26"/>
    </row>
    <row r="14" spans="1:40" ht="17.399999999999999" x14ac:dyDescent="0.45">
      <c r="A14" s="26"/>
      <c r="B14" s="31"/>
      <c r="T14" s="45"/>
      <c r="AM14" s="32"/>
      <c r="AN14" s="26"/>
    </row>
    <row r="15" spans="1:40" ht="17.399999999999999" x14ac:dyDescent="0.45">
      <c r="A15" s="26"/>
      <c r="B15" s="31"/>
      <c r="T15" s="45"/>
      <c r="AM15" s="32"/>
      <c r="AN15" s="26"/>
    </row>
    <row r="16" spans="1:40" ht="17.399999999999999" x14ac:dyDescent="0.45">
      <c r="A16" s="26"/>
      <c r="B16" s="31"/>
      <c r="T16" s="45"/>
      <c r="AM16" s="32"/>
      <c r="AN16" s="26"/>
    </row>
    <row r="17" spans="1:40" ht="17.399999999999999" x14ac:dyDescent="0.45">
      <c r="A17" s="26"/>
      <c r="B17" s="31"/>
      <c r="T17" s="45"/>
      <c r="AM17" s="32"/>
      <c r="AN17" s="26"/>
    </row>
    <row r="18" spans="1:40" ht="17.399999999999999" x14ac:dyDescent="0.45">
      <c r="A18" s="26"/>
      <c r="B18" s="31"/>
      <c r="T18" s="45"/>
      <c r="AM18" s="32"/>
      <c r="AN18" s="26"/>
    </row>
    <row r="19" spans="1:40" ht="17.399999999999999" x14ac:dyDescent="0.45">
      <c r="A19" s="26"/>
      <c r="B19" s="31"/>
      <c r="T19" s="45"/>
      <c r="AM19" s="32"/>
      <c r="AN19" s="26"/>
    </row>
    <row r="20" spans="1:40" ht="17.399999999999999" x14ac:dyDescent="0.45">
      <c r="A20" s="26"/>
      <c r="B20" s="31"/>
      <c r="T20" s="45"/>
      <c r="AM20" s="32"/>
      <c r="AN20" s="26"/>
    </row>
    <row r="21" spans="1:40" ht="17.399999999999999" x14ac:dyDescent="0.45">
      <c r="A21" s="26"/>
      <c r="B21" s="31"/>
      <c r="T21" s="45"/>
      <c r="AM21" s="32"/>
      <c r="AN21" s="26"/>
    </row>
    <row r="22" spans="1:40" ht="17.399999999999999" x14ac:dyDescent="0.45">
      <c r="A22" s="26"/>
      <c r="B22" s="31"/>
      <c r="T22" s="45"/>
      <c r="AM22" s="32"/>
      <c r="AN22" s="26"/>
    </row>
    <row r="23" spans="1:40" ht="17.399999999999999" x14ac:dyDescent="0.45">
      <c r="A23" s="26"/>
      <c r="B23" s="31"/>
      <c r="T23" s="45"/>
      <c r="AM23" s="32"/>
      <c r="AN23" s="26"/>
    </row>
    <row r="24" spans="1:40" ht="17.399999999999999" x14ac:dyDescent="0.45">
      <c r="A24" s="26"/>
      <c r="B24" s="31"/>
      <c r="T24" s="45"/>
      <c r="AM24" s="32"/>
      <c r="AN24" s="26"/>
    </row>
    <row r="25" spans="1:40" ht="17.399999999999999" x14ac:dyDescent="0.45">
      <c r="A25" s="26"/>
      <c r="B25" s="31"/>
      <c r="T25" s="45"/>
      <c r="AM25" s="32"/>
      <c r="AN25" s="26"/>
    </row>
    <row r="26" spans="1:40" ht="17.399999999999999" x14ac:dyDescent="0.45">
      <c r="A26" s="26"/>
      <c r="B26" s="31"/>
      <c r="T26" s="45"/>
      <c r="AM26" s="32"/>
      <c r="AN26" s="26"/>
    </row>
    <row r="27" spans="1:40" ht="17.399999999999999" x14ac:dyDescent="0.45">
      <c r="A27" s="26"/>
      <c r="B27" s="31"/>
      <c r="T27" s="45"/>
      <c r="AM27" s="32"/>
      <c r="AN27" s="26"/>
    </row>
    <row r="28" spans="1:40" ht="17.399999999999999" x14ac:dyDescent="0.45">
      <c r="A28" s="26"/>
      <c r="B28" s="31"/>
      <c r="T28" s="45"/>
      <c r="AM28" s="32"/>
      <c r="AN28" s="26"/>
    </row>
    <row r="29" spans="1:40" ht="17.399999999999999" x14ac:dyDescent="0.45">
      <c r="A29" s="26"/>
      <c r="B29" s="31"/>
      <c r="T29" s="45"/>
      <c r="AM29" s="32"/>
      <c r="AN29" s="26"/>
    </row>
    <row r="30" spans="1:40" ht="17.399999999999999" x14ac:dyDescent="0.45">
      <c r="A30" s="26"/>
      <c r="B30" s="31"/>
      <c r="T30" s="45"/>
      <c r="AM30" s="32"/>
      <c r="AN30" s="26"/>
    </row>
    <row r="31" spans="1:40" ht="17.399999999999999" x14ac:dyDescent="0.45">
      <c r="A31" s="26"/>
      <c r="B31" s="31"/>
      <c r="T31" s="45"/>
      <c r="AM31" s="32"/>
      <c r="AN31" s="26"/>
    </row>
    <row r="32" spans="1:40" ht="17.399999999999999" x14ac:dyDescent="0.45">
      <c r="A32" s="26"/>
      <c r="B32" s="31"/>
      <c r="T32" s="45"/>
      <c r="AM32" s="32"/>
      <c r="AN32" s="26"/>
    </row>
    <row r="33" spans="1:40" ht="17.399999999999999" x14ac:dyDescent="0.45">
      <c r="A33" s="26"/>
      <c r="B33" s="31"/>
      <c r="T33" s="45"/>
      <c r="AM33" s="32"/>
      <c r="AN33" s="26"/>
    </row>
    <row r="34" spans="1:40" ht="17.399999999999999" x14ac:dyDescent="0.45">
      <c r="A34" s="26"/>
      <c r="B34" s="31"/>
      <c r="T34" s="45"/>
      <c r="AM34" s="32"/>
      <c r="AN34" s="26"/>
    </row>
    <row r="35" spans="1:40" ht="17.399999999999999" x14ac:dyDescent="0.45">
      <c r="A35" s="26"/>
      <c r="B35" s="31"/>
      <c r="T35" s="45"/>
      <c r="AM35" s="32"/>
      <c r="AN35" s="26"/>
    </row>
    <row r="36" spans="1:40" ht="17.399999999999999" x14ac:dyDescent="0.45">
      <c r="A36" s="26"/>
      <c r="B36" s="31"/>
      <c r="T36" s="45"/>
      <c r="AM36" s="32"/>
      <c r="AN36" s="26"/>
    </row>
    <row r="37" spans="1:40" ht="17.399999999999999" x14ac:dyDescent="0.45">
      <c r="A37" s="26"/>
      <c r="B37" s="31"/>
      <c r="T37" s="45"/>
      <c r="AM37" s="32"/>
      <c r="AN37" s="26"/>
    </row>
    <row r="38" spans="1:40" ht="17.399999999999999" x14ac:dyDescent="0.45">
      <c r="A38" s="26"/>
      <c r="B38" s="31"/>
      <c r="T38" s="45"/>
      <c r="AM38" s="32"/>
      <c r="AN38" s="26"/>
    </row>
    <row r="39" spans="1:40" ht="17.399999999999999" x14ac:dyDescent="0.45">
      <c r="A39" s="26"/>
      <c r="B39" s="31"/>
      <c r="C39" s="37" t="s">
        <v>2</v>
      </c>
      <c r="AM39" s="32"/>
      <c r="AN39" s="26"/>
    </row>
    <row r="40" spans="1:40" ht="17.399999999999999" x14ac:dyDescent="0.45">
      <c r="A40" s="26"/>
      <c r="B40" s="31"/>
      <c r="C40" s="25"/>
      <c r="D40" s="11" t="s">
        <v>3</v>
      </c>
      <c r="AM40" s="32"/>
      <c r="AN40" s="26"/>
    </row>
    <row r="41" spans="1:40" ht="17.399999999999999" x14ac:dyDescent="0.45">
      <c r="A41" s="26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5"/>
      <c r="AN41" s="26"/>
    </row>
    <row r="42" spans="1:40" ht="17.399999999999999" x14ac:dyDescent="0.4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M605"/>
  <sheetViews>
    <sheetView showGridLines="0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5" sqref="A5"/>
    </sheetView>
  </sheetViews>
  <sheetFormatPr defaultColWidth="0" defaultRowHeight="13.8" x14ac:dyDescent="0.25"/>
  <cols>
    <col min="1" max="1" width="3.69921875" customWidth="1"/>
    <col min="2" max="2" width="8.19921875" customWidth="1"/>
    <col min="3" max="3" width="19.796875" bestFit="1" customWidth="1"/>
    <col min="4" max="4" width="12.5" customWidth="1"/>
    <col min="5" max="5" width="35.796875" bestFit="1" customWidth="1"/>
    <col min="6" max="6" width="30.19921875" bestFit="1" customWidth="1"/>
    <col min="7" max="7" width="30.69921875" bestFit="1" customWidth="1"/>
    <col min="8" max="8" width="76.296875" bestFit="1" customWidth="1"/>
    <col min="9" max="9" width="3.69921875" customWidth="1"/>
    <col min="10" max="13" width="0" hidden="1" customWidth="1"/>
    <col min="14" max="16384" width="8.69921875" hidden="1"/>
  </cols>
  <sheetData>
    <row r="1" spans="1:9" ht="17.399999999999999" x14ac:dyDescent="0.45">
      <c r="A1" s="11"/>
      <c r="B1" s="11"/>
      <c r="C1" s="11"/>
      <c r="D1" s="11"/>
      <c r="E1" s="11"/>
      <c r="F1" s="11"/>
      <c r="G1" s="11"/>
      <c r="H1" s="11"/>
    </row>
    <row r="2" spans="1:9" ht="17.399999999999999" x14ac:dyDescent="0.45">
      <c r="A2" s="11"/>
      <c r="B2" s="11"/>
      <c r="C2" s="11"/>
      <c r="D2" s="11"/>
      <c r="E2" s="11"/>
      <c r="F2" s="11"/>
      <c r="G2" s="11"/>
      <c r="H2" s="11"/>
    </row>
    <row r="3" spans="1:9" ht="17.399999999999999" x14ac:dyDescent="0.45">
      <c r="A3" s="11"/>
      <c r="B3" s="11"/>
      <c r="C3" s="11"/>
      <c r="D3" s="11"/>
      <c r="E3" s="11"/>
      <c r="F3" s="11"/>
      <c r="G3" s="11"/>
      <c r="H3" s="11"/>
    </row>
    <row r="4" spans="1:9" ht="4.95" customHeight="1" x14ac:dyDescent="0.45">
      <c r="A4" s="25"/>
      <c r="B4" s="25"/>
      <c r="C4" s="25"/>
      <c r="D4" s="25"/>
      <c r="E4" s="25"/>
      <c r="F4" s="25"/>
      <c r="G4" s="25"/>
      <c r="H4" s="25"/>
      <c r="I4" s="25"/>
    </row>
    <row r="6" spans="1:9" ht="17.399999999999999" x14ac:dyDescent="0.25">
      <c r="B6" s="23" t="s">
        <v>4</v>
      </c>
      <c r="C6" s="38" t="s">
        <v>5</v>
      </c>
      <c r="D6" s="38" t="s">
        <v>6</v>
      </c>
      <c r="E6" s="38" t="s">
        <v>7</v>
      </c>
      <c r="F6" s="38" t="s">
        <v>8</v>
      </c>
      <c r="G6" s="38" t="s">
        <v>439</v>
      </c>
      <c r="H6" s="47" t="s">
        <v>440</v>
      </c>
    </row>
    <row r="7" spans="1:9" ht="16.2" x14ac:dyDescent="0.4">
      <c r="A7" s="15" t="str">
        <f>E7&amp;F7</f>
        <v>cd_imv_inp_certif_estimativan.a.</v>
      </c>
      <c r="B7" s="46" t="s">
        <v>10</v>
      </c>
      <c r="C7" s="43" t="s">
        <v>13</v>
      </c>
      <c r="D7" s="39" t="s">
        <v>14</v>
      </c>
      <c r="E7" s="40" t="s">
        <v>15</v>
      </c>
      <c r="F7" s="39" t="s">
        <v>16</v>
      </c>
      <c r="G7" s="41" t="s">
        <v>433</v>
      </c>
      <c r="H7" s="48"/>
    </row>
    <row r="8" spans="1:9" ht="16.2" x14ac:dyDescent="0.4">
      <c r="A8" s="15" t="str">
        <f t="shared" ref="A8:A71" si="0">E8&amp;F8</f>
        <v>cd_imv_inp_certif_estimativacempbem</v>
      </c>
      <c r="B8" s="46" t="s">
        <v>10</v>
      </c>
      <c r="C8" s="43" t="s">
        <v>13</v>
      </c>
      <c r="D8" s="39" t="s">
        <v>17</v>
      </c>
      <c r="E8" s="40" t="s">
        <v>15</v>
      </c>
      <c r="F8" s="39" t="s">
        <v>18</v>
      </c>
      <c r="G8" s="41" t="s">
        <v>433</v>
      </c>
      <c r="H8" s="48"/>
    </row>
    <row r="9" spans="1:9" ht="16.2" x14ac:dyDescent="0.4">
      <c r="A9" s="15" t="str">
        <f t="shared" si="0"/>
        <v>cd_imv_inp_certif_estimativachave_encriptada</v>
      </c>
      <c r="B9" s="46" t="s">
        <v>10</v>
      </c>
      <c r="C9" s="43" t="s">
        <v>13</v>
      </c>
      <c r="D9" s="39" t="s">
        <v>17</v>
      </c>
      <c r="E9" s="40" t="s">
        <v>15</v>
      </c>
      <c r="F9" s="39" t="s">
        <v>19</v>
      </c>
      <c r="G9" s="41" t="s">
        <v>433</v>
      </c>
      <c r="H9" s="48"/>
    </row>
    <row r="10" spans="1:9" ht="16.2" x14ac:dyDescent="0.4">
      <c r="A10" s="15" t="str">
        <f t="shared" si="0"/>
        <v>cd_imv_inp_certif_estimativackbalbem</v>
      </c>
      <c r="B10" s="46" t="s">
        <v>10</v>
      </c>
      <c r="C10" s="43" t="s">
        <v>13</v>
      </c>
      <c r="D10" s="39" t="s">
        <v>17</v>
      </c>
      <c r="E10" s="40" t="s">
        <v>15</v>
      </c>
      <c r="F10" s="39" t="s">
        <v>20</v>
      </c>
      <c r="G10" s="41" t="s">
        <v>433</v>
      </c>
      <c r="H10" s="48"/>
    </row>
    <row r="11" spans="1:9" ht="16.2" x14ac:dyDescent="0.4">
      <c r="A11" s="15" t="str">
        <f t="shared" si="0"/>
        <v>cd_imv_inp_certif_estimativackctabem</v>
      </c>
      <c r="B11" s="46" t="s">
        <v>10</v>
      </c>
      <c r="C11" s="43" t="s">
        <v>13</v>
      </c>
      <c r="D11" s="39" t="s">
        <v>17</v>
      </c>
      <c r="E11" s="40" t="s">
        <v>15</v>
      </c>
      <c r="F11" s="39" t="s">
        <v>21</v>
      </c>
      <c r="G11" s="41" t="s">
        <v>433</v>
      </c>
      <c r="H11" s="48"/>
    </row>
    <row r="12" spans="1:9" ht="16.2" x14ac:dyDescent="0.4">
      <c r="A12" s="15" t="str">
        <f t="shared" si="0"/>
        <v>cd_imv_inp_certif_estimativackrefbem</v>
      </c>
      <c r="B12" s="46" t="s">
        <v>10</v>
      </c>
      <c r="C12" s="43" t="s">
        <v>13</v>
      </c>
      <c r="D12" s="39" t="s">
        <v>17</v>
      </c>
      <c r="E12" s="40" t="s">
        <v>15</v>
      </c>
      <c r="F12" s="39" t="s">
        <v>22</v>
      </c>
      <c r="G12" s="41" t="s">
        <v>433</v>
      </c>
      <c r="H12" s="48"/>
    </row>
    <row r="13" spans="1:9" ht="16.2" x14ac:dyDescent="0.4">
      <c r="A13" s="15" t="str">
        <f t="shared" si="0"/>
        <v>cd_imv_inp_certif_estimativadata_extraccao_info</v>
      </c>
      <c r="B13" s="46" t="s">
        <v>10</v>
      </c>
      <c r="C13" s="43" t="s">
        <v>13</v>
      </c>
      <c r="D13" s="39" t="s">
        <v>17</v>
      </c>
      <c r="E13" s="40" t="s">
        <v>15</v>
      </c>
      <c r="F13" s="39" t="s">
        <v>23</v>
      </c>
      <c r="G13" s="41" t="s">
        <v>433</v>
      </c>
      <c r="H13" s="48"/>
    </row>
    <row r="14" spans="1:9" ht="16.2" x14ac:dyDescent="0.4">
      <c r="A14" s="15" t="str">
        <f t="shared" si="0"/>
        <v>cd_imv_inp_certif_estimativaepc</v>
      </c>
      <c r="B14" s="46" t="s">
        <v>10</v>
      </c>
      <c r="C14" s="43" t="s">
        <v>13</v>
      </c>
      <c r="D14" s="39" t="s">
        <v>17</v>
      </c>
      <c r="E14" s="40" t="s">
        <v>15</v>
      </c>
      <c r="F14" s="39" t="s">
        <v>24</v>
      </c>
      <c r="G14" s="41" t="s">
        <v>433</v>
      </c>
      <c r="H14" s="48"/>
    </row>
    <row r="15" spans="1:9" ht="16.2" x14ac:dyDescent="0.4">
      <c r="A15" s="15" t="str">
        <f t="shared" si="0"/>
        <v>cd_imv_inp_certif_estimativafornecedor</v>
      </c>
      <c r="B15" s="46" t="s">
        <v>10</v>
      </c>
      <c r="C15" s="43" t="s">
        <v>13</v>
      </c>
      <c r="D15" s="39" t="s">
        <v>17</v>
      </c>
      <c r="E15" s="40" t="s">
        <v>15</v>
      </c>
      <c r="F15" s="39" t="s">
        <v>25</v>
      </c>
      <c r="G15" s="41" t="s">
        <v>433</v>
      </c>
      <c r="H15" s="48"/>
    </row>
    <row r="16" spans="1:9" ht="16.2" x14ac:dyDescent="0.4">
      <c r="A16" s="15" t="str">
        <f t="shared" si="0"/>
        <v>cd_imv_inp_certif_estimativametodo_info</v>
      </c>
      <c r="B16" s="46" t="s">
        <v>10</v>
      </c>
      <c r="C16" s="43" t="s">
        <v>13</v>
      </c>
      <c r="D16" s="39" t="s">
        <v>17</v>
      </c>
      <c r="E16" s="40" t="s">
        <v>15</v>
      </c>
      <c r="F16" s="39" t="s">
        <v>26</v>
      </c>
      <c r="G16" s="41" t="s">
        <v>433</v>
      </c>
      <c r="H16" s="48"/>
    </row>
    <row r="17" spans="1:8" ht="16.2" x14ac:dyDescent="0.4">
      <c r="A17" s="15" t="str">
        <f t="shared" si="0"/>
        <v>cd_imv_inp_certif_estimativascore_qualidade</v>
      </c>
      <c r="B17" s="46" t="s">
        <v>10</v>
      </c>
      <c r="C17" s="43" t="s">
        <v>13</v>
      </c>
      <c r="D17" s="39" t="s">
        <v>17</v>
      </c>
      <c r="E17" s="40" t="s">
        <v>15</v>
      </c>
      <c r="F17" s="39" t="s">
        <v>27</v>
      </c>
      <c r="G17" s="41" t="s">
        <v>433</v>
      </c>
      <c r="H17" s="48"/>
    </row>
    <row r="18" spans="1:8" ht="16.2" x14ac:dyDescent="0.4">
      <c r="A18" s="15" t="str">
        <f t="shared" si="0"/>
        <v>cd_imv_inp_certif_estimativavlr_cnsm_ano</v>
      </c>
      <c r="B18" s="46" t="s">
        <v>10</v>
      </c>
      <c r="C18" s="43" t="s">
        <v>13</v>
      </c>
      <c r="D18" s="39" t="s">
        <v>17</v>
      </c>
      <c r="E18" s="40" t="s">
        <v>15</v>
      </c>
      <c r="F18" s="39" t="s">
        <v>28</v>
      </c>
      <c r="G18" s="41" t="s">
        <v>433</v>
      </c>
      <c r="H18" s="48"/>
    </row>
    <row r="19" spans="1:8" ht="16.2" x14ac:dyDescent="0.4">
      <c r="A19" s="15" t="str">
        <f t="shared" si="0"/>
        <v>cd_imv_inp_certif_estimativavlr_emss_ano</v>
      </c>
      <c r="B19" s="46" t="s">
        <v>10</v>
      </c>
      <c r="C19" s="43" t="s">
        <v>13</v>
      </c>
      <c r="D19" s="39" t="s">
        <v>17</v>
      </c>
      <c r="E19" s="40" t="s">
        <v>15</v>
      </c>
      <c r="F19" s="39" t="s">
        <v>29</v>
      </c>
      <c r="G19" s="41" t="s">
        <v>433</v>
      </c>
      <c r="H19" s="48"/>
    </row>
    <row r="20" spans="1:8" ht="16.2" x14ac:dyDescent="0.4">
      <c r="A20" s="15" t="str">
        <f t="shared" si="0"/>
        <v>cd_imv_out_prcn.a.</v>
      </c>
      <c r="B20" s="46" t="s">
        <v>10</v>
      </c>
      <c r="C20" s="43" t="s">
        <v>30</v>
      </c>
      <c r="D20" s="39" t="s">
        <v>14</v>
      </c>
      <c r="E20" s="40" t="s">
        <v>31</v>
      </c>
      <c r="F20" s="39" t="s">
        <v>16</v>
      </c>
      <c r="G20" s="41" t="s">
        <v>151</v>
      </c>
      <c r="H20" s="48"/>
    </row>
    <row r="21" spans="1:8" ht="16.2" x14ac:dyDescent="0.4">
      <c r="A21" s="15" t="str">
        <f t="shared" si="0"/>
        <v>cd_imv_out_prccempresa</v>
      </c>
      <c r="B21" s="46" t="s">
        <v>10</v>
      </c>
      <c r="C21" s="43" t="s">
        <v>30</v>
      </c>
      <c r="D21" s="39" t="s">
        <v>17</v>
      </c>
      <c r="E21" s="40" t="s">
        <v>31</v>
      </c>
      <c r="F21" s="39" t="s">
        <v>33</v>
      </c>
      <c r="G21" s="41" t="s">
        <v>431</v>
      </c>
      <c r="H21" s="57" t="s">
        <v>441</v>
      </c>
    </row>
    <row r="22" spans="1:8" ht="16.2" x14ac:dyDescent="0.4">
      <c r="A22" s="15" t="str">
        <f t="shared" si="0"/>
        <v>cd_imv_out_prcckbalcao</v>
      </c>
      <c r="B22" s="46" t="s">
        <v>10</v>
      </c>
      <c r="C22" s="43" t="s">
        <v>30</v>
      </c>
      <c r="D22" s="39" t="s">
        <v>17</v>
      </c>
      <c r="E22" s="40" t="s">
        <v>31</v>
      </c>
      <c r="F22" s="39" t="s">
        <v>34</v>
      </c>
      <c r="G22" s="41" t="s">
        <v>431</v>
      </c>
      <c r="H22" s="57" t="s">
        <v>441</v>
      </c>
    </row>
    <row r="23" spans="1:8" ht="16.2" x14ac:dyDescent="0.4">
      <c r="A23" s="15" t="str">
        <f t="shared" si="0"/>
        <v>cd_imv_out_prccknumcta</v>
      </c>
      <c r="B23" s="46" t="s">
        <v>10</v>
      </c>
      <c r="C23" s="43" t="s">
        <v>30</v>
      </c>
      <c r="D23" s="39" t="s">
        <v>17</v>
      </c>
      <c r="E23" s="40" t="s">
        <v>31</v>
      </c>
      <c r="F23" s="39" t="s">
        <v>35</v>
      </c>
      <c r="G23" s="41" t="s">
        <v>431</v>
      </c>
      <c r="H23" s="57" t="s">
        <v>441</v>
      </c>
    </row>
    <row r="24" spans="1:8" ht="16.2" x14ac:dyDescent="0.4">
      <c r="A24" s="15" t="str">
        <f t="shared" si="0"/>
        <v>cd_imv_out_prccod_estd_prcs</v>
      </c>
      <c r="B24" s="46" t="s">
        <v>10</v>
      </c>
      <c r="C24" s="43" t="s">
        <v>30</v>
      </c>
      <c r="D24" s="39" t="s">
        <v>17</v>
      </c>
      <c r="E24" s="40" t="s">
        <v>31</v>
      </c>
      <c r="F24" s="39" t="s">
        <v>36</v>
      </c>
      <c r="G24" s="41" t="s">
        <v>430</v>
      </c>
      <c r="H24" s="48" t="s">
        <v>442</v>
      </c>
    </row>
    <row r="25" spans="1:8" ht="16.2" x14ac:dyDescent="0.4">
      <c r="A25" s="15" t="str">
        <f t="shared" si="0"/>
        <v>cd_imv_out_prccod_grt</v>
      </c>
      <c r="B25" s="46" t="s">
        <v>10</v>
      </c>
      <c r="C25" s="43" t="s">
        <v>30</v>
      </c>
      <c r="D25" s="39" t="s">
        <v>17</v>
      </c>
      <c r="E25" s="40" t="s">
        <v>31</v>
      </c>
      <c r="F25" s="39" t="s">
        <v>37</v>
      </c>
      <c r="G25" s="41" t="s">
        <v>151</v>
      </c>
      <c r="H25" s="48"/>
    </row>
    <row r="26" spans="1:8" ht="16.2" x14ac:dyDescent="0.4">
      <c r="A26" s="15" t="str">
        <f t="shared" si="0"/>
        <v>cd_imv_out_prccod_moeda</v>
      </c>
      <c r="B26" s="46" t="s">
        <v>10</v>
      </c>
      <c r="C26" s="43" t="s">
        <v>30</v>
      </c>
      <c r="D26" s="39" t="s">
        <v>17</v>
      </c>
      <c r="E26" s="40" t="s">
        <v>31</v>
      </c>
      <c r="F26" s="39" t="s">
        <v>38</v>
      </c>
      <c r="G26" s="41" t="s">
        <v>151</v>
      </c>
      <c r="H26" s="48"/>
    </row>
    <row r="27" spans="1:8" ht="16.2" x14ac:dyDescent="0.4">
      <c r="A27" s="15" t="str">
        <f t="shared" si="0"/>
        <v>cd_imv_out_prccod_observacao</v>
      </c>
      <c r="B27" s="46" t="s">
        <v>10</v>
      </c>
      <c r="C27" s="43" t="s">
        <v>30</v>
      </c>
      <c r="D27" s="39" t="s">
        <v>17</v>
      </c>
      <c r="E27" s="40" t="s">
        <v>31</v>
      </c>
      <c r="F27" s="39" t="s">
        <v>39</v>
      </c>
      <c r="G27" s="41" t="s">
        <v>151</v>
      </c>
      <c r="H27" s="48"/>
    </row>
    <row r="28" spans="1:8" ht="16.2" x14ac:dyDescent="0.4">
      <c r="A28" s="15" t="str">
        <f t="shared" si="0"/>
        <v>cd_imv_out_prccod_prd_grnt</v>
      </c>
      <c r="B28" s="46" t="s">
        <v>10</v>
      </c>
      <c r="C28" s="43" t="s">
        <v>30</v>
      </c>
      <c r="D28" s="39" t="s">
        <v>17</v>
      </c>
      <c r="E28" s="40" t="s">
        <v>31</v>
      </c>
      <c r="F28" s="39" t="s">
        <v>40</v>
      </c>
      <c r="G28" s="41" t="s">
        <v>151</v>
      </c>
      <c r="H28" s="48"/>
    </row>
    <row r="29" spans="1:8" ht="16.2" x14ac:dyDescent="0.4">
      <c r="A29" s="15" t="str">
        <f t="shared" si="0"/>
        <v>cd_imv_out_prccod_sprd_grnt</v>
      </c>
      <c r="B29" s="46" t="s">
        <v>10</v>
      </c>
      <c r="C29" s="43" t="s">
        <v>30</v>
      </c>
      <c r="D29" s="39" t="s">
        <v>17</v>
      </c>
      <c r="E29" s="40" t="s">
        <v>31</v>
      </c>
      <c r="F29" s="39" t="s">
        <v>41</v>
      </c>
      <c r="G29" s="41" t="s">
        <v>151</v>
      </c>
      <c r="H29" s="48"/>
    </row>
    <row r="30" spans="1:8" ht="16.2" x14ac:dyDescent="0.4">
      <c r="A30" s="15" t="str">
        <f t="shared" si="0"/>
        <v>cd_imv_out_prccod_tipo</v>
      </c>
      <c r="B30" s="46" t="s">
        <v>10</v>
      </c>
      <c r="C30" s="43" t="s">
        <v>30</v>
      </c>
      <c r="D30" s="39" t="s">
        <v>17</v>
      </c>
      <c r="E30" s="40" t="s">
        <v>31</v>
      </c>
      <c r="F30" s="39" t="s">
        <v>42</v>
      </c>
      <c r="G30" s="41" t="s">
        <v>151</v>
      </c>
      <c r="H30" s="48"/>
    </row>
    <row r="31" spans="1:8" ht="16.2" x14ac:dyDescent="0.4">
      <c r="A31" s="15" t="str">
        <f t="shared" si="0"/>
        <v>cd_imv_out_prccomp_id_gar</v>
      </c>
      <c r="B31" s="46" t="s">
        <v>10</v>
      </c>
      <c r="C31" s="43" t="s">
        <v>30</v>
      </c>
      <c r="D31" s="39" t="s">
        <v>17</v>
      </c>
      <c r="E31" s="40" t="s">
        <v>31</v>
      </c>
      <c r="F31" s="39" t="s">
        <v>43</v>
      </c>
      <c r="G31" s="41" t="s">
        <v>151</v>
      </c>
      <c r="H31" s="48"/>
    </row>
    <row r="32" spans="1:8" ht="16.2" x14ac:dyDescent="0.4">
      <c r="A32" s="15" t="str">
        <f t="shared" si="0"/>
        <v>cd_imv_out_prcdata_inicio</v>
      </c>
      <c r="B32" s="46" t="s">
        <v>10</v>
      </c>
      <c r="C32" s="43" t="s">
        <v>30</v>
      </c>
      <c r="D32" s="39" t="s">
        <v>17</v>
      </c>
      <c r="E32" s="40" t="s">
        <v>31</v>
      </c>
      <c r="F32" s="39" t="s">
        <v>44</v>
      </c>
      <c r="G32" s="41" t="s">
        <v>151</v>
      </c>
      <c r="H32" s="48"/>
    </row>
    <row r="33" spans="1:8" ht="16.2" x14ac:dyDescent="0.4">
      <c r="A33" s="15" t="str">
        <f t="shared" si="0"/>
        <v>cd_imv_out_prcdata_vcmt</v>
      </c>
      <c r="B33" s="46" t="s">
        <v>10</v>
      </c>
      <c r="C33" s="43" t="s">
        <v>30</v>
      </c>
      <c r="D33" s="39" t="s">
        <v>17</v>
      </c>
      <c r="E33" s="40" t="s">
        <v>31</v>
      </c>
      <c r="F33" s="39" t="s">
        <v>45</v>
      </c>
      <c r="G33" s="41" t="s">
        <v>151</v>
      </c>
      <c r="H33" s="48"/>
    </row>
    <row r="34" spans="1:8" ht="16.2" x14ac:dyDescent="0.4">
      <c r="A34" s="15" t="str">
        <f t="shared" si="0"/>
        <v>cd_imv_out_prcmontante_eur</v>
      </c>
      <c r="B34" s="46" t="s">
        <v>10</v>
      </c>
      <c r="C34" s="43" t="s">
        <v>30</v>
      </c>
      <c r="D34" s="39" t="s">
        <v>17</v>
      </c>
      <c r="E34" s="40" t="s">
        <v>31</v>
      </c>
      <c r="F34" s="39" t="s">
        <v>46</v>
      </c>
      <c r="G34" s="41" t="s">
        <v>430</v>
      </c>
      <c r="H34" s="48" t="s">
        <v>442</v>
      </c>
    </row>
    <row r="35" spans="1:8" ht="16.2" x14ac:dyDescent="0.4">
      <c r="A35" s="15" t="str">
        <f t="shared" si="0"/>
        <v>cd_imv_out_prcmontante_org</v>
      </c>
      <c r="B35" s="46" t="s">
        <v>10</v>
      </c>
      <c r="C35" s="43" t="s">
        <v>30</v>
      </c>
      <c r="D35" s="39" t="s">
        <v>17</v>
      </c>
      <c r="E35" s="40" t="s">
        <v>31</v>
      </c>
      <c r="F35" s="39" t="s">
        <v>47</v>
      </c>
      <c r="G35" s="41" t="s">
        <v>430</v>
      </c>
      <c r="H35" s="48" t="s">
        <v>442</v>
      </c>
    </row>
    <row r="36" spans="1:8" ht="16.2" x14ac:dyDescent="0.4">
      <c r="A36" s="15" t="str">
        <f t="shared" si="0"/>
        <v>cd_imv_out_prcorigem</v>
      </c>
      <c r="B36" s="46" t="s">
        <v>10</v>
      </c>
      <c r="C36" s="43" t="s">
        <v>30</v>
      </c>
      <c r="D36" s="39" t="s">
        <v>17</v>
      </c>
      <c r="E36" s="40" t="s">
        <v>31</v>
      </c>
      <c r="F36" s="39" t="s">
        <v>48</v>
      </c>
      <c r="G36" s="41" t="s">
        <v>151</v>
      </c>
      <c r="H36" s="48"/>
    </row>
    <row r="37" spans="1:8" ht="16.2" x14ac:dyDescent="0.4">
      <c r="A37" s="15" t="str">
        <f t="shared" si="0"/>
        <v>cd_imv_out_prcref_date</v>
      </c>
      <c r="B37" s="46" t="s">
        <v>10</v>
      </c>
      <c r="C37" s="43" t="s">
        <v>30</v>
      </c>
      <c r="D37" s="39" t="s">
        <v>17</v>
      </c>
      <c r="E37" s="40" t="s">
        <v>31</v>
      </c>
      <c r="F37" s="39" t="s">
        <v>49</v>
      </c>
      <c r="G37" s="41" t="s">
        <v>151</v>
      </c>
      <c r="H37" s="48"/>
    </row>
    <row r="38" spans="1:8" ht="16.2" x14ac:dyDescent="0.4">
      <c r="A38" s="15" t="str">
        <f t="shared" si="0"/>
        <v>cd_imv_out_trz_cred_prcn.a.</v>
      </c>
      <c r="B38" s="46" t="s">
        <v>10</v>
      </c>
      <c r="C38" s="43" t="s">
        <v>30</v>
      </c>
      <c r="D38" s="39" t="s">
        <v>14</v>
      </c>
      <c r="E38" s="40" t="s">
        <v>32</v>
      </c>
      <c r="F38" s="39" t="s">
        <v>16</v>
      </c>
      <c r="G38" s="41" t="s">
        <v>151</v>
      </c>
      <c r="H38" s="48"/>
    </row>
    <row r="39" spans="1:8" ht="16.2" x14ac:dyDescent="0.4">
      <c r="A39" s="15" t="str">
        <f t="shared" si="0"/>
        <v>cd_imv_out_trz_cred_prccempresa</v>
      </c>
      <c r="B39" s="46" t="s">
        <v>10</v>
      </c>
      <c r="C39" s="43" t="s">
        <v>30</v>
      </c>
      <c r="D39" s="39" t="s">
        <v>17</v>
      </c>
      <c r="E39" s="40" t="s">
        <v>32</v>
      </c>
      <c r="F39" s="39" t="s">
        <v>33</v>
      </c>
      <c r="G39" s="41" t="s">
        <v>431</v>
      </c>
      <c r="H39" s="57" t="s">
        <v>441</v>
      </c>
    </row>
    <row r="40" spans="1:8" ht="16.2" x14ac:dyDescent="0.4">
      <c r="A40" s="15" t="str">
        <f t="shared" si="0"/>
        <v>cd_imv_out_trz_cred_prccempresp</v>
      </c>
      <c r="B40" s="46" t="s">
        <v>10</v>
      </c>
      <c r="C40" s="43" t="s">
        <v>30</v>
      </c>
      <c r="D40" s="39" t="s">
        <v>17</v>
      </c>
      <c r="E40" s="40" t="s">
        <v>32</v>
      </c>
      <c r="F40" s="39" t="s">
        <v>50</v>
      </c>
      <c r="G40" s="41" t="s">
        <v>431</v>
      </c>
      <c r="H40" s="57" t="s">
        <v>441</v>
      </c>
    </row>
    <row r="41" spans="1:8" ht="16.2" x14ac:dyDescent="0.4">
      <c r="A41" s="15" t="str">
        <f t="shared" si="0"/>
        <v>cd_imv_out_trz_cred_prcckbalcao</v>
      </c>
      <c r="B41" s="46" t="s">
        <v>10</v>
      </c>
      <c r="C41" s="43" t="s">
        <v>30</v>
      </c>
      <c r="D41" s="39" t="s">
        <v>17</v>
      </c>
      <c r="E41" s="40" t="s">
        <v>32</v>
      </c>
      <c r="F41" s="39" t="s">
        <v>34</v>
      </c>
      <c r="G41" s="41" t="s">
        <v>431</v>
      </c>
      <c r="H41" s="57" t="s">
        <v>441</v>
      </c>
    </row>
    <row r="42" spans="1:8" ht="16.2" x14ac:dyDescent="0.4">
      <c r="A42" s="15" t="str">
        <f t="shared" si="0"/>
        <v>cd_imv_out_trz_cred_prcckbalres</v>
      </c>
      <c r="B42" s="46" t="s">
        <v>10</v>
      </c>
      <c r="C42" s="43" t="s">
        <v>30</v>
      </c>
      <c r="D42" s="39" t="s">
        <v>17</v>
      </c>
      <c r="E42" s="40" t="s">
        <v>32</v>
      </c>
      <c r="F42" s="39" t="s">
        <v>51</v>
      </c>
      <c r="G42" s="41" t="s">
        <v>431</v>
      </c>
      <c r="H42" s="57" t="s">
        <v>441</v>
      </c>
    </row>
    <row r="43" spans="1:8" ht="16.2" x14ac:dyDescent="0.4">
      <c r="A43" s="15" t="str">
        <f t="shared" si="0"/>
        <v>cd_imv_out_trz_cred_prcckctares</v>
      </c>
      <c r="B43" s="46" t="s">
        <v>10</v>
      </c>
      <c r="C43" s="43" t="s">
        <v>30</v>
      </c>
      <c r="D43" s="39" t="s">
        <v>17</v>
      </c>
      <c r="E43" s="40" t="s">
        <v>32</v>
      </c>
      <c r="F43" s="39" t="s">
        <v>52</v>
      </c>
      <c r="G43" s="41" t="s">
        <v>431</v>
      </c>
      <c r="H43" s="57" t="s">
        <v>441</v>
      </c>
    </row>
    <row r="44" spans="1:8" ht="16.2" x14ac:dyDescent="0.4">
      <c r="A44" s="15" t="str">
        <f t="shared" si="0"/>
        <v>cd_imv_out_trz_cred_prccknumcta</v>
      </c>
      <c r="B44" s="46" t="s">
        <v>10</v>
      </c>
      <c r="C44" s="43" t="s">
        <v>30</v>
      </c>
      <c r="D44" s="39" t="s">
        <v>17</v>
      </c>
      <c r="E44" s="40" t="s">
        <v>32</v>
      </c>
      <c r="F44" s="39" t="s">
        <v>35</v>
      </c>
      <c r="G44" s="41" t="s">
        <v>431</v>
      </c>
      <c r="H44" s="57" t="s">
        <v>441</v>
      </c>
    </row>
    <row r="45" spans="1:8" ht="16.2" x14ac:dyDescent="0.4">
      <c r="A45" s="15" t="str">
        <f t="shared" si="0"/>
        <v>cd_imv_out_trz_cred_prcckrefresp</v>
      </c>
      <c r="B45" s="46" t="s">
        <v>10</v>
      </c>
      <c r="C45" s="43" t="s">
        <v>30</v>
      </c>
      <c r="D45" s="39" t="s">
        <v>17</v>
      </c>
      <c r="E45" s="40" t="s">
        <v>32</v>
      </c>
      <c r="F45" s="39" t="s">
        <v>53</v>
      </c>
      <c r="G45" s="41" t="s">
        <v>431</v>
      </c>
      <c r="H45" s="57" t="s">
        <v>441</v>
      </c>
    </row>
    <row r="46" spans="1:8" ht="16.2" x14ac:dyDescent="0.4">
      <c r="A46" s="15" t="str">
        <f t="shared" si="0"/>
        <v>cd_imv_out_trz_cred_prccod_fnld</v>
      </c>
      <c r="B46" s="46" t="s">
        <v>10</v>
      </c>
      <c r="C46" s="43" t="s">
        <v>30</v>
      </c>
      <c r="D46" s="39" t="s">
        <v>17</v>
      </c>
      <c r="E46" s="40" t="s">
        <v>32</v>
      </c>
      <c r="F46" s="39" t="s">
        <v>54</v>
      </c>
      <c r="G46" s="41" t="s">
        <v>151</v>
      </c>
      <c r="H46" s="48"/>
    </row>
    <row r="47" spans="1:8" ht="16.2" x14ac:dyDescent="0.4">
      <c r="A47" s="15" t="str">
        <f t="shared" si="0"/>
        <v>cd_imv_out_trz_cred_prccod_ocupacao</v>
      </c>
      <c r="B47" s="46" t="s">
        <v>10</v>
      </c>
      <c r="C47" s="43" t="s">
        <v>30</v>
      </c>
      <c r="D47" s="39" t="s">
        <v>17</v>
      </c>
      <c r="E47" s="40" t="s">
        <v>32</v>
      </c>
      <c r="F47" s="39" t="s">
        <v>55</v>
      </c>
      <c r="G47" s="41" t="s">
        <v>151</v>
      </c>
      <c r="H47" s="48"/>
    </row>
    <row r="48" spans="1:8" ht="16.2" x14ac:dyDescent="0.4">
      <c r="A48" s="15" t="str">
        <f t="shared" si="0"/>
        <v>cd_imv_out_trz_cred_prccod_prd_resp</v>
      </c>
      <c r="B48" s="46" t="s">
        <v>10</v>
      </c>
      <c r="C48" s="43" t="s">
        <v>30</v>
      </c>
      <c r="D48" s="39" t="s">
        <v>17</v>
      </c>
      <c r="E48" s="40" t="s">
        <v>32</v>
      </c>
      <c r="F48" s="39" t="s">
        <v>56</v>
      </c>
      <c r="G48" s="41" t="s">
        <v>151</v>
      </c>
      <c r="H48" s="48"/>
    </row>
    <row r="49" spans="1:8" ht="16.2" x14ac:dyDescent="0.4">
      <c r="A49" s="15" t="str">
        <f t="shared" si="0"/>
        <v>cd_imv_out_trz_cred_prccod_sit</v>
      </c>
      <c r="B49" s="46" t="s">
        <v>10</v>
      </c>
      <c r="C49" s="43" t="s">
        <v>30</v>
      </c>
      <c r="D49" s="39" t="s">
        <v>17</v>
      </c>
      <c r="E49" s="40" t="s">
        <v>32</v>
      </c>
      <c r="F49" s="39" t="s">
        <v>57</v>
      </c>
      <c r="G49" s="41" t="s">
        <v>430</v>
      </c>
      <c r="H49" s="48" t="s">
        <v>442</v>
      </c>
    </row>
    <row r="50" spans="1:8" ht="16.2" x14ac:dyDescent="0.4">
      <c r="A50" s="15" t="str">
        <f t="shared" si="0"/>
        <v>cd_imv_out_trz_cred_prccod_sprd_resp</v>
      </c>
      <c r="B50" s="46" t="s">
        <v>10</v>
      </c>
      <c r="C50" s="43" t="s">
        <v>30</v>
      </c>
      <c r="D50" s="39" t="s">
        <v>17</v>
      </c>
      <c r="E50" s="40" t="s">
        <v>32</v>
      </c>
      <c r="F50" s="39" t="s">
        <v>58</v>
      </c>
      <c r="G50" s="41" t="s">
        <v>151</v>
      </c>
      <c r="H50" s="48"/>
    </row>
    <row r="51" spans="1:8" ht="16.2" x14ac:dyDescent="0.4">
      <c r="A51" s="15" t="str">
        <f t="shared" si="0"/>
        <v>cd_imv_out_trz_cred_prccomp_id_gar</v>
      </c>
      <c r="B51" s="46" t="s">
        <v>10</v>
      </c>
      <c r="C51" s="43" t="s">
        <v>30</v>
      </c>
      <c r="D51" s="39" t="s">
        <v>17</v>
      </c>
      <c r="E51" s="40" t="s">
        <v>32</v>
      </c>
      <c r="F51" s="39" t="s">
        <v>43</v>
      </c>
      <c r="G51" s="41" t="s">
        <v>151</v>
      </c>
      <c r="H51" s="48"/>
    </row>
    <row r="52" spans="1:8" ht="16.2" x14ac:dyDescent="0.4">
      <c r="A52" s="15" t="str">
        <f t="shared" si="0"/>
        <v>cd_imv_out_trz_cred_prcdata_fim</v>
      </c>
      <c r="B52" s="46" t="s">
        <v>10</v>
      </c>
      <c r="C52" s="43" t="s">
        <v>30</v>
      </c>
      <c r="D52" s="39" t="s">
        <v>17</v>
      </c>
      <c r="E52" s="40" t="s">
        <v>32</v>
      </c>
      <c r="F52" s="39" t="s">
        <v>59</v>
      </c>
      <c r="G52" s="41" t="s">
        <v>151</v>
      </c>
      <c r="H52" s="48"/>
    </row>
    <row r="53" spans="1:8" ht="16.2" x14ac:dyDescent="0.4">
      <c r="A53" s="15" t="str">
        <f t="shared" si="0"/>
        <v>cd_imv_out_trz_cred_prcdata_inicio</v>
      </c>
      <c r="B53" s="46" t="s">
        <v>10</v>
      </c>
      <c r="C53" s="43" t="s">
        <v>30</v>
      </c>
      <c r="D53" s="39" t="s">
        <v>17</v>
      </c>
      <c r="E53" s="40" t="s">
        <v>32</v>
      </c>
      <c r="F53" s="39" t="s">
        <v>44</v>
      </c>
      <c r="G53" s="41" t="s">
        <v>151</v>
      </c>
      <c r="H53" s="48"/>
    </row>
    <row r="54" spans="1:8" ht="16.2" x14ac:dyDescent="0.4">
      <c r="A54" s="15" t="str">
        <f t="shared" si="0"/>
        <v>cd_imv_out_trz_cred_prcdata_vcmt</v>
      </c>
      <c r="B54" s="46" t="s">
        <v>10</v>
      </c>
      <c r="C54" s="43" t="s">
        <v>30</v>
      </c>
      <c r="D54" s="39" t="s">
        <v>17</v>
      </c>
      <c r="E54" s="40" t="s">
        <v>32</v>
      </c>
      <c r="F54" s="39" t="s">
        <v>45</v>
      </c>
      <c r="G54" s="41" t="s">
        <v>151</v>
      </c>
      <c r="H54" s="48"/>
    </row>
    <row r="55" spans="1:8" ht="16.2" x14ac:dyDescent="0.4">
      <c r="A55" s="15" t="str">
        <f t="shared" si="0"/>
        <v>cd_imv_out_trz_cred_prcidetgar</v>
      </c>
      <c r="B55" s="46" t="s">
        <v>10</v>
      </c>
      <c r="C55" s="43" t="s">
        <v>30</v>
      </c>
      <c r="D55" s="39" t="s">
        <v>17</v>
      </c>
      <c r="E55" s="40" t="s">
        <v>32</v>
      </c>
      <c r="F55" s="39" t="s">
        <v>60</v>
      </c>
      <c r="G55" s="41" t="s">
        <v>430</v>
      </c>
      <c r="H55" s="48" t="s">
        <v>442</v>
      </c>
    </row>
    <row r="56" spans="1:8" ht="16.2" x14ac:dyDescent="0.4">
      <c r="A56" s="15" t="str">
        <f t="shared" si="0"/>
        <v>cd_imv_out_trz_cred_prcnum_prop</v>
      </c>
      <c r="B56" s="46" t="s">
        <v>10</v>
      </c>
      <c r="C56" s="43" t="s">
        <v>30</v>
      </c>
      <c r="D56" s="39" t="s">
        <v>17</v>
      </c>
      <c r="E56" s="40" t="s">
        <v>32</v>
      </c>
      <c r="F56" s="39" t="s">
        <v>61</v>
      </c>
      <c r="G56" s="41" t="s">
        <v>430</v>
      </c>
      <c r="H56" s="48" t="s">
        <v>442</v>
      </c>
    </row>
    <row r="57" spans="1:8" ht="16.2" x14ac:dyDescent="0.4">
      <c r="A57" s="15" t="str">
        <f t="shared" si="0"/>
        <v>cd_imv_out_trz_cred_prcorigem</v>
      </c>
      <c r="B57" s="46" t="s">
        <v>10</v>
      </c>
      <c r="C57" s="43" t="s">
        <v>30</v>
      </c>
      <c r="D57" s="39" t="s">
        <v>17</v>
      </c>
      <c r="E57" s="40" t="s">
        <v>32</v>
      </c>
      <c r="F57" s="39" t="s">
        <v>48</v>
      </c>
      <c r="G57" s="41" t="s">
        <v>151</v>
      </c>
      <c r="H57" s="48"/>
    </row>
    <row r="58" spans="1:8" ht="16.2" x14ac:dyDescent="0.4">
      <c r="A58" s="15" t="str">
        <f t="shared" si="0"/>
        <v>cd_imv_out_trz_cred_prcref_date</v>
      </c>
      <c r="B58" s="46" t="s">
        <v>10</v>
      </c>
      <c r="C58" s="43" t="s">
        <v>30</v>
      </c>
      <c r="D58" s="39" t="s">
        <v>17</v>
      </c>
      <c r="E58" s="40" t="s">
        <v>32</v>
      </c>
      <c r="F58" s="39" t="s">
        <v>49</v>
      </c>
      <c r="G58" s="41" t="s">
        <v>151</v>
      </c>
      <c r="H58" s="48"/>
    </row>
    <row r="59" spans="1:8" ht="16.2" x14ac:dyDescent="0.4">
      <c r="A59" s="15" t="str">
        <f t="shared" si="0"/>
        <v>cd_imv_out_trz_prc_bens_imvn.a.</v>
      </c>
      <c r="B59" s="46" t="s">
        <v>10</v>
      </c>
      <c r="C59" s="43" t="s">
        <v>30</v>
      </c>
      <c r="D59" s="39" t="s">
        <v>14</v>
      </c>
      <c r="E59" s="40" t="s">
        <v>62</v>
      </c>
      <c r="F59" s="39" t="s">
        <v>16</v>
      </c>
      <c r="G59" s="41" t="s">
        <v>151</v>
      </c>
      <c r="H59" s="48"/>
    </row>
    <row r="60" spans="1:8" ht="16.2" x14ac:dyDescent="0.4">
      <c r="A60" s="15" t="str">
        <f t="shared" si="0"/>
        <v>cd_imv_out_trz_prc_bens_imvcempbem</v>
      </c>
      <c r="B60" s="46" t="s">
        <v>10</v>
      </c>
      <c r="C60" s="43" t="s">
        <v>30</v>
      </c>
      <c r="D60" s="39" t="s">
        <v>17</v>
      </c>
      <c r="E60" s="40" t="s">
        <v>62</v>
      </c>
      <c r="F60" s="39" t="s">
        <v>18</v>
      </c>
      <c r="G60" s="41" t="s">
        <v>431</v>
      </c>
      <c r="H60" s="57"/>
    </row>
    <row r="61" spans="1:8" ht="16.2" x14ac:dyDescent="0.4">
      <c r="A61" s="15" t="str">
        <f t="shared" si="0"/>
        <v>cd_imv_out_trz_prc_bens_imvcempresa</v>
      </c>
      <c r="B61" s="46" t="s">
        <v>10</v>
      </c>
      <c r="C61" s="43" t="s">
        <v>30</v>
      </c>
      <c r="D61" s="39" t="s">
        <v>17</v>
      </c>
      <c r="E61" s="40" t="s">
        <v>62</v>
      </c>
      <c r="F61" s="39" t="s">
        <v>33</v>
      </c>
      <c r="G61" s="41" t="s">
        <v>431</v>
      </c>
      <c r="H61" s="57" t="s">
        <v>441</v>
      </c>
    </row>
    <row r="62" spans="1:8" ht="16.2" x14ac:dyDescent="0.4">
      <c r="A62" s="15" t="str">
        <f t="shared" si="0"/>
        <v>cd_imv_out_trz_prc_bens_imvckbalbem</v>
      </c>
      <c r="B62" s="46" t="s">
        <v>10</v>
      </c>
      <c r="C62" s="43" t="s">
        <v>30</v>
      </c>
      <c r="D62" s="39" t="s">
        <v>17</v>
      </c>
      <c r="E62" s="40" t="s">
        <v>62</v>
      </c>
      <c r="F62" s="39" t="s">
        <v>20</v>
      </c>
      <c r="G62" s="41" t="s">
        <v>431</v>
      </c>
      <c r="H62" s="57" t="s">
        <v>441</v>
      </c>
    </row>
    <row r="63" spans="1:8" ht="16.2" x14ac:dyDescent="0.4">
      <c r="A63" s="15" t="str">
        <f t="shared" si="0"/>
        <v>cd_imv_out_trz_prc_bens_imvckbalcao</v>
      </c>
      <c r="B63" s="46" t="s">
        <v>10</v>
      </c>
      <c r="C63" s="43" t="s">
        <v>30</v>
      </c>
      <c r="D63" s="39" t="s">
        <v>17</v>
      </c>
      <c r="E63" s="40" t="s">
        <v>62</v>
      </c>
      <c r="F63" s="39" t="s">
        <v>34</v>
      </c>
      <c r="G63" s="41" t="s">
        <v>431</v>
      </c>
      <c r="H63" s="57" t="s">
        <v>441</v>
      </c>
    </row>
    <row r="64" spans="1:8" ht="16.2" x14ac:dyDescent="0.4">
      <c r="A64" s="15" t="str">
        <f t="shared" si="0"/>
        <v>cd_imv_out_trz_prc_bens_imvckctabem</v>
      </c>
      <c r="B64" s="46" t="s">
        <v>10</v>
      </c>
      <c r="C64" s="43" t="s">
        <v>30</v>
      </c>
      <c r="D64" s="39" t="s">
        <v>17</v>
      </c>
      <c r="E64" s="40" t="s">
        <v>62</v>
      </c>
      <c r="F64" s="39" t="s">
        <v>21</v>
      </c>
      <c r="G64" s="41" t="s">
        <v>431</v>
      </c>
      <c r="H64" s="57" t="s">
        <v>441</v>
      </c>
    </row>
    <row r="65" spans="1:8" ht="16.2" x14ac:dyDescent="0.4">
      <c r="A65" s="15" t="str">
        <f t="shared" si="0"/>
        <v>cd_imv_out_trz_prc_bens_imvcknumcta</v>
      </c>
      <c r="B65" s="46" t="s">
        <v>10</v>
      </c>
      <c r="C65" s="43" t="s">
        <v>30</v>
      </c>
      <c r="D65" s="39" t="s">
        <v>17</v>
      </c>
      <c r="E65" s="40" t="s">
        <v>62</v>
      </c>
      <c r="F65" s="39" t="s">
        <v>35</v>
      </c>
      <c r="G65" s="41" t="s">
        <v>431</v>
      </c>
      <c r="H65" s="57" t="s">
        <v>441</v>
      </c>
    </row>
    <row r="66" spans="1:8" ht="16.2" x14ac:dyDescent="0.4">
      <c r="A66" s="15" t="str">
        <f t="shared" si="0"/>
        <v>cd_imv_out_trz_prc_bens_imvckrefbem</v>
      </c>
      <c r="B66" s="46" t="s">
        <v>10</v>
      </c>
      <c r="C66" s="43" t="s">
        <v>30</v>
      </c>
      <c r="D66" s="39" t="s">
        <v>17</v>
      </c>
      <c r="E66" s="40" t="s">
        <v>62</v>
      </c>
      <c r="F66" s="39" t="s">
        <v>22</v>
      </c>
      <c r="G66" s="41" t="s">
        <v>431</v>
      </c>
      <c r="H66" s="57"/>
    </row>
    <row r="67" spans="1:8" ht="16.2" x14ac:dyDescent="0.4">
      <c r="A67" s="15" t="str">
        <f t="shared" si="0"/>
        <v>cd_imv_out_trz_prc_bens_imvcomp_id_gar</v>
      </c>
      <c r="B67" s="46" t="s">
        <v>10</v>
      </c>
      <c r="C67" s="43" t="s">
        <v>30</v>
      </c>
      <c r="D67" s="39" t="s">
        <v>17</v>
      </c>
      <c r="E67" s="40" t="s">
        <v>62</v>
      </c>
      <c r="F67" s="39" t="s">
        <v>43</v>
      </c>
      <c r="G67" s="41" t="s">
        <v>431</v>
      </c>
      <c r="H67" s="48"/>
    </row>
    <row r="68" spans="1:8" ht="16.2" x14ac:dyDescent="0.4">
      <c r="A68" s="15" t="str">
        <f t="shared" si="0"/>
        <v>cd_imv_out_trz_prc_bens_imvdata_assc</v>
      </c>
      <c r="B68" s="46" t="s">
        <v>10</v>
      </c>
      <c r="C68" s="43" t="s">
        <v>30</v>
      </c>
      <c r="D68" s="39" t="s">
        <v>17</v>
      </c>
      <c r="E68" s="40" t="s">
        <v>62</v>
      </c>
      <c r="F68" s="39" t="s">
        <v>63</v>
      </c>
      <c r="G68" s="41" t="s">
        <v>430</v>
      </c>
      <c r="H68" s="48" t="s">
        <v>442</v>
      </c>
    </row>
    <row r="69" spans="1:8" ht="16.2" x14ac:dyDescent="0.4">
      <c r="A69" s="15" t="str">
        <f t="shared" si="0"/>
        <v>cd_imv_out_trz_prc_bens_imvflg_adj</v>
      </c>
      <c r="B69" s="46" t="s">
        <v>10</v>
      </c>
      <c r="C69" s="43" t="s">
        <v>30</v>
      </c>
      <c r="D69" s="39" t="s">
        <v>17</v>
      </c>
      <c r="E69" s="40" t="s">
        <v>62</v>
      </c>
      <c r="F69" s="39" t="s">
        <v>64</v>
      </c>
      <c r="G69" s="41" t="s">
        <v>431</v>
      </c>
      <c r="H69" s="57"/>
    </row>
    <row r="70" spans="1:8" ht="16.2" x14ac:dyDescent="0.4">
      <c r="A70" s="15" t="str">
        <f t="shared" si="0"/>
        <v>cd_imv_out_trz_prc_bens_imvflg_col</v>
      </c>
      <c r="B70" s="46" t="s">
        <v>10</v>
      </c>
      <c r="C70" s="43" t="s">
        <v>30</v>
      </c>
      <c r="D70" s="39" t="s">
        <v>17</v>
      </c>
      <c r="E70" s="40" t="s">
        <v>62</v>
      </c>
      <c r="F70" s="39" t="s">
        <v>65</v>
      </c>
      <c r="G70" s="41" t="s">
        <v>431</v>
      </c>
      <c r="H70" s="57"/>
    </row>
    <row r="71" spans="1:8" ht="16.2" x14ac:dyDescent="0.4">
      <c r="A71" s="15" t="str">
        <f t="shared" si="0"/>
        <v>cd_imv_out_trz_prc_bens_imvflg_fin</v>
      </c>
      <c r="B71" s="46" t="s">
        <v>10</v>
      </c>
      <c r="C71" s="43" t="s">
        <v>30</v>
      </c>
      <c r="D71" s="39" t="s">
        <v>17</v>
      </c>
      <c r="E71" s="40" t="s">
        <v>62</v>
      </c>
      <c r="F71" s="39" t="s">
        <v>66</v>
      </c>
      <c r="G71" s="41" t="s">
        <v>431</v>
      </c>
      <c r="H71" s="57"/>
    </row>
    <row r="72" spans="1:8" ht="16.2" x14ac:dyDescent="0.4">
      <c r="A72" s="15" t="str">
        <f t="shared" ref="A72:A135" si="1">E72&amp;F72</f>
        <v>cd_imv_out_trz_prc_bens_imvflg_pro</v>
      </c>
      <c r="B72" s="46" t="s">
        <v>10</v>
      </c>
      <c r="C72" s="43" t="s">
        <v>30</v>
      </c>
      <c r="D72" s="39" t="s">
        <v>17</v>
      </c>
      <c r="E72" s="40" t="s">
        <v>62</v>
      </c>
      <c r="F72" s="39" t="s">
        <v>67</v>
      </c>
      <c r="G72" s="41" t="s">
        <v>431</v>
      </c>
      <c r="H72" s="57"/>
    </row>
    <row r="73" spans="1:8" ht="16.2" x14ac:dyDescent="0.4">
      <c r="A73" s="15" t="str">
        <f t="shared" si="1"/>
        <v>cd_imv_out_trz_prc_bens_imvorigem</v>
      </c>
      <c r="B73" s="46" t="s">
        <v>10</v>
      </c>
      <c r="C73" s="43" t="s">
        <v>30</v>
      </c>
      <c r="D73" s="39" t="s">
        <v>17</v>
      </c>
      <c r="E73" s="40" t="s">
        <v>62</v>
      </c>
      <c r="F73" s="39" t="s">
        <v>48</v>
      </c>
      <c r="G73" s="41" t="s">
        <v>431</v>
      </c>
      <c r="H73" s="57"/>
    </row>
    <row r="74" spans="1:8" ht="16.2" x14ac:dyDescent="0.4">
      <c r="A74" s="15" t="str">
        <f t="shared" si="1"/>
        <v>cd_imv_out_trz_prc_bens_imvref_date</v>
      </c>
      <c r="B74" s="46" t="s">
        <v>10</v>
      </c>
      <c r="C74" s="43" t="s">
        <v>30</v>
      </c>
      <c r="D74" s="39" t="s">
        <v>17</v>
      </c>
      <c r="E74" s="40" t="s">
        <v>62</v>
      </c>
      <c r="F74" s="39" t="s">
        <v>49</v>
      </c>
      <c r="G74" s="41" t="s">
        <v>431</v>
      </c>
      <c r="H74" s="57"/>
    </row>
    <row r="75" spans="1:8" ht="16.2" x14ac:dyDescent="0.4">
      <c r="A75" s="15" t="str">
        <f t="shared" si="1"/>
        <v>cd_imv_out_bensn.a.</v>
      </c>
      <c r="B75" s="46" t="s">
        <v>10</v>
      </c>
      <c r="C75" s="43" t="s">
        <v>30</v>
      </c>
      <c r="D75" s="39" t="s">
        <v>14</v>
      </c>
      <c r="E75" s="40" t="s">
        <v>68</v>
      </c>
      <c r="F75" s="39" t="s">
        <v>16</v>
      </c>
      <c r="G75" s="41" t="s">
        <v>431</v>
      </c>
      <c r="H75" s="48"/>
    </row>
    <row r="76" spans="1:8" ht="16.2" x14ac:dyDescent="0.4">
      <c r="A76" s="15" t="str">
        <f t="shared" si="1"/>
        <v>cd_imv_out_bensano_construcao</v>
      </c>
      <c r="B76" s="46" t="s">
        <v>10</v>
      </c>
      <c r="C76" s="43" t="s">
        <v>30</v>
      </c>
      <c r="D76" s="39" t="s">
        <v>17</v>
      </c>
      <c r="E76" s="40" t="s">
        <v>68</v>
      </c>
      <c r="F76" s="39" t="s">
        <v>69</v>
      </c>
      <c r="G76" s="41" t="s">
        <v>434</v>
      </c>
      <c r="H76" s="48"/>
    </row>
    <row r="77" spans="1:8" ht="16.2" x14ac:dyDescent="0.4">
      <c r="A77" s="15" t="str">
        <f t="shared" si="1"/>
        <v>cd_imv_out_bensarea_util</v>
      </c>
      <c r="B77" s="46" t="s">
        <v>10</v>
      </c>
      <c r="C77" s="43" t="s">
        <v>30</v>
      </c>
      <c r="D77" s="39" t="s">
        <v>17</v>
      </c>
      <c r="E77" s="40" t="s">
        <v>68</v>
      </c>
      <c r="F77" s="39" t="s">
        <v>70</v>
      </c>
      <c r="G77" s="41" t="s">
        <v>431</v>
      </c>
      <c r="H77" s="48"/>
    </row>
    <row r="78" spans="1:8" ht="16.2" x14ac:dyDescent="0.4">
      <c r="A78" s="15" t="str">
        <f t="shared" si="1"/>
        <v>cd_imv_out_benscempbem</v>
      </c>
      <c r="B78" s="46" t="s">
        <v>10</v>
      </c>
      <c r="C78" s="43" t="s">
        <v>30</v>
      </c>
      <c r="D78" s="39" t="s">
        <v>17</v>
      </c>
      <c r="E78" s="40" t="s">
        <v>68</v>
      </c>
      <c r="F78" s="39" t="s">
        <v>18</v>
      </c>
      <c r="G78" s="41" t="s">
        <v>431</v>
      </c>
      <c r="H78" s="57"/>
    </row>
    <row r="79" spans="1:8" ht="16.2" x14ac:dyDescent="0.4">
      <c r="A79" s="15" t="str">
        <f t="shared" si="1"/>
        <v>cd_imv_out_bensckbalbem</v>
      </c>
      <c r="B79" s="46" t="s">
        <v>10</v>
      </c>
      <c r="C79" s="43" t="s">
        <v>30</v>
      </c>
      <c r="D79" s="39" t="s">
        <v>17</v>
      </c>
      <c r="E79" s="40" t="s">
        <v>68</v>
      </c>
      <c r="F79" s="39" t="s">
        <v>20</v>
      </c>
      <c r="G79" s="41" t="s">
        <v>431</v>
      </c>
      <c r="H79" s="57"/>
    </row>
    <row r="80" spans="1:8" ht="16.2" x14ac:dyDescent="0.4">
      <c r="A80" s="15" t="str">
        <f t="shared" si="1"/>
        <v>cd_imv_out_bensckctabem</v>
      </c>
      <c r="B80" s="46" t="s">
        <v>10</v>
      </c>
      <c r="C80" s="43" t="s">
        <v>30</v>
      </c>
      <c r="D80" s="39" t="s">
        <v>17</v>
      </c>
      <c r="E80" s="40" t="s">
        <v>68</v>
      </c>
      <c r="F80" s="39" t="s">
        <v>21</v>
      </c>
      <c r="G80" s="41" t="s">
        <v>431</v>
      </c>
      <c r="H80" s="57"/>
    </row>
    <row r="81" spans="1:8" ht="16.2" x14ac:dyDescent="0.4">
      <c r="A81" s="15" t="str">
        <f t="shared" si="1"/>
        <v>cd_imv_out_bensckrefbem</v>
      </c>
      <c r="B81" s="46" t="s">
        <v>10</v>
      </c>
      <c r="C81" s="43" t="s">
        <v>30</v>
      </c>
      <c r="D81" s="39" t="s">
        <v>17</v>
      </c>
      <c r="E81" s="40" t="s">
        <v>68</v>
      </c>
      <c r="F81" s="39" t="s">
        <v>22</v>
      </c>
      <c r="G81" s="41" t="s">
        <v>431</v>
      </c>
      <c r="H81" s="57"/>
    </row>
    <row r="82" spans="1:8" ht="16.2" x14ac:dyDescent="0.4">
      <c r="A82" s="15" t="str">
        <f t="shared" si="1"/>
        <v>cd_imv_out_benscod_art_matr</v>
      </c>
      <c r="B82" s="46" t="s">
        <v>10</v>
      </c>
      <c r="C82" s="43" t="s">
        <v>30</v>
      </c>
      <c r="D82" s="39" t="s">
        <v>17</v>
      </c>
      <c r="E82" s="40" t="s">
        <v>68</v>
      </c>
      <c r="F82" s="39" t="s">
        <v>71</v>
      </c>
      <c r="G82" s="41" t="s">
        <v>434</v>
      </c>
      <c r="H82" s="57"/>
    </row>
    <row r="83" spans="1:8" ht="16.2" x14ac:dyDescent="0.4">
      <c r="A83" s="15" t="str">
        <f t="shared" si="1"/>
        <v>cd_imv_out_benscod_avl</v>
      </c>
      <c r="B83" s="46" t="s">
        <v>10</v>
      </c>
      <c r="C83" s="43" t="s">
        <v>30</v>
      </c>
      <c r="D83" s="39" t="s">
        <v>17</v>
      </c>
      <c r="E83" s="40" t="s">
        <v>68</v>
      </c>
      <c r="F83" s="39" t="s">
        <v>72</v>
      </c>
      <c r="G83" s="41" t="s">
        <v>431</v>
      </c>
      <c r="H83" s="57"/>
    </row>
    <row r="84" spans="1:8" ht="16.2" x14ac:dyDescent="0.4">
      <c r="A84" s="15" t="str">
        <f t="shared" si="1"/>
        <v>cd_imv_out_benscod_bem</v>
      </c>
      <c r="B84" s="46" t="s">
        <v>10</v>
      </c>
      <c r="C84" s="43" t="s">
        <v>30</v>
      </c>
      <c r="D84" s="39" t="s">
        <v>17</v>
      </c>
      <c r="E84" s="40" t="s">
        <v>68</v>
      </c>
      <c r="F84" s="39" t="s">
        <v>73</v>
      </c>
      <c r="G84" s="41" t="s">
        <v>430</v>
      </c>
      <c r="H84" s="48" t="s">
        <v>442</v>
      </c>
    </row>
    <row r="85" spans="1:8" ht="16.2" x14ac:dyDescent="0.4">
      <c r="A85" s="15" t="str">
        <f t="shared" si="1"/>
        <v>cd_imv_out_benscod_disconf</v>
      </c>
      <c r="B85" s="46" t="s">
        <v>10</v>
      </c>
      <c r="C85" s="43" t="s">
        <v>30</v>
      </c>
      <c r="D85" s="39" t="s">
        <v>17</v>
      </c>
      <c r="E85" s="40" t="s">
        <v>68</v>
      </c>
      <c r="F85" s="39" t="s">
        <v>74</v>
      </c>
      <c r="G85" s="41" t="s">
        <v>434</v>
      </c>
      <c r="H85" s="57"/>
    </row>
    <row r="86" spans="1:8" ht="16.2" x14ac:dyDescent="0.4">
      <c r="A86" s="15" t="str">
        <f t="shared" si="1"/>
        <v>cd_imv_out_benscod_fin_bem</v>
      </c>
      <c r="B86" s="46" t="s">
        <v>10</v>
      </c>
      <c r="C86" s="43" t="s">
        <v>30</v>
      </c>
      <c r="D86" s="39" t="s">
        <v>17</v>
      </c>
      <c r="E86" s="40" t="s">
        <v>68</v>
      </c>
      <c r="F86" s="39" t="s">
        <v>75</v>
      </c>
      <c r="G86" s="41" t="s">
        <v>434</v>
      </c>
      <c r="H86" s="57"/>
    </row>
    <row r="87" spans="1:8" ht="16.2" x14ac:dyDescent="0.4">
      <c r="A87" s="15" t="str">
        <f t="shared" si="1"/>
        <v>cd_imv_out_benscod_idd_pred</v>
      </c>
      <c r="B87" s="46" t="s">
        <v>10</v>
      </c>
      <c r="C87" s="43" t="s">
        <v>30</v>
      </c>
      <c r="D87" s="39" t="s">
        <v>17</v>
      </c>
      <c r="E87" s="40" t="s">
        <v>68</v>
      </c>
      <c r="F87" s="39" t="s">
        <v>76</v>
      </c>
      <c r="G87" s="41" t="s">
        <v>431</v>
      </c>
      <c r="H87" s="57"/>
    </row>
    <row r="88" spans="1:8" ht="16.2" x14ac:dyDescent="0.4">
      <c r="A88" s="15" t="str">
        <f t="shared" si="1"/>
        <v>cd_imv_out_benscod_morada</v>
      </c>
      <c r="B88" s="46" t="s">
        <v>10</v>
      </c>
      <c r="C88" s="43" t="s">
        <v>30</v>
      </c>
      <c r="D88" s="39" t="s">
        <v>17</v>
      </c>
      <c r="E88" s="40" t="s">
        <v>68</v>
      </c>
      <c r="F88" s="39" t="s">
        <v>77</v>
      </c>
      <c r="G88" s="41" t="s">
        <v>431</v>
      </c>
      <c r="H88" s="57"/>
    </row>
    <row r="89" spans="1:8" ht="16.2" x14ac:dyDescent="0.4">
      <c r="A89" s="15" t="str">
        <f t="shared" si="1"/>
        <v>cd_imv_out_benscod_pais</v>
      </c>
      <c r="B89" s="46" t="s">
        <v>10</v>
      </c>
      <c r="C89" s="43" t="s">
        <v>30</v>
      </c>
      <c r="D89" s="39" t="s">
        <v>17</v>
      </c>
      <c r="E89" s="40" t="s">
        <v>68</v>
      </c>
      <c r="F89" s="39" t="s">
        <v>78</v>
      </c>
      <c r="G89" s="41" t="s">
        <v>431</v>
      </c>
      <c r="H89" s="57"/>
    </row>
    <row r="90" spans="1:8" ht="16.2" x14ac:dyDescent="0.4">
      <c r="A90" s="15" t="str">
        <f t="shared" si="1"/>
        <v>cd_imv_out_benscod_post</v>
      </c>
      <c r="B90" s="46" t="s">
        <v>10</v>
      </c>
      <c r="C90" s="43" t="s">
        <v>30</v>
      </c>
      <c r="D90" s="39" t="s">
        <v>17</v>
      </c>
      <c r="E90" s="40" t="s">
        <v>68</v>
      </c>
      <c r="F90" s="39" t="s">
        <v>79</v>
      </c>
      <c r="G90" s="41" t="s">
        <v>434</v>
      </c>
      <c r="H90" s="57"/>
    </row>
    <row r="91" spans="1:8" ht="16.2" x14ac:dyDescent="0.4">
      <c r="A91" s="15" t="str">
        <f t="shared" si="1"/>
        <v>cd_imv_out_benscod_tp_bem</v>
      </c>
      <c r="B91" s="46" t="s">
        <v>10</v>
      </c>
      <c r="C91" s="43" t="s">
        <v>30</v>
      </c>
      <c r="D91" s="39" t="s">
        <v>17</v>
      </c>
      <c r="E91" s="40" t="s">
        <v>68</v>
      </c>
      <c r="F91" s="39" t="s">
        <v>80</v>
      </c>
      <c r="G91" s="41" t="s">
        <v>434</v>
      </c>
      <c r="H91" s="57"/>
    </row>
    <row r="92" spans="1:8" ht="16.2" x14ac:dyDescent="0.4">
      <c r="A92" s="15" t="str">
        <f t="shared" si="1"/>
        <v>cd_imv_out_bensdata_avl</v>
      </c>
      <c r="B92" s="46" t="s">
        <v>10</v>
      </c>
      <c r="C92" s="43" t="s">
        <v>30</v>
      </c>
      <c r="D92" s="39" t="s">
        <v>17</v>
      </c>
      <c r="E92" s="40" t="s">
        <v>68</v>
      </c>
      <c r="F92" s="39" t="s">
        <v>81</v>
      </c>
      <c r="G92" s="41" t="s">
        <v>431</v>
      </c>
      <c r="H92" s="57"/>
    </row>
    <row r="93" spans="1:8" ht="16.2" x14ac:dyDescent="0.4">
      <c r="A93" s="15" t="str">
        <f t="shared" si="1"/>
        <v>cd_imv_out_bensdata_lic_util</v>
      </c>
      <c r="B93" s="46" t="s">
        <v>10</v>
      </c>
      <c r="C93" s="43" t="s">
        <v>30</v>
      </c>
      <c r="D93" s="39" t="s">
        <v>17</v>
      </c>
      <c r="E93" s="40" t="s">
        <v>68</v>
      </c>
      <c r="F93" s="39" t="s">
        <v>82</v>
      </c>
      <c r="G93" s="41" t="s">
        <v>431</v>
      </c>
      <c r="H93" s="57"/>
    </row>
    <row r="94" spans="1:8" ht="16.2" x14ac:dyDescent="0.4">
      <c r="A94" s="15" t="str">
        <f t="shared" si="1"/>
        <v>cd_imv_out_bensficha</v>
      </c>
      <c r="B94" s="46" t="s">
        <v>10</v>
      </c>
      <c r="C94" s="43" t="s">
        <v>30</v>
      </c>
      <c r="D94" s="39" t="s">
        <v>17</v>
      </c>
      <c r="E94" s="40" t="s">
        <v>68</v>
      </c>
      <c r="F94" s="39" t="s">
        <v>83</v>
      </c>
      <c r="G94" s="41" t="s">
        <v>431</v>
      </c>
      <c r="H94" s="57"/>
    </row>
    <row r="95" spans="1:8" ht="16.2" x14ac:dyDescent="0.4">
      <c r="A95" s="15" t="str">
        <f t="shared" si="1"/>
        <v>cd_imv_out_bensid_frac</v>
      </c>
      <c r="B95" s="46" t="s">
        <v>10</v>
      </c>
      <c r="C95" s="43" t="s">
        <v>30</v>
      </c>
      <c r="D95" s="39" t="s">
        <v>17</v>
      </c>
      <c r="E95" s="40" t="s">
        <v>68</v>
      </c>
      <c r="F95" s="39" t="s">
        <v>84</v>
      </c>
      <c r="G95" s="41" t="s">
        <v>431</v>
      </c>
      <c r="H95" s="57"/>
    </row>
    <row r="96" spans="1:8" ht="16.2" x14ac:dyDescent="0.4">
      <c r="A96" s="15" t="str">
        <f t="shared" si="1"/>
        <v>cd_imv_out_benslocalid</v>
      </c>
      <c r="B96" s="46" t="s">
        <v>10</v>
      </c>
      <c r="C96" s="43" t="s">
        <v>30</v>
      </c>
      <c r="D96" s="39" t="s">
        <v>17</v>
      </c>
      <c r="E96" s="40" t="s">
        <v>68</v>
      </c>
      <c r="F96" s="39" t="s">
        <v>85</v>
      </c>
      <c r="G96" s="41" t="s">
        <v>431</v>
      </c>
      <c r="H96" s="57"/>
    </row>
    <row r="97" spans="1:8" ht="16.2" x14ac:dyDescent="0.4">
      <c r="A97" s="15" t="str">
        <f t="shared" si="1"/>
        <v>cd_imv_out_benslote</v>
      </c>
      <c r="B97" s="46" t="s">
        <v>10</v>
      </c>
      <c r="C97" s="43" t="s">
        <v>30</v>
      </c>
      <c r="D97" s="39" t="s">
        <v>17</v>
      </c>
      <c r="E97" s="40" t="s">
        <v>68</v>
      </c>
      <c r="F97" s="39" t="s">
        <v>86</v>
      </c>
      <c r="G97" s="41" t="s">
        <v>431</v>
      </c>
      <c r="H97" s="57"/>
    </row>
    <row r="98" spans="1:8" ht="16.2" x14ac:dyDescent="0.4">
      <c r="A98" s="15" t="str">
        <f t="shared" si="1"/>
        <v>cd_imv_out_bensmontante_avl</v>
      </c>
      <c r="B98" s="46" t="s">
        <v>10</v>
      </c>
      <c r="C98" s="43" t="s">
        <v>30</v>
      </c>
      <c r="D98" s="39" t="s">
        <v>17</v>
      </c>
      <c r="E98" s="40" t="s">
        <v>68</v>
      </c>
      <c r="F98" s="39" t="s">
        <v>87</v>
      </c>
      <c r="G98" s="41" t="s">
        <v>431</v>
      </c>
      <c r="H98" s="57"/>
    </row>
    <row r="99" spans="1:8" ht="16.2" x14ac:dyDescent="0.4">
      <c r="A99" s="15" t="str">
        <f t="shared" si="1"/>
        <v>cd_imv_out_bensmontante_avl_dist</v>
      </c>
      <c r="B99" s="46" t="s">
        <v>10</v>
      </c>
      <c r="C99" s="43" t="s">
        <v>30</v>
      </c>
      <c r="D99" s="39" t="s">
        <v>17</v>
      </c>
      <c r="E99" s="40" t="s">
        <v>68</v>
      </c>
      <c r="F99" s="39" t="s">
        <v>88</v>
      </c>
      <c r="G99" s="41" t="s">
        <v>431</v>
      </c>
      <c r="H99" s="57"/>
    </row>
    <row r="100" spans="1:8" ht="16.2" x14ac:dyDescent="0.4">
      <c r="A100" s="15" t="str">
        <f t="shared" si="1"/>
        <v>cd_imv_out_bensmontante_vnd_rap</v>
      </c>
      <c r="B100" s="46" t="s">
        <v>10</v>
      </c>
      <c r="C100" s="43" t="s">
        <v>30</v>
      </c>
      <c r="D100" s="39" t="s">
        <v>17</v>
      </c>
      <c r="E100" s="40" t="s">
        <v>68</v>
      </c>
      <c r="F100" s="39" t="s">
        <v>89</v>
      </c>
      <c r="G100" s="41" t="s">
        <v>431</v>
      </c>
      <c r="H100" s="57"/>
    </row>
    <row r="101" spans="1:8" ht="16.2" x14ac:dyDescent="0.4">
      <c r="A101" s="15" t="str">
        <f t="shared" si="1"/>
        <v>cd_imv_out_bensmorada</v>
      </c>
      <c r="B101" s="46" t="s">
        <v>10</v>
      </c>
      <c r="C101" s="43" t="s">
        <v>30</v>
      </c>
      <c r="D101" s="39" t="s">
        <v>17</v>
      </c>
      <c r="E101" s="40" t="s">
        <v>68</v>
      </c>
      <c r="F101" s="39" t="s">
        <v>90</v>
      </c>
      <c r="G101" s="41" t="s">
        <v>431</v>
      </c>
      <c r="H101" s="57"/>
    </row>
    <row r="102" spans="1:8" ht="16.2" x14ac:dyDescent="0.4">
      <c r="A102" s="15" t="str">
        <f t="shared" si="1"/>
        <v>cd_imv_out_bensnum</v>
      </c>
      <c r="B102" s="46" t="s">
        <v>10</v>
      </c>
      <c r="C102" s="43" t="s">
        <v>30</v>
      </c>
      <c r="D102" s="39" t="s">
        <v>17</v>
      </c>
      <c r="E102" s="40" t="s">
        <v>68</v>
      </c>
      <c r="F102" s="39" t="s">
        <v>91</v>
      </c>
      <c r="G102" s="41" t="s">
        <v>431</v>
      </c>
      <c r="H102" s="57"/>
    </row>
    <row r="103" spans="1:8" ht="16.2" x14ac:dyDescent="0.4">
      <c r="A103" s="15" t="str">
        <f t="shared" si="1"/>
        <v>cd_imv_out_bensorigem</v>
      </c>
      <c r="B103" s="46" t="s">
        <v>10</v>
      </c>
      <c r="C103" s="43" t="s">
        <v>30</v>
      </c>
      <c r="D103" s="39" t="s">
        <v>17</v>
      </c>
      <c r="E103" s="40" t="s">
        <v>68</v>
      </c>
      <c r="F103" s="39" t="s">
        <v>48</v>
      </c>
      <c r="G103" s="41" t="s">
        <v>431</v>
      </c>
      <c r="H103" s="57"/>
    </row>
    <row r="104" spans="1:8" ht="16.2" x14ac:dyDescent="0.4">
      <c r="A104" s="15" t="str">
        <f t="shared" si="1"/>
        <v>cd_imv_out_bensperc_obra</v>
      </c>
      <c r="B104" s="46" t="s">
        <v>10</v>
      </c>
      <c r="C104" s="43" t="s">
        <v>30</v>
      </c>
      <c r="D104" s="39" t="s">
        <v>17</v>
      </c>
      <c r="E104" s="40" t="s">
        <v>68</v>
      </c>
      <c r="F104" s="39" t="s">
        <v>92</v>
      </c>
      <c r="G104" s="41" t="s">
        <v>431</v>
      </c>
      <c r="H104" s="48" t="s">
        <v>443</v>
      </c>
    </row>
    <row r="105" spans="1:8" ht="16.2" x14ac:dyDescent="0.4">
      <c r="A105" s="15" t="str">
        <f t="shared" si="1"/>
        <v>cd_imv_out_bensprealcons</v>
      </c>
      <c r="B105" s="46" t="s">
        <v>10</v>
      </c>
      <c r="C105" s="43" t="s">
        <v>30</v>
      </c>
      <c r="D105" s="39" t="s">
        <v>17</v>
      </c>
      <c r="E105" s="40" t="s">
        <v>68</v>
      </c>
      <c r="F105" s="39" t="s">
        <v>93</v>
      </c>
      <c r="G105" s="41" t="s">
        <v>431</v>
      </c>
      <c r="H105" s="48" t="s">
        <v>443</v>
      </c>
    </row>
    <row r="106" spans="1:8" ht="16.2" x14ac:dyDescent="0.4">
      <c r="A106" s="15" t="str">
        <f t="shared" si="1"/>
        <v>cd_imv_out_bensref_date</v>
      </c>
      <c r="B106" s="46" t="s">
        <v>10</v>
      </c>
      <c r="C106" s="43" t="s">
        <v>30</v>
      </c>
      <c r="D106" s="39" t="s">
        <v>17</v>
      </c>
      <c r="E106" s="40" t="s">
        <v>68</v>
      </c>
      <c r="F106" s="39" t="s">
        <v>49</v>
      </c>
      <c r="G106" s="41" t="s">
        <v>431</v>
      </c>
      <c r="H106" s="57"/>
    </row>
    <row r="107" spans="1:8" ht="16.2" x14ac:dyDescent="0.4">
      <c r="A107" s="15" t="str">
        <f t="shared" si="1"/>
        <v>cd_imv_out_bensurbaniz</v>
      </c>
      <c r="B107" s="46" t="s">
        <v>10</v>
      </c>
      <c r="C107" s="43" t="s">
        <v>30</v>
      </c>
      <c r="D107" s="39" t="s">
        <v>17</v>
      </c>
      <c r="E107" s="40" t="s">
        <v>68</v>
      </c>
      <c r="F107" s="39" t="s">
        <v>94</v>
      </c>
      <c r="G107" s="41" t="s">
        <v>431</v>
      </c>
      <c r="H107" s="57"/>
    </row>
    <row r="108" spans="1:8" ht="16.2" x14ac:dyDescent="0.4">
      <c r="A108" s="15" t="str">
        <f t="shared" si="1"/>
        <v>cd_imv_out_certifn.a.</v>
      </c>
      <c r="B108" s="46" t="s">
        <v>10</v>
      </c>
      <c r="C108" s="43" t="s">
        <v>30</v>
      </c>
      <c r="D108" s="39" t="s">
        <v>14</v>
      </c>
      <c r="E108" s="40" t="s">
        <v>95</v>
      </c>
      <c r="F108" s="39" t="s">
        <v>16</v>
      </c>
      <c r="G108" s="41" t="s">
        <v>431</v>
      </c>
      <c r="H108" s="48"/>
    </row>
    <row r="109" spans="1:8" ht="16.2" x14ac:dyDescent="0.4">
      <c r="A109" s="15" t="str">
        <f t="shared" si="1"/>
        <v>cd_imv_out_certifcempbem</v>
      </c>
      <c r="B109" s="46" t="s">
        <v>10</v>
      </c>
      <c r="C109" s="43" t="s">
        <v>30</v>
      </c>
      <c r="D109" s="39" t="s">
        <v>17</v>
      </c>
      <c r="E109" s="40" t="s">
        <v>95</v>
      </c>
      <c r="F109" s="39" t="s">
        <v>18</v>
      </c>
      <c r="G109" s="41" t="s">
        <v>431</v>
      </c>
      <c r="H109" s="48"/>
    </row>
    <row r="110" spans="1:8" ht="16.2" x14ac:dyDescent="0.4">
      <c r="A110" s="15" t="str">
        <f t="shared" si="1"/>
        <v>cd_imv_out_certifckbalbem</v>
      </c>
      <c r="B110" s="46" t="s">
        <v>10</v>
      </c>
      <c r="C110" s="43" t="s">
        <v>30</v>
      </c>
      <c r="D110" s="39" t="s">
        <v>17</v>
      </c>
      <c r="E110" s="40" t="s">
        <v>95</v>
      </c>
      <c r="F110" s="39" t="s">
        <v>20</v>
      </c>
      <c r="G110" s="41" t="s">
        <v>431</v>
      </c>
      <c r="H110" s="48"/>
    </row>
    <row r="111" spans="1:8" ht="16.2" x14ac:dyDescent="0.4">
      <c r="A111" s="15" t="str">
        <f t="shared" si="1"/>
        <v>cd_imv_out_certifckctabem</v>
      </c>
      <c r="B111" s="46" t="s">
        <v>10</v>
      </c>
      <c r="C111" s="43" t="s">
        <v>30</v>
      </c>
      <c r="D111" s="39" t="s">
        <v>17</v>
      </c>
      <c r="E111" s="40" t="s">
        <v>95</v>
      </c>
      <c r="F111" s="39" t="s">
        <v>21</v>
      </c>
      <c r="G111" s="41" t="s">
        <v>431</v>
      </c>
      <c r="H111" s="48"/>
    </row>
    <row r="112" spans="1:8" ht="16.2" x14ac:dyDescent="0.4">
      <c r="A112" s="15" t="str">
        <f t="shared" si="1"/>
        <v>cd_imv_out_certifckrefbem</v>
      </c>
      <c r="B112" s="46" t="s">
        <v>10</v>
      </c>
      <c r="C112" s="43" t="s">
        <v>30</v>
      </c>
      <c r="D112" s="39" t="s">
        <v>17</v>
      </c>
      <c r="E112" s="40" t="s">
        <v>95</v>
      </c>
      <c r="F112" s="39" t="s">
        <v>22</v>
      </c>
      <c r="G112" s="41" t="s">
        <v>431</v>
      </c>
      <c r="H112" s="48"/>
    </row>
    <row r="113" spans="1:8" ht="16.2" x14ac:dyDescent="0.4">
      <c r="A113" s="15" t="str">
        <f t="shared" si="1"/>
        <v>cd_imv_out_certifcod_cnsrvtr_rgst_prdl</v>
      </c>
      <c r="B113" s="46" t="s">
        <v>10</v>
      </c>
      <c r="C113" s="43" t="s">
        <v>30</v>
      </c>
      <c r="D113" s="39" t="s">
        <v>17</v>
      </c>
      <c r="E113" s="40" t="s">
        <v>95</v>
      </c>
      <c r="F113" s="39" t="s">
        <v>96</v>
      </c>
      <c r="G113" s="41" t="s">
        <v>151</v>
      </c>
      <c r="H113" s="48"/>
    </row>
    <row r="114" spans="1:8" ht="16.2" x14ac:dyDescent="0.4">
      <c r="A114" s="15" t="str">
        <f t="shared" si="1"/>
        <v>cd_imv_out_certifcod_inscrc</v>
      </c>
      <c r="B114" s="46" t="s">
        <v>10</v>
      </c>
      <c r="C114" s="43" t="s">
        <v>30</v>
      </c>
      <c r="D114" s="39" t="s">
        <v>17</v>
      </c>
      <c r="E114" s="40" t="s">
        <v>95</v>
      </c>
      <c r="F114" s="39" t="s">
        <v>97</v>
      </c>
      <c r="G114" s="41" t="s">
        <v>151</v>
      </c>
      <c r="H114" s="48"/>
    </row>
    <row r="115" spans="1:8" ht="16.2" x14ac:dyDescent="0.4">
      <c r="A115" s="15" t="str">
        <f t="shared" si="1"/>
        <v>cd_imv_out_certifcod_sce</v>
      </c>
      <c r="B115" s="46" t="s">
        <v>10</v>
      </c>
      <c r="C115" s="43" t="s">
        <v>30</v>
      </c>
      <c r="D115" s="39" t="s">
        <v>17</v>
      </c>
      <c r="E115" s="40" t="s">
        <v>95</v>
      </c>
      <c r="F115" s="39" t="s">
        <v>98</v>
      </c>
      <c r="G115" s="41" t="s">
        <v>151</v>
      </c>
      <c r="H115" s="48"/>
    </row>
    <row r="116" spans="1:8" ht="16.2" x14ac:dyDescent="0.4">
      <c r="A116" s="15" t="str">
        <f t="shared" si="1"/>
        <v>cd_imv_out_certifdata_epc</v>
      </c>
      <c r="B116" s="46" t="s">
        <v>10</v>
      </c>
      <c r="C116" s="43" t="s">
        <v>30</v>
      </c>
      <c r="D116" s="39" t="s">
        <v>17</v>
      </c>
      <c r="E116" s="40" t="s">
        <v>95</v>
      </c>
      <c r="F116" s="39" t="s">
        <v>99</v>
      </c>
      <c r="G116" s="41" t="s">
        <v>151</v>
      </c>
      <c r="H116" s="48"/>
    </row>
    <row r="117" spans="1:8" ht="16.2" x14ac:dyDescent="0.4">
      <c r="A117" s="15" t="str">
        <f t="shared" si="1"/>
        <v>cd_imv_out_certifdata_exprc_epc</v>
      </c>
      <c r="B117" s="46" t="s">
        <v>10</v>
      </c>
      <c r="C117" s="43" t="s">
        <v>30</v>
      </c>
      <c r="D117" s="39" t="s">
        <v>17</v>
      </c>
      <c r="E117" s="40" t="s">
        <v>95</v>
      </c>
      <c r="F117" s="39" t="s">
        <v>100</v>
      </c>
      <c r="G117" s="41" t="s">
        <v>151</v>
      </c>
      <c r="H117" s="48"/>
    </row>
    <row r="118" spans="1:8" ht="16.2" x14ac:dyDescent="0.4">
      <c r="A118" s="15" t="str">
        <f t="shared" si="1"/>
        <v>cd_imv_out_certifepc</v>
      </c>
      <c r="B118" s="46" t="s">
        <v>10</v>
      </c>
      <c r="C118" s="43" t="s">
        <v>30</v>
      </c>
      <c r="D118" s="39" t="s">
        <v>17</v>
      </c>
      <c r="E118" s="40" t="s">
        <v>95</v>
      </c>
      <c r="F118" s="39" t="s">
        <v>24</v>
      </c>
      <c r="G118" s="41" t="s">
        <v>151</v>
      </c>
      <c r="H118" s="48"/>
    </row>
    <row r="119" spans="1:8" ht="16.2" x14ac:dyDescent="0.4">
      <c r="A119" s="15" t="str">
        <f t="shared" si="1"/>
        <v>cd_imv_out_certifflg_efcc_enrg_cnsm_tp_s</v>
      </c>
      <c r="B119" s="46" t="s">
        <v>10</v>
      </c>
      <c r="C119" s="43" t="s">
        <v>30</v>
      </c>
      <c r="D119" s="39" t="s">
        <v>17</v>
      </c>
      <c r="E119" s="40" t="s">
        <v>95</v>
      </c>
      <c r="F119" s="39" t="s">
        <v>101</v>
      </c>
      <c r="G119" s="41" t="s">
        <v>151</v>
      </c>
      <c r="H119" s="48"/>
    </row>
    <row r="120" spans="1:8" ht="16.2" x14ac:dyDescent="0.4">
      <c r="A120" s="15" t="str">
        <f t="shared" si="1"/>
        <v>cd_imv_out_certifflg_efcnc_enrg_cnsm_tp_t</v>
      </c>
      <c r="B120" s="46" t="s">
        <v>10</v>
      </c>
      <c r="C120" s="43" t="s">
        <v>30</v>
      </c>
      <c r="D120" s="39" t="s">
        <v>17</v>
      </c>
      <c r="E120" s="40" t="s">
        <v>95</v>
      </c>
      <c r="F120" s="39" t="s">
        <v>102</v>
      </c>
      <c r="G120" s="41" t="s">
        <v>151</v>
      </c>
      <c r="H120" s="48"/>
    </row>
    <row r="121" spans="1:8" ht="16.2" x14ac:dyDescent="0.4">
      <c r="A121" s="15" t="str">
        <f t="shared" si="1"/>
        <v>cd_imv_out_certifflg_efcnc_enrgtc</v>
      </c>
      <c r="B121" s="46" t="s">
        <v>10</v>
      </c>
      <c r="C121" s="43" t="s">
        <v>30</v>
      </c>
      <c r="D121" s="39" t="s">
        <v>17</v>
      </c>
      <c r="E121" s="40" t="s">
        <v>95</v>
      </c>
      <c r="F121" s="39" t="s">
        <v>103</v>
      </c>
      <c r="G121" s="41" t="s">
        <v>151</v>
      </c>
      <c r="H121" s="48"/>
    </row>
    <row r="122" spans="1:8" ht="16.2" x14ac:dyDescent="0.4">
      <c r="A122" s="15" t="str">
        <f t="shared" si="1"/>
        <v>cd_imv_out_certifflg_efcnc_enrgtc_rnvv</v>
      </c>
      <c r="B122" s="46" t="s">
        <v>10</v>
      </c>
      <c r="C122" s="43" t="s">
        <v>30</v>
      </c>
      <c r="D122" s="39" t="s">
        <v>17</v>
      </c>
      <c r="E122" s="40" t="s">
        <v>95</v>
      </c>
      <c r="F122" s="39" t="s">
        <v>104</v>
      </c>
      <c r="G122" s="41" t="s">
        <v>151</v>
      </c>
      <c r="H122" s="48"/>
    </row>
    <row r="123" spans="1:8" ht="16.2" x14ac:dyDescent="0.4">
      <c r="A123" s="15" t="str">
        <f t="shared" si="1"/>
        <v>cd_imv_out_certifflg_nzeb</v>
      </c>
      <c r="B123" s="46" t="s">
        <v>10</v>
      </c>
      <c r="C123" s="43" t="s">
        <v>30</v>
      </c>
      <c r="D123" s="39" t="s">
        <v>17</v>
      </c>
      <c r="E123" s="40" t="s">
        <v>95</v>
      </c>
      <c r="F123" s="39" t="s">
        <v>105</v>
      </c>
      <c r="G123" s="41" t="s">
        <v>151</v>
      </c>
      <c r="H123" s="48"/>
    </row>
    <row r="124" spans="1:8" ht="16.2" x14ac:dyDescent="0.4">
      <c r="A124" s="15" t="str">
        <f t="shared" si="1"/>
        <v>cd_imv_out_certifmetodo_info</v>
      </c>
      <c r="B124" s="46" t="s">
        <v>10</v>
      </c>
      <c r="C124" s="43" t="s">
        <v>30</v>
      </c>
      <c r="D124" s="39" t="s">
        <v>17</v>
      </c>
      <c r="E124" s="40" t="s">
        <v>95</v>
      </c>
      <c r="F124" s="39" t="s">
        <v>26</v>
      </c>
      <c r="G124" s="41" t="s">
        <v>151</v>
      </c>
      <c r="H124" s="48"/>
    </row>
    <row r="125" spans="1:8" ht="16.2" x14ac:dyDescent="0.4">
      <c r="A125" s="15" t="str">
        <f t="shared" si="1"/>
        <v>cd_imv_out_certifnvl_efcc_enrg</v>
      </c>
      <c r="B125" s="46" t="s">
        <v>10</v>
      </c>
      <c r="C125" s="43" t="s">
        <v>30</v>
      </c>
      <c r="D125" s="39" t="s">
        <v>17</v>
      </c>
      <c r="E125" s="40" t="s">
        <v>95</v>
      </c>
      <c r="F125" s="39" t="s">
        <v>106</v>
      </c>
      <c r="G125" s="41" t="s">
        <v>151</v>
      </c>
      <c r="H125" s="48"/>
    </row>
    <row r="126" spans="1:8" ht="16.2" x14ac:dyDescent="0.4">
      <c r="A126" s="15" t="str">
        <f t="shared" si="1"/>
        <v>cd_imv_out_certiforigem</v>
      </c>
      <c r="B126" s="46" t="s">
        <v>10</v>
      </c>
      <c r="C126" s="43" t="s">
        <v>30</v>
      </c>
      <c r="D126" s="39" t="s">
        <v>17</v>
      </c>
      <c r="E126" s="40" t="s">
        <v>95</v>
      </c>
      <c r="F126" s="39" t="s">
        <v>48</v>
      </c>
      <c r="G126" s="41" t="s">
        <v>151</v>
      </c>
      <c r="H126" s="48"/>
    </row>
    <row r="127" spans="1:8" ht="16.2" x14ac:dyDescent="0.4">
      <c r="A127" s="15" t="str">
        <f t="shared" si="1"/>
        <v>cd_imv_out_certifref_date</v>
      </c>
      <c r="B127" s="46" t="s">
        <v>10</v>
      </c>
      <c r="C127" s="43" t="s">
        <v>30</v>
      </c>
      <c r="D127" s="39" t="s">
        <v>17</v>
      </c>
      <c r="E127" s="40" t="s">
        <v>95</v>
      </c>
      <c r="F127" s="39" t="s">
        <v>49</v>
      </c>
      <c r="G127" s="41" t="s">
        <v>151</v>
      </c>
      <c r="H127" s="48"/>
    </row>
    <row r="128" spans="1:8" ht="16.2" x14ac:dyDescent="0.4">
      <c r="A128" s="15" t="str">
        <f t="shared" si="1"/>
        <v>cd_imv_out_certiftp_crtfcd</v>
      </c>
      <c r="B128" s="46" t="s">
        <v>10</v>
      </c>
      <c r="C128" s="43" t="s">
        <v>30</v>
      </c>
      <c r="D128" s="39" t="s">
        <v>17</v>
      </c>
      <c r="E128" s="40" t="s">
        <v>95</v>
      </c>
      <c r="F128" s="39" t="s">
        <v>107</v>
      </c>
      <c r="G128" s="41" t="s">
        <v>151</v>
      </c>
      <c r="H128" s="48"/>
    </row>
    <row r="129" spans="1:8" ht="16.2" x14ac:dyDescent="0.4">
      <c r="A129" s="15" t="str">
        <f t="shared" si="1"/>
        <v>cd_imv_out_certifvlr_agua_qnt_sant_edfc</v>
      </c>
      <c r="B129" s="46" t="s">
        <v>10</v>
      </c>
      <c r="C129" s="43" t="s">
        <v>30</v>
      </c>
      <c r="D129" s="39" t="s">
        <v>17</v>
      </c>
      <c r="E129" s="40" t="s">
        <v>95</v>
      </c>
      <c r="F129" s="39" t="s">
        <v>108</v>
      </c>
      <c r="G129" s="41" t="s">
        <v>151</v>
      </c>
      <c r="H129" s="48"/>
    </row>
    <row r="130" spans="1:8" ht="16.2" x14ac:dyDescent="0.4">
      <c r="A130" s="15" t="str">
        <f t="shared" si="1"/>
        <v>cd_imv_out_certifvlr_agua_qnt_snt_rnvv</v>
      </c>
      <c r="B130" s="46" t="s">
        <v>10</v>
      </c>
      <c r="C130" s="43" t="s">
        <v>30</v>
      </c>
      <c r="D130" s="39" t="s">
        <v>17</v>
      </c>
      <c r="E130" s="40" t="s">
        <v>95</v>
      </c>
      <c r="F130" s="39" t="s">
        <v>109</v>
      </c>
      <c r="G130" s="41" t="s">
        <v>151</v>
      </c>
      <c r="H130" s="48"/>
    </row>
    <row r="131" spans="1:8" ht="16.2" x14ac:dyDescent="0.4">
      <c r="A131" s="15" t="str">
        <f t="shared" si="1"/>
        <v>cd_imv_out_certifvlr_agua_qnt_sntr_rfrc</v>
      </c>
      <c r="B131" s="46" t="s">
        <v>10</v>
      </c>
      <c r="C131" s="43" t="s">
        <v>30</v>
      </c>
      <c r="D131" s="39" t="s">
        <v>17</v>
      </c>
      <c r="E131" s="40" t="s">
        <v>95</v>
      </c>
      <c r="F131" s="39" t="s">
        <v>110</v>
      </c>
      <c r="G131" s="41" t="s">
        <v>151</v>
      </c>
      <c r="H131" s="48"/>
    </row>
    <row r="132" spans="1:8" ht="16.2" x14ac:dyDescent="0.4">
      <c r="A132" s="15" t="str">
        <f t="shared" si="1"/>
        <v>cd_imv_out_certifvlr_alttt</v>
      </c>
      <c r="B132" s="46" t="s">
        <v>10</v>
      </c>
      <c r="C132" s="43" t="s">
        <v>30</v>
      </c>
      <c r="D132" s="39" t="s">
        <v>17</v>
      </c>
      <c r="E132" s="40" t="s">
        <v>95</v>
      </c>
      <c r="F132" s="39" t="s">
        <v>111</v>
      </c>
      <c r="G132" s="41" t="s">
        <v>151</v>
      </c>
      <c r="H132" s="48"/>
    </row>
    <row r="133" spans="1:8" ht="16.2" x14ac:dyDescent="0.4">
      <c r="A133" s="15" t="str">
        <f t="shared" si="1"/>
        <v>cd_imv_out_certifvlr_aqcmnt_ambnt_edfc</v>
      </c>
      <c r="B133" s="46" t="s">
        <v>10</v>
      </c>
      <c r="C133" s="43" t="s">
        <v>30</v>
      </c>
      <c r="D133" s="39" t="s">
        <v>17</v>
      </c>
      <c r="E133" s="40" t="s">
        <v>95</v>
      </c>
      <c r="F133" s="39" t="s">
        <v>112</v>
      </c>
      <c r="G133" s="41" t="s">
        <v>151</v>
      </c>
      <c r="H133" s="48"/>
    </row>
    <row r="134" spans="1:8" ht="16.2" x14ac:dyDescent="0.4">
      <c r="A134" s="15" t="str">
        <f t="shared" si="1"/>
        <v>cd_imv_out_certifvlr_aqcmnt_ambnt_rfrc</v>
      </c>
      <c r="B134" s="46" t="s">
        <v>10</v>
      </c>
      <c r="C134" s="43" t="s">
        <v>30</v>
      </c>
      <c r="D134" s="39" t="s">
        <v>17</v>
      </c>
      <c r="E134" s="40" t="s">
        <v>95</v>
      </c>
      <c r="F134" s="39" t="s">
        <v>113</v>
      </c>
      <c r="G134" s="41" t="s">
        <v>151</v>
      </c>
      <c r="H134" s="48"/>
    </row>
    <row r="135" spans="1:8" ht="16.2" x14ac:dyDescent="0.4">
      <c r="A135" s="15" t="str">
        <f t="shared" si="1"/>
        <v>cd_imv_out_certifvlr_aqcmnt_ambnt_rnvv</v>
      </c>
      <c r="B135" s="46" t="s">
        <v>10</v>
      </c>
      <c r="C135" s="43" t="s">
        <v>30</v>
      </c>
      <c r="D135" s="39" t="s">
        <v>17</v>
      </c>
      <c r="E135" s="40" t="s">
        <v>95</v>
      </c>
      <c r="F135" s="39" t="s">
        <v>114</v>
      </c>
      <c r="G135" s="41" t="s">
        <v>151</v>
      </c>
      <c r="H135" s="48"/>
    </row>
    <row r="136" spans="1:8" ht="16.2" x14ac:dyDescent="0.4">
      <c r="A136" s="15" t="str">
        <f t="shared" ref="A136:A199" si="2">E136&amp;F136</f>
        <v>cd_imv_out_certifvlr_arrfcmnt_ambnt_edfc</v>
      </c>
      <c r="B136" s="46" t="s">
        <v>10</v>
      </c>
      <c r="C136" s="43" t="s">
        <v>30</v>
      </c>
      <c r="D136" s="39" t="s">
        <v>17</v>
      </c>
      <c r="E136" s="40" t="s">
        <v>95</v>
      </c>
      <c r="F136" s="39" t="s">
        <v>115</v>
      </c>
      <c r="G136" s="41" t="s">
        <v>151</v>
      </c>
      <c r="H136" s="48"/>
    </row>
    <row r="137" spans="1:8" ht="16.2" x14ac:dyDescent="0.4">
      <c r="A137" s="15" t="str">
        <f t="shared" si="2"/>
        <v>cd_imv_out_certifvlr_arrfcmnt_ambnt_renvv</v>
      </c>
      <c r="B137" s="46" t="s">
        <v>10</v>
      </c>
      <c r="C137" s="43" t="s">
        <v>30</v>
      </c>
      <c r="D137" s="39" t="s">
        <v>17</v>
      </c>
      <c r="E137" s="40" t="s">
        <v>95</v>
      </c>
      <c r="F137" s="39" t="s">
        <v>116</v>
      </c>
      <c r="G137" s="41" t="s">
        <v>151</v>
      </c>
      <c r="H137" s="48"/>
    </row>
    <row r="138" spans="1:8" ht="16.2" x14ac:dyDescent="0.4">
      <c r="A138" s="15" t="str">
        <f t="shared" si="2"/>
        <v>cd_imv_out_certifvlr_arrfcmnt_ambnt_rfrc</v>
      </c>
      <c r="B138" s="46" t="s">
        <v>10</v>
      </c>
      <c r="C138" s="43" t="s">
        <v>30</v>
      </c>
      <c r="D138" s="39" t="s">
        <v>17</v>
      </c>
      <c r="E138" s="40" t="s">
        <v>95</v>
      </c>
      <c r="F138" s="39" t="s">
        <v>117</v>
      </c>
      <c r="G138" s="41" t="s">
        <v>151</v>
      </c>
      <c r="H138" s="48"/>
    </row>
    <row r="139" spans="1:8" ht="16.2" x14ac:dyDescent="0.4">
      <c r="A139" s="15" t="str">
        <f t="shared" si="2"/>
        <v>cd_imv_out_certifvlr_class_enrg_aps_mdd</v>
      </c>
      <c r="B139" s="46" t="s">
        <v>10</v>
      </c>
      <c r="C139" s="43" t="s">
        <v>30</v>
      </c>
      <c r="D139" s="39" t="s">
        <v>17</v>
      </c>
      <c r="E139" s="40" t="s">
        <v>95</v>
      </c>
      <c r="F139" s="39" t="s">
        <v>118</v>
      </c>
      <c r="G139" s="41" t="s">
        <v>151</v>
      </c>
      <c r="H139" s="48"/>
    </row>
    <row r="140" spans="1:8" ht="16.2" x14ac:dyDescent="0.4">
      <c r="A140" s="15" t="str">
        <f t="shared" si="2"/>
        <v>cd_imv_out_certifvlr_cnsm_ano</v>
      </c>
      <c r="B140" s="46" t="s">
        <v>10</v>
      </c>
      <c r="C140" s="43" t="s">
        <v>30</v>
      </c>
      <c r="D140" s="39" t="s">
        <v>17</v>
      </c>
      <c r="E140" s="40" t="s">
        <v>95</v>
      </c>
      <c r="F140" s="39" t="s">
        <v>28</v>
      </c>
      <c r="G140" s="41" t="s">
        <v>151</v>
      </c>
      <c r="H140" s="48"/>
    </row>
    <row r="141" spans="1:8" ht="16.2" x14ac:dyDescent="0.4">
      <c r="A141" s="15" t="str">
        <f t="shared" si="2"/>
        <v>cd_imv_out_certifvlr_comp_trmc_cbrtrs</v>
      </c>
      <c r="B141" s="46" t="s">
        <v>10</v>
      </c>
      <c r="C141" s="43" t="s">
        <v>30</v>
      </c>
      <c r="D141" s="39" t="s">
        <v>17</v>
      </c>
      <c r="E141" s="40" t="s">
        <v>95</v>
      </c>
      <c r="F141" s="39" t="s">
        <v>119</v>
      </c>
      <c r="G141" s="41" t="s">
        <v>151</v>
      </c>
      <c r="H141" s="48"/>
    </row>
    <row r="142" spans="1:8" ht="16.2" x14ac:dyDescent="0.4">
      <c r="A142" s="15" t="str">
        <f t="shared" si="2"/>
        <v>cd_imv_out_certifvlr_comp_trmc_jnls</v>
      </c>
      <c r="B142" s="46" t="s">
        <v>10</v>
      </c>
      <c r="C142" s="43" t="s">
        <v>30</v>
      </c>
      <c r="D142" s="39" t="s">
        <v>17</v>
      </c>
      <c r="E142" s="40" t="s">
        <v>95</v>
      </c>
      <c r="F142" s="39" t="s">
        <v>120</v>
      </c>
      <c r="G142" s="41" t="s">
        <v>151</v>
      </c>
      <c r="H142" s="48"/>
    </row>
    <row r="143" spans="1:8" ht="16.2" x14ac:dyDescent="0.4">
      <c r="A143" s="15" t="str">
        <f t="shared" si="2"/>
        <v>cd_imv_out_certifvlr_comp_trmc_prds</v>
      </c>
      <c r="B143" s="46" t="s">
        <v>10</v>
      </c>
      <c r="C143" s="43" t="s">
        <v>30</v>
      </c>
      <c r="D143" s="39" t="s">
        <v>17</v>
      </c>
      <c r="E143" s="40" t="s">
        <v>95</v>
      </c>
      <c r="F143" s="39" t="s">
        <v>121</v>
      </c>
      <c r="G143" s="41" t="s">
        <v>151</v>
      </c>
      <c r="H143" s="48"/>
    </row>
    <row r="144" spans="1:8" ht="16.2" x14ac:dyDescent="0.4">
      <c r="A144" s="15" t="str">
        <f t="shared" si="2"/>
        <v>cd_imv_out_certifvlr_comp_trmc_pvmnts</v>
      </c>
      <c r="B144" s="46" t="s">
        <v>10</v>
      </c>
      <c r="C144" s="43" t="s">
        <v>30</v>
      </c>
      <c r="D144" s="39" t="s">
        <v>17</v>
      </c>
      <c r="E144" s="40" t="s">
        <v>95</v>
      </c>
      <c r="F144" s="39" t="s">
        <v>122</v>
      </c>
      <c r="G144" s="41" t="s">
        <v>151</v>
      </c>
      <c r="H144" s="48"/>
    </row>
    <row r="145" spans="1:8" ht="16.2" x14ac:dyDescent="0.4">
      <c r="A145" s="15" t="str">
        <f t="shared" si="2"/>
        <v>cd_imv_out_certifvlr_comp_trmc_sstmtcn_vntld</v>
      </c>
      <c r="B145" s="46" t="s">
        <v>10</v>
      </c>
      <c r="C145" s="43" t="s">
        <v>30</v>
      </c>
      <c r="D145" s="39" t="s">
        <v>17</v>
      </c>
      <c r="E145" s="40" t="s">
        <v>95</v>
      </c>
      <c r="F145" s="39" t="s">
        <v>123</v>
      </c>
      <c r="G145" s="41" t="s">
        <v>151</v>
      </c>
      <c r="H145" s="48"/>
    </row>
    <row r="146" spans="1:8" ht="16.2" x14ac:dyDescent="0.4">
      <c r="A146" s="15" t="str">
        <f t="shared" si="2"/>
        <v>cd_imv_out_certifvlr_cst_ttl_invstmnt_estmd</v>
      </c>
      <c r="B146" s="46" t="s">
        <v>10</v>
      </c>
      <c r="C146" s="43" t="s">
        <v>30</v>
      </c>
      <c r="D146" s="39" t="s">
        <v>17</v>
      </c>
      <c r="E146" s="40" t="s">
        <v>95</v>
      </c>
      <c r="F146" s="39" t="s">
        <v>124</v>
      </c>
      <c r="G146" s="41" t="s">
        <v>151</v>
      </c>
      <c r="H146" s="48"/>
    </row>
    <row r="147" spans="1:8" ht="16.2" x14ac:dyDescent="0.4">
      <c r="A147" s="15" t="str">
        <f t="shared" si="2"/>
        <v>cd_imv_out_certifvlr_drc_estc_aqcmnt</v>
      </c>
      <c r="B147" s="46" t="s">
        <v>10</v>
      </c>
      <c r="C147" s="43" t="s">
        <v>30</v>
      </c>
      <c r="D147" s="39" t="s">
        <v>17</v>
      </c>
      <c r="E147" s="40" t="s">
        <v>95</v>
      </c>
      <c r="F147" s="39" t="s">
        <v>125</v>
      </c>
      <c r="G147" s="41" t="s">
        <v>151</v>
      </c>
      <c r="H147" s="48"/>
    </row>
    <row r="148" spans="1:8" ht="16.2" x14ac:dyDescent="0.4">
      <c r="A148" s="15" t="str">
        <f t="shared" si="2"/>
        <v>cd_imv_out_certifvlr_drc_estc_arrfcmnt</v>
      </c>
      <c r="B148" s="46" t="s">
        <v>10</v>
      </c>
      <c r="C148" s="43" t="s">
        <v>30</v>
      </c>
      <c r="D148" s="39" t="s">
        <v>17</v>
      </c>
      <c r="E148" s="40" t="s">
        <v>95</v>
      </c>
      <c r="F148" s="39" t="s">
        <v>126</v>
      </c>
      <c r="G148" s="41" t="s">
        <v>151</v>
      </c>
      <c r="H148" s="48"/>
    </row>
    <row r="149" spans="1:8" ht="16.2" x14ac:dyDescent="0.4">
      <c r="A149" s="15" t="str">
        <f t="shared" si="2"/>
        <v>cd_imv_out_certifvlr_emss_ano</v>
      </c>
      <c r="B149" s="46" t="s">
        <v>10</v>
      </c>
      <c r="C149" s="43" t="s">
        <v>30</v>
      </c>
      <c r="D149" s="39" t="s">
        <v>17</v>
      </c>
      <c r="E149" s="40" t="s">
        <v>95</v>
      </c>
      <c r="F149" s="39" t="s">
        <v>29</v>
      </c>
      <c r="G149" s="41" t="s">
        <v>151</v>
      </c>
      <c r="H149" s="48"/>
    </row>
    <row r="150" spans="1:8" ht="16.2" x14ac:dyDescent="0.4">
      <c r="A150" s="15" t="str">
        <f t="shared" si="2"/>
        <v>cd_imv_out_certifvlr_emss_co2</v>
      </c>
      <c r="B150" s="46" t="s">
        <v>10</v>
      </c>
      <c r="C150" s="43" t="s">
        <v>30</v>
      </c>
      <c r="D150" s="39" t="s">
        <v>17</v>
      </c>
      <c r="E150" s="40" t="s">
        <v>95</v>
      </c>
      <c r="F150" s="39" t="s">
        <v>127</v>
      </c>
      <c r="G150" s="41" t="s">
        <v>151</v>
      </c>
      <c r="H150" s="48"/>
    </row>
    <row r="151" spans="1:8" ht="16.2" x14ac:dyDescent="0.4">
      <c r="A151" s="15" t="str">
        <f t="shared" si="2"/>
        <v>cd_imv_out_certifvlr_enrg_eltc_vntldr</v>
      </c>
      <c r="B151" s="46" t="s">
        <v>10</v>
      </c>
      <c r="C151" s="43" t="s">
        <v>30</v>
      </c>
      <c r="D151" s="39" t="s">
        <v>17</v>
      </c>
      <c r="E151" s="40" t="s">
        <v>95</v>
      </c>
      <c r="F151" s="39" t="s">
        <v>128</v>
      </c>
      <c r="G151" s="41" t="s">
        <v>151</v>
      </c>
      <c r="H151" s="48"/>
    </row>
    <row r="152" spans="1:8" ht="16.2" x14ac:dyDescent="0.4">
      <c r="A152" s="15" t="str">
        <f t="shared" si="2"/>
        <v>cd_imv_out_certifvlr_enrg_fnts_rnvv_otr_uso</v>
      </c>
      <c r="B152" s="46" t="s">
        <v>10</v>
      </c>
      <c r="C152" s="43" t="s">
        <v>30</v>
      </c>
      <c r="D152" s="39" t="s">
        <v>17</v>
      </c>
      <c r="E152" s="40" t="s">
        <v>95</v>
      </c>
      <c r="F152" s="39" t="s">
        <v>129</v>
      </c>
      <c r="G152" s="41" t="s">
        <v>151</v>
      </c>
      <c r="H152" s="48"/>
    </row>
    <row r="153" spans="1:8" ht="16.2" x14ac:dyDescent="0.4">
      <c r="A153" s="15" t="str">
        <f t="shared" si="2"/>
        <v>cd_imv_out_certifvlr_enrg_fnts_rnvv_regl</v>
      </c>
      <c r="B153" s="46" t="s">
        <v>10</v>
      </c>
      <c r="C153" s="43" t="s">
        <v>30</v>
      </c>
      <c r="D153" s="39" t="s">
        <v>17</v>
      </c>
      <c r="E153" s="40" t="s">
        <v>95</v>
      </c>
      <c r="F153" s="39" t="s">
        <v>130</v>
      </c>
      <c r="G153" s="41" t="s">
        <v>151</v>
      </c>
      <c r="H153" s="48"/>
    </row>
    <row r="154" spans="1:8" ht="16.2" x14ac:dyDescent="0.4">
      <c r="A154" s="15" t="str">
        <f t="shared" si="2"/>
        <v>cd_imv_out_certifvlr_enrg_renew</v>
      </c>
      <c r="B154" s="46" t="s">
        <v>10</v>
      </c>
      <c r="C154" s="43" t="s">
        <v>30</v>
      </c>
      <c r="D154" s="39" t="s">
        <v>17</v>
      </c>
      <c r="E154" s="40" t="s">
        <v>95</v>
      </c>
      <c r="F154" s="39" t="s">
        <v>131</v>
      </c>
      <c r="G154" s="41" t="s">
        <v>151</v>
      </c>
      <c r="H154" s="48"/>
    </row>
    <row r="155" spans="1:8" ht="16.2" x14ac:dyDescent="0.4">
      <c r="A155" s="15" t="str">
        <f t="shared" si="2"/>
        <v>cd_imv_out_certifvlr_enrg_utl_agua_qt_snt</v>
      </c>
      <c r="B155" s="46" t="s">
        <v>10</v>
      </c>
      <c r="C155" s="43" t="s">
        <v>30</v>
      </c>
      <c r="D155" s="39" t="s">
        <v>17</v>
      </c>
      <c r="E155" s="40" t="s">
        <v>95</v>
      </c>
      <c r="F155" s="39" t="s">
        <v>132</v>
      </c>
      <c r="G155" s="41" t="s">
        <v>151</v>
      </c>
      <c r="H155" s="48"/>
    </row>
    <row r="156" spans="1:8" ht="16.2" x14ac:dyDescent="0.4">
      <c r="A156" s="15" t="str">
        <f t="shared" si="2"/>
        <v>cd_imv_out_certifvlr_enrg_utl_arrfcmnt</v>
      </c>
      <c r="B156" s="46" t="s">
        <v>10</v>
      </c>
      <c r="C156" s="43" t="s">
        <v>30</v>
      </c>
      <c r="D156" s="39" t="s">
        <v>17</v>
      </c>
      <c r="E156" s="40" t="s">
        <v>95</v>
      </c>
      <c r="F156" s="39" t="s">
        <v>133</v>
      </c>
      <c r="G156" s="41" t="s">
        <v>151</v>
      </c>
      <c r="H156" s="48"/>
    </row>
    <row r="157" spans="1:8" ht="16.2" x14ac:dyDescent="0.4">
      <c r="A157" s="15" t="str">
        <f t="shared" si="2"/>
        <v>cd_imv_out_certifvlr_grs_dia</v>
      </c>
      <c r="B157" s="46" t="s">
        <v>10</v>
      </c>
      <c r="C157" s="43" t="s">
        <v>30</v>
      </c>
      <c r="D157" s="39" t="s">
        <v>17</v>
      </c>
      <c r="E157" s="40" t="s">
        <v>95</v>
      </c>
      <c r="F157" s="39" t="s">
        <v>134</v>
      </c>
      <c r="G157" s="41" t="s">
        <v>151</v>
      </c>
      <c r="H157" s="48"/>
    </row>
    <row r="158" spans="1:8" ht="16.2" x14ac:dyDescent="0.4">
      <c r="A158" s="15" t="str">
        <f t="shared" si="2"/>
        <v>cd_imv_out_certifvlr_ncssdd_enrg_prmr</v>
      </c>
      <c r="B158" s="46" t="s">
        <v>10</v>
      </c>
      <c r="C158" s="43" t="s">
        <v>30</v>
      </c>
      <c r="D158" s="39" t="s">
        <v>17</v>
      </c>
      <c r="E158" s="40" t="s">
        <v>95</v>
      </c>
      <c r="F158" s="39" t="s">
        <v>135</v>
      </c>
      <c r="G158" s="41" t="s">
        <v>151</v>
      </c>
      <c r="H158" s="48"/>
    </row>
    <row r="159" spans="1:8" ht="16.2" x14ac:dyDescent="0.4">
      <c r="A159" s="15" t="str">
        <f t="shared" si="2"/>
        <v>cd_imv_out_certifvlr_ncssdd_enrg_utl_aqcd</v>
      </c>
      <c r="B159" s="46" t="s">
        <v>10</v>
      </c>
      <c r="C159" s="43" t="s">
        <v>30</v>
      </c>
      <c r="D159" s="39" t="s">
        <v>17</v>
      </c>
      <c r="E159" s="40" t="s">
        <v>95</v>
      </c>
      <c r="F159" s="39" t="s">
        <v>136</v>
      </c>
      <c r="G159" s="41" t="s">
        <v>151</v>
      </c>
      <c r="H159" s="48"/>
    </row>
    <row r="160" spans="1:8" ht="16.2" x14ac:dyDescent="0.4">
      <c r="A160" s="15" t="str">
        <f t="shared" si="2"/>
        <v>cd_imv_out_certifvlr_prd_gnh_invrn_prd_prt</v>
      </c>
      <c r="B160" s="46" t="s">
        <v>10</v>
      </c>
      <c r="C160" s="43" t="s">
        <v>30</v>
      </c>
      <c r="D160" s="39" t="s">
        <v>17</v>
      </c>
      <c r="E160" s="40" t="s">
        <v>95</v>
      </c>
      <c r="F160" s="39" t="s">
        <v>137</v>
      </c>
      <c r="G160" s="41" t="s">
        <v>151</v>
      </c>
      <c r="H160" s="48"/>
    </row>
    <row r="161" spans="1:8" ht="16.2" x14ac:dyDescent="0.4">
      <c r="A161" s="15" t="str">
        <f t="shared" si="2"/>
        <v>cd_imv_out_certifvlr_prd_gnh_invrn_pvmnt</v>
      </c>
      <c r="B161" s="46" t="s">
        <v>10</v>
      </c>
      <c r="C161" s="43" t="s">
        <v>30</v>
      </c>
      <c r="D161" s="39" t="s">
        <v>17</v>
      </c>
      <c r="E161" s="40" t="s">
        <v>95</v>
      </c>
      <c r="F161" s="39" t="s">
        <v>138</v>
      </c>
      <c r="G161" s="41" t="s">
        <v>151</v>
      </c>
      <c r="H161" s="48"/>
    </row>
    <row r="162" spans="1:8" ht="16.2" x14ac:dyDescent="0.4">
      <c r="A162" s="15" t="str">
        <f t="shared" si="2"/>
        <v>cd_imv_out_certifvlr_prds_gnhs_invrn_cbrtr</v>
      </c>
      <c r="B162" s="46" t="s">
        <v>10</v>
      </c>
      <c r="C162" s="43" t="s">
        <v>30</v>
      </c>
      <c r="D162" s="39" t="s">
        <v>17</v>
      </c>
      <c r="E162" s="40" t="s">
        <v>95</v>
      </c>
      <c r="F162" s="39" t="s">
        <v>139</v>
      </c>
      <c r="G162" s="41" t="s">
        <v>151</v>
      </c>
      <c r="H162" s="48"/>
    </row>
    <row r="163" spans="1:8" ht="16.2" x14ac:dyDescent="0.4">
      <c r="A163" s="15" t="str">
        <f t="shared" si="2"/>
        <v>cd_imv_out_certifvlr_prds_gnhs_invrn_jnl</v>
      </c>
      <c r="B163" s="46" t="s">
        <v>10</v>
      </c>
      <c r="C163" s="43" t="s">
        <v>30</v>
      </c>
      <c r="D163" s="39" t="s">
        <v>17</v>
      </c>
      <c r="E163" s="40" t="s">
        <v>95</v>
      </c>
      <c r="F163" s="39" t="s">
        <v>140</v>
      </c>
      <c r="G163" s="41" t="s">
        <v>151</v>
      </c>
      <c r="H163" s="48"/>
    </row>
    <row r="164" spans="1:8" ht="16.2" x14ac:dyDescent="0.4">
      <c r="A164" s="15" t="str">
        <f t="shared" si="2"/>
        <v>cd_imv_out_certifvlr_prds_gnhs_invrn_rfc</v>
      </c>
      <c r="B164" s="46" t="s">
        <v>10</v>
      </c>
      <c r="C164" s="43" t="s">
        <v>30</v>
      </c>
      <c r="D164" s="39" t="s">
        <v>17</v>
      </c>
      <c r="E164" s="40" t="s">
        <v>95</v>
      </c>
      <c r="F164" s="39" t="s">
        <v>141</v>
      </c>
      <c r="G164" s="41" t="s">
        <v>151</v>
      </c>
      <c r="H164" s="48"/>
    </row>
    <row r="165" spans="1:8" ht="16.2" x14ac:dyDescent="0.4">
      <c r="A165" s="15" t="str">
        <f t="shared" si="2"/>
        <v>cd_imv_out_certifvlr_prds_gnhs_invrn_vntnh</v>
      </c>
      <c r="B165" s="46" t="s">
        <v>10</v>
      </c>
      <c r="C165" s="43" t="s">
        <v>30</v>
      </c>
      <c r="D165" s="39" t="s">
        <v>17</v>
      </c>
      <c r="E165" s="40" t="s">
        <v>95</v>
      </c>
      <c r="F165" s="39" t="s">
        <v>142</v>
      </c>
      <c r="G165" s="41" t="s">
        <v>151</v>
      </c>
      <c r="H165" s="48"/>
    </row>
    <row r="166" spans="1:8" ht="16.2" x14ac:dyDescent="0.4">
      <c r="A166" s="15" t="str">
        <f t="shared" si="2"/>
        <v>cd_imv_out_certifvlr_prds_gnhs_vr_cbrtr</v>
      </c>
      <c r="B166" s="46" t="s">
        <v>10</v>
      </c>
      <c r="C166" s="43" t="s">
        <v>30</v>
      </c>
      <c r="D166" s="39" t="s">
        <v>17</v>
      </c>
      <c r="E166" s="40" t="s">
        <v>95</v>
      </c>
      <c r="F166" s="39" t="s">
        <v>143</v>
      </c>
      <c r="G166" s="41" t="s">
        <v>151</v>
      </c>
      <c r="H166" s="48"/>
    </row>
    <row r="167" spans="1:8" ht="16.2" x14ac:dyDescent="0.4">
      <c r="A167" s="15" t="str">
        <f t="shared" si="2"/>
        <v>cd_imv_out_certifvlr_prds_gnhs_vr_jnl</v>
      </c>
      <c r="B167" s="46" t="s">
        <v>10</v>
      </c>
      <c r="C167" s="43" t="s">
        <v>30</v>
      </c>
      <c r="D167" s="39" t="s">
        <v>17</v>
      </c>
      <c r="E167" s="40" t="s">
        <v>95</v>
      </c>
      <c r="F167" s="39" t="s">
        <v>144</v>
      </c>
      <c r="G167" s="41" t="s">
        <v>151</v>
      </c>
      <c r="H167" s="48"/>
    </row>
    <row r="168" spans="1:8" ht="16.2" x14ac:dyDescent="0.4">
      <c r="A168" s="15" t="str">
        <f t="shared" si="2"/>
        <v>cd_imv_out_certifvlr_prds_gnhs_vr_prd_prt</v>
      </c>
      <c r="B168" s="46" t="s">
        <v>10</v>
      </c>
      <c r="C168" s="43" t="s">
        <v>30</v>
      </c>
      <c r="D168" s="39" t="s">
        <v>17</v>
      </c>
      <c r="E168" s="40" t="s">
        <v>95</v>
      </c>
      <c r="F168" s="39" t="s">
        <v>145</v>
      </c>
      <c r="G168" s="41" t="s">
        <v>151</v>
      </c>
      <c r="H168" s="48"/>
    </row>
    <row r="169" spans="1:8" ht="16.2" x14ac:dyDescent="0.4">
      <c r="A169" s="15" t="str">
        <f t="shared" si="2"/>
        <v>cd_imv_out_certifvlr_prds_gnhs_vr_rfrc</v>
      </c>
      <c r="B169" s="46" t="s">
        <v>10</v>
      </c>
      <c r="C169" s="43" t="s">
        <v>30</v>
      </c>
      <c r="D169" s="39" t="s">
        <v>17</v>
      </c>
      <c r="E169" s="40" t="s">
        <v>95</v>
      </c>
      <c r="F169" s="39" t="s">
        <v>146</v>
      </c>
      <c r="G169" s="41" t="s">
        <v>151</v>
      </c>
      <c r="H169" s="48"/>
    </row>
    <row r="170" spans="1:8" ht="16.2" x14ac:dyDescent="0.4">
      <c r="A170" s="15" t="str">
        <f t="shared" si="2"/>
        <v>cd_imv_out_certifvlr_rdc_anl_estmd_ftr</v>
      </c>
      <c r="B170" s="46" t="s">
        <v>10</v>
      </c>
      <c r="C170" s="43" t="s">
        <v>30</v>
      </c>
      <c r="D170" s="39" t="s">
        <v>17</v>
      </c>
      <c r="E170" s="40" t="s">
        <v>95</v>
      </c>
      <c r="F170" s="39" t="s">
        <v>147</v>
      </c>
      <c r="G170" s="41" t="s">
        <v>151</v>
      </c>
      <c r="H170" s="48"/>
    </row>
    <row r="171" spans="1:8" ht="16.2" x14ac:dyDescent="0.4">
      <c r="A171" s="15" t="str">
        <f t="shared" si="2"/>
        <v>cd_imv_out_certifvlr_tmprtr_md_extrr</v>
      </c>
      <c r="B171" s="46" t="s">
        <v>10</v>
      </c>
      <c r="C171" s="43" t="s">
        <v>30</v>
      </c>
      <c r="D171" s="39" t="s">
        <v>17</v>
      </c>
      <c r="E171" s="40" t="s">
        <v>95</v>
      </c>
      <c r="F171" s="39" t="s">
        <v>148</v>
      </c>
      <c r="G171" s="41" t="s">
        <v>151</v>
      </c>
      <c r="H171" s="48"/>
    </row>
    <row r="172" spans="1:8" ht="16.2" x14ac:dyDescent="0.4">
      <c r="A172" s="15" t="str">
        <f t="shared" si="2"/>
        <v>cd_imv_out_certifzn_clmtc_invrn</v>
      </c>
      <c r="B172" s="46" t="s">
        <v>10</v>
      </c>
      <c r="C172" s="43" t="s">
        <v>30</v>
      </c>
      <c r="D172" s="39" t="s">
        <v>17</v>
      </c>
      <c r="E172" s="40" t="s">
        <v>95</v>
      </c>
      <c r="F172" s="39" t="s">
        <v>149</v>
      </c>
      <c r="G172" s="41" t="s">
        <v>151</v>
      </c>
      <c r="H172" s="48"/>
    </row>
    <row r="173" spans="1:8" ht="16.2" x14ac:dyDescent="0.4">
      <c r="A173" s="15" t="str">
        <f t="shared" si="2"/>
        <v>cd_imv_out_certifzn_clmtc_vr</v>
      </c>
      <c r="B173" s="46" t="s">
        <v>10</v>
      </c>
      <c r="C173" s="43" t="s">
        <v>30</v>
      </c>
      <c r="D173" s="39" t="s">
        <v>17</v>
      </c>
      <c r="E173" s="40" t="s">
        <v>95</v>
      </c>
      <c r="F173" s="39" t="s">
        <v>150</v>
      </c>
      <c r="G173" s="41" t="s">
        <v>151</v>
      </c>
      <c r="H173" s="48"/>
    </row>
    <row r="174" spans="1:8" ht="16.2" x14ac:dyDescent="0.4">
      <c r="A174" s="15" t="str">
        <f t="shared" si="2"/>
        <v>modesg_param_sfcs_taxon_europeian.a.</v>
      </c>
      <c r="B174" s="46" t="s">
        <v>10</v>
      </c>
      <c r="C174" s="43" t="s">
        <v>152</v>
      </c>
      <c r="D174" s="39" t="s">
        <v>14</v>
      </c>
      <c r="E174" s="40" t="s">
        <v>153</v>
      </c>
      <c r="F174" s="39" t="s">
        <v>16</v>
      </c>
      <c r="G174" s="41" t="s">
        <v>433</v>
      </c>
      <c r="H174" s="48"/>
    </row>
    <row r="175" spans="1:8" ht="16.2" x14ac:dyDescent="0.4">
      <c r="A175" s="15" t="str">
        <f t="shared" si="2"/>
        <v>modesg_param_sfcs_taxon_europeiacbalcao</v>
      </c>
      <c r="B175" s="46" t="s">
        <v>10</v>
      </c>
      <c r="C175" s="43" t="s">
        <v>152</v>
      </c>
      <c r="D175" s="39" t="s">
        <v>17</v>
      </c>
      <c r="E175" s="40" t="s">
        <v>153</v>
      </c>
      <c r="F175" s="39" t="s">
        <v>154</v>
      </c>
      <c r="G175" s="41" t="s">
        <v>431</v>
      </c>
      <c r="H175" s="57"/>
    </row>
    <row r="176" spans="1:8" ht="16.2" x14ac:dyDescent="0.4">
      <c r="A176" s="15" t="str">
        <f t="shared" si="2"/>
        <v>modesg_param_sfcs_taxon_europeiacempresa</v>
      </c>
      <c r="B176" s="46" t="s">
        <v>10</v>
      </c>
      <c r="C176" s="43" t="s">
        <v>152</v>
      </c>
      <c r="D176" s="39" t="s">
        <v>17</v>
      </c>
      <c r="E176" s="40" t="s">
        <v>153</v>
      </c>
      <c r="F176" s="39" t="s">
        <v>33</v>
      </c>
      <c r="G176" s="41" t="s">
        <v>431</v>
      </c>
      <c r="H176" s="57"/>
    </row>
    <row r="177" spans="1:8" ht="16.2" x14ac:dyDescent="0.4">
      <c r="A177" s="15" t="str">
        <f t="shared" si="2"/>
        <v>modesg_param_sfcs_taxon_europeiackmetamis</v>
      </c>
      <c r="B177" s="46" t="s">
        <v>10</v>
      </c>
      <c r="C177" s="43" t="s">
        <v>152</v>
      </c>
      <c r="D177" s="39" t="s">
        <v>17</v>
      </c>
      <c r="E177" s="40" t="s">
        <v>153</v>
      </c>
      <c r="F177" s="39" t="s">
        <v>155</v>
      </c>
      <c r="G177" s="41" t="s">
        <v>431</v>
      </c>
      <c r="H177" s="57"/>
    </row>
    <row r="178" spans="1:8" ht="16.2" x14ac:dyDescent="0.4">
      <c r="A178" s="15" t="str">
        <f t="shared" si="2"/>
        <v>modesg_param_sfcs_taxon_europeiackprodmi</v>
      </c>
      <c r="B178" s="46" t="s">
        <v>10</v>
      </c>
      <c r="C178" s="43" t="s">
        <v>152</v>
      </c>
      <c r="D178" s="39" t="s">
        <v>17</v>
      </c>
      <c r="E178" s="40" t="s">
        <v>153</v>
      </c>
      <c r="F178" s="39" t="s">
        <v>156</v>
      </c>
      <c r="G178" s="41" t="s">
        <v>431</v>
      </c>
      <c r="H178" s="57"/>
    </row>
    <row r="179" spans="1:8" ht="16.2" x14ac:dyDescent="0.4">
      <c r="A179" s="15" t="str">
        <f t="shared" si="2"/>
        <v>modesg_param_sfcs_taxon_europeiacmetanseg</v>
      </c>
      <c r="B179" s="46" t="s">
        <v>10</v>
      </c>
      <c r="C179" s="43" t="s">
        <v>152</v>
      </c>
      <c r="D179" s="39" t="s">
        <v>17</v>
      </c>
      <c r="E179" s="40" t="s">
        <v>153</v>
      </c>
      <c r="F179" s="39" t="s">
        <v>157</v>
      </c>
      <c r="G179" s="41" t="s">
        <v>431</v>
      </c>
      <c r="H179" s="57"/>
    </row>
    <row r="180" spans="1:8" ht="16.2" x14ac:dyDescent="0.4">
      <c r="A180" s="15" t="str">
        <f t="shared" si="2"/>
        <v>modesg_param_sfcs_taxon_europeiacnsm_co2</v>
      </c>
      <c r="B180" s="46" t="s">
        <v>10</v>
      </c>
      <c r="C180" s="43" t="s">
        <v>152</v>
      </c>
      <c r="D180" s="39" t="s">
        <v>17</v>
      </c>
      <c r="E180" s="40" t="s">
        <v>153</v>
      </c>
      <c r="F180" s="39" t="s">
        <v>158</v>
      </c>
      <c r="G180" s="41" t="s">
        <v>431</v>
      </c>
      <c r="H180" s="57"/>
    </row>
    <row r="181" spans="1:8" ht="16.2" x14ac:dyDescent="0.4">
      <c r="A181" s="15" t="str">
        <f t="shared" si="2"/>
        <v>modesg_param_sfcs_taxon_europeiacnumecta</v>
      </c>
      <c r="B181" s="46" t="s">
        <v>10</v>
      </c>
      <c r="C181" s="43" t="s">
        <v>152</v>
      </c>
      <c r="D181" s="39" t="s">
        <v>17</v>
      </c>
      <c r="E181" s="40" t="s">
        <v>153</v>
      </c>
      <c r="F181" s="39" t="s">
        <v>159</v>
      </c>
      <c r="G181" s="41" t="s">
        <v>431</v>
      </c>
      <c r="H181" s="57"/>
    </row>
    <row r="182" spans="1:8" ht="16.2" x14ac:dyDescent="0.4">
      <c r="A182" s="15" t="str">
        <f t="shared" si="2"/>
        <v>modesg_param_sfcs_taxon_europeiacod_lease</v>
      </c>
      <c r="B182" s="46" t="s">
        <v>10</v>
      </c>
      <c r="C182" s="43" t="s">
        <v>152</v>
      </c>
      <c r="D182" s="39" t="s">
        <v>17</v>
      </c>
      <c r="E182" s="40" t="s">
        <v>153</v>
      </c>
      <c r="F182" s="39" t="s">
        <v>160</v>
      </c>
      <c r="G182" s="41" t="s">
        <v>431</v>
      </c>
      <c r="H182" s="57"/>
    </row>
    <row r="183" spans="1:8" ht="16.2" x14ac:dyDescent="0.4">
      <c r="A183" s="15" t="str">
        <f t="shared" si="2"/>
        <v>modesg_param_sfcs_taxon_europeiacod_regra</v>
      </c>
      <c r="B183" s="46" t="s">
        <v>10</v>
      </c>
      <c r="C183" s="43" t="s">
        <v>152</v>
      </c>
      <c r="D183" s="39" t="s">
        <v>17</v>
      </c>
      <c r="E183" s="40" t="s">
        <v>153</v>
      </c>
      <c r="F183" s="39" t="s">
        <v>161</v>
      </c>
      <c r="G183" s="41" t="s">
        <v>433</v>
      </c>
      <c r="H183" s="48"/>
    </row>
    <row r="184" spans="1:8" ht="16.2" x14ac:dyDescent="0.4">
      <c r="A184" s="15" t="str">
        <f t="shared" si="2"/>
        <v>modesg_param_sfcs_taxon_europeiacomite</v>
      </c>
      <c r="B184" s="46" t="s">
        <v>10</v>
      </c>
      <c r="C184" s="43" t="s">
        <v>152</v>
      </c>
      <c r="D184" s="39" t="s">
        <v>17</v>
      </c>
      <c r="E184" s="40" t="s">
        <v>153</v>
      </c>
      <c r="F184" s="39" t="s">
        <v>162</v>
      </c>
      <c r="G184" s="41" t="s">
        <v>433</v>
      </c>
      <c r="H184" s="48"/>
    </row>
    <row r="185" spans="1:8" ht="16.2" x14ac:dyDescent="0.4">
      <c r="A185" s="15" t="str">
        <f t="shared" si="2"/>
        <v>modesg_param_sfcs_taxon_europeiadata_aprvc</v>
      </c>
      <c r="B185" s="46" t="s">
        <v>10</v>
      </c>
      <c r="C185" s="43" t="s">
        <v>152</v>
      </c>
      <c r="D185" s="39" t="s">
        <v>17</v>
      </c>
      <c r="E185" s="40" t="s">
        <v>153</v>
      </c>
      <c r="F185" s="39" t="s">
        <v>163</v>
      </c>
      <c r="G185" s="41" t="s">
        <v>433</v>
      </c>
      <c r="H185" s="48"/>
    </row>
    <row r="186" spans="1:8" ht="16.2" x14ac:dyDescent="0.4">
      <c r="A186" s="15" t="str">
        <f t="shared" si="2"/>
        <v>modesg_param_sfcs_taxon_europeiadata_final</v>
      </c>
      <c r="B186" s="46" t="s">
        <v>10</v>
      </c>
      <c r="C186" s="43" t="s">
        <v>152</v>
      </c>
      <c r="D186" s="39" t="s">
        <v>17</v>
      </c>
      <c r="E186" s="40" t="s">
        <v>153</v>
      </c>
      <c r="F186" s="39" t="s">
        <v>164</v>
      </c>
      <c r="G186" s="41" t="s">
        <v>433</v>
      </c>
      <c r="H186" s="48"/>
    </row>
    <row r="187" spans="1:8" ht="16.2" x14ac:dyDescent="0.4">
      <c r="A187" s="15" t="str">
        <f t="shared" si="2"/>
        <v>modesg_param_sfcs_taxon_europeiadata_inicial</v>
      </c>
      <c r="B187" s="46" t="s">
        <v>10</v>
      </c>
      <c r="C187" s="43" t="s">
        <v>152</v>
      </c>
      <c r="D187" s="39" t="s">
        <v>17</v>
      </c>
      <c r="E187" s="40" t="s">
        <v>153</v>
      </c>
      <c r="F187" s="39" t="s">
        <v>165</v>
      </c>
      <c r="G187" s="41" t="s">
        <v>433</v>
      </c>
      <c r="H187" s="48"/>
    </row>
    <row r="188" spans="1:8" ht="16.2" x14ac:dyDescent="0.4">
      <c r="A188" s="15" t="str">
        <f t="shared" si="2"/>
        <v>modesg_param_sfcs_taxon_europeiadominio</v>
      </c>
      <c r="B188" s="46" t="s">
        <v>10</v>
      </c>
      <c r="C188" s="43" t="s">
        <v>152</v>
      </c>
      <c r="D188" s="39" t="s">
        <v>17</v>
      </c>
      <c r="E188" s="40" t="s">
        <v>153</v>
      </c>
      <c r="F188" s="39" t="s">
        <v>166</v>
      </c>
      <c r="G188" s="41" t="s">
        <v>431</v>
      </c>
      <c r="H188" s="57"/>
    </row>
    <row r="189" spans="1:8" ht="16.2" x14ac:dyDescent="0.4">
      <c r="A189" s="15" t="str">
        <f t="shared" si="2"/>
        <v>modesg_param_sfcs_taxon_europeiadscrc</v>
      </c>
      <c r="B189" s="46" t="s">
        <v>10</v>
      </c>
      <c r="C189" s="43" t="s">
        <v>152</v>
      </c>
      <c r="D189" s="39" t="s">
        <v>17</v>
      </c>
      <c r="E189" s="40" t="s">
        <v>153</v>
      </c>
      <c r="F189" s="39" t="s">
        <v>167</v>
      </c>
      <c r="G189" s="41" t="s">
        <v>431</v>
      </c>
      <c r="H189" s="57"/>
    </row>
    <row r="190" spans="1:8" ht="16.2" x14ac:dyDescent="0.4">
      <c r="A190" s="15" t="str">
        <f t="shared" si="2"/>
        <v>modesg_param_sfcs_taxon_europeiaepc</v>
      </c>
      <c r="B190" s="46" t="s">
        <v>10</v>
      </c>
      <c r="C190" s="43" t="s">
        <v>152</v>
      </c>
      <c r="D190" s="39" t="s">
        <v>17</v>
      </c>
      <c r="E190" s="40" t="s">
        <v>153</v>
      </c>
      <c r="F190" s="39" t="s">
        <v>24</v>
      </c>
      <c r="G190" s="41" t="s">
        <v>431</v>
      </c>
      <c r="H190" s="57"/>
    </row>
    <row r="191" spans="1:8" ht="16.2" x14ac:dyDescent="0.4">
      <c r="A191" s="15" t="str">
        <f t="shared" si="2"/>
        <v>modesg_param_sfcs_taxon_europeiaflag_project_finance</v>
      </c>
      <c r="B191" s="46" t="s">
        <v>10</v>
      </c>
      <c r="C191" s="43" t="s">
        <v>152</v>
      </c>
      <c r="D191" s="39" t="s">
        <v>17</v>
      </c>
      <c r="E191" s="40" t="s">
        <v>153</v>
      </c>
      <c r="F191" s="39" t="s">
        <v>168</v>
      </c>
      <c r="G191" s="41" t="s">
        <v>433</v>
      </c>
      <c r="H191" s="49" t="s">
        <v>444</v>
      </c>
    </row>
    <row r="192" spans="1:8" ht="16.2" x14ac:dyDescent="0.4">
      <c r="A192" s="15" t="str">
        <f t="shared" si="2"/>
        <v>modesg_param_sfcs_taxon_europeiacfinalidad</v>
      </c>
      <c r="B192" s="46" t="s">
        <v>10</v>
      </c>
      <c r="C192" s="43" t="s">
        <v>152</v>
      </c>
      <c r="D192" s="39" t="s">
        <v>17</v>
      </c>
      <c r="E192" s="40" t="s">
        <v>153</v>
      </c>
      <c r="F192" s="39" t="s">
        <v>169</v>
      </c>
      <c r="G192" s="41" t="s">
        <v>433</v>
      </c>
      <c r="H192" s="49" t="s">
        <v>444</v>
      </c>
    </row>
    <row r="193" spans="1:8" ht="16.2" x14ac:dyDescent="0.4">
      <c r="A193" s="15" t="str">
        <f t="shared" si="2"/>
        <v>modesg_param_sfcs_taxon_europeiatipo_combust</v>
      </c>
      <c r="B193" s="46" t="s">
        <v>10</v>
      </c>
      <c r="C193" s="43" t="s">
        <v>152</v>
      </c>
      <c r="D193" s="39" t="s">
        <v>17</v>
      </c>
      <c r="E193" s="40" t="s">
        <v>153</v>
      </c>
      <c r="F193" s="39" t="s">
        <v>170</v>
      </c>
      <c r="G193" s="41" t="s">
        <v>433</v>
      </c>
      <c r="H193" s="49" t="s">
        <v>445</v>
      </c>
    </row>
    <row r="194" spans="1:8" ht="16.2" x14ac:dyDescent="0.4">
      <c r="A194" s="15" t="str">
        <f t="shared" si="2"/>
        <v>modesg_param_sfcs_taxon_europeiamontante_pndrc</v>
      </c>
      <c r="B194" s="46" t="s">
        <v>10</v>
      </c>
      <c r="C194" s="43" t="s">
        <v>152</v>
      </c>
      <c r="D194" s="39" t="s">
        <v>17</v>
      </c>
      <c r="E194" s="40" t="s">
        <v>153</v>
      </c>
      <c r="F194" s="39" t="s">
        <v>171</v>
      </c>
      <c r="G194" s="41" t="s">
        <v>433</v>
      </c>
      <c r="H194" s="48"/>
    </row>
    <row r="195" spans="1:8" ht="16.2" x14ac:dyDescent="0.4">
      <c r="A195" s="15" t="str">
        <f t="shared" si="2"/>
        <v>modesg_param_sfcs_taxon_europeianome_ctgr_sfcs</v>
      </c>
      <c r="B195" s="46" t="s">
        <v>10</v>
      </c>
      <c r="C195" s="43" t="s">
        <v>152</v>
      </c>
      <c r="D195" s="39" t="s">
        <v>17</v>
      </c>
      <c r="E195" s="40" t="s">
        <v>153</v>
      </c>
      <c r="F195" s="39" t="s">
        <v>172</v>
      </c>
      <c r="G195" s="41" t="s">
        <v>433</v>
      </c>
      <c r="H195" s="48"/>
    </row>
    <row r="196" spans="1:8" ht="16.2" x14ac:dyDescent="0.4">
      <c r="A196" s="15" t="str">
        <f t="shared" si="2"/>
        <v>modesg_param_sfcs_taxon_europeianome_general_specific_purpose</v>
      </c>
      <c r="B196" s="46" t="s">
        <v>10</v>
      </c>
      <c r="C196" s="43" t="s">
        <v>152</v>
      </c>
      <c r="D196" s="39" t="s">
        <v>17</v>
      </c>
      <c r="E196" s="40" t="s">
        <v>153</v>
      </c>
      <c r="F196" s="39" t="s">
        <v>173</v>
      </c>
      <c r="G196" s="41" t="s">
        <v>431</v>
      </c>
      <c r="H196" s="57"/>
    </row>
    <row r="197" spans="1:8" ht="16.2" x14ac:dyDescent="0.4">
      <c r="A197" s="15" t="str">
        <f t="shared" si="2"/>
        <v>modesg_param_sfcs_taxon_europeianome_purpose_esg</v>
      </c>
      <c r="B197" s="46" t="s">
        <v>10</v>
      </c>
      <c r="C197" s="43" t="s">
        <v>152</v>
      </c>
      <c r="D197" s="39" t="s">
        <v>17</v>
      </c>
      <c r="E197" s="40" t="s">
        <v>153</v>
      </c>
      <c r="F197" s="39" t="s">
        <v>174</v>
      </c>
      <c r="G197" s="41" t="s">
        <v>431</v>
      </c>
      <c r="H197" s="57"/>
    </row>
    <row r="198" spans="1:8" ht="16.2" x14ac:dyDescent="0.4">
      <c r="A198" s="15" t="str">
        <f t="shared" si="2"/>
        <v>modesg_param_sfcs_taxon_europeianome_specific_eligible</v>
      </c>
      <c r="B198" s="46" t="s">
        <v>10</v>
      </c>
      <c r="C198" s="43" t="s">
        <v>152</v>
      </c>
      <c r="D198" s="39" t="s">
        <v>17</v>
      </c>
      <c r="E198" s="40" t="s">
        <v>153</v>
      </c>
      <c r="F198" s="39" t="s">
        <v>175</v>
      </c>
      <c r="G198" s="41" t="s">
        <v>431</v>
      </c>
      <c r="H198" s="57"/>
    </row>
    <row r="199" spans="1:8" ht="16.2" x14ac:dyDescent="0.4">
      <c r="A199" s="15" t="str">
        <f t="shared" si="2"/>
        <v>modesg_param_sfcs_taxon_europeianome_specific_sustainable</v>
      </c>
      <c r="B199" s="46" t="s">
        <v>10</v>
      </c>
      <c r="C199" s="43" t="s">
        <v>152</v>
      </c>
      <c r="D199" s="39" t="s">
        <v>17</v>
      </c>
      <c r="E199" s="40" t="s">
        <v>153</v>
      </c>
      <c r="F199" s="39" t="s">
        <v>176</v>
      </c>
      <c r="G199" s="41" t="s">
        <v>431</v>
      </c>
      <c r="H199" s="57"/>
    </row>
    <row r="200" spans="1:8" ht="16.2" x14ac:dyDescent="0.4">
      <c r="A200" s="15" t="str">
        <f t="shared" ref="A200:A263" si="3">E200&amp;F200</f>
        <v>modesg_param_sfcs_taxon_europeiaref_date</v>
      </c>
      <c r="B200" s="46" t="s">
        <v>10</v>
      </c>
      <c r="C200" s="43" t="s">
        <v>152</v>
      </c>
      <c r="D200" s="39" t="s">
        <v>17</v>
      </c>
      <c r="E200" s="40" t="s">
        <v>153</v>
      </c>
      <c r="F200" s="39" t="s">
        <v>49</v>
      </c>
      <c r="G200" s="41" t="s">
        <v>431</v>
      </c>
      <c r="H200" s="57"/>
    </row>
    <row r="201" spans="1:8" ht="16.2" x14ac:dyDescent="0.4">
      <c r="A201" s="15" t="str">
        <f t="shared" si="3"/>
        <v>modesg_param_sfcs_taxon_europeiazcliente</v>
      </c>
      <c r="B201" s="46" t="s">
        <v>10</v>
      </c>
      <c r="C201" s="43" t="s">
        <v>152</v>
      </c>
      <c r="D201" s="39" t="s">
        <v>17</v>
      </c>
      <c r="E201" s="40" t="s">
        <v>153</v>
      </c>
      <c r="F201" s="39" t="s">
        <v>177</v>
      </c>
      <c r="G201" s="41" t="s">
        <v>431</v>
      </c>
      <c r="H201" s="57"/>
    </row>
    <row r="202" spans="1:8" ht="16.2" x14ac:dyDescent="0.4">
      <c r="A202" s="15" t="str">
        <f t="shared" si="3"/>
        <v>modesg_param_sfcs_taxon_europeiazdeposit</v>
      </c>
      <c r="B202" s="46" t="s">
        <v>10</v>
      </c>
      <c r="C202" s="43" t="s">
        <v>152</v>
      </c>
      <c r="D202" s="39" t="s">
        <v>17</v>
      </c>
      <c r="E202" s="40" t="s">
        <v>153</v>
      </c>
      <c r="F202" s="39" t="s">
        <v>178</v>
      </c>
      <c r="G202" s="41" t="s">
        <v>431</v>
      </c>
      <c r="H202" s="57"/>
    </row>
    <row r="203" spans="1:8" ht="16.2" x14ac:dyDescent="0.4">
      <c r="A203" s="15" t="str">
        <f t="shared" si="3"/>
        <v>modesg_inp_emss_vclsn.a.</v>
      </c>
      <c r="B203" s="46" t="s">
        <v>10</v>
      </c>
      <c r="C203" s="43" t="s">
        <v>152</v>
      </c>
      <c r="D203" s="39" t="s">
        <v>14</v>
      </c>
      <c r="E203" s="40" t="s">
        <v>179</v>
      </c>
      <c r="F203" s="39" t="s">
        <v>16</v>
      </c>
      <c r="G203" s="41" t="s">
        <v>434</v>
      </c>
      <c r="H203" s="48" t="s">
        <v>446</v>
      </c>
    </row>
    <row r="204" spans="1:8" ht="16.2" x14ac:dyDescent="0.4">
      <c r="A204" s="15" t="str">
        <f t="shared" si="3"/>
        <v>modesg_inp_km_medios_emss_vclsn.a.</v>
      </c>
      <c r="B204" s="46" t="s">
        <v>10</v>
      </c>
      <c r="C204" s="43" t="s">
        <v>152</v>
      </c>
      <c r="D204" s="39" t="s">
        <v>14</v>
      </c>
      <c r="E204" s="40" t="s">
        <v>180</v>
      </c>
      <c r="F204" s="39" t="s">
        <v>16</v>
      </c>
      <c r="G204" s="41" t="s">
        <v>434</v>
      </c>
      <c r="H204" s="48" t="s">
        <v>446</v>
      </c>
    </row>
    <row r="205" spans="1:8" ht="16.2" x14ac:dyDescent="0.4">
      <c r="A205" s="15" t="str">
        <f t="shared" si="3"/>
        <v>modesg_inp_empr_excl_parisn.a.</v>
      </c>
      <c r="B205" s="46" t="s">
        <v>10</v>
      </c>
      <c r="C205" s="43" t="s">
        <v>152</v>
      </c>
      <c r="D205" s="39" t="s">
        <v>14</v>
      </c>
      <c r="E205" s="40" t="s">
        <v>181</v>
      </c>
      <c r="F205" s="39" t="s">
        <v>16</v>
      </c>
      <c r="G205" s="41" t="s">
        <v>431</v>
      </c>
      <c r="H205" s="57"/>
    </row>
    <row r="206" spans="1:8" ht="16.2" x14ac:dyDescent="0.4">
      <c r="A206" s="15" t="str">
        <f t="shared" si="3"/>
        <v>modesg_inp_nfrd_alinhamento_taxn.a.</v>
      </c>
      <c r="B206" s="46" t="s">
        <v>10</v>
      </c>
      <c r="C206" s="43" t="s">
        <v>152</v>
      </c>
      <c r="D206" s="39" t="s">
        <v>14</v>
      </c>
      <c r="E206" s="40" t="s">
        <v>182</v>
      </c>
      <c r="F206" s="39" t="s">
        <v>16</v>
      </c>
      <c r="G206" s="41" t="s">
        <v>434</v>
      </c>
      <c r="H206" s="48" t="s">
        <v>446</v>
      </c>
    </row>
    <row r="207" spans="1:8" ht="16.2" x14ac:dyDescent="0.4">
      <c r="A207" s="15" t="str">
        <f t="shared" si="3"/>
        <v>modesg_inp_risco_fisicon.a.</v>
      </c>
      <c r="B207" s="46" t="s">
        <v>10</v>
      </c>
      <c r="C207" s="43" t="s">
        <v>152</v>
      </c>
      <c r="D207" s="39" t="s">
        <v>14</v>
      </c>
      <c r="E207" s="40" t="s">
        <v>183</v>
      </c>
      <c r="F207" s="39" t="s">
        <v>16</v>
      </c>
      <c r="G207" s="41" t="s">
        <v>431</v>
      </c>
      <c r="H207" s="57"/>
    </row>
    <row r="208" spans="1:8" ht="16.2" x14ac:dyDescent="0.4">
      <c r="A208" s="15" t="str">
        <f t="shared" si="3"/>
        <v>modesg_inp_emss_scibn.a.</v>
      </c>
      <c r="B208" s="46" t="s">
        <v>10</v>
      </c>
      <c r="C208" s="43" t="s">
        <v>152</v>
      </c>
      <c r="D208" s="39" t="s">
        <v>14</v>
      </c>
      <c r="E208" s="40" t="s">
        <v>184</v>
      </c>
      <c r="F208" s="39" t="s">
        <v>16</v>
      </c>
      <c r="G208" s="41" t="s">
        <v>431</v>
      </c>
      <c r="H208" s="57"/>
    </row>
    <row r="209" spans="1:8" ht="16.2" x14ac:dyDescent="0.4">
      <c r="A209" s="15" t="str">
        <f t="shared" si="3"/>
        <v>modesg_inp_emss_nacen.a.</v>
      </c>
      <c r="B209" s="46" t="s">
        <v>10</v>
      </c>
      <c r="C209" s="43" t="s">
        <v>152</v>
      </c>
      <c r="D209" s="39" t="s">
        <v>14</v>
      </c>
      <c r="E209" s="40" t="s">
        <v>185</v>
      </c>
      <c r="F209" s="39" t="s">
        <v>16</v>
      </c>
      <c r="G209" s="41" t="s">
        <v>434</v>
      </c>
      <c r="H209" s="48" t="s">
        <v>446</v>
      </c>
    </row>
    <row r="210" spans="1:8" ht="16.2" x14ac:dyDescent="0.4">
      <c r="A210" s="15" t="str">
        <f t="shared" si="3"/>
        <v>modesg_inp_emss_bens_imoveisn.a.</v>
      </c>
      <c r="B210" s="46" t="s">
        <v>10</v>
      </c>
      <c r="C210" s="43" t="s">
        <v>152</v>
      </c>
      <c r="D210" s="39" t="s">
        <v>14</v>
      </c>
      <c r="E210" s="40" t="s">
        <v>186</v>
      </c>
      <c r="F210" s="39" t="s">
        <v>16</v>
      </c>
      <c r="G210" s="41" t="s">
        <v>434</v>
      </c>
      <c r="H210" s="48" t="s">
        <v>446</v>
      </c>
    </row>
    <row r="211" spans="1:8" ht="16.2" x14ac:dyDescent="0.4">
      <c r="A211" s="15" t="str">
        <f t="shared" si="3"/>
        <v>modesg_inp_emss_vclsref_date</v>
      </c>
      <c r="B211" s="46" t="s">
        <v>10</v>
      </c>
      <c r="C211" s="43" t="s">
        <v>152</v>
      </c>
      <c r="D211" s="39" t="s">
        <v>17</v>
      </c>
      <c r="E211" s="40" t="s">
        <v>179</v>
      </c>
      <c r="F211" s="39" t="s">
        <v>49</v>
      </c>
      <c r="G211" s="41" t="s">
        <v>434</v>
      </c>
      <c r="H211" s="48" t="s">
        <v>446</v>
      </c>
    </row>
    <row r="212" spans="1:8" ht="16.2" x14ac:dyDescent="0.4">
      <c r="A212" s="15" t="str">
        <f t="shared" si="3"/>
        <v>modesg_inp_emss_vclsnome_regiao</v>
      </c>
      <c r="B212" s="46" t="s">
        <v>10</v>
      </c>
      <c r="C212" s="43" t="s">
        <v>152</v>
      </c>
      <c r="D212" s="39" t="s">
        <v>17</v>
      </c>
      <c r="E212" s="40" t="s">
        <v>179</v>
      </c>
      <c r="F212" s="39" t="s">
        <v>187</v>
      </c>
      <c r="G212" s="41" t="s">
        <v>434</v>
      </c>
      <c r="H212" s="48" t="s">
        <v>446</v>
      </c>
    </row>
    <row r="213" spans="1:8" ht="16.2" x14ac:dyDescent="0.4">
      <c r="A213" s="15" t="str">
        <f t="shared" si="3"/>
        <v>modesg_inp_emss_vclsnome_pais</v>
      </c>
      <c r="B213" s="46" t="s">
        <v>10</v>
      </c>
      <c r="C213" s="43" t="s">
        <v>152</v>
      </c>
      <c r="D213" s="39" t="s">
        <v>17</v>
      </c>
      <c r="E213" s="40" t="s">
        <v>179</v>
      </c>
      <c r="F213" s="39" t="s">
        <v>188</v>
      </c>
      <c r="G213" s="41" t="s">
        <v>434</v>
      </c>
      <c r="H213" s="48" t="s">
        <v>446</v>
      </c>
    </row>
    <row r="214" spans="1:8" ht="16.2" x14ac:dyDescent="0.4">
      <c r="A214" s="15" t="str">
        <f t="shared" si="3"/>
        <v>modesg_inp_emss_vclsnome_estado</v>
      </c>
      <c r="B214" s="46" t="s">
        <v>10</v>
      </c>
      <c r="C214" s="43" t="s">
        <v>152</v>
      </c>
      <c r="D214" s="39" t="s">
        <v>17</v>
      </c>
      <c r="E214" s="40" t="s">
        <v>179</v>
      </c>
      <c r="F214" s="39" t="s">
        <v>189</v>
      </c>
      <c r="G214" s="41" t="s">
        <v>434</v>
      </c>
      <c r="H214" s="48" t="s">
        <v>446</v>
      </c>
    </row>
    <row r="215" spans="1:8" ht="16.2" x14ac:dyDescent="0.4">
      <c r="A215" s="15" t="str">
        <f t="shared" si="3"/>
        <v>modesg_inp_emss_vclstipo_veiculo</v>
      </c>
      <c r="B215" s="46" t="s">
        <v>10</v>
      </c>
      <c r="C215" s="43" t="s">
        <v>152</v>
      </c>
      <c r="D215" s="39" t="s">
        <v>17</v>
      </c>
      <c r="E215" s="40" t="s">
        <v>179</v>
      </c>
      <c r="F215" s="39" t="s">
        <v>190</v>
      </c>
      <c r="G215" s="41" t="s">
        <v>434</v>
      </c>
      <c r="H215" s="48" t="s">
        <v>446</v>
      </c>
    </row>
    <row r="216" spans="1:8" ht="16.2" x14ac:dyDescent="0.4">
      <c r="A216" s="15" t="str">
        <f t="shared" si="3"/>
        <v>modesg_inp_emss_vclstipo_motor</v>
      </c>
      <c r="B216" s="46" t="s">
        <v>10</v>
      </c>
      <c r="C216" s="43" t="s">
        <v>152</v>
      </c>
      <c r="D216" s="39" t="s">
        <v>17</v>
      </c>
      <c r="E216" s="40" t="s">
        <v>179</v>
      </c>
      <c r="F216" s="39" t="s">
        <v>191</v>
      </c>
      <c r="G216" s="41" t="s">
        <v>434</v>
      </c>
      <c r="H216" s="48" t="s">
        <v>446</v>
      </c>
    </row>
    <row r="217" spans="1:8" ht="16.2" x14ac:dyDescent="0.4">
      <c r="A217" s="15" t="str">
        <f t="shared" si="3"/>
        <v>modesg_inp_emss_vclsmarca</v>
      </c>
      <c r="B217" s="46" t="s">
        <v>10</v>
      </c>
      <c r="C217" s="43" t="s">
        <v>152</v>
      </c>
      <c r="D217" s="39" t="s">
        <v>17</v>
      </c>
      <c r="E217" s="40" t="s">
        <v>179</v>
      </c>
      <c r="F217" s="39" t="s">
        <v>192</v>
      </c>
      <c r="G217" s="41" t="s">
        <v>434</v>
      </c>
      <c r="H217" s="48" t="s">
        <v>446</v>
      </c>
    </row>
    <row r="218" spans="1:8" ht="16.2" x14ac:dyDescent="0.4">
      <c r="A218" s="15" t="str">
        <f t="shared" si="3"/>
        <v>modesg_inp_emss_vclsmodelo</v>
      </c>
      <c r="B218" s="46" t="s">
        <v>10</v>
      </c>
      <c r="C218" s="43" t="s">
        <v>152</v>
      </c>
      <c r="D218" s="39" t="s">
        <v>17</v>
      </c>
      <c r="E218" s="40" t="s">
        <v>179</v>
      </c>
      <c r="F218" s="39" t="s">
        <v>193</v>
      </c>
      <c r="G218" s="41" t="s">
        <v>434</v>
      </c>
      <c r="H218" s="48" t="s">
        <v>446</v>
      </c>
    </row>
    <row r="219" spans="1:8" ht="16.2" x14ac:dyDescent="0.4">
      <c r="A219" s="15" t="str">
        <f t="shared" si="3"/>
        <v>modesg_inp_emss_vclsdata_level_5</v>
      </c>
      <c r="B219" s="46" t="s">
        <v>10</v>
      </c>
      <c r="C219" s="43" t="s">
        <v>152</v>
      </c>
      <c r="D219" s="39" t="s">
        <v>17</v>
      </c>
      <c r="E219" s="40" t="s">
        <v>179</v>
      </c>
      <c r="F219" s="39" t="s">
        <v>194</v>
      </c>
      <c r="G219" s="41" t="s">
        <v>434</v>
      </c>
      <c r="H219" s="49" t="s">
        <v>447</v>
      </c>
    </row>
    <row r="220" spans="1:8" ht="16.2" x14ac:dyDescent="0.4">
      <c r="A220" s="15" t="str">
        <f t="shared" si="3"/>
        <v>modesg_inp_emss_vclsnome_unidade_funcional</v>
      </c>
      <c r="B220" s="46" t="s">
        <v>10</v>
      </c>
      <c r="C220" s="43" t="s">
        <v>152</v>
      </c>
      <c r="D220" s="39" t="s">
        <v>17</v>
      </c>
      <c r="E220" s="40" t="s">
        <v>179</v>
      </c>
      <c r="F220" s="39" t="s">
        <v>195</v>
      </c>
      <c r="G220" s="41" t="s">
        <v>434</v>
      </c>
      <c r="H220" s="48" t="s">
        <v>446</v>
      </c>
    </row>
    <row r="221" spans="1:8" ht="16.2" x14ac:dyDescent="0.4">
      <c r="A221" s="15" t="str">
        <f t="shared" si="3"/>
        <v>modesg_inp_emss_vclsunidade_funcional</v>
      </c>
      <c r="B221" s="46" t="s">
        <v>10</v>
      </c>
      <c r="C221" s="43" t="s">
        <v>152</v>
      </c>
      <c r="D221" s="39" t="s">
        <v>17</v>
      </c>
      <c r="E221" s="40" t="s">
        <v>179</v>
      </c>
      <c r="F221" s="39" t="s">
        <v>196</v>
      </c>
      <c r="G221" s="41" t="s">
        <v>434</v>
      </c>
      <c r="H221" s="48" t="s">
        <v>446</v>
      </c>
    </row>
    <row r="222" spans="1:8" ht="16.2" x14ac:dyDescent="0.4">
      <c r="A222" s="15" t="str">
        <f t="shared" si="3"/>
        <v>modesg_inp_emss_vclsnome_fator_emissao</v>
      </c>
      <c r="B222" s="46" t="s">
        <v>10</v>
      </c>
      <c r="C222" s="43" t="s">
        <v>152</v>
      </c>
      <c r="D222" s="39" t="s">
        <v>17</v>
      </c>
      <c r="E222" s="40" t="s">
        <v>179</v>
      </c>
      <c r="F222" s="39" t="s">
        <v>197</v>
      </c>
      <c r="G222" s="41" t="s">
        <v>434</v>
      </c>
      <c r="H222" s="48" t="s">
        <v>446</v>
      </c>
    </row>
    <row r="223" spans="1:8" ht="16.2" x14ac:dyDescent="0.4">
      <c r="A223" s="15" t="str">
        <f t="shared" si="3"/>
        <v>modesg_inp_emss_vclsunidade_fator_de_emissao</v>
      </c>
      <c r="B223" s="46" t="s">
        <v>10</v>
      </c>
      <c r="C223" s="43" t="s">
        <v>152</v>
      </c>
      <c r="D223" s="39" t="s">
        <v>17</v>
      </c>
      <c r="E223" s="40" t="s">
        <v>179</v>
      </c>
      <c r="F223" s="39" t="s">
        <v>198</v>
      </c>
      <c r="G223" s="41" t="s">
        <v>434</v>
      </c>
      <c r="H223" s="48" t="s">
        <v>446</v>
      </c>
    </row>
    <row r="224" spans="1:8" ht="16.2" x14ac:dyDescent="0.4">
      <c r="A224" s="15" t="str">
        <f t="shared" si="3"/>
        <v>modesg_inp_emss_vclsscore_qualidade</v>
      </c>
      <c r="B224" s="46" t="s">
        <v>10</v>
      </c>
      <c r="C224" s="43" t="s">
        <v>152</v>
      </c>
      <c r="D224" s="39" t="s">
        <v>17</v>
      </c>
      <c r="E224" s="40" t="s">
        <v>179</v>
      </c>
      <c r="F224" s="39" t="s">
        <v>27</v>
      </c>
      <c r="G224" s="41" t="s">
        <v>434</v>
      </c>
      <c r="H224" s="48" t="s">
        <v>446</v>
      </c>
    </row>
    <row r="225" spans="1:8" ht="16.2" x14ac:dyDescent="0.4">
      <c r="A225" s="15" t="str">
        <f t="shared" si="3"/>
        <v>modesg_inp_emss_vclsscp1_ftr_emss</v>
      </c>
      <c r="B225" s="46" t="s">
        <v>10</v>
      </c>
      <c r="C225" s="43" t="s">
        <v>152</v>
      </c>
      <c r="D225" s="39" t="s">
        <v>17</v>
      </c>
      <c r="E225" s="40" t="s">
        <v>179</v>
      </c>
      <c r="F225" s="39" t="s">
        <v>199</v>
      </c>
      <c r="G225" s="41" t="s">
        <v>434</v>
      </c>
      <c r="H225" s="48" t="s">
        <v>446</v>
      </c>
    </row>
    <row r="226" spans="1:8" ht="16.2" x14ac:dyDescent="0.4">
      <c r="A226" s="15" t="str">
        <f t="shared" si="3"/>
        <v>modesg_inp_emss_vclsscp2_ftr_emss</v>
      </c>
      <c r="B226" s="46" t="s">
        <v>10</v>
      </c>
      <c r="C226" s="43" t="s">
        <v>152</v>
      </c>
      <c r="D226" s="39" t="s">
        <v>17</v>
      </c>
      <c r="E226" s="40" t="s">
        <v>179</v>
      </c>
      <c r="F226" s="39" t="s">
        <v>200</v>
      </c>
      <c r="G226" s="41" t="s">
        <v>434</v>
      </c>
      <c r="H226" s="48" t="s">
        <v>446</v>
      </c>
    </row>
    <row r="227" spans="1:8" ht="16.2" x14ac:dyDescent="0.4">
      <c r="A227" s="15" t="str">
        <f t="shared" si="3"/>
        <v>modesg_inp_emss_vclsscp3_ftr_emss</v>
      </c>
      <c r="B227" s="46" t="s">
        <v>10</v>
      </c>
      <c r="C227" s="43" t="s">
        <v>152</v>
      </c>
      <c r="D227" s="39" t="s">
        <v>17</v>
      </c>
      <c r="E227" s="40" t="s">
        <v>179</v>
      </c>
      <c r="F227" s="39" t="s">
        <v>201</v>
      </c>
      <c r="G227" s="41" t="s">
        <v>434</v>
      </c>
      <c r="H227" s="48" t="s">
        <v>446</v>
      </c>
    </row>
    <row r="228" spans="1:8" ht="16.2" x14ac:dyDescent="0.4">
      <c r="A228" s="15" t="str">
        <f t="shared" si="3"/>
        <v>modesg_inp_km_medios_emss_vclsref_date</v>
      </c>
      <c r="B228" s="46" t="s">
        <v>10</v>
      </c>
      <c r="C228" s="43" t="s">
        <v>152</v>
      </c>
      <c r="D228" s="39" t="s">
        <v>17</v>
      </c>
      <c r="E228" s="40" t="s">
        <v>180</v>
      </c>
      <c r="F228" s="39" t="s">
        <v>49</v>
      </c>
      <c r="G228" s="41" t="s">
        <v>434</v>
      </c>
      <c r="H228" s="48" t="s">
        <v>446</v>
      </c>
    </row>
    <row r="229" spans="1:8" ht="16.2" x14ac:dyDescent="0.4">
      <c r="A229" s="15" t="str">
        <f t="shared" si="3"/>
        <v>modesg_inp_km_medios_emss_vclsnome_pais</v>
      </c>
      <c r="B229" s="46" t="s">
        <v>10</v>
      </c>
      <c r="C229" s="43" t="s">
        <v>152</v>
      </c>
      <c r="D229" s="39" t="s">
        <v>17</v>
      </c>
      <c r="E229" s="40" t="s">
        <v>180</v>
      </c>
      <c r="F229" s="39" t="s">
        <v>188</v>
      </c>
      <c r="G229" s="41" t="s">
        <v>434</v>
      </c>
      <c r="H229" s="48" t="s">
        <v>446</v>
      </c>
    </row>
    <row r="230" spans="1:8" ht="16.2" x14ac:dyDescent="0.4">
      <c r="A230" s="15" t="str">
        <f t="shared" si="3"/>
        <v>modesg_inp_km_medios_emss_vclstipo_vcl</v>
      </c>
      <c r="B230" s="46" t="s">
        <v>10</v>
      </c>
      <c r="C230" s="43" t="s">
        <v>152</v>
      </c>
      <c r="D230" s="39" t="s">
        <v>17</v>
      </c>
      <c r="E230" s="40" t="s">
        <v>180</v>
      </c>
      <c r="F230" s="39" t="s">
        <v>202</v>
      </c>
      <c r="G230" s="41" t="s">
        <v>434</v>
      </c>
      <c r="H230" s="48" t="s">
        <v>446</v>
      </c>
    </row>
    <row r="231" spans="1:8" ht="16.2" x14ac:dyDescent="0.4">
      <c r="A231" s="15" t="str">
        <f t="shared" si="3"/>
        <v>modesg_inp_km_medios_emss_vclstipo_motor</v>
      </c>
      <c r="B231" s="46" t="s">
        <v>10</v>
      </c>
      <c r="C231" s="43" t="s">
        <v>152</v>
      </c>
      <c r="D231" s="39" t="s">
        <v>17</v>
      </c>
      <c r="E231" s="40" t="s">
        <v>180</v>
      </c>
      <c r="F231" s="39" t="s">
        <v>191</v>
      </c>
      <c r="G231" s="41" t="s">
        <v>434</v>
      </c>
      <c r="H231" s="48" t="s">
        <v>446</v>
      </c>
    </row>
    <row r="232" spans="1:8" ht="16.2" x14ac:dyDescent="0.4">
      <c r="A232" s="15" t="str">
        <f t="shared" si="3"/>
        <v>modesg_inp_km_medios_emss_vclsdata_level_5</v>
      </c>
      <c r="B232" s="46" t="s">
        <v>10</v>
      </c>
      <c r="C232" s="43" t="s">
        <v>152</v>
      </c>
      <c r="D232" s="39" t="s">
        <v>17</v>
      </c>
      <c r="E232" s="40" t="s">
        <v>180</v>
      </c>
      <c r="F232" s="39" t="s">
        <v>194</v>
      </c>
      <c r="G232" s="41" t="s">
        <v>434</v>
      </c>
      <c r="H232" s="49" t="s">
        <v>447</v>
      </c>
    </row>
    <row r="233" spans="1:8" ht="16.2" x14ac:dyDescent="0.4">
      <c r="A233" s="15" t="str">
        <f t="shared" si="3"/>
        <v>modesg_inp_km_medios_emss_vclsmedia_km</v>
      </c>
      <c r="B233" s="46" t="s">
        <v>10</v>
      </c>
      <c r="C233" s="43" t="s">
        <v>152</v>
      </c>
      <c r="D233" s="39" t="s">
        <v>17</v>
      </c>
      <c r="E233" s="40" t="s">
        <v>180</v>
      </c>
      <c r="F233" s="39" t="s">
        <v>203</v>
      </c>
      <c r="G233" s="41" t="s">
        <v>434</v>
      </c>
      <c r="H233" s="48" t="s">
        <v>446</v>
      </c>
    </row>
    <row r="234" spans="1:8" ht="16.2" x14ac:dyDescent="0.4">
      <c r="A234" s="15" t="str">
        <f t="shared" si="3"/>
        <v>modesg_inp_empr_excl_parisref_date</v>
      </c>
      <c r="B234" s="46" t="s">
        <v>10</v>
      </c>
      <c r="C234" s="43" t="s">
        <v>152</v>
      </c>
      <c r="D234" s="39" t="s">
        <v>17</v>
      </c>
      <c r="E234" s="40" t="s">
        <v>181</v>
      </c>
      <c r="F234" s="39" t="s">
        <v>49</v>
      </c>
      <c r="G234" s="41" t="s">
        <v>431</v>
      </c>
      <c r="H234" s="57"/>
    </row>
    <row r="235" spans="1:8" ht="16.2" x14ac:dyDescent="0.4">
      <c r="A235" s="15" t="str">
        <f t="shared" si="3"/>
        <v>modesg_inp_empr_excl_parisisin</v>
      </c>
      <c r="B235" s="46" t="s">
        <v>10</v>
      </c>
      <c r="C235" s="43" t="s">
        <v>152</v>
      </c>
      <c r="D235" s="39" t="s">
        <v>17</v>
      </c>
      <c r="E235" s="40" t="s">
        <v>181</v>
      </c>
      <c r="F235" s="39" t="s">
        <v>204</v>
      </c>
      <c r="G235" s="41" t="s">
        <v>431</v>
      </c>
      <c r="H235" s="57"/>
    </row>
    <row r="236" spans="1:8" ht="16.2" x14ac:dyDescent="0.4">
      <c r="A236" s="15" t="str">
        <f t="shared" si="3"/>
        <v>modesg_inp_empr_excl_parisclei</v>
      </c>
      <c r="B236" s="46" t="s">
        <v>10</v>
      </c>
      <c r="C236" s="43" t="s">
        <v>152</v>
      </c>
      <c r="D236" s="39" t="s">
        <v>17</v>
      </c>
      <c r="E236" s="40" t="s">
        <v>181</v>
      </c>
      <c r="F236" s="39" t="s">
        <v>205</v>
      </c>
      <c r="G236" s="41" t="s">
        <v>431</v>
      </c>
      <c r="H236" s="57"/>
    </row>
    <row r="237" spans="1:8" ht="16.2" x14ac:dyDescent="0.4">
      <c r="A237" s="15" t="str">
        <f t="shared" si="3"/>
        <v>modesg_inp_empr_excl_parisccli_kgl</v>
      </c>
      <c r="B237" s="46" t="s">
        <v>10</v>
      </c>
      <c r="C237" s="43" t="s">
        <v>152</v>
      </c>
      <c r="D237" s="39" t="s">
        <v>17</v>
      </c>
      <c r="E237" s="40" t="s">
        <v>181</v>
      </c>
      <c r="F237" s="39" t="s">
        <v>206</v>
      </c>
      <c r="G237" s="41" t="s">
        <v>431</v>
      </c>
      <c r="H237" s="57"/>
    </row>
    <row r="238" spans="1:8" ht="16.2" x14ac:dyDescent="0.4">
      <c r="A238" s="15" t="str">
        <f t="shared" si="3"/>
        <v>modesg_inp_empr_excl_parisnome_entidade</v>
      </c>
      <c r="B238" s="46" t="s">
        <v>10</v>
      </c>
      <c r="C238" s="43" t="s">
        <v>152</v>
      </c>
      <c r="D238" s="39" t="s">
        <v>17</v>
      </c>
      <c r="E238" s="40" t="s">
        <v>181</v>
      </c>
      <c r="F238" s="39" t="s">
        <v>207</v>
      </c>
      <c r="G238" s="41" t="s">
        <v>431</v>
      </c>
      <c r="H238" s="57"/>
    </row>
    <row r="239" spans="1:8" ht="16.2" x14ac:dyDescent="0.4">
      <c r="A239" s="15" t="str">
        <f t="shared" si="3"/>
        <v>modesg_inp_empr_excl_parisflg_scib</v>
      </c>
      <c r="B239" s="46" t="s">
        <v>10</v>
      </c>
      <c r="C239" s="43" t="s">
        <v>152</v>
      </c>
      <c r="D239" s="39" t="s">
        <v>17</v>
      </c>
      <c r="E239" s="40" t="s">
        <v>181</v>
      </c>
      <c r="F239" s="39" t="s">
        <v>208</v>
      </c>
      <c r="G239" s="41" t="s">
        <v>431</v>
      </c>
      <c r="H239" s="57"/>
    </row>
    <row r="240" spans="1:8" ht="16.2" x14ac:dyDescent="0.4">
      <c r="A240" s="15" t="str">
        <f t="shared" si="3"/>
        <v>modesg_inp_empr_excl_parisnome_pais</v>
      </c>
      <c r="B240" s="46" t="s">
        <v>10</v>
      </c>
      <c r="C240" s="43" t="s">
        <v>152</v>
      </c>
      <c r="D240" s="39" t="s">
        <v>17</v>
      </c>
      <c r="E240" s="40" t="s">
        <v>181</v>
      </c>
      <c r="F240" s="39" t="s">
        <v>188</v>
      </c>
      <c r="G240" s="41" t="s">
        <v>431</v>
      </c>
      <c r="H240" s="57"/>
    </row>
    <row r="241" spans="1:8" ht="16.2" x14ac:dyDescent="0.4">
      <c r="A241" s="15" t="str">
        <f t="shared" si="3"/>
        <v>modesg_inp_nfrd_alinhamento_taxref_date</v>
      </c>
      <c r="B241" s="46" t="s">
        <v>10</v>
      </c>
      <c r="C241" s="43" t="s">
        <v>152</v>
      </c>
      <c r="D241" s="39" t="s">
        <v>17</v>
      </c>
      <c r="E241" s="40" t="s">
        <v>182</v>
      </c>
      <c r="F241" s="39" t="s">
        <v>49</v>
      </c>
      <c r="G241" s="41" t="s">
        <v>434</v>
      </c>
      <c r="H241" s="48" t="s">
        <v>446</v>
      </c>
    </row>
    <row r="242" spans="1:8" ht="16.2" x14ac:dyDescent="0.4">
      <c r="A242" s="15" t="str">
        <f t="shared" si="3"/>
        <v>modesg_inp_nfrd_alinhamento_taxccli_kgl</v>
      </c>
      <c r="B242" s="46" t="s">
        <v>10</v>
      </c>
      <c r="C242" s="43" t="s">
        <v>152</v>
      </c>
      <c r="D242" s="39" t="s">
        <v>17</v>
      </c>
      <c r="E242" s="40" t="s">
        <v>182</v>
      </c>
      <c r="F242" s="39" t="s">
        <v>206</v>
      </c>
      <c r="G242" s="41" t="s">
        <v>434</v>
      </c>
      <c r="H242" s="48" t="s">
        <v>446</v>
      </c>
    </row>
    <row r="243" spans="1:8" ht="16.2" x14ac:dyDescent="0.4">
      <c r="A243" s="15" t="str">
        <f t="shared" si="3"/>
        <v>modesg_inp_nfrd_alinhamento_taxclei</v>
      </c>
      <c r="B243" s="46" t="s">
        <v>10</v>
      </c>
      <c r="C243" s="43" t="s">
        <v>152</v>
      </c>
      <c r="D243" s="39" t="s">
        <v>17</v>
      </c>
      <c r="E243" s="40" t="s">
        <v>182</v>
      </c>
      <c r="F243" s="39" t="s">
        <v>205</v>
      </c>
      <c r="G243" s="41" t="s">
        <v>434</v>
      </c>
      <c r="H243" s="48" t="s">
        <v>446</v>
      </c>
    </row>
    <row r="244" spans="1:8" ht="16.2" x14ac:dyDescent="0.4">
      <c r="A244" s="15" t="str">
        <f t="shared" si="3"/>
        <v>modesg_inp_nfrd_alinhamento_taxperm_id</v>
      </c>
      <c r="B244" s="46" t="s">
        <v>10</v>
      </c>
      <c r="C244" s="43" t="s">
        <v>152</v>
      </c>
      <c r="D244" s="39" t="s">
        <v>17</v>
      </c>
      <c r="E244" s="40" t="s">
        <v>182</v>
      </c>
      <c r="F244" s="39" t="s">
        <v>209</v>
      </c>
      <c r="G244" s="41" t="s">
        <v>434</v>
      </c>
      <c r="H244" s="48" t="s">
        <v>446</v>
      </c>
    </row>
    <row r="245" spans="1:8" ht="16.2" x14ac:dyDescent="0.4">
      <c r="A245" s="15" t="str">
        <f t="shared" si="3"/>
        <v>modesg_inp_nfrd_alinhamento_taxnome_entidade</v>
      </c>
      <c r="B245" s="46" t="s">
        <v>10</v>
      </c>
      <c r="C245" s="43" t="s">
        <v>152</v>
      </c>
      <c r="D245" s="39" t="s">
        <v>17</v>
      </c>
      <c r="E245" s="40" t="s">
        <v>182</v>
      </c>
      <c r="F245" s="39" t="s">
        <v>207</v>
      </c>
      <c r="G245" s="41" t="s">
        <v>434</v>
      </c>
      <c r="H245" s="48" t="s">
        <v>446</v>
      </c>
    </row>
    <row r="246" spans="1:8" ht="16.2" x14ac:dyDescent="0.4">
      <c r="A246" s="15" t="str">
        <f t="shared" si="3"/>
        <v>modesg_inp_nfrd_alinhamento_taxflg_nfrd</v>
      </c>
      <c r="B246" s="46" t="s">
        <v>10</v>
      </c>
      <c r="C246" s="43" t="s">
        <v>152</v>
      </c>
      <c r="D246" s="39" t="s">
        <v>17</v>
      </c>
      <c r="E246" s="40" t="s">
        <v>182</v>
      </c>
      <c r="F246" s="39" t="s">
        <v>210</v>
      </c>
      <c r="G246" s="41" t="s">
        <v>434</v>
      </c>
      <c r="H246" s="48" t="s">
        <v>446</v>
      </c>
    </row>
    <row r="247" spans="1:8" ht="16.2" x14ac:dyDescent="0.4">
      <c r="A247" s="15" t="str">
        <f t="shared" si="3"/>
        <v>modesg_inp_nfrd_alinhamento_taxcca_trnvr_ttl_elgbl</v>
      </c>
      <c r="B247" s="46" t="s">
        <v>10</v>
      </c>
      <c r="C247" s="43" t="s">
        <v>152</v>
      </c>
      <c r="D247" s="39" t="s">
        <v>17</v>
      </c>
      <c r="E247" s="40" t="s">
        <v>182</v>
      </c>
      <c r="F247" s="39" t="s">
        <v>211</v>
      </c>
      <c r="G247" s="41" t="s">
        <v>434</v>
      </c>
      <c r="H247" s="48" t="s">
        <v>446</v>
      </c>
    </row>
    <row r="248" spans="1:8" ht="16.2" x14ac:dyDescent="0.4">
      <c r="A248" s="15" t="str">
        <f t="shared" si="3"/>
        <v>modesg_inp_nfrd_alinhamento_taxcca_trnvr_enblng_alignd</v>
      </c>
      <c r="B248" s="46" t="s">
        <v>10</v>
      </c>
      <c r="C248" s="43" t="s">
        <v>152</v>
      </c>
      <c r="D248" s="39" t="s">
        <v>17</v>
      </c>
      <c r="E248" s="40" t="s">
        <v>182</v>
      </c>
      <c r="F248" s="39" t="s">
        <v>212</v>
      </c>
      <c r="G248" s="41" t="s">
        <v>434</v>
      </c>
      <c r="H248" s="48" t="s">
        <v>446</v>
      </c>
    </row>
    <row r="249" spans="1:8" ht="16.2" x14ac:dyDescent="0.4">
      <c r="A249" s="15" t="str">
        <f t="shared" si="3"/>
        <v>modesg_inp_nfrd_alinhamento_taxcca_turnover_own_prfrmnce_algnd</v>
      </c>
      <c r="B249" s="46" t="s">
        <v>10</v>
      </c>
      <c r="C249" s="43" t="s">
        <v>152</v>
      </c>
      <c r="D249" s="39" t="s">
        <v>17</v>
      </c>
      <c r="E249" s="40" t="s">
        <v>182</v>
      </c>
      <c r="F249" s="39" t="s">
        <v>213</v>
      </c>
      <c r="G249" s="41" t="s">
        <v>434</v>
      </c>
      <c r="H249" s="48" t="s">
        <v>446</v>
      </c>
    </row>
    <row r="250" spans="1:8" ht="16.2" x14ac:dyDescent="0.4">
      <c r="A250" s="15" t="str">
        <f t="shared" si="3"/>
        <v>modesg_inp_nfrd_alinhamento_taxcca_capex_ttl_elgbl</v>
      </c>
      <c r="B250" s="46" t="s">
        <v>10</v>
      </c>
      <c r="C250" s="43" t="s">
        <v>152</v>
      </c>
      <c r="D250" s="39" t="s">
        <v>17</v>
      </c>
      <c r="E250" s="40" t="s">
        <v>182</v>
      </c>
      <c r="F250" s="39" t="s">
        <v>214</v>
      </c>
      <c r="G250" s="41" t="s">
        <v>434</v>
      </c>
      <c r="H250" s="48" t="s">
        <v>446</v>
      </c>
    </row>
    <row r="251" spans="1:8" ht="16.2" x14ac:dyDescent="0.4">
      <c r="A251" s="15" t="str">
        <f t="shared" si="3"/>
        <v>modesg_inp_nfrd_alinhamento_taxcca_capex_enblng_algnd</v>
      </c>
      <c r="B251" s="46" t="s">
        <v>10</v>
      </c>
      <c r="C251" s="43" t="s">
        <v>152</v>
      </c>
      <c r="D251" s="39" t="s">
        <v>17</v>
      </c>
      <c r="E251" s="40" t="s">
        <v>182</v>
      </c>
      <c r="F251" s="39" t="s">
        <v>215</v>
      </c>
      <c r="G251" s="41" t="s">
        <v>434</v>
      </c>
      <c r="H251" s="48" t="s">
        <v>446</v>
      </c>
    </row>
    <row r="252" spans="1:8" ht="16.2" x14ac:dyDescent="0.4">
      <c r="A252" s="15" t="str">
        <f t="shared" si="3"/>
        <v>modesg_inp_nfrd_alinhamento_taxcca_capex_own_prfrmnce_algnd</v>
      </c>
      <c r="B252" s="46" t="s">
        <v>10</v>
      </c>
      <c r="C252" s="43" t="s">
        <v>152</v>
      </c>
      <c r="D252" s="39" t="s">
        <v>17</v>
      </c>
      <c r="E252" s="40" t="s">
        <v>182</v>
      </c>
      <c r="F252" s="39" t="s">
        <v>216</v>
      </c>
      <c r="G252" s="41" t="s">
        <v>434</v>
      </c>
      <c r="H252" s="48" t="s">
        <v>446</v>
      </c>
    </row>
    <row r="253" spans="1:8" ht="16.2" x14ac:dyDescent="0.4">
      <c r="A253" s="15" t="str">
        <f t="shared" si="3"/>
        <v>modesg_inp_nfrd_alinhamento_taxccm_trnvr_ttl_elgbl</v>
      </c>
      <c r="B253" s="46" t="s">
        <v>10</v>
      </c>
      <c r="C253" s="43" t="s">
        <v>152</v>
      </c>
      <c r="D253" s="39" t="s">
        <v>17</v>
      </c>
      <c r="E253" s="40" t="s">
        <v>182</v>
      </c>
      <c r="F253" s="39" t="s">
        <v>217</v>
      </c>
      <c r="G253" s="41" t="s">
        <v>434</v>
      </c>
      <c r="H253" s="48" t="s">
        <v>446</v>
      </c>
    </row>
    <row r="254" spans="1:8" ht="16.2" x14ac:dyDescent="0.4">
      <c r="A254" s="15" t="str">
        <f t="shared" si="3"/>
        <v>modesg_inp_nfrd_alinhamento_taxccm_trnvr_enblng_algnd</v>
      </c>
      <c r="B254" s="46" t="s">
        <v>10</v>
      </c>
      <c r="C254" s="43" t="s">
        <v>152</v>
      </c>
      <c r="D254" s="39" t="s">
        <v>17</v>
      </c>
      <c r="E254" s="40" t="s">
        <v>182</v>
      </c>
      <c r="F254" s="39" t="s">
        <v>218</v>
      </c>
      <c r="G254" s="41" t="s">
        <v>434</v>
      </c>
      <c r="H254" s="48" t="s">
        <v>446</v>
      </c>
    </row>
    <row r="255" spans="1:8" ht="16.2" x14ac:dyDescent="0.4">
      <c r="A255" s="15" t="str">
        <f t="shared" si="3"/>
        <v>modesg_inp_nfrd_alinhamento_taxccm_trnvr_trnstn_alignd</v>
      </c>
      <c r="B255" s="46" t="s">
        <v>10</v>
      </c>
      <c r="C255" s="43" t="s">
        <v>152</v>
      </c>
      <c r="D255" s="39" t="s">
        <v>17</v>
      </c>
      <c r="E255" s="40" t="s">
        <v>182</v>
      </c>
      <c r="F255" s="39" t="s">
        <v>219</v>
      </c>
      <c r="G255" s="41" t="s">
        <v>434</v>
      </c>
      <c r="H255" s="48" t="s">
        <v>446</v>
      </c>
    </row>
    <row r="256" spans="1:8" ht="16.2" x14ac:dyDescent="0.4">
      <c r="A256" s="15" t="str">
        <f t="shared" si="3"/>
        <v>modesg_inp_nfrd_alinhamento_taxccm_trnvr_own_prfrmnce_algnd</v>
      </c>
      <c r="B256" s="46" t="s">
        <v>10</v>
      </c>
      <c r="C256" s="43" t="s">
        <v>152</v>
      </c>
      <c r="D256" s="39" t="s">
        <v>17</v>
      </c>
      <c r="E256" s="40" t="s">
        <v>182</v>
      </c>
      <c r="F256" s="39" t="s">
        <v>220</v>
      </c>
      <c r="G256" s="41" t="s">
        <v>434</v>
      </c>
      <c r="H256" s="48" t="s">
        <v>446</v>
      </c>
    </row>
    <row r="257" spans="1:8" ht="16.2" x14ac:dyDescent="0.4">
      <c r="A257" s="15" t="str">
        <f t="shared" si="3"/>
        <v>modesg_inp_nfrd_alinhamento_taxccm_capex_ttl_elgbl</v>
      </c>
      <c r="B257" s="46" t="s">
        <v>10</v>
      </c>
      <c r="C257" s="43" t="s">
        <v>152</v>
      </c>
      <c r="D257" s="39" t="s">
        <v>17</v>
      </c>
      <c r="E257" s="40" t="s">
        <v>182</v>
      </c>
      <c r="F257" s="39" t="s">
        <v>221</v>
      </c>
      <c r="G257" s="41" t="s">
        <v>434</v>
      </c>
      <c r="H257" s="48" t="s">
        <v>446</v>
      </c>
    </row>
    <row r="258" spans="1:8" ht="16.2" x14ac:dyDescent="0.4">
      <c r="A258" s="15" t="str">
        <f t="shared" si="3"/>
        <v>modesg_inp_nfrd_alinhamento_taxccm_capex_enblng_algnd</v>
      </c>
      <c r="B258" s="46" t="s">
        <v>10</v>
      </c>
      <c r="C258" s="43" t="s">
        <v>152</v>
      </c>
      <c r="D258" s="39" t="s">
        <v>17</v>
      </c>
      <c r="E258" s="40" t="s">
        <v>182</v>
      </c>
      <c r="F258" s="39" t="s">
        <v>222</v>
      </c>
      <c r="G258" s="41" t="s">
        <v>434</v>
      </c>
      <c r="H258" s="48" t="s">
        <v>446</v>
      </c>
    </row>
    <row r="259" spans="1:8" ht="16.2" x14ac:dyDescent="0.4">
      <c r="A259" s="15" t="str">
        <f t="shared" si="3"/>
        <v>modesg_inp_nfrd_alinhamento_taxccm_capex_trnstn_algnd</v>
      </c>
      <c r="B259" s="46" t="s">
        <v>10</v>
      </c>
      <c r="C259" s="43" t="s">
        <v>152</v>
      </c>
      <c r="D259" s="39" t="s">
        <v>17</v>
      </c>
      <c r="E259" s="40" t="s">
        <v>182</v>
      </c>
      <c r="F259" s="39" t="s">
        <v>223</v>
      </c>
      <c r="G259" s="41" t="s">
        <v>434</v>
      </c>
      <c r="H259" s="48" t="s">
        <v>446</v>
      </c>
    </row>
    <row r="260" spans="1:8" ht="16.2" x14ac:dyDescent="0.4">
      <c r="A260" s="15" t="str">
        <f t="shared" si="3"/>
        <v>modesg_inp_nfrd_alinhamento_taxccm_capex_own_prfrmnce_algnd</v>
      </c>
      <c r="B260" s="46" t="s">
        <v>10</v>
      </c>
      <c r="C260" s="43" t="s">
        <v>152</v>
      </c>
      <c r="D260" s="39" t="s">
        <v>17</v>
      </c>
      <c r="E260" s="40" t="s">
        <v>182</v>
      </c>
      <c r="F260" s="39" t="s">
        <v>224</v>
      </c>
      <c r="G260" s="41" t="s">
        <v>434</v>
      </c>
      <c r="H260" s="48" t="s">
        <v>446</v>
      </c>
    </row>
    <row r="261" spans="1:8" ht="16.2" x14ac:dyDescent="0.4">
      <c r="A261" s="15" t="str">
        <f t="shared" si="3"/>
        <v>modesg_inp_nfrd_alinhamento_taxppc_trnvr_ttl_elgbl</v>
      </c>
      <c r="B261" s="46" t="s">
        <v>10</v>
      </c>
      <c r="C261" s="43" t="s">
        <v>152</v>
      </c>
      <c r="D261" s="39" t="s">
        <v>17</v>
      </c>
      <c r="E261" s="40" t="s">
        <v>182</v>
      </c>
      <c r="F261" s="39" t="s">
        <v>225</v>
      </c>
      <c r="G261" s="41" t="s">
        <v>434</v>
      </c>
      <c r="H261" s="49" t="s">
        <v>447</v>
      </c>
    </row>
    <row r="262" spans="1:8" ht="16.2" x14ac:dyDescent="0.4">
      <c r="A262" s="15" t="str">
        <f t="shared" si="3"/>
        <v>modesg_inp_nfrd_alinhamento_taxppc_turnover_own_prfrmnce_algnd</v>
      </c>
      <c r="B262" s="46" t="s">
        <v>10</v>
      </c>
      <c r="C262" s="43" t="s">
        <v>152</v>
      </c>
      <c r="D262" s="39" t="s">
        <v>17</v>
      </c>
      <c r="E262" s="40" t="s">
        <v>182</v>
      </c>
      <c r="F262" s="39" t="s">
        <v>226</v>
      </c>
      <c r="G262" s="41" t="s">
        <v>434</v>
      </c>
      <c r="H262" s="49" t="s">
        <v>447</v>
      </c>
    </row>
    <row r="263" spans="1:8" ht="16.2" x14ac:dyDescent="0.4">
      <c r="A263" s="15" t="str">
        <f t="shared" si="3"/>
        <v>modesg_inp_nfrd_alinhamento_taxppc_capex_ttl_elgbl</v>
      </c>
      <c r="B263" s="46" t="s">
        <v>10</v>
      </c>
      <c r="C263" s="43" t="s">
        <v>152</v>
      </c>
      <c r="D263" s="39" t="s">
        <v>17</v>
      </c>
      <c r="E263" s="40" t="s">
        <v>182</v>
      </c>
      <c r="F263" s="39" t="s">
        <v>227</v>
      </c>
      <c r="G263" s="41" t="s">
        <v>434</v>
      </c>
      <c r="H263" s="49" t="s">
        <v>447</v>
      </c>
    </row>
    <row r="264" spans="1:8" ht="16.2" x14ac:dyDescent="0.4">
      <c r="A264" s="15" t="str">
        <f t="shared" ref="A264:A327" si="4">E264&amp;F264</f>
        <v>modesg_inp_nfrd_alinhamento_taxppc_capex_own_prfrmnce_algnd</v>
      </c>
      <c r="B264" s="46" t="s">
        <v>10</v>
      </c>
      <c r="C264" s="43" t="s">
        <v>152</v>
      </c>
      <c r="D264" s="39" t="s">
        <v>17</v>
      </c>
      <c r="E264" s="40" t="s">
        <v>182</v>
      </c>
      <c r="F264" s="39" t="s">
        <v>228</v>
      </c>
      <c r="G264" s="41" t="s">
        <v>434</v>
      </c>
      <c r="H264" s="49" t="s">
        <v>447</v>
      </c>
    </row>
    <row r="265" spans="1:8" ht="16.2" x14ac:dyDescent="0.4">
      <c r="A265" s="15" t="str">
        <f t="shared" si="4"/>
        <v>modesg_inp_nfrd_alinhamento_taxbio_trnvr_ttl_elgbl</v>
      </c>
      <c r="B265" s="46" t="s">
        <v>10</v>
      </c>
      <c r="C265" s="43" t="s">
        <v>152</v>
      </c>
      <c r="D265" s="39" t="s">
        <v>17</v>
      </c>
      <c r="E265" s="40" t="s">
        <v>182</v>
      </c>
      <c r="F265" s="39" t="s">
        <v>229</v>
      </c>
      <c r="G265" s="41" t="s">
        <v>434</v>
      </c>
      <c r="H265" s="49" t="s">
        <v>447</v>
      </c>
    </row>
    <row r="266" spans="1:8" ht="16.2" x14ac:dyDescent="0.4">
      <c r="A266" s="15" t="str">
        <f t="shared" si="4"/>
        <v>modesg_inp_nfrd_alinhamento_taxbio_turnover_own_prfrmnce_algnd</v>
      </c>
      <c r="B266" s="46" t="s">
        <v>10</v>
      </c>
      <c r="C266" s="43" t="s">
        <v>152</v>
      </c>
      <c r="D266" s="39" t="s">
        <v>17</v>
      </c>
      <c r="E266" s="40" t="s">
        <v>182</v>
      </c>
      <c r="F266" s="39" t="s">
        <v>230</v>
      </c>
      <c r="G266" s="41" t="s">
        <v>434</v>
      </c>
      <c r="H266" s="49" t="s">
        <v>447</v>
      </c>
    </row>
    <row r="267" spans="1:8" ht="16.2" x14ac:dyDescent="0.4">
      <c r="A267" s="15" t="str">
        <f t="shared" si="4"/>
        <v>modesg_inp_nfrd_alinhamento_taxbio_capex_ttl_elgbl</v>
      </c>
      <c r="B267" s="46" t="s">
        <v>10</v>
      </c>
      <c r="C267" s="43" t="s">
        <v>152</v>
      </c>
      <c r="D267" s="39" t="s">
        <v>17</v>
      </c>
      <c r="E267" s="40" t="s">
        <v>182</v>
      </c>
      <c r="F267" s="39" t="s">
        <v>231</v>
      </c>
      <c r="G267" s="41" t="s">
        <v>434</v>
      </c>
      <c r="H267" s="49" t="s">
        <v>447</v>
      </c>
    </row>
    <row r="268" spans="1:8" ht="16.2" x14ac:dyDescent="0.4">
      <c r="A268" s="15" t="str">
        <f t="shared" si="4"/>
        <v>modesg_inp_nfrd_alinhamento_taxbio_capex_own_prfrmnce_algnd</v>
      </c>
      <c r="B268" s="46" t="s">
        <v>10</v>
      </c>
      <c r="C268" s="43" t="s">
        <v>152</v>
      </c>
      <c r="D268" s="39" t="s">
        <v>17</v>
      </c>
      <c r="E268" s="40" t="s">
        <v>182</v>
      </c>
      <c r="F268" s="39" t="s">
        <v>232</v>
      </c>
      <c r="G268" s="41" t="s">
        <v>434</v>
      </c>
      <c r="H268" s="49" t="s">
        <v>447</v>
      </c>
    </row>
    <row r="269" spans="1:8" ht="16.2" x14ac:dyDescent="0.4">
      <c r="A269" s="15" t="str">
        <f t="shared" si="4"/>
        <v>modesg_inp_nfrd_alinhamento_taxwtr_trnvr_ttl_elgbl</v>
      </c>
      <c r="B269" s="46" t="s">
        <v>10</v>
      </c>
      <c r="C269" s="43" t="s">
        <v>152</v>
      </c>
      <c r="D269" s="39" t="s">
        <v>17</v>
      </c>
      <c r="E269" s="40" t="s">
        <v>182</v>
      </c>
      <c r="F269" s="39" t="s">
        <v>233</v>
      </c>
      <c r="G269" s="41" t="s">
        <v>434</v>
      </c>
      <c r="H269" s="49" t="s">
        <v>447</v>
      </c>
    </row>
    <row r="270" spans="1:8" ht="16.2" x14ac:dyDescent="0.4">
      <c r="A270" s="15" t="str">
        <f t="shared" si="4"/>
        <v>modesg_inp_nfrd_alinhamento_taxwtr_trnvr_enblng_alignd</v>
      </c>
      <c r="B270" s="46" t="s">
        <v>10</v>
      </c>
      <c r="C270" s="43" t="s">
        <v>152</v>
      </c>
      <c r="D270" s="39" t="s">
        <v>17</v>
      </c>
      <c r="E270" s="40" t="s">
        <v>182</v>
      </c>
      <c r="F270" s="39" t="s">
        <v>234</v>
      </c>
      <c r="G270" s="41" t="s">
        <v>434</v>
      </c>
      <c r="H270" s="49" t="s">
        <v>447</v>
      </c>
    </row>
    <row r="271" spans="1:8" ht="16.2" x14ac:dyDescent="0.4">
      <c r="A271" s="15" t="str">
        <f t="shared" si="4"/>
        <v>modesg_inp_nfrd_alinhamento_taxwtr_turnover_own_prfrmnce_algnd</v>
      </c>
      <c r="B271" s="46" t="s">
        <v>10</v>
      </c>
      <c r="C271" s="43" t="s">
        <v>152</v>
      </c>
      <c r="D271" s="39" t="s">
        <v>17</v>
      </c>
      <c r="E271" s="40" t="s">
        <v>182</v>
      </c>
      <c r="F271" s="39" t="s">
        <v>235</v>
      </c>
      <c r="G271" s="41" t="s">
        <v>434</v>
      </c>
      <c r="H271" s="49" t="s">
        <v>447</v>
      </c>
    </row>
    <row r="272" spans="1:8" ht="16.2" x14ac:dyDescent="0.4">
      <c r="A272" s="15" t="str">
        <f t="shared" si="4"/>
        <v>modesg_inp_nfrd_alinhamento_taxwtr_capex_ttl_elgbl</v>
      </c>
      <c r="B272" s="46" t="s">
        <v>10</v>
      </c>
      <c r="C272" s="43" t="s">
        <v>152</v>
      </c>
      <c r="D272" s="39" t="s">
        <v>17</v>
      </c>
      <c r="E272" s="40" t="s">
        <v>182</v>
      </c>
      <c r="F272" s="39" t="s">
        <v>236</v>
      </c>
      <c r="G272" s="41" t="s">
        <v>434</v>
      </c>
      <c r="H272" s="49" t="s">
        <v>447</v>
      </c>
    </row>
    <row r="273" spans="1:8" ht="16.2" x14ac:dyDescent="0.4">
      <c r="A273" s="15" t="str">
        <f t="shared" si="4"/>
        <v>modesg_inp_nfrd_alinhamento_taxwtr_capex_enblng_algnd</v>
      </c>
      <c r="B273" s="46" t="s">
        <v>10</v>
      </c>
      <c r="C273" s="43" t="s">
        <v>152</v>
      </c>
      <c r="D273" s="39" t="s">
        <v>17</v>
      </c>
      <c r="E273" s="40" t="s">
        <v>182</v>
      </c>
      <c r="F273" s="39" t="s">
        <v>237</v>
      </c>
      <c r="G273" s="41" t="s">
        <v>434</v>
      </c>
      <c r="H273" s="49" t="s">
        <v>447</v>
      </c>
    </row>
    <row r="274" spans="1:8" ht="16.2" x14ac:dyDescent="0.4">
      <c r="A274" s="15" t="str">
        <f t="shared" si="4"/>
        <v>modesg_inp_nfrd_alinhamento_taxwtr_capex_own_prfrmnce_algnd</v>
      </c>
      <c r="B274" s="46" t="s">
        <v>10</v>
      </c>
      <c r="C274" s="43" t="s">
        <v>152</v>
      </c>
      <c r="D274" s="39" t="s">
        <v>17</v>
      </c>
      <c r="E274" s="40" t="s">
        <v>182</v>
      </c>
      <c r="F274" s="39" t="s">
        <v>238</v>
      </c>
      <c r="G274" s="41" t="s">
        <v>434</v>
      </c>
      <c r="H274" s="49" t="s">
        <v>447</v>
      </c>
    </row>
    <row r="275" spans="1:8" ht="16.2" x14ac:dyDescent="0.4">
      <c r="A275" s="15" t="str">
        <f t="shared" si="4"/>
        <v>modesg_inp_nfrd_alinhamento_taxce_trnvr_ttl_elgbl</v>
      </c>
      <c r="B275" s="46" t="s">
        <v>10</v>
      </c>
      <c r="C275" s="43" t="s">
        <v>152</v>
      </c>
      <c r="D275" s="39" t="s">
        <v>17</v>
      </c>
      <c r="E275" s="40" t="s">
        <v>182</v>
      </c>
      <c r="F275" s="39" t="s">
        <v>239</v>
      </c>
      <c r="G275" s="41" t="s">
        <v>434</v>
      </c>
      <c r="H275" s="49" t="s">
        <v>447</v>
      </c>
    </row>
    <row r="276" spans="1:8" ht="16.2" x14ac:dyDescent="0.4">
      <c r="A276" s="15" t="str">
        <f t="shared" si="4"/>
        <v>modesg_inp_nfrd_alinhamento_taxce_trnvr_enblng_alignd</v>
      </c>
      <c r="B276" s="46" t="s">
        <v>10</v>
      </c>
      <c r="C276" s="43" t="s">
        <v>152</v>
      </c>
      <c r="D276" s="39" t="s">
        <v>17</v>
      </c>
      <c r="E276" s="40" t="s">
        <v>182</v>
      </c>
      <c r="F276" s="39" t="s">
        <v>240</v>
      </c>
      <c r="G276" s="41" t="s">
        <v>434</v>
      </c>
      <c r="H276" s="49" t="s">
        <v>447</v>
      </c>
    </row>
    <row r="277" spans="1:8" ht="16.2" x14ac:dyDescent="0.4">
      <c r="A277" s="15" t="str">
        <f t="shared" si="4"/>
        <v>modesg_inp_nfrd_alinhamento_taxce_turnover_own_prfrmnce_algnd</v>
      </c>
      <c r="B277" s="46" t="s">
        <v>10</v>
      </c>
      <c r="C277" s="43" t="s">
        <v>152</v>
      </c>
      <c r="D277" s="39" t="s">
        <v>17</v>
      </c>
      <c r="E277" s="40" t="s">
        <v>182</v>
      </c>
      <c r="F277" s="39" t="s">
        <v>241</v>
      </c>
      <c r="G277" s="41" t="s">
        <v>434</v>
      </c>
      <c r="H277" s="49" t="s">
        <v>447</v>
      </c>
    </row>
    <row r="278" spans="1:8" ht="16.2" x14ac:dyDescent="0.4">
      <c r="A278" s="15" t="str">
        <f t="shared" si="4"/>
        <v>modesg_inp_nfrd_alinhamento_taxce_capex_ttl_elgbl</v>
      </c>
      <c r="B278" s="46" t="s">
        <v>10</v>
      </c>
      <c r="C278" s="43" t="s">
        <v>152</v>
      </c>
      <c r="D278" s="39" t="s">
        <v>17</v>
      </c>
      <c r="E278" s="40" t="s">
        <v>182</v>
      </c>
      <c r="F278" s="39" t="s">
        <v>242</v>
      </c>
      <c r="G278" s="41" t="s">
        <v>434</v>
      </c>
      <c r="H278" s="49" t="s">
        <v>447</v>
      </c>
    </row>
    <row r="279" spans="1:8" ht="16.2" x14ac:dyDescent="0.4">
      <c r="A279" s="15" t="str">
        <f t="shared" si="4"/>
        <v>modesg_inp_nfrd_alinhamento_taxce_capex_enblng_algnd</v>
      </c>
      <c r="B279" s="46" t="s">
        <v>10</v>
      </c>
      <c r="C279" s="43" t="s">
        <v>152</v>
      </c>
      <c r="D279" s="39" t="s">
        <v>17</v>
      </c>
      <c r="E279" s="40" t="s">
        <v>182</v>
      </c>
      <c r="F279" s="39" t="s">
        <v>243</v>
      </c>
      <c r="G279" s="41" t="s">
        <v>434</v>
      </c>
      <c r="H279" s="49" t="s">
        <v>447</v>
      </c>
    </row>
    <row r="280" spans="1:8" ht="16.2" x14ac:dyDescent="0.4">
      <c r="A280" s="15" t="str">
        <f t="shared" si="4"/>
        <v>modesg_inp_nfrd_alinhamento_taxce_capex_own_prfrmnce_algnd</v>
      </c>
      <c r="B280" s="46" t="s">
        <v>10</v>
      </c>
      <c r="C280" s="43" t="s">
        <v>152</v>
      </c>
      <c r="D280" s="39" t="s">
        <v>17</v>
      </c>
      <c r="E280" s="40" t="s">
        <v>182</v>
      </c>
      <c r="F280" s="39" t="s">
        <v>244</v>
      </c>
      <c r="G280" s="41" t="s">
        <v>434</v>
      </c>
      <c r="H280" s="49" t="s">
        <v>447</v>
      </c>
    </row>
    <row r="281" spans="1:8" ht="16.2" x14ac:dyDescent="0.4">
      <c r="A281" s="15" t="str">
        <f t="shared" si="4"/>
        <v>modesg_inp_risco_fisicoref_date</v>
      </c>
      <c r="B281" s="46" t="s">
        <v>10</v>
      </c>
      <c r="C281" s="43" t="s">
        <v>152</v>
      </c>
      <c r="D281" s="39" t="s">
        <v>17</v>
      </c>
      <c r="E281" s="40" t="s">
        <v>183</v>
      </c>
      <c r="F281" s="39" t="s">
        <v>49</v>
      </c>
      <c r="G281" s="41" t="s">
        <v>431</v>
      </c>
      <c r="H281" s="57"/>
    </row>
    <row r="282" spans="1:8" ht="16.2" x14ac:dyDescent="0.4">
      <c r="A282" s="15" t="str">
        <f t="shared" si="4"/>
        <v>modesg_inp_risco_fisicocod_pais</v>
      </c>
      <c r="B282" s="46" t="s">
        <v>10</v>
      </c>
      <c r="C282" s="43" t="s">
        <v>152</v>
      </c>
      <c r="D282" s="39" t="s">
        <v>17</v>
      </c>
      <c r="E282" s="40" t="s">
        <v>183</v>
      </c>
      <c r="F282" s="39" t="s">
        <v>78</v>
      </c>
      <c r="G282" s="41" t="s">
        <v>431</v>
      </c>
      <c r="H282" s="57"/>
    </row>
    <row r="283" spans="1:8" ht="16.2" x14ac:dyDescent="0.4">
      <c r="A283" s="15" t="str">
        <f t="shared" si="4"/>
        <v>modesg_inp_risco_fisicocod_nutiii</v>
      </c>
      <c r="B283" s="46" t="s">
        <v>10</v>
      </c>
      <c r="C283" s="43" t="s">
        <v>152</v>
      </c>
      <c r="D283" s="39" t="s">
        <v>17</v>
      </c>
      <c r="E283" s="40" t="s">
        <v>183</v>
      </c>
      <c r="F283" s="39" t="s">
        <v>245</v>
      </c>
      <c r="G283" s="41" t="s">
        <v>431</v>
      </c>
      <c r="H283" s="57"/>
    </row>
    <row r="284" spans="1:8" ht="16.2" x14ac:dyDescent="0.4">
      <c r="A284" s="15" t="str">
        <f t="shared" si="4"/>
        <v>modesg_inp_risco_fisicocod_nace_esg</v>
      </c>
      <c r="B284" s="46" t="s">
        <v>10</v>
      </c>
      <c r="C284" s="43" t="s">
        <v>152</v>
      </c>
      <c r="D284" s="39" t="s">
        <v>17</v>
      </c>
      <c r="E284" s="40" t="s">
        <v>183</v>
      </c>
      <c r="F284" s="39" t="s">
        <v>246</v>
      </c>
      <c r="G284" s="41" t="s">
        <v>431</v>
      </c>
      <c r="H284" s="57"/>
    </row>
    <row r="285" spans="1:8" ht="16.2" x14ac:dyDescent="0.4">
      <c r="A285" s="15" t="str">
        <f t="shared" si="4"/>
        <v>modesg_inp_risco_fisicoflg_rsc_fsc_agd</v>
      </c>
      <c r="B285" s="46" t="s">
        <v>10</v>
      </c>
      <c r="C285" s="43" t="s">
        <v>152</v>
      </c>
      <c r="D285" s="39" t="s">
        <v>17</v>
      </c>
      <c r="E285" s="40" t="s">
        <v>183</v>
      </c>
      <c r="F285" s="39" t="s">
        <v>247</v>
      </c>
      <c r="G285" s="41" t="s">
        <v>431</v>
      </c>
      <c r="H285" s="57"/>
    </row>
    <row r="286" spans="1:8" ht="16.2" x14ac:dyDescent="0.4">
      <c r="A286" s="15" t="str">
        <f t="shared" si="4"/>
        <v>modesg_inp_risco_fisicoflg_rsc_fsc_crnc</v>
      </c>
      <c r="B286" s="46" t="s">
        <v>10</v>
      </c>
      <c r="C286" s="43" t="s">
        <v>152</v>
      </c>
      <c r="D286" s="39" t="s">
        <v>17</v>
      </c>
      <c r="E286" s="40" t="s">
        <v>183</v>
      </c>
      <c r="F286" s="39" t="s">
        <v>248</v>
      </c>
      <c r="G286" s="41" t="s">
        <v>431</v>
      </c>
      <c r="H286" s="57"/>
    </row>
    <row r="287" spans="1:8" ht="16.2" x14ac:dyDescent="0.4">
      <c r="A287" s="15" t="str">
        <f t="shared" si="4"/>
        <v>modesg_inp_emss_scibref_date</v>
      </c>
      <c r="B287" s="46" t="s">
        <v>10</v>
      </c>
      <c r="C287" s="43" t="s">
        <v>152</v>
      </c>
      <c r="D287" s="39" t="s">
        <v>17</v>
      </c>
      <c r="E287" s="40" t="s">
        <v>184</v>
      </c>
      <c r="F287" s="39" t="s">
        <v>49</v>
      </c>
      <c r="G287" s="41" t="s">
        <v>431</v>
      </c>
      <c r="H287" s="57"/>
    </row>
    <row r="288" spans="1:8" ht="16.2" x14ac:dyDescent="0.4">
      <c r="A288" s="15" t="str">
        <f t="shared" si="4"/>
        <v>modesg_inp_emss_scibccli_kgl</v>
      </c>
      <c r="B288" s="46" t="s">
        <v>10</v>
      </c>
      <c r="C288" s="43" t="s">
        <v>152</v>
      </c>
      <c r="D288" s="39" t="s">
        <v>17</v>
      </c>
      <c r="E288" s="40" t="s">
        <v>184</v>
      </c>
      <c r="F288" s="39" t="s">
        <v>206</v>
      </c>
      <c r="G288" s="41" t="s">
        <v>431</v>
      </c>
      <c r="H288" s="57"/>
    </row>
    <row r="289" spans="1:8" ht="16.2" x14ac:dyDescent="0.4">
      <c r="A289" s="15" t="str">
        <f t="shared" si="4"/>
        <v>modesg_inp_emss_scibnome_grupo</v>
      </c>
      <c r="B289" s="46" t="s">
        <v>10</v>
      </c>
      <c r="C289" s="43" t="s">
        <v>152</v>
      </c>
      <c r="D289" s="39" t="s">
        <v>17</v>
      </c>
      <c r="E289" s="40" t="s">
        <v>184</v>
      </c>
      <c r="F289" s="39" t="s">
        <v>249</v>
      </c>
      <c r="G289" s="41" t="s">
        <v>431</v>
      </c>
      <c r="H289" s="57"/>
    </row>
    <row r="290" spans="1:8" ht="16.2" x14ac:dyDescent="0.4">
      <c r="A290" s="15" t="str">
        <f t="shared" si="4"/>
        <v>modesg_inp_emss_scibisin</v>
      </c>
      <c r="B290" s="46" t="s">
        <v>10</v>
      </c>
      <c r="C290" s="43" t="s">
        <v>152</v>
      </c>
      <c r="D290" s="39" t="s">
        <v>17</v>
      </c>
      <c r="E290" s="40" t="s">
        <v>184</v>
      </c>
      <c r="F290" s="39" t="s">
        <v>204</v>
      </c>
      <c r="G290" s="41" t="s">
        <v>431</v>
      </c>
      <c r="H290" s="57"/>
    </row>
    <row r="291" spans="1:8" ht="16.2" x14ac:dyDescent="0.4">
      <c r="A291" s="15" t="str">
        <f t="shared" si="4"/>
        <v>modesg_inp_emss_scibclei</v>
      </c>
      <c r="B291" s="46" t="s">
        <v>10</v>
      </c>
      <c r="C291" s="43" t="s">
        <v>152</v>
      </c>
      <c r="D291" s="39" t="s">
        <v>17</v>
      </c>
      <c r="E291" s="40" t="s">
        <v>184</v>
      </c>
      <c r="F291" s="39" t="s">
        <v>205</v>
      </c>
      <c r="G291" s="41" t="s">
        <v>431</v>
      </c>
      <c r="H291" s="57"/>
    </row>
    <row r="292" spans="1:8" ht="16.2" x14ac:dyDescent="0.4">
      <c r="A292" s="15" t="str">
        <f t="shared" si="4"/>
        <v>modesg_inp_emss_scibscp1_emss</v>
      </c>
      <c r="B292" s="46" t="s">
        <v>10</v>
      </c>
      <c r="C292" s="43" t="s">
        <v>152</v>
      </c>
      <c r="D292" s="39" t="s">
        <v>17</v>
      </c>
      <c r="E292" s="40" t="s">
        <v>184</v>
      </c>
      <c r="F292" s="39" t="s">
        <v>250</v>
      </c>
      <c r="G292" s="41" t="s">
        <v>431</v>
      </c>
      <c r="H292" s="48" t="s">
        <v>448</v>
      </c>
    </row>
    <row r="293" spans="1:8" ht="16.2" x14ac:dyDescent="0.4">
      <c r="A293" s="15" t="str">
        <f t="shared" si="4"/>
        <v>modesg_inp_emss_scibscp2_emss</v>
      </c>
      <c r="B293" s="46" t="s">
        <v>10</v>
      </c>
      <c r="C293" s="43" t="s">
        <v>152</v>
      </c>
      <c r="D293" s="39" t="s">
        <v>17</v>
      </c>
      <c r="E293" s="40" t="s">
        <v>184</v>
      </c>
      <c r="F293" s="39" t="s">
        <v>251</v>
      </c>
      <c r="G293" s="41" t="s">
        <v>431</v>
      </c>
      <c r="H293" s="48" t="s">
        <v>448</v>
      </c>
    </row>
    <row r="294" spans="1:8" ht="16.2" x14ac:dyDescent="0.4">
      <c r="A294" s="15" t="str">
        <f t="shared" si="4"/>
        <v>modesg_inp_emss_scibscp3_emss</v>
      </c>
      <c r="B294" s="46" t="s">
        <v>10</v>
      </c>
      <c r="C294" s="43" t="s">
        <v>152</v>
      </c>
      <c r="D294" s="39" t="s">
        <v>17</v>
      </c>
      <c r="E294" s="40" t="s">
        <v>184</v>
      </c>
      <c r="F294" s="39" t="s">
        <v>252</v>
      </c>
      <c r="G294" s="41" t="s">
        <v>431</v>
      </c>
      <c r="H294" s="57"/>
    </row>
    <row r="295" spans="1:8" ht="16.2" x14ac:dyDescent="0.4">
      <c r="A295" s="15" t="str">
        <f t="shared" si="4"/>
        <v>modesg_inp_emss_scibscore_scp1</v>
      </c>
      <c r="B295" s="46" t="s">
        <v>10</v>
      </c>
      <c r="C295" s="43" t="s">
        <v>152</v>
      </c>
      <c r="D295" s="39" t="s">
        <v>17</v>
      </c>
      <c r="E295" s="40" t="s">
        <v>184</v>
      </c>
      <c r="F295" s="39" t="s">
        <v>253</v>
      </c>
      <c r="G295" s="41" t="s">
        <v>431</v>
      </c>
      <c r="H295" s="57"/>
    </row>
    <row r="296" spans="1:8" ht="16.2" x14ac:dyDescent="0.4">
      <c r="A296" s="15" t="str">
        <f t="shared" si="4"/>
        <v>modesg_inp_emss_scibscore_scp2</v>
      </c>
      <c r="B296" s="46" t="s">
        <v>10</v>
      </c>
      <c r="C296" s="43" t="s">
        <v>152</v>
      </c>
      <c r="D296" s="39" t="s">
        <v>17</v>
      </c>
      <c r="E296" s="40" t="s">
        <v>184</v>
      </c>
      <c r="F296" s="39" t="s">
        <v>254</v>
      </c>
      <c r="G296" s="41" t="s">
        <v>431</v>
      </c>
      <c r="H296" s="57"/>
    </row>
    <row r="297" spans="1:8" ht="16.2" x14ac:dyDescent="0.4">
      <c r="A297" s="15" t="str">
        <f t="shared" si="4"/>
        <v>modesg_inp_emss_scibscore_scp3</v>
      </c>
      <c r="B297" s="46" t="s">
        <v>10</v>
      </c>
      <c r="C297" s="43" t="s">
        <v>152</v>
      </c>
      <c r="D297" s="39" t="s">
        <v>17</v>
      </c>
      <c r="E297" s="40" t="s">
        <v>184</v>
      </c>
      <c r="F297" s="39" t="s">
        <v>255</v>
      </c>
      <c r="G297" s="41" t="s">
        <v>431</v>
      </c>
      <c r="H297" s="57"/>
    </row>
    <row r="298" spans="1:8" ht="16.2" x14ac:dyDescent="0.4">
      <c r="A298" s="15" t="str">
        <f t="shared" si="4"/>
        <v>modesg_inp_emss_sciborigem_scp1</v>
      </c>
      <c r="B298" s="46" t="s">
        <v>10</v>
      </c>
      <c r="C298" s="43" t="s">
        <v>152</v>
      </c>
      <c r="D298" s="39" t="s">
        <v>17</v>
      </c>
      <c r="E298" s="40" t="s">
        <v>184</v>
      </c>
      <c r="F298" s="39" t="s">
        <v>256</v>
      </c>
      <c r="G298" s="41" t="s">
        <v>431</v>
      </c>
      <c r="H298" s="57"/>
    </row>
    <row r="299" spans="1:8" ht="16.2" x14ac:dyDescent="0.4">
      <c r="A299" s="15" t="str">
        <f t="shared" si="4"/>
        <v>modesg_inp_emss_sciborigem_scp2</v>
      </c>
      <c r="B299" s="46" t="s">
        <v>10</v>
      </c>
      <c r="C299" s="43" t="s">
        <v>152</v>
      </c>
      <c r="D299" s="39" t="s">
        <v>17</v>
      </c>
      <c r="E299" s="40" t="s">
        <v>184</v>
      </c>
      <c r="F299" s="39" t="s">
        <v>257</v>
      </c>
      <c r="G299" s="41" t="s">
        <v>431</v>
      </c>
      <c r="H299" s="57"/>
    </row>
    <row r="300" spans="1:8" ht="16.2" x14ac:dyDescent="0.4">
      <c r="A300" s="15" t="str">
        <f t="shared" si="4"/>
        <v>modesg_inp_emss_sciborigem_scp3</v>
      </c>
      <c r="B300" s="46" t="s">
        <v>10</v>
      </c>
      <c r="C300" s="43" t="s">
        <v>152</v>
      </c>
      <c r="D300" s="39" t="s">
        <v>17</v>
      </c>
      <c r="E300" s="40" t="s">
        <v>184</v>
      </c>
      <c r="F300" s="39" t="s">
        <v>258</v>
      </c>
      <c r="G300" s="41" t="s">
        <v>431</v>
      </c>
      <c r="H300" s="57"/>
    </row>
    <row r="301" spans="1:8" ht="16.2" x14ac:dyDescent="0.4">
      <c r="A301" s="15" t="str">
        <f t="shared" si="4"/>
        <v>modesg_inp_emss_scibano_info</v>
      </c>
      <c r="B301" s="46" t="s">
        <v>10</v>
      </c>
      <c r="C301" s="43" t="s">
        <v>152</v>
      </c>
      <c r="D301" s="39" t="s">
        <v>17</v>
      </c>
      <c r="E301" s="40" t="s">
        <v>184</v>
      </c>
      <c r="F301" s="39" t="s">
        <v>259</v>
      </c>
      <c r="G301" s="41" t="s">
        <v>431</v>
      </c>
      <c r="H301" s="57"/>
    </row>
    <row r="302" spans="1:8" ht="16.2" x14ac:dyDescent="0.4">
      <c r="A302" s="15" t="str">
        <f t="shared" si="4"/>
        <v>modesg_inp_emss_scibdivida_total</v>
      </c>
      <c r="B302" s="46" t="s">
        <v>10</v>
      </c>
      <c r="C302" s="43" t="s">
        <v>152</v>
      </c>
      <c r="D302" s="39" t="s">
        <v>17</v>
      </c>
      <c r="E302" s="40" t="s">
        <v>184</v>
      </c>
      <c r="F302" s="39" t="s">
        <v>260</v>
      </c>
      <c r="G302" s="41" t="s">
        <v>431</v>
      </c>
      <c r="H302" s="57"/>
    </row>
    <row r="303" spans="1:8" ht="16.2" x14ac:dyDescent="0.4">
      <c r="A303" s="15" t="str">
        <f t="shared" si="4"/>
        <v>modesg_inp_emss_scibcapital_proprio</v>
      </c>
      <c r="B303" s="46" t="s">
        <v>10</v>
      </c>
      <c r="C303" s="43" t="s">
        <v>152</v>
      </c>
      <c r="D303" s="39" t="s">
        <v>17</v>
      </c>
      <c r="E303" s="40" t="s">
        <v>184</v>
      </c>
      <c r="F303" s="39" t="s">
        <v>261</v>
      </c>
      <c r="G303" s="41" t="s">
        <v>431</v>
      </c>
      <c r="H303" s="57"/>
    </row>
    <row r="304" spans="1:8" ht="16.2" x14ac:dyDescent="0.4">
      <c r="A304" s="15" t="str">
        <f t="shared" si="4"/>
        <v>modesg_inp_emss_naceref_date</v>
      </c>
      <c r="B304" s="46" t="s">
        <v>10</v>
      </c>
      <c r="C304" s="43" t="s">
        <v>152</v>
      </c>
      <c r="D304" s="39" t="s">
        <v>17</v>
      </c>
      <c r="E304" s="40" t="s">
        <v>185</v>
      </c>
      <c r="F304" s="39" t="s">
        <v>49</v>
      </c>
      <c r="G304" s="41" t="s">
        <v>434</v>
      </c>
      <c r="H304" s="48" t="s">
        <v>446</v>
      </c>
    </row>
    <row r="305" spans="1:8" ht="16.2" x14ac:dyDescent="0.4">
      <c r="A305" s="15" t="str">
        <f t="shared" si="4"/>
        <v>modesg_inp_emss_naceano</v>
      </c>
      <c r="B305" s="46" t="s">
        <v>10</v>
      </c>
      <c r="C305" s="43" t="s">
        <v>152</v>
      </c>
      <c r="D305" s="39" t="s">
        <v>17</v>
      </c>
      <c r="E305" s="40" t="s">
        <v>185</v>
      </c>
      <c r="F305" s="39" t="s">
        <v>262</v>
      </c>
      <c r="G305" s="41" t="s">
        <v>434</v>
      </c>
      <c r="H305" s="49" t="s">
        <v>447</v>
      </c>
    </row>
    <row r="306" spans="1:8" ht="16.2" x14ac:dyDescent="0.4">
      <c r="A306" s="15" t="str">
        <f t="shared" si="4"/>
        <v>modesg_inp_emss_nacenome_regiao</v>
      </c>
      <c r="B306" s="46" t="s">
        <v>10</v>
      </c>
      <c r="C306" s="43" t="s">
        <v>152</v>
      </c>
      <c r="D306" s="39" t="s">
        <v>17</v>
      </c>
      <c r="E306" s="40" t="s">
        <v>185</v>
      </c>
      <c r="F306" s="39" t="s">
        <v>187</v>
      </c>
      <c r="G306" s="41" t="s">
        <v>434</v>
      </c>
      <c r="H306" s="49" t="s">
        <v>447</v>
      </c>
    </row>
    <row r="307" spans="1:8" ht="16.2" x14ac:dyDescent="0.4">
      <c r="A307" s="15" t="str">
        <f t="shared" si="4"/>
        <v>modesg_inp_emss_nacecod_nace_esg</v>
      </c>
      <c r="B307" s="46" t="s">
        <v>10</v>
      </c>
      <c r="C307" s="43" t="s">
        <v>152</v>
      </c>
      <c r="D307" s="39" t="s">
        <v>17</v>
      </c>
      <c r="E307" s="40" t="s">
        <v>185</v>
      </c>
      <c r="F307" s="39" t="s">
        <v>246</v>
      </c>
      <c r="G307" s="41" t="s">
        <v>434</v>
      </c>
      <c r="H307" s="48" t="s">
        <v>446</v>
      </c>
    </row>
    <row r="308" spans="1:8" ht="16.2" x14ac:dyDescent="0.4">
      <c r="A308" s="15" t="str">
        <f t="shared" si="4"/>
        <v>modesg_inp_emss_nacecod_class_indust</v>
      </c>
      <c r="B308" s="46" t="s">
        <v>10</v>
      </c>
      <c r="C308" s="43" t="s">
        <v>152</v>
      </c>
      <c r="D308" s="39" t="s">
        <v>17</v>
      </c>
      <c r="E308" s="40" t="s">
        <v>185</v>
      </c>
      <c r="F308" s="39" t="s">
        <v>263</v>
      </c>
      <c r="G308" s="41" t="s">
        <v>434</v>
      </c>
      <c r="H308" s="48" t="s">
        <v>446</v>
      </c>
    </row>
    <row r="309" spans="1:8" ht="16.2" x14ac:dyDescent="0.4">
      <c r="A309" s="15" t="str">
        <f t="shared" si="4"/>
        <v>modesg_inp_emss_naceclassification_level_1</v>
      </c>
      <c r="B309" s="46" t="s">
        <v>10</v>
      </c>
      <c r="C309" s="43" t="s">
        <v>152</v>
      </c>
      <c r="D309" s="39" t="s">
        <v>17</v>
      </c>
      <c r="E309" s="40" t="s">
        <v>185</v>
      </c>
      <c r="F309" s="39" t="s">
        <v>264</v>
      </c>
      <c r="G309" s="41" t="s">
        <v>434</v>
      </c>
      <c r="H309" s="49" t="s">
        <v>447</v>
      </c>
    </row>
    <row r="310" spans="1:8" ht="16.2" x14ac:dyDescent="0.4">
      <c r="A310" s="15" t="str">
        <f t="shared" si="4"/>
        <v>modesg_inp_emss_naceasset_class</v>
      </c>
      <c r="B310" s="46" t="s">
        <v>10</v>
      </c>
      <c r="C310" s="43" t="s">
        <v>152</v>
      </c>
      <c r="D310" s="39" t="s">
        <v>17</v>
      </c>
      <c r="E310" s="40" t="s">
        <v>185</v>
      </c>
      <c r="F310" s="39" t="s">
        <v>265</v>
      </c>
      <c r="G310" s="41" t="s">
        <v>434</v>
      </c>
      <c r="H310" s="49" t="s">
        <v>447</v>
      </c>
    </row>
    <row r="311" spans="1:8" ht="16.2" x14ac:dyDescent="0.4">
      <c r="A311" s="15" t="str">
        <f t="shared" si="4"/>
        <v>modesg_inp_emss_nacemethodology_option</v>
      </c>
      <c r="B311" s="46" t="s">
        <v>10</v>
      </c>
      <c r="C311" s="43" t="s">
        <v>152</v>
      </c>
      <c r="D311" s="39" t="s">
        <v>17</v>
      </c>
      <c r="E311" s="40" t="s">
        <v>185</v>
      </c>
      <c r="F311" s="39" t="s">
        <v>266</v>
      </c>
      <c r="G311" s="41" t="s">
        <v>434</v>
      </c>
      <c r="H311" s="49" t="s">
        <v>447</v>
      </c>
    </row>
    <row r="312" spans="1:8" ht="16.2" x14ac:dyDescent="0.4">
      <c r="A312" s="15" t="str">
        <f t="shared" si="4"/>
        <v>modesg_inp_emss_naceunidade_funcional</v>
      </c>
      <c r="B312" s="46" t="s">
        <v>10</v>
      </c>
      <c r="C312" s="43" t="s">
        <v>152</v>
      </c>
      <c r="D312" s="39" t="s">
        <v>17</v>
      </c>
      <c r="E312" s="40" t="s">
        <v>185</v>
      </c>
      <c r="F312" s="39" t="s">
        <v>196</v>
      </c>
      <c r="G312" s="41" t="s">
        <v>434</v>
      </c>
      <c r="H312" s="48" t="s">
        <v>446</v>
      </c>
    </row>
    <row r="313" spans="1:8" ht="16.2" x14ac:dyDescent="0.4">
      <c r="A313" s="15" t="str">
        <f t="shared" si="4"/>
        <v>modesg_inp_emss_naceunidades_fator_de_emissao</v>
      </c>
      <c r="B313" s="46" t="s">
        <v>10</v>
      </c>
      <c r="C313" s="43" t="s">
        <v>152</v>
      </c>
      <c r="D313" s="39" t="s">
        <v>17</v>
      </c>
      <c r="E313" s="40" t="s">
        <v>185</v>
      </c>
      <c r="F313" s="39" t="s">
        <v>267</v>
      </c>
      <c r="G313" s="41" t="s">
        <v>434</v>
      </c>
      <c r="H313" s="48" t="s">
        <v>446</v>
      </c>
    </row>
    <row r="314" spans="1:8" ht="16.2" x14ac:dyDescent="0.4">
      <c r="A314" s="15" t="str">
        <f t="shared" si="4"/>
        <v>modesg_inp_emss_nacescore_qualidade</v>
      </c>
      <c r="B314" s="46" t="s">
        <v>10</v>
      </c>
      <c r="C314" s="43" t="s">
        <v>152</v>
      </c>
      <c r="D314" s="39" t="s">
        <v>17</v>
      </c>
      <c r="E314" s="40" t="s">
        <v>185</v>
      </c>
      <c r="F314" s="39" t="s">
        <v>27</v>
      </c>
      <c r="G314" s="41" t="s">
        <v>434</v>
      </c>
      <c r="H314" s="48" t="s">
        <v>446</v>
      </c>
    </row>
    <row r="315" spans="1:8" ht="16.2" x14ac:dyDescent="0.4">
      <c r="A315" s="15" t="str">
        <f t="shared" si="4"/>
        <v>modesg_inp_emss_nacescp1_ftr_emss</v>
      </c>
      <c r="B315" s="46" t="s">
        <v>10</v>
      </c>
      <c r="C315" s="43" t="s">
        <v>152</v>
      </c>
      <c r="D315" s="39" t="s">
        <v>17</v>
      </c>
      <c r="E315" s="40" t="s">
        <v>185</v>
      </c>
      <c r="F315" s="39" t="s">
        <v>199</v>
      </c>
      <c r="G315" s="41" t="s">
        <v>434</v>
      </c>
      <c r="H315" s="48" t="s">
        <v>446</v>
      </c>
    </row>
    <row r="316" spans="1:8" ht="16.2" x14ac:dyDescent="0.4">
      <c r="A316" s="15" t="str">
        <f t="shared" si="4"/>
        <v>modesg_inp_emss_nacescp2_ftr_emss</v>
      </c>
      <c r="B316" s="46" t="s">
        <v>10</v>
      </c>
      <c r="C316" s="43" t="s">
        <v>152</v>
      </c>
      <c r="D316" s="39" t="s">
        <v>17</v>
      </c>
      <c r="E316" s="40" t="s">
        <v>185</v>
      </c>
      <c r="F316" s="39" t="s">
        <v>200</v>
      </c>
      <c r="G316" s="41" t="s">
        <v>434</v>
      </c>
      <c r="H316" s="48" t="s">
        <v>446</v>
      </c>
    </row>
    <row r="317" spans="1:8" ht="16.2" x14ac:dyDescent="0.4">
      <c r="A317" s="15" t="str">
        <f t="shared" si="4"/>
        <v>modesg_inp_emss_nacescp3_ftr_emss</v>
      </c>
      <c r="B317" s="46" t="s">
        <v>10</v>
      </c>
      <c r="C317" s="43" t="s">
        <v>152</v>
      </c>
      <c r="D317" s="39" t="s">
        <v>17</v>
      </c>
      <c r="E317" s="40" t="s">
        <v>185</v>
      </c>
      <c r="F317" s="39" t="s">
        <v>201</v>
      </c>
      <c r="G317" s="41" t="s">
        <v>434</v>
      </c>
      <c r="H317" s="48" t="s">
        <v>446</v>
      </c>
    </row>
    <row r="318" spans="1:8" ht="16.2" x14ac:dyDescent="0.4">
      <c r="A318" s="15" t="str">
        <f t="shared" si="4"/>
        <v>modesg_inp_emss_bens_imoveisref_date</v>
      </c>
      <c r="B318" s="46" t="s">
        <v>10</v>
      </c>
      <c r="C318" s="43" t="s">
        <v>152</v>
      </c>
      <c r="D318" s="39" t="s">
        <v>17</v>
      </c>
      <c r="E318" s="40" t="s">
        <v>186</v>
      </c>
      <c r="F318" s="39" t="s">
        <v>49</v>
      </c>
      <c r="G318" s="41" t="s">
        <v>434</v>
      </c>
      <c r="H318" s="48" t="s">
        <v>446</v>
      </c>
    </row>
    <row r="319" spans="1:8" ht="16.2" x14ac:dyDescent="0.4">
      <c r="A319" s="15" t="str">
        <f t="shared" si="4"/>
        <v>modesg_inp_emss_bens_imoveisnome_pais</v>
      </c>
      <c r="B319" s="46" t="s">
        <v>10</v>
      </c>
      <c r="C319" s="43" t="s">
        <v>152</v>
      </c>
      <c r="D319" s="39" t="s">
        <v>17</v>
      </c>
      <c r="E319" s="40" t="s">
        <v>186</v>
      </c>
      <c r="F319" s="39" t="s">
        <v>188</v>
      </c>
      <c r="G319" s="41" t="s">
        <v>434</v>
      </c>
      <c r="H319" s="48" t="s">
        <v>446</v>
      </c>
    </row>
    <row r="320" spans="1:8" ht="16.2" x14ac:dyDescent="0.4">
      <c r="A320" s="15" t="str">
        <f t="shared" si="4"/>
        <v>modesg_inp_emss_bens_imoveisnome_estado</v>
      </c>
      <c r="B320" s="46" t="s">
        <v>10</v>
      </c>
      <c r="C320" s="43" t="s">
        <v>152</v>
      </c>
      <c r="D320" s="39" t="s">
        <v>17</v>
      </c>
      <c r="E320" s="40" t="s">
        <v>186</v>
      </c>
      <c r="F320" s="39" t="s">
        <v>189</v>
      </c>
      <c r="G320" s="41" t="s">
        <v>434</v>
      </c>
      <c r="H320" s="48" t="s">
        <v>446</v>
      </c>
    </row>
    <row r="321" spans="1:8" ht="16.2" x14ac:dyDescent="0.4">
      <c r="A321" s="15" t="str">
        <f t="shared" si="4"/>
        <v>modesg_inp_emss_bens_imoveisasset_class</v>
      </c>
      <c r="B321" s="46" t="s">
        <v>10</v>
      </c>
      <c r="C321" s="43" t="s">
        <v>152</v>
      </c>
      <c r="D321" s="39" t="s">
        <v>17</v>
      </c>
      <c r="E321" s="40" t="s">
        <v>186</v>
      </c>
      <c r="F321" s="39" t="s">
        <v>265</v>
      </c>
      <c r="G321" s="41" t="s">
        <v>434</v>
      </c>
      <c r="H321" s="48" t="s">
        <v>446</v>
      </c>
    </row>
    <row r="322" spans="1:8" ht="16.2" x14ac:dyDescent="0.4">
      <c r="A322" s="15" t="str">
        <f t="shared" si="4"/>
        <v>modesg_inp_emss_bens_imoveisemission_factor_type</v>
      </c>
      <c r="B322" s="46" t="s">
        <v>10</v>
      </c>
      <c r="C322" s="43" t="s">
        <v>152</v>
      </c>
      <c r="D322" s="39" t="s">
        <v>17</v>
      </c>
      <c r="E322" s="40" t="s">
        <v>186</v>
      </c>
      <c r="F322" s="39" t="s">
        <v>268</v>
      </c>
      <c r="G322" s="41" t="s">
        <v>434</v>
      </c>
      <c r="H322" s="49" t="s">
        <v>447</v>
      </c>
    </row>
    <row r="323" spans="1:8" ht="16.2" x14ac:dyDescent="0.4">
      <c r="A323" s="15" t="str">
        <f t="shared" si="4"/>
        <v>modesg_inp_emss_bens_imoveisnome_regiao</v>
      </c>
      <c r="B323" s="46" t="s">
        <v>10</v>
      </c>
      <c r="C323" s="43" t="s">
        <v>152</v>
      </c>
      <c r="D323" s="39" t="s">
        <v>17</v>
      </c>
      <c r="E323" s="40" t="s">
        <v>186</v>
      </c>
      <c r="F323" s="39" t="s">
        <v>187</v>
      </c>
      <c r="G323" s="41" t="s">
        <v>434</v>
      </c>
      <c r="H323" s="49" t="s">
        <v>447</v>
      </c>
    </row>
    <row r="324" spans="1:8" ht="16.2" x14ac:dyDescent="0.4">
      <c r="A324" s="15" t="str">
        <f t="shared" si="4"/>
        <v>modesg_inp_emss_bens_imoveistipo_bem</v>
      </c>
      <c r="B324" s="46" t="s">
        <v>10</v>
      </c>
      <c r="C324" s="43" t="s">
        <v>152</v>
      </c>
      <c r="D324" s="39" t="s">
        <v>17</v>
      </c>
      <c r="E324" s="40" t="s">
        <v>186</v>
      </c>
      <c r="F324" s="39" t="s">
        <v>269</v>
      </c>
      <c r="G324" s="41" t="s">
        <v>434</v>
      </c>
      <c r="H324" s="48" t="s">
        <v>446</v>
      </c>
    </row>
    <row r="325" spans="1:8" ht="16.2" x14ac:dyDescent="0.4">
      <c r="A325" s="15" t="str">
        <f t="shared" si="4"/>
        <v>modesg_inp_emss_bens_imoveistipo_finalidade_bem</v>
      </c>
      <c r="B325" s="46" t="s">
        <v>10</v>
      </c>
      <c r="C325" s="43" t="s">
        <v>152</v>
      </c>
      <c r="D325" s="39" t="s">
        <v>17</v>
      </c>
      <c r="E325" s="40" t="s">
        <v>186</v>
      </c>
      <c r="F325" s="39" t="s">
        <v>270</v>
      </c>
      <c r="G325" s="41" t="s">
        <v>434</v>
      </c>
      <c r="H325" s="48" t="s">
        <v>446</v>
      </c>
    </row>
    <row r="326" spans="1:8" ht="16.2" x14ac:dyDescent="0.4">
      <c r="A326" s="15" t="str">
        <f t="shared" si="4"/>
        <v>modesg_inp_emss_bens_imoveisepc</v>
      </c>
      <c r="B326" s="46" t="s">
        <v>10</v>
      </c>
      <c r="C326" s="43" t="s">
        <v>152</v>
      </c>
      <c r="D326" s="39" t="s">
        <v>17</v>
      </c>
      <c r="E326" s="40" t="s">
        <v>186</v>
      </c>
      <c r="F326" s="39" t="s">
        <v>24</v>
      </c>
      <c r="G326" s="41" t="s">
        <v>434</v>
      </c>
      <c r="H326" s="50" t="s">
        <v>447</v>
      </c>
    </row>
    <row r="327" spans="1:8" ht="16.2" x14ac:dyDescent="0.4">
      <c r="A327" s="15" t="str">
        <f t="shared" si="4"/>
        <v>modesg_inp_emss_bens_imoveisflg_ftr_emss_area</v>
      </c>
      <c r="B327" s="46" t="s">
        <v>10</v>
      </c>
      <c r="C327" s="43" t="s">
        <v>152</v>
      </c>
      <c r="D327" s="39" t="s">
        <v>17</v>
      </c>
      <c r="E327" s="40" t="s">
        <v>186</v>
      </c>
      <c r="F327" s="39" t="s">
        <v>271</v>
      </c>
      <c r="G327" s="41" t="s">
        <v>434</v>
      </c>
      <c r="H327" s="50" t="s">
        <v>447</v>
      </c>
    </row>
    <row r="328" spans="1:8" ht="16.2" x14ac:dyDescent="0.4">
      <c r="A328" s="15" t="str">
        <f t="shared" ref="A328:A391" si="5">E328&amp;F328</f>
        <v>modesg_inp_emss_bens_imoveisnome_unidade_funcional</v>
      </c>
      <c r="B328" s="46" t="s">
        <v>10</v>
      </c>
      <c r="C328" s="43" t="s">
        <v>152</v>
      </c>
      <c r="D328" s="39" t="s">
        <v>17</v>
      </c>
      <c r="E328" s="40" t="s">
        <v>186</v>
      </c>
      <c r="F328" s="39" t="s">
        <v>195</v>
      </c>
      <c r="G328" s="41" t="s">
        <v>434</v>
      </c>
      <c r="H328" s="48" t="s">
        <v>446</v>
      </c>
    </row>
    <row r="329" spans="1:8" ht="16.2" x14ac:dyDescent="0.4">
      <c r="A329" s="15" t="str">
        <f t="shared" si="5"/>
        <v>modesg_inp_emss_bens_imoveisunidade_funcional</v>
      </c>
      <c r="B329" s="46" t="s">
        <v>10</v>
      </c>
      <c r="C329" s="43" t="s">
        <v>152</v>
      </c>
      <c r="D329" s="39" t="s">
        <v>17</v>
      </c>
      <c r="E329" s="40" t="s">
        <v>186</v>
      </c>
      <c r="F329" s="39" t="s">
        <v>196</v>
      </c>
      <c r="G329" s="41" t="s">
        <v>434</v>
      </c>
      <c r="H329" s="48" t="s">
        <v>446</v>
      </c>
    </row>
    <row r="330" spans="1:8" ht="16.2" x14ac:dyDescent="0.4">
      <c r="A330" s="15" t="str">
        <f t="shared" si="5"/>
        <v>modesg_inp_emss_bens_imoveisnome_fator_emissao</v>
      </c>
      <c r="B330" s="46" t="s">
        <v>10</v>
      </c>
      <c r="C330" s="43" t="s">
        <v>152</v>
      </c>
      <c r="D330" s="39" t="s">
        <v>17</v>
      </c>
      <c r="E330" s="40" t="s">
        <v>186</v>
      </c>
      <c r="F330" s="39" t="s">
        <v>197</v>
      </c>
      <c r="G330" s="41" t="s">
        <v>434</v>
      </c>
      <c r="H330" s="48" t="s">
        <v>446</v>
      </c>
    </row>
    <row r="331" spans="1:8" ht="16.2" x14ac:dyDescent="0.4">
      <c r="A331" s="15" t="str">
        <f t="shared" si="5"/>
        <v>modesg_inp_emss_bens_imoveisunidade_fator_emissao</v>
      </c>
      <c r="B331" s="46" t="s">
        <v>10</v>
      </c>
      <c r="C331" s="43" t="s">
        <v>152</v>
      </c>
      <c r="D331" s="39" t="s">
        <v>17</v>
      </c>
      <c r="E331" s="40" t="s">
        <v>186</v>
      </c>
      <c r="F331" s="39" t="s">
        <v>272</v>
      </c>
      <c r="G331" s="41" t="s">
        <v>434</v>
      </c>
      <c r="H331" s="48" t="s">
        <v>446</v>
      </c>
    </row>
    <row r="332" spans="1:8" ht="16.2" x14ac:dyDescent="0.4">
      <c r="A332" s="15" t="str">
        <f t="shared" si="5"/>
        <v>modesg_inp_emss_bens_imoveisscore_qualidade</v>
      </c>
      <c r="B332" s="46" t="s">
        <v>10</v>
      </c>
      <c r="C332" s="43" t="s">
        <v>152</v>
      </c>
      <c r="D332" s="39" t="s">
        <v>17</v>
      </c>
      <c r="E332" s="40" t="s">
        <v>186</v>
      </c>
      <c r="F332" s="39" t="s">
        <v>27</v>
      </c>
      <c r="G332" s="41" t="s">
        <v>434</v>
      </c>
      <c r="H332" s="48" t="s">
        <v>446</v>
      </c>
    </row>
    <row r="333" spans="1:8" ht="16.2" x14ac:dyDescent="0.4">
      <c r="A333" s="15" t="str">
        <f t="shared" si="5"/>
        <v>modesg_inp_emss_bens_imoveisscp_ftr_emss_ano1</v>
      </c>
      <c r="B333" s="46" t="s">
        <v>10</v>
      </c>
      <c r="C333" s="43" t="s">
        <v>152</v>
      </c>
      <c r="D333" s="39" t="s">
        <v>17</v>
      </c>
      <c r="E333" s="40" t="s">
        <v>186</v>
      </c>
      <c r="F333" s="39" t="s">
        <v>273</v>
      </c>
      <c r="G333" s="41" t="s">
        <v>434</v>
      </c>
      <c r="H333" s="50" t="s">
        <v>447</v>
      </c>
    </row>
    <row r="334" spans="1:8" ht="16.2" x14ac:dyDescent="0.4">
      <c r="A334" s="15" t="str">
        <f t="shared" si="5"/>
        <v>modesg_inp_emss_bens_imoveisscp1_ftr_emss</v>
      </c>
      <c r="B334" s="46" t="s">
        <v>10</v>
      </c>
      <c r="C334" s="43" t="s">
        <v>152</v>
      </c>
      <c r="D334" s="39" t="s">
        <v>17</v>
      </c>
      <c r="E334" s="40" t="s">
        <v>186</v>
      </c>
      <c r="F334" s="39" t="s">
        <v>199</v>
      </c>
      <c r="G334" s="41" t="s">
        <v>434</v>
      </c>
      <c r="H334" s="48" t="s">
        <v>446</v>
      </c>
    </row>
    <row r="335" spans="1:8" ht="16.2" x14ac:dyDescent="0.4">
      <c r="A335" s="15" t="str">
        <f t="shared" si="5"/>
        <v>modesg_inp_emss_bens_imoveisscp2_ftr_emss</v>
      </c>
      <c r="B335" s="46" t="s">
        <v>10</v>
      </c>
      <c r="C335" s="43" t="s">
        <v>152</v>
      </c>
      <c r="D335" s="39" t="s">
        <v>17</v>
      </c>
      <c r="E335" s="40" t="s">
        <v>186</v>
      </c>
      <c r="F335" s="39" t="s">
        <v>200</v>
      </c>
      <c r="G335" s="41" t="s">
        <v>434</v>
      </c>
      <c r="H335" s="48" t="s">
        <v>446</v>
      </c>
    </row>
    <row r="336" spans="1:8" ht="16.2" x14ac:dyDescent="0.4">
      <c r="A336" s="15" t="str">
        <f t="shared" si="5"/>
        <v>modesg_out_bens_imoveisn.a.</v>
      </c>
      <c r="B336" s="46" t="s">
        <v>10</v>
      </c>
      <c r="C336" s="43" t="s">
        <v>274</v>
      </c>
      <c r="D336" s="39" t="s">
        <v>14</v>
      </c>
      <c r="E336" s="40" t="s">
        <v>275</v>
      </c>
      <c r="F336" s="39" t="s">
        <v>16</v>
      </c>
      <c r="G336" s="41" t="s">
        <v>431</v>
      </c>
      <c r="H336" s="48"/>
    </row>
    <row r="337" spans="1:8" ht="16.2" x14ac:dyDescent="0.4">
      <c r="A337" s="15" t="str">
        <f t="shared" si="5"/>
        <v>modesg_out_bens_imoveiscempbem</v>
      </c>
      <c r="B337" s="46" t="s">
        <v>10</v>
      </c>
      <c r="C337" s="43" t="s">
        <v>274</v>
      </c>
      <c r="D337" s="39" t="s">
        <v>17</v>
      </c>
      <c r="E337" s="40" t="s">
        <v>275</v>
      </c>
      <c r="F337" s="39" t="s">
        <v>18</v>
      </c>
      <c r="G337" s="41" t="s">
        <v>431</v>
      </c>
      <c r="H337" s="57"/>
    </row>
    <row r="338" spans="1:8" ht="16.2" x14ac:dyDescent="0.4">
      <c r="A338" s="15" t="str">
        <f t="shared" si="5"/>
        <v>modesg_out_bens_imoveisckbalbem</v>
      </c>
      <c r="B338" s="46" t="s">
        <v>10</v>
      </c>
      <c r="C338" s="43" t="s">
        <v>274</v>
      </c>
      <c r="D338" s="39" t="s">
        <v>17</v>
      </c>
      <c r="E338" s="40" t="s">
        <v>275</v>
      </c>
      <c r="F338" s="39" t="s">
        <v>20</v>
      </c>
      <c r="G338" s="41" t="s">
        <v>431</v>
      </c>
      <c r="H338" s="57"/>
    </row>
    <row r="339" spans="1:8" ht="16.2" x14ac:dyDescent="0.4">
      <c r="A339" s="15" t="str">
        <f t="shared" si="5"/>
        <v>modesg_out_bens_imoveisckctabem</v>
      </c>
      <c r="B339" s="46" t="s">
        <v>10</v>
      </c>
      <c r="C339" s="43" t="s">
        <v>274</v>
      </c>
      <c r="D339" s="39" t="s">
        <v>17</v>
      </c>
      <c r="E339" s="40" t="s">
        <v>275</v>
      </c>
      <c r="F339" s="39" t="s">
        <v>21</v>
      </c>
      <c r="G339" s="41" t="s">
        <v>431</v>
      </c>
      <c r="H339" s="57"/>
    </row>
    <row r="340" spans="1:8" ht="16.2" x14ac:dyDescent="0.4">
      <c r="A340" s="15" t="str">
        <f t="shared" si="5"/>
        <v>modesg_out_bens_imoveisckrefbem</v>
      </c>
      <c r="B340" s="46" t="s">
        <v>10</v>
      </c>
      <c r="C340" s="43" t="s">
        <v>274</v>
      </c>
      <c r="D340" s="39" t="s">
        <v>17</v>
      </c>
      <c r="E340" s="40" t="s">
        <v>275</v>
      </c>
      <c r="F340" s="39" t="s">
        <v>22</v>
      </c>
      <c r="G340" s="41" t="s">
        <v>431</v>
      </c>
      <c r="H340" s="57"/>
    </row>
    <row r="341" spans="1:8" ht="16.2" x14ac:dyDescent="0.4">
      <c r="A341" s="15" t="str">
        <f t="shared" si="5"/>
        <v>modesg_out_bens_imoveisflg_rsc_fsc_agd</v>
      </c>
      <c r="B341" s="46" t="s">
        <v>10</v>
      </c>
      <c r="C341" s="43" t="s">
        <v>274</v>
      </c>
      <c r="D341" s="39" t="s">
        <v>17</v>
      </c>
      <c r="E341" s="40" t="s">
        <v>275</v>
      </c>
      <c r="F341" s="39" t="s">
        <v>247</v>
      </c>
      <c r="G341" s="41" t="s">
        <v>151</v>
      </c>
      <c r="H341" s="48"/>
    </row>
    <row r="342" spans="1:8" ht="16.2" x14ac:dyDescent="0.4">
      <c r="A342" s="15" t="str">
        <f t="shared" si="5"/>
        <v>modesg_out_bens_imoveisflg_rsc_fsc_crnc</v>
      </c>
      <c r="B342" s="46" t="s">
        <v>10</v>
      </c>
      <c r="C342" s="43" t="s">
        <v>274</v>
      </c>
      <c r="D342" s="39" t="s">
        <v>17</v>
      </c>
      <c r="E342" s="40" t="s">
        <v>275</v>
      </c>
      <c r="F342" s="39" t="s">
        <v>248</v>
      </c>
      <c r="G342" s="41" t="s">
        <v>151</v>
      </c>
      <c r="H342" s="48"/>
    </row>
    <row r="343" spans="1:8" ht="16.2" x14ac:dyDescent="0.4">
      <c r="A343" s="15" t="str">
        <f t="shared" si="5"/>
        <v>modesg_out_bens_imoveisorigem_flg_rsc_fsc_agd</v>
      </c>
      <c r="B343" s="46" t="s">
        <v>10</v>
      </c>
      <c r="C343" s="43" t="s">
        <v>274</v>
      </c>
      <c r="D343" s="39" t="s">
        <v>17</v>
      </c>
      <c r="E343" s="40" t="s">
        <v>275</v>
      </c>
      <c r="F343" s="39" t="s">
        <v>276</v>
      </c>
      <c r="G343" s="41" t="s">
        <v>151</v>
      </c>
      <c r="H343" s="48"/>
    </row>
    <row r="344" spans="1:8" ht="16.2" x14ac:dyDescent="0.4">
      <c r="A344" s="15" t="str">
        <f t="shared" si="5"/>
        <v>modesg_out_bens_imoveisorigem_flg_rsc_fsc_crnc</v>
      </c>
      <c r="B344" s="46" t="s">
        <v>10</v>
      </c>
      <c r="C344" s="43" t="s">
        <v>274</v>
      </c>
      <c r="D344" s="39" t="s">
        <v>17</v>
      </c>
      <c r="E344" s="40" t="s">
        <v>275</v>
      </c>
      <c r="F344" s="39" t="s">
        <v>277</v>
      </c>
      <c r="G344" s="41" t="s">
        <v>151</v>
      </c>
      <c r="H344" s="48"/>
    </row>
    <row r="345" spans="1:8" ht="16.2" x14ac:dyDescent="0.4">
      <c r="A345" s="15" t="str">
        <f t="shared" si="5"/>
        <v>modesg_out_bens_imoveisorigem_scp1_emss</v>
      </c>
      <c r="B345" s="46" t="s">
        <v>10</v>
      </c>
      <c r="C345" s="43" t="s">
        <v>274</v>
      </c>
      <c r="D345" s="39" t="s">
        <v>17</v>
      </c>
      <c r="E345" s="40" t="s">
        <v>275</v>
      </c>
      <c r="F345" s="39" t="s">
        <v>278</v>
      </c>
      <c r="G345" s="41" t="s">
        <v>432</v>
      </c>
      <c r="H345" s="48"/>
    </row>
    <row r="346" spans="1:8" ht="16.2" x14ac:dyDescent="0.4">
      <c r="A346" s="15" t="str">
        <f t="shared" si="5"/>
        <v>modesg_out_bens_imoveisorigem_scp2_emss</v>
      </c>
      <c r="B346" s="46" t="s">
        <v>10</v>
      </c>
      <c r="C346" s="43" t="s">
        <v>274</v>
      </c>
      <c r="D346" s="39" t="s">
        <v>17</v>
      </c>
      <c r="E346" s="40" t="s">
        <v>275</v>
      </c>
      <c r="F346" s="39" t="s">
        <v>279</v>
      </c>
      <c r="G346" s="41" t="s">
        <v>432</v>
      </c>
      <c r="H346" s="48"/>
    </row>
    <row r="347" spans="1:8" ht="16.2" x14ac:dyDescent="0.4">
      <c r="A347" s="15" t="str">
        <f t="shared" si="5"/>
        <v>modesg_out_bens_imoveisorigem_scp3_emss</v>
      </c>
      <c r="B347" s="46" t="s">
        <v>10</v>
      </c>
      <c r="C347" s="43" t="s">
        <v>274</v>
      </c>
      <c r="D347" s="39" t="s">
        <v>17</v>
      </c>
      <c r="E347" s="40" t="s">
        <v>275</v>
      </c>
      <c r="F347" s="39" t="s">
        <v>280</v>
      </c>
      <c r="G347" s="41" t="s">
        <v>432</v>
      </c>
      <c r="H347" s="48"/>
    </row>
    <row r="348" spans="1:8" ht="16.2" x14ac:dyDescent="0.4">
      <c r="A348" s="15" t="str">
        <f t="shared" si="5"/>
        <v>modesg_out_bens_imoveisref_date</v>
      </c>
      <c r="B348" s="46" t="s">
        <v>10</v>
      </c>
      <c r="C348" s="43" t="s">
        <v>274</v>
      </c>
      <c r="D348" s="39" t="s">
        <v>17</v>
      </c>
      <c r="E348" s="40" t="s">
        <v>275</v>
      </c>
      <c r="F348" s="39" t="s">
        <v>49</v>
      </c>
      <c r="G348" s="41" t="s">
        <v>431</v>
      </c>
      <c r="H348" s="57"/>
    </row>
    <row r="349" spans="1:8" ht="16.2" x14ac:dyDescent="0.4">
      <c r="A349" s="15" t="str">
        <f t="shared" si="5"/>
        <v>modesg_out_bens_imoveisscp1_emss</v>
      </c>
      <c r="B349" s="46" t="s">
        <v>10</v>
      </c>
      <c r="C349" s="43" t="s">
        <v>274</v>
      </c>
      <c r="D349" s="39" t="s">
        <v>17</v>
      </c>
      <c r="E349" s="40" t="s">
        <v>275</v>
      </c>
      <c r="F349" s="39" t="s">
        <v>250</v>
      </c>
      <c r="G349" s="41" t="s">
        <v>432</v>
      </c>
      <c r="H349" s="48"/>
    </row>
    <row r="350" spans="1:8" ht="16.2" x14ac:dyDescent="0.4">
      <c r="A350" s="15" t="str">
        <f t="shared" si="5"/>
        <v>modesg_out_bens_imoveisscp2_emss</v>
      </c>
      <c r="B350" s="46" t="s">
        <v>10</v>
      </c>
      <c r="C350" s="43" t="s">
        <v>274</v>
      </c>
      <c r="D350" s="39" t="s">
        <v>17</v>
      </c>
      <c r="E350" s="40" t="s">
        <v>275</v>
      </c>
      <c r="F350" s="39" t="s">
        <v>251</v>
      </c>
      <c r="G350" s="41" t="s">
        <v>432</v>
      </c>
      <c r="H350" s="48"/>
    </row>
    <row r="351" spans="1:8" ht="16.2" x14ac:dyDescent="0.4">
      <c r="A351" s="15" t="str">
        <f t="shared" si="5"/>
        <v>modesg_out_bens_imoveisscp3_emss</v>
      </c>
      <c r="B351" s="46" t="s">
        <v>10</v>
      </c>
      <c r="C351" s="43" t="s">
        <v>274</v>
      </c>
      <c r="D351" s="39" t="s">
        <v>17</v>
      </c>
      <c r="E351" s="40" t="s">
        <v>275</v>
      </c>
      <c r="F351" s="39" t="s">
        <v>252</v>
      </c>
      <c r="G351" s="41" t="s">
        <v>431</v>
      </c>
      <c r="H351" s="57"/>
    </row>
    <row r="352" spans="1:8" ht="16.2" x14ac:dyDescent="0.4">
      <c r="A352" s="15" t="str">
        <f t="shared" si="5"/>
        <v>modesg_out_bens_imoveisunidade_funcional_scp1_emss</v>
      </c>
      <c r="B352" s="46" t="s">
        <v>10</v>
      </c>
      <c r="C352" s="43" t="s">
        <v>274</v>
      </c>
      <c r="D352" s="39" t="s">
        <v>17</v>
      </c>
      <c r="E352" s="40" t="s">
        <v>275</v>
      </c>
      <c r="F352" s="39" t="s">
        <v>281</v>
      </c>
      <c r="G352" s="41" t="s">
        <v>432</v>
      </c>
      <c r="H352" s="48"/>
    </row>
    <row r="353" spans="1:8" ht="16.2" x14ac:dyDescent="0.4">
      <c r="A353" s="15" t="str">
        <f t="shared" si="5"/>
        <v>modesg_out_bens_imoveisunidade_funcional_scp2_emss</v>
      </c>
      <c r="B353" s="46" t="s">
        <v>10</v>
      </c>
      <c r="C353" s="43" t="s">
        <v>274</v>
      </c>
      <c r="D353" s="39" t="s">
        <v>17</v>
      </c>
      <c r="E353" s="40" t="s">
        <v>275</v>
      </c>
      <c r="F353" s="39" t="s">
        <v>282</v>
      </c>
      <c r="G353" s="41" t="s">
        <v>432</v>
      </c>
      <c r="H353" s="48"/>
    </row>
    <row r="354" spans="1:8" ht="16.2" x14ac:dyDescent="0.4">
      <c r="A354" s="15" t="str">
        <f t="shared" si="5"/>
        <v>modesg_out_bens_imoveisunidade_funcional_scp3_emss</v>
      </c>
      <c r="B354" s="46" t="s">
        <v>10</v>
      </c>
      <c r="C354" s="43" t="s">
        <v>274</v>
      </c>
      <c r="D354" s="39" t="s">
        <v>17</v>
      </c>
      <c r="E354" s="40" t="s">
        <v>275</v>
      </c>
      <c r="F354" s="39" t="s">
        <v>283</v>
      </c>
      <c r="G354" s="41" t="s">
        <v>432</v>
      </c>
      <c r="H354" s="48"/>
    </row>
    <row r="355" spans="1:8" ht="16.2" x14ac:dyDescent="0.4">
      <c r="A355" s="15" t="str">
        <f t="shared" si="5"/>
        <v>modesg_out_empr_info_nfinn.a.</v>
      </c>
      <c r="B355" s="46" t="s">
        <v>10</v>
      </c>
      <c r="C355" s="43" t="s">
        <v>274</v>
      </c>
      <c r="D355" s="39" t="s">
        <v>14</v>
      </c>
      <c r="E355" s="40" t="s">
        <v>284</v>
      </c>
      <c r="F355" s="39" t="s">
        <v>16</v>
      </c>
      <c r="G355" s="41" t="s">
        <v>151</v>
      </c>
      <c r="H355" s="57"/>
    </row>
    <row r="356" spans="1:8" ht="16.2" x14ac:dyDescent="0.4">
      <c r="A356" s="15" t="str">
        <f t="shared" si="5"/>
        <v>modesg_out_empr_info_nfincca_capex_enblng_algnd</v>
      </c>
      <c r="B356" s="46" t="s">
        <v>10</v>
      </c>
      <c r="C356" s="43" t="s">
        <v>274</v>
      </c>
      <c r="D356" s="39" t="s">
        <v>17</v>
      </c>
      <c r="E356" s="40" t="s">
        <v>284</v>
      </c>
      <c r="F356" s="39" t="s">
        <v>215</v>
      </c>
      <c r="G356" s="41" t="s">
        <v>151</v>
      </c>
      <c r="H356" s="48"/>
    </row>
    <row r="357" spans="1:8" ht="16.2" x14ac:dyDescent="0.4">
      <c r="A357" s="15" t="str">
        <f t="shared" si="5"/>
        <v>modesg_out_empr_info_nfincca_capex_own_prfrmnce_algnd</v>
      </c>
      <c r="B357" s="46" t="s">
        <v>10</v>
      </c>
      <c r="C357" s="43" t="s">
        <v>274</v>
      </c>
      <c r="D357" s="39" t="s">
        <v>17</v>
      </c>
      <c r="E357" s="40" t="s">
        <v>284</v>
      </c>
      <c r="F357" s="39" t="s">
        <v>216</v>
      </c>
      <c r="G357" s="41" t="s">
        <v>151</v>
      </c>
      <c r="H357" s="48"/>
    </row>
    <row r="358" spans="1:8" ht="16.2" x14ac:dyDescent="0.4">
      <c r="A358" s="15" t="str">
        <f t="shared" si="5"/>
        <v>modesg_out_empr_info_nfincca_capex_ttl_elgbl</v>
      </c>
      <c r="B358" s="46" t="s">
        <v>10</v>
      </c>
      <c r="C358" s="43" t="s">
        <v>274</v>
      </c>
      <c r="D358" s="39" t="s">
        <v>17</v>
      </c>
      <c r="E358" s="40" t="s">
        <v>284</v>
      </c>
      <c r="F358" s="39" t="s">
        <v>214</v>
      </c>
      <c r="G358" s="41" t="s">
        <v>151</v>
      </c>
      <c r="H358" s="48"/>
    </row>
    <row r="359" spans="1:8" ht="16.2" x14ac:dyDescent="0.4">
      <c r="A359" s="15" t="str">
        <f t="shared" si="5"/>
        <v>modesg_out_empr_info_nfincca_trnvr_enblng_alignd</v>
      </c>
      <c r="B359" s="46" t="s">
        <v>10</v>
      </c>
      <c r="C359" s="43" t="s">
        <v>274</v>
      </c>
      <c r="D359" s="39" t="s">
        <v>17</v>
      </c>
      <c r="E359" s="40" t="s">
        <v>284</v>
      </c>
      <c r="F359" s="39" t="s">
        <v>212</v>
      </c>
      <c r="G359" s="41" t="s">
        <v>151</v>
      </c>
      <c r="H359" s="48"/>
    </row>
    <row r="360" spans="1:8" ht="16.2" x14ac:dyDescent="0.4">
      <c r="A360" s="15" t="str">
        <f t="shared" si="5"/>
        <v>modesg_out_empr_info_nfincca_trnvr_ttl_elgbl</v>
      </c>
      <c r="B360" s="46" t="s">
        <v>10</v>
      </c>
      <c r="C360" s="43" t="s">
        <v>274</v>
      </c>
      <c r="D360" s="39" t="s">
        <v>17</v>
      </c>
      <c r="E360" s="40" t="s">
        <v>284</v>
      </c>
      <c r="F360" s="39" t="s">
        <v>211</v>
      </c>
      <c r="G360" s="41" t="s">
        <v>151</v>
      </c>
      <c r="H360" s="48"/>
    </row>
    <row r="361" spans="1:8" ht="16.2" x14ac:dyDescent="0.4">
      <c r="A361" s="15" t="str">
        <f t="shared" si="5"/>
        <v>modesg_out_empr_info_nfincca_turnover_own_prfrmnce_algnd</v>
      </c>
      <c r="B361" s="46" t="s">
        <v>10</v>
      </c>
      <c r="C361" s="43" t="s">
        <v>274</v>
      </c>
      <c r="D361" s="39" t="s">
        <v>17</v>
      </c>
      <c r="E361" s="40" t="s">
        <v>284</v>
      </c>
      <c r="F361" s="39" t="s">
        <v>213</v>
      </c>
      <c r="G361" s="41" t="s">
        <v>151</v>
      </c>
      <c r="H361" s="48"/>
    </row>
    <row r="362" spans="1:8" ht="16.2" x14ac:dyDescent="0.4">
      <c r="A362" s="15" t="str">
        <f t="shared" si="5"/>
        <v>modesg_out_empr_info_nfinccm_capex_enblng_algnd</v>
      </c>
      <c r="B362" s="46" t="s">
        <v>10</v>
      </c>
      <c r="C362" s="43" t="s">
        <v>274</v>
      </c>
      <c r="D362" s="39" t="s">
        <v>17</v>
      </c>
      <c r="E362" s="40" t="s">
        <v>284</v>
      </c>
      <c r="F362" s="39" t="s">
        <v>222</v>
      </c>
      <c r="G362" s="41" t="s">
        <v>151</v>
      </c>
      <c r="H362" s="48"/>
    </row>
    <row r="363" spans="1:8" ht="16.2" x14ac:dyDescent="0.4">
      <c r="A363" s="15" t="str">
        <f t="shared" si="5"/>
        <v>modesg_out_empr_info_nfinccm_capex_own_prfrmnce_algnd</v>
      </c>
      <c r="B363" s="46" t="s">
        <v>10</v>
      </c>
      <c r="C363" s="43" t="s">
        <v>274</v>
      </c>
      <c r="D363" s="39" t="s">
        <v>17</v>
      </c>
      <c r="E363" s="40" t="s">
        <v>284</v>
      </c>
      <c r="F363" s="39" t="s">
        <v>224</v>
      </c>
      <c r="G363" s="41" t="s">
        <v>151</v>
      </c>
      <c r="H363" s="48"/>
    </row>
    <row r="364" spans="1:8" ht="16.2" x14ac:dyDescent="0.4">
      <c r="A364" s="15" t="str">
        <f t="shared" si="5"/>
        <v>modesg_out_empr_info_nfinccm_capex_trnstn_algnd</v>
      </c>
      <c r="B364" s="46" t="s">
        <v>10</v>
      </c>
      <c r="C364" s="43" t="s">
        <v>274</v>
      </c>
      <c r="D364" s="39" t="s">
        <v>17</v>
      </c>
      <c r="E364" s="40" t="s">
        <v>284</v>
      </c>
      <c r="F364" s="39" t="s">
        <v>223</v>
      </c>
      <c r="G364" s="41" t="s">
        <v>151</v>
      </c>
      <c r="H364" s="48"/>
    </row>
    <row r="365" spans="1:8" ht="16.2" x14ac:dyDescent="0.4">
      <c r="A365" s="15" t="str">
        <f t="shared" si="5"/>
        <v>modesg_out_empr_info_nfinccm_capex_ttl_elgbl</v>
      </c>
      <c r="B365" s="46" t="s">
        <v>10</v>
      </c>
      <c r="C365" s="43" t="s">
        <v>274</v>
      </c>
      <c r="D365" s="39" t="s">
        <v>17</v>
      </c>
      <c r="E365" s="40" t="s">
        <v>284</v>
      </c>
      <c r="F365" s="39" t="s">
        <v>221</v>
      </c>
      <c r="G365" s="41" t="s">
        <v>151</v>
      </c>
      <c r="H365" s="48"/>
    </row>
    <row r="366" spans="1:8" ht="16.2" x14ac:dyDescent="0.4">
      <c r="A366" s="15" t="str">
        <f t="shared" si="5"/>
        <v>modesg_out_empr_info_nfinccm_trnvr_enblng_algnd</v>
      </c>
      <c r="B366" s="46" t="s">
        <v>10</v>
      </c>
      <c r="C366" s="43" t="s">
        <v>274</v>
      </c>
      <c r="D366" s="39" t="s">
        <v>17</v>
      </c>
      <c r="E366" s="40" t="s">
        <v>284</v>
      </c>
      <c r="F366" s="39" t="s">
        <v>218</v>
      </c>
      <c r="G366" s="41" t="s">
        <v>151</v>
      </c>
      <c r="H366" s="48"/>
    </row>
    <row r="367" spans="1:8" ht="16.2" x14ac:dyDescent="0.4">
      <c r="A367" s="15" t="str">
        <f t="shared" si="5"/>
        <v>modesg_out_empr_info_nfinccm_trnvr_own_prfrmnce_algnd</v>
      </c>
      <c r="B367" s="46" t="s">
        <v>10</v>
      </c>
      <c r="C367" s="43" t="s">
        <v>274</v>
      </c>
      <c r="D367" s="39" t="s">
        <v>17</v>
      </c>
      <c r="E367" s="40" t="s">
        <v>284</v>
      </c>
      <c r="F367" s="39" t="s">
        <v>220</v>
      </c>
      <c r="G367" s="41" t="s">
        <v>151</v>
      </c>
      <c r="H367" s="48"/>
    </row>
    <row r="368" spans="1:8" ht="16.2" x14ac:dyDescent="0.4">
      <c r="A368" s="15" t="str">
        <f t="shared" si="5"/>
        <v>modesg_out_empr_info_nfinccm_trnvr_trnstn_alignd</v>
      </c>
      <c r="B368" s="46" t="s">
        <v>10</v>
      </c>
      <c r="C368" s="43" t="s">
        <v>274</v>
      </c>
      <c r="D368" s="39" t="s">
        <v>17</v>
      </c>
      <c r="E368" s="40" t="s">
        <v>284</v>
      </c>
      <c r="F368" s="39" t="s">
        <v>219</v>
      </c>
      <c r="G368" s="41" t="s">
        <v>151</v>
      </c>
      <c r="H368" s="48"/>
    </row>
    <row r="369" spans="1:8" ht="16.2" x14ac:dyDescent="0.4">
      <c r="A369" s="15" t="str">
        <f t="shared" si="5"/>
        <v>modesg_out_empr_info_nfinccm_trnvr_ttl_elgbl</v>
      </c>
      <c r="B369" s="46" t="s">
        <v>10</v>
      </c>
      <c r="C369" s="43" t="s">
        <v>274</v>
      </c>
      <c r="D369" s="39" t="s">
        <v>17</v>
      </c>
      <c r="E369" s="40" t="s">
        <v>284</v>
      </c>
      <c r="F369" s="39" t="s">
        <v>217</v>
      </c>
      <c r="G369" s="41" t="s">
        <v>151</v>
      </c>
      <c r="H369" s="48"/>
    </row>
    <row r="370" spans="1:8" ht="16.2" x14ac:dyDescent="0.4">
      <c r="A370" s="15" t="str">
        <f t="shared" si="5"/>
        <v>modesg_out_empr_info_nfincod_nace_esg</v>
      </c>
      <c r="B370" s="46" t="s">
        <v>10</v>
      </c>
      <c r="C370" s="43" t="s">
        <v>274</v>
      </c>
      <c r="D370" s="39" t="s">
        <v>17</v>
      </c>
      <c r="E370" s="40" t="s">
        <v>284</v>
      </c>
      <c r="F370" s="39" t="s">
        <v>246</v>
      </c>
      <c r="G370" s="41" t="s">
        <v>151</v>
      </c>
      <c r="H370" s="48"/>
    </row>
    <row r="371" spans="1:8" ht="16.2" x14ac:dyDescent="0.4">
      <c r="A371" s="15" t="str">
        <f t="shared" si="5"/>
        <v>modesg_out_empr_info_nfinflg_emprs_excl_paris</v>
      </c>
      <c r="B371" s="46" t="s">
        <v>10</v>
      </c>
      <c r="C371" s="43" t="s">
        <v>274</v>
      </c>
      <c r="D371" s="39" t="s">
        <v>17</v>
      </c>
      <c r="E371" s="40" t="s">
        <v>284</v>
      </c>
      <c r="F371" s="39" t="s">
        <v>285</v>
      </c>
      <c r="G371" s="41" t="s">
        <v>151</v>
      </c>
      <c r="H371" s="48"/>
    </row>
    <row r="372" spans="1:8" ht="16.2" x14ac:dyDescent="0.4">
      <c r="A372" s="15" t="str">
        <f t="shared" si="5"/>
        <v>modesg_out_empr_info_nfinflg_nfrd</v>
      </c>
      <c r="B372" s="46" t="s">
        <v>10</v>
      </c>
      <c r="C372" s="43" t="s">
        <v>274</v>
      </c>
      <c r="D372" s="39" t="s">
        <v>17</v>
      </c>
      <c r="E372" s="40" t="s">
        <v>284</v>
      </c>
      <c r="F372" s="39" t="s">
        <v>210</v>
      </c>
      <c r="G372" s="41" t="s">
        <v>151</v>
      </c>
      <c r="H372" s="48"/>
    </row>
    <row r="373" spans="1:8" ht="16.2" x14ac:dyDescent="0.4">
      <c r="A373" s="15" t="str">
        <f t="shared" si="5"/>
        <v>modesg_out_empr_info_nfinflg_rsc_fsc_agd</v>
      </c>
      <c r="B373" s="46" t="s">
        <v>10</v>
      </c>
      <c r="C373" s="43" t="s">
        <v>274</v>
      </c>
      <c r="D373" s="39" t="s">
        <v>17</v>
      </c>
      <c r="E373" s="40" t="s">
        <v>284</v>
      </c>
      <c r="F373" s="39" t="s">
        <v>247</v>
      </c>
      <c r="G373" s="41" t="s">
        <v>151</v>
      </c>
      <c r="H373" s="48"/>
    </row>
    <row r="374" spans="1:8" ht="16.2" x14ac:dyDescent="0.4">
      <c r="A374" s="15" t="str">
        <f t="shared" si="5"/>
        <v>modesg_out_empr_info_nfinflg_rsc_fsc_crnc</v>
      </c>
      <c r="B374" s="46" t="s">
        <v>10</v>
      </c>
      <c r="C374" s="43" t="s">
        <v>274</v>
      </c>
      <c r="D374" s="39" t="s">
        <v>17</v>
      </c>
      <c r="E374" s="40" t="s">
        <v>284</v>
      </c>
      <c r="F374" s="39" t="s">
        <v>248</v>
      </c>
      <c r="G374" s="41" t="s">
        <v>151</v>
      </c>
      <c r="H374" s="48"/>
    </row>
    <row r="375" spans="1:8" ht="16.2" x14ac:dyDescent="0.4">
      <c r="A375" s="15" t="str">
        <f t="shared" si="5"/>
        <v>modesg_out_empr_info_nfinorigem_alinhamentos</v>
      </c>
      <c r="B375" s="46" t="s">
        <v>10</v>
      </c>
      <c r="C375" s="43" t="s">
        <v>274</v>
      </c>
      <c r="D375" s="39" t="s">
        <v>17</v>
      </c>
      <c r="E375" s="40" t="s">
        <v>284</v>
      </c>
      <c r="F375" s="39" t="s">
        <v>286</v>
      </c>
      <c r="G375" s="41" t="s">
        <v>151</v>
      </c>
      <c r="H375" s="48"/>
    </row>
    <row r="376" spans="1:8" ht="16.2" x14ac:dyDescent="0.4">
      <c r="A376" s="15" t="str">
        <f t="shared" si="5"/>
        <v>modesg_out_empr_info_nfinorigem_flg_emprs_excl_paris</v>
      </c>
      <c r="B376" s="46" t="s">
        <v>10</v>
      </c>
      <c r="C376" s="43" t="s">
        <v>274</v>
      </c>
      <c r="D376" s="39" t="s">
        <v>17</v>
      </c>
      <c r="E376" s="40" t="s">
        <v>284</v>
      </c>
      <c r="F376" s="39" t="s">
        <v>287</v>
      </c>
      <c r="G376" s="41" t="s">
        <v>151</v>
      </c>
      <c r="H376" s="48"/>
    </row>
    <row r="377" spans="1:8" ht="16.2" x14ac:dyDescent="0.4">
      <c r="A377" s="15" t="str">
        <f t="shared" si="5"/>
        <v>modesg_out_empr_info_nfinorigem_flg_nfrd</v>
      </c>
      <c r="B377" s="46" t="s">
        <v>10</v>
      </c>
      <c r="C377" s="43" t="s">
        <v>274</v>
      </c>
      <c r="D377" s="39" t="s">
        <v>17</v>
      </c>
      <c r="E377" s="40" t="s">
        <v>284</v>
      </c>
      <c r="F377" s="39" t="s">
        <v>288</v>
      </c>
      <c r="G377" s="41" t="s">
        <v>151</v>
      </c>
      <c r="H377" s="48"/>
    </row>
    <row r="378" spans="1:8" ht="16.2" x14ac:dyDescent="0.4">
      <c r="A378" s="15" t="str">
        <f t="shared" si="5"/>
        <v>modesg_out_empr_info_nfinorigem_flg_rsc_fsc_agd</v>
      </c>
      <c r="B378" s="46" t="s">
        <v>10</v>
      </c>
      <c r="C378" s="43" t="s">
        <v>274</v>
      </c>
      <c r="D378" s="39" t="s">
        <v>17</v>
      </c>
      <c r="E378" s="40" t="s">
        <v>284</v>
      </c>
      <c r="F378" s="39" t="s">
        <v>276</v>
      </c>
      <c r="G378" s="41" t="s">
        <v>151</v>
      </c>
      <c r="H378" s="48"/>
    </row>
    <row r="379" spans="1:8" ht="16.2" x14ac:dyDescent="0.4">
      <c r="A379" s="15" t="str">
        <f t="shared" si="5"/>
        <v>modesg_out_empr_info_nfinorigem_flg_rsc_fsc_crnc</v>
      </c>
      <c r="B379" s="46" t="s">
        <v>10</v>
      </c>
      <c r="C379" s="43" t="s">
        <v>274</v>
      </c>
      <c r="D379" s="39" t="s">
        <v>17</v>
      </c>
      <c r="E379" s="40" t="s">
        <v>284</v>
      </c>
      <c r="F379" s="39" t="s">
        <v>277</v>
      </c>
      <c r="G379" s="41" t="s">
        <v>151</v>
      </c>
      <c r="H379" s="48"/>
    </row>
    <row r="380" spans="1:8" ht="16.2" x14ac:dyDescent="0.4">
      <c r="A380" s="15" t="str">
        <f t="shared" si="5"/>
        <v>modesg_out_empr_info_nfinorigem_scp1_emss</v>
      </c>
      <c r="B380" s="46" t="s">
        <v>10</v>
      </c>
      <c r="C380" s="43" t="s">
        <v>274</v>
      </c>
      <c r="D380" s="39" t="s">
        <v>17</v>
      </c>
      <c r="E380" s="40" t="s">
        <v>284</v>
      </c>
      <c r="F380" s="39" t="s">
        <v>278</v>
      </c>
      <c r="G380" s="41" t="s">
        <v>151</v>
      </c>
      <c r="H380" s="48"/>
    </row>
    <row r="381" spans="1:8" ht="16.2" x14ac:dyDescent="0.4">
      <c r="A381" s="15" t="str">
        <f t="shared" si="5"/>
        <v>modesg_out_empr_info_nfinorigem_scp2_emss</v>
      </c>
      <c r="B381" s="46" t="s">
        <v>10</v>
      </c>
      <c r="C381" s="43" t="s">
        <v>274</v>
      </c>
      <c r="D381" s="39" t="s">
        <v>17</v>
      </c>
      <c r="E381" s="40" t="s">
        <v>284</v>
      </c>
      <c r="F381" s="39" t="s">
        <v>279</v>
      </c>
      <c r="G381" s="41" t="s">
        <v>151</v>
      </c>
      <c r="H381" s="48"/>
    </row>
    <row r="382" spans="1:8" ht="16.2" x14ac:dyDescent="0.4">
      <c r="A382" s="15" t="str">
        <f t="shared" si="5"/>
        <v>modesg_out_empr_info_nfinorigem_scp3_emss</v>
      </c>
      <c r="B382" s="46" t="s">
        <v>10</v>
      </c>
      <c r="C382" s="43" t="s">
        <v>274</v>
      </c>
      <c r="D382" s="39" t="s">
        <v>17</v>
      </c>
      <c r="E382" s="40" t="s">
        <v>284</v>
      </c>
      <c r="F382" s="39" t="s">
        <v>280</v>
      </c>
      <c r="G382" s="41" t="s">
        <v>151</v>
      </c>
      <c r="H382" s="48"/>
    </row>
    <row r="383" spans="1:8" ht="16.2" x14ac:dyDescent="0.4">
      <c r="A383" s="15" t="str">
        <f t="shared" si="5"/>
        <v>modesg_out_empr_info_nfinref_date</v>
      </c>
      <c r="B383" s="46" t="s">
        <v>10</v>
      </c>
      <c r="C383" s="43" t="s">
        <v>274</v>
      </c>
      <c r="D383" s="39" t="s">
        <v>17</v>
      </c>
      <c r="E383" s="40" t="s">
        <v>284</v>
      </c>
      <c r="F383" s="39" t="s">
        <v>49</v>
      </c>
      <c r="G383" s="41" t="s">
        <v>431</v>
      </c>
      <c r="H383" s="57"/>
    </row>
    <row r="384" spans="1:8" ht="16.2" x14ac:dyDescent="0.4">
      <c r="A384" s="15" t="str">
        <f t="shared" si="5"/>
        <v>modesg_out_empr_info_nfinscp1_emss</v>
      </c>
      <c r="B384" s="46" t="s">
        <v>10</v>
      </c>
      <c r="C384" s="43" t="s">
        <v>274</v>
      </c>
      <c r="D384" s="39" t="s">
        <v>17</v>
      </c>
      <c r="E384" s="40" t="s">
        <v>284</v>
      </c>
      <c r="F384" s="39" t="s">
        <v>250</v>
      </c>
      <c r="G384" s="41" t="s">
        <v>151</v>
      </c>
      <c r="H384" s="48"/>
    </row>
    <row r="385" spans="1:8" ht="16.2" x14ac:dyDescent="0.4">
      <c r="A385" s="15" t="str">
        <f t="shared" si="5"/>
        <v>modesg_out_empr_info_nfinscp2_emss</v>
      </c>
      <c r="B385" s="46" t="s">
        <v>10</v>
      </c>
      <c r="C385" s="43" t="s">
        <v>274</v>
      </c>
      <c r="D385" s="39" t="s">
        <v>17</v>
      </c>
      <c r="E385" s="40" t="s">
        <v>284</v>
      </c>
      <c r="F385" s="39" t="s">
        <v>251</v>
      </c>
      <c r="G385" s="41" t="s">
        <v>151</v>
      </c>
      <c r="H385" s="48"/>
    </row>
    <row r="386" spans="1:8" ht="16.2" x14ac:dyDescent="0.4">
      <c r="A386" s="15" t="str">
        <f t="shared" si="5"/>
        <v>modesg_out_empr_info_nfinscp3_emss</v>
      </c>
      <c r="B386" s="46" t="s">
        <v>10</v>
      </c>
      <c r="C386" s="43" t="s">
        <v>274</v>
      </c>
      <c r="D386" s="39" t="s">
        <v>17</v>
      </c>
      <c r="E386" s="40" t="s">
        <v>284</v>
      </c>
      <c r="F386" s="39" t="s">
        <v>252</v>
      </c>
      <c r="G386" s="41" t="s">
        <v>151</v>
      </c>
      <c r="H386" s="48"/>
    </row>
    <row r="387" spans="1:8" ht="16.2" x14ac:dyDescent="0.4">
      <c r="A387" s="15" t="str">
        <f t="shared" si="5"/>
        <v>modesg_out_empr_info_nfinzcliente</v>
      </c>
      <c r="B387" s="46" t="s">
        <v>10</v>
      </c>
      <c r="C387" s="43" t="s">
        <v>274</v>
      </c>
      <c r="D387" s="39" t="s">
        <v>17</v>
      </c>
      <c r="E387" s="40" t="s">
        <v>284</v>
      </c>
      <c r="F387" s="39" t="s">
        <v>177</v>
      </c>
      <c r="G387" s="41" t="s">
        <v>431</v>
      </c>
      <c r="H387" s="57"/>
    </row>
    <row r="388" spans="1:8" ht="16.2" x14ac:dyDescent="0.4">
      <c r="A388" s="15" t="str">
        <f t="shared" si="5"/>
        <v>modesg_out_emss_vclsn.a.</v>
      </c>
      <c r="B388" s="46" t="s">
        <v>10</v>
      </c>
      <c r="C388" s="43" t="s">
        <v>274</v>
      </c>
      <c r="D388" s="39" t="s">
        <v>14</v>
      </c>
      <c r="E388" s="40" t="s">
        <v>289</v>
      </c>
      <c r="F388" s="39" t="s">
        <v>16</v>
      </c>
      <c r="G388" s="41" t="s">
        <v>433</v>
      </c>
      <c r="H388" s="48" t="s">
        <v>449</v>
      </c>
    </row>
    <row r="389" spans="1:8" ht="16.2" x14ac:dyDescent="0.4">
      <c r="A389" s="15" t="str">
        <f t="shared" si="5"/>
        <v>modesg_out_emss_vclscempbem</v>
      </c>
      <c r="B389" s="46" t="s">
        <v>10</v>
      </c>
      <c r="C389" s="43" t="s">
        <v>274</v>
      </c>
      <c r="D389" s="39" t="s">
        <v>17</v>
      </c>
      <c r="E389" s="40" t="s">
        <v>289</v>
      </c>
      <c r="F389" s="39" t="s">
        <v>18</v>
      </c>
      <c r="G389" s="41" t="s">
        <v>431</v>
      </c>
      <c r="H389" s="57" t="s">
        <v>449</v>
      </c>
    </row>
    <row r="390" spans="1:8" ht="16.2" x14ac:dyDescent="0.4">
      <c r="A390" s="15" t="str">
        <f t="shared" si="5"/>
        <v>modesg_out_emss_vclsckbalbem</v>
      </c>
      <c r="B390" s="46" t="s">
        <v>10</v>
      </c>
      <c r="C390" s="43" t="s">
        <v>274</v>
      </c>
      <c r="D390" s="39" t="s">
        <v>17</v>
      </c>
      <c r="E390" s="40" t="s">
        <v>289</v>
      </c>
      <c r="F390" s="39" t="s">
        <v>20</v>
      </c>
      <c r="G390" s="41" t="s">
        <v>431</v>
      </c>
      <c r="H390" s="57" t="s">
        <v>449</v>
      </c>
    </row>
    <row r="391" spans="1:8" ht="16.2" x14ac:dyDescent="0.4">
      <c r="A391" s="15" t="str">
        <f t="shared" si="5"/>
        <v>modesg_out_emss_vclsckctabem</v>
      </c>
      <c r="B391" s="46" t="s">
        <v>10</v>
      </c>
      <c r="C391" s="43" t="s">
        <v>274</v>
      </c>
      <c r="D391" s="39" t="s">
        <v>17</v>
      </c>
      <c r="E391" s="40" t="s">
        <v>289</v>
      </c>
      <c r="F391" s="39" t="s">
        <v>21</v>
      </c>
      <c r="G391" s="41" t="s">
        <v>431</v>
      </c>
      <c r="H391" s="57" t="s">
        <v>449</v>
      </c>
    </row>
    <row r="392" spans="1:8" ht="16.2" x14ac:dyDescent="0.4">
      <c r="A392" s="15" t="str">
        <f t="shared" ref="A392:A455" si="6">E392&amp;F392</f>
        <v>modesg_out_emss_vclsckrefbem</v>
      </c>
      <c r="B392" s="46" t="s">
        <v>10</v>
      </c>
      <c r="C392" s="43" t="s">
        <v>274</v>
      </c>
      <c r="D392" s="39" t="s">
        <v>17</v>
      </c>
      <c r="E392" s="40" t="s">
        <v>289</v>
      </c>
      <c r="F392" s="39" t="s">
        <v>22</v>
      </c>
      <c r="G392" s="41" t="s">
        <v>431</v>
      </c>
      <c r="H392" s="57" t="s">
        <v>449</v>
      </c>
    </row>
    <row r="393" spans="1:8" ht="16.2" x14ac:dyDescent="0.4">
      <c r="A393" s="15" t="str">
        <f t="shared" si="6"/>
        <v>modesg_out_emss_vclscnsm_co2</v>
      </c>
      <c r="B393" s="46" t="s">
        <v>10</v>
      </c>
      <c r="C393" s="43" t="s">
        <v>274</v>
      </c>
      <c r="D393" s="39" t="s">
        <v>17</v>
      </c>
      <c r="E393" s="40" t="s">
        <v>289</v>
      </c>
      <c r="F393" s="39" t="s">
        <v>158</v>
      </c>
      <c r="G393" s="41" t="s">
        <v>432</v>
      </c>
      <c r="H393" s="48" t="s">
        <v>449</v>
      </c>
    </row>
    <row r="394" spans="1:8" ht="16.2" x14ac:dyDescent="0.4">
      <c r="A394" s="15" t="str">
        <f t="shared" si="6"/>
        <v>modesg_out_emss_vclsorigem_scp1_emss</v>
      </c>
      <c r="B394" s="46" t="s">
        <v>10</v>
      </c>
      <c r="C394" s="43" t="s">
        <v>274</v>
      </c>
      <c r="D394" s="39" t="s">
        <v>17</v>
      </c>
      <c r="E394" s="40" t="s">
        <v>289</v>
      </c>
      <c r="F394" s="39" t="s">
        <v>278</v>
      </c>
      <c r="G394" s="41" t="s">
        <v>432</v>
      </c>
      <c r="H394" s="48" t="s">
        <v>449</v>
      </c>
    </row>
    <row r="395" spans="1:8" ht="16.2" x14ac:dyDescent="0.4">
      <c r="A395" s="15" t="str">
        <f t="shared" si="6"/>
        <v>modesg_out_emss_vclsorigem_scp2_emss</v>
      </c>
      <c r="B395" s="46" t="s">
        <v>10</v>
      </c>
      <c r="C395" s="43" t="s">
        <v>274</v>
      </c>
      <c r="D395" s="39" t="s">
        <v>17</v>
      </c>
      <c r="E395" s="40" t="s">
        <v>289</v>
      </c>
      <c r="F395" s="39" t="s">
        <v>279</v>
      </c>
      <c r="G395" s="41" t="s">
        <v>432</v>
      </c>
      <c r="H395" s="48" t="s">
        <v>449</v>
      </c>
    </row>
    <row r="396" spans="1:8" ht="16.2" x14ac:dyDescent="0.4">
      <c r="A396" s="15" t="str">
        <f t="shared" si="6"/>
        <v>modesg_out_emss_vclsorigem_scp3_emss</v>
      </c>
      <c r="B396" s="46" t="s">
        <v>10</v>
      </c>
      <c r="C396" s="43" t="s">
        <v>274</v>
      </c>
      <c r="D396" s="39" t="s">
        <v>17</v>
      </c>
      <c r="E396" s="40" t="s">
        <v>289</v>
      </c>
      <c r="F396" s="39" t="s">
        <v>280</v>
      </c>
      <c r="G396" s="41" t="s">
        <v>432</v>
      </c>
      <c r="H396" s="48" t="s">
        <v>449</v>
      </c>
    </row>
    <row r="397" spans="1:8" ht="16.2" x14ac:dyDescent="0.4">
      <c r="A397" s="15" t="str">
        <f t="shared" si="6"/>
        <v>modesg_out_emss_vclsref_date</v>
      </c>
      <c r="B397" s="46" t="s">
        <v>10</v>
      </c>
      <c r="C397" s="43" t="s">
        <v>274</v>
      </c>
      <c r="D397" s="39" t="s">
        <v>17</v>
      </c>
      <c r="E397" s="40" t="s">
        <v>289</v>
      </c>
      <c r="F397" s="39" t="s">
        <v>49</v>
      </c>
      <c r="G397" s="41" t="s">
        <v>431</v>
      </c>
      <c r="H397" s="57" t="s">
        <v>449</v>
      </c>
    </row>
    <row r="398" spans="1:8" ht="16.2" x14ac:dyDescent="0.4">
      <c r="A398" s="15" t="str">
        <f t="shared" si="6"/>
        <v>modesg_out_emss_vclsscp1_emss</v>
      </c>
      <c r="B398" s="46" t="s">
        <v>10</v>
      </c>
      <c r="C398" s="43" t="s">
        <v>274</v>
      </c>
      <c r="D398" s="39" t="s">
        <v>17</v>
      </c>
      <c r="E398" s="40" t="s">
        <v>289</v>
      </c>
      <c r="F398" s="39" t="s">
        <v>250</v>
      </c>
      <c r="G398" s="41" t="s">
        <v>432</v>
      </c>
      <c r="H398" s="48" t="s">
        <v>449</v>
      </c>
    </row>
    <row r="399" spans="1:8" ht="16.2" x14ac:dyDescent="0.4">
      <c r="A399" s="15" t="str">
        <f t="shared" si="6"/>
        <v>modesg_out_emss_vclsscp2_emss</v>
      </c>
      <c r="B399" s="46" t="s">
        <v>10</v>
      </c>
      <c r="C399" s="43" t="s">
        <v>274</v>
      </c>
      <c r="D399" s="39" t="s">
        <v>17</v>
      </c>
      <c r="E399" s="40" t="s">
        <v>289</v>
      </c>
      <c r="F399" s="39" t="s">
        <v>251</v>
      </c>
      <c r="G399" s="41" t="s">
        <v>432</v>
      </c>
      <c r="H399" s="48" t="s">
        <v>449</v>
      </c>
    </row>
    <row r="400" spans="1:8" ht="16.2" x14ac:dyDescent="0.4">
      <c r="A400" s="15" t="str">
        <f t="shared" si="6"/>
        <v>modesg_out_emss_vclsscp3_emss</v>
      </c>
      <c r="B400" s="46" t="s">
        <v>10</v>
      </c>
      <c r="C400" s="43" t="s">
        <v>274</v>
      </c>
      <c r="D400" s="39" t="s">
        <v>17</v>
      </c>
      <c r="E400" s="40" t="s">
        <v>289</v>
      </c>
      <c r="F400" s="39" t="s">
        <v>252</v>
      </c>
      <c r="G400" s="41" t="s">
        <v>432</v>
      </c>
      <c r="H400" s="48" t="s">
        <v>449</v>
      </c>
    </row>
    <row r="401" spans="1:8" ht="16.2" x14ac:dyDescent="0.4">
      <c r="A401" s="15" t="str">
        <f t="shared" si="6"/>
        <v>modesg_out_emss_vclsunidade_funcional_scp1_emss</v>
      </c>
      <c r="B401" s="46" t="s">
        <v>10</v>
      </c>
      <c r="C401" s="43" t="s">
        <v>274</v>
      </c>
      <c r="D401" s="39" t="s">
        <v>17</v>
      </c>
      <c r="E401" s="40" t="s">
        <v>289</v>
      </c>
      <c r="F401" s="39" t="s">
        <v>281</v>
      </c>
      <c r="G401" s="41" t="s">
        <v>431</v>
      </c>
      <c r="H401" s="57" t="s">
        <v>449</v>
      </c>
    </row>
    <row r="402" spans="1:8" ht="16.2" x14ac:dyDescent="0.4">
      <c r="A402" s="15" t="str">
        <f t="shared" si="6"/>
        <v>modesg_out_emss_vclsunidade_funcional_scp2_emss</v>
      </c>
      <c r="B402" s="46" t="s">
        <v>10</v>
      </c>
      <c r="C402" s="43" t="s">
        <v>274</v>
      </c>
      <c r="D402" s="39" t="s">
        <v>17</v>
      </c>
      <c r="E402" s="40" t="s">
        <v>289</v>
      </c>
      <c r="F402" s="39" t="s">
        <v>282</v>
      </c>
      <c r="G402" s="41" t="s">
        <v>431</v>
      </c>
      <c r="H402" s="57" t="s">
        <v>449</v>
      </c>
    </row>
    <row r="403" spans="1:8" ht="16.2" x14ac:dyDescent="0.4">
      <c r="A403" s="15" t="str">
        <f t="shared" si="6"/>
        <v>modesg_out_emss_vclsunidade_funcional_scp3_emss</v>
      </c>
      <c r="B403" s="46" t="s">
        <v>10</v>
      </c>
      <c r="C403" s="43" t="s">
        <v>274</v>
      </c>
      <c r="D403" s="39" t="s">
        <v>17</v>
      </c>
      <c r="E403" s="40" t="s">
        <v>289</v>
      </c>
      <c r="F403" s="39" t="s">
        <v>283</v>
      </c>
      <c r="G403" s="41" t="s">
        <v>431</v>
      </c>
      <c r="H403" s="57" t="s">
        <v>449</v>
      </c>
    </row>
    <row r="404" spans="1:8" ht="16.2" x14ac:dyDescent="0.4">
      <c r="A404" s="15" t="str">
        <f t="shared" si="6"/>
        <v>modesg_out_sfcs_taxon_europeian.a.</v>
      </c>
      <c r="B404" s="46" t="s">
        <v>10</v>
      </c>
      <c r="C404" s="43" t="s">
        <v>274</v>
      </c>
      <c r="D404" s="39" t="s">
        <v>14</v>
      </c>
      <c r="E404" s="40" t="s">
        <v>290</v>
      </c>
      <c r="F404" s="39" t="s">
        <v>16</v>
      </c>
      <c r="G404" s="41" t="s">
        <v>433</v>
      </c>
      <c r="H404" s="48" t="s">
        <v>450</v>
      </c>
    </row>
    <row r="405" spans="1:8" ht="16.2" x14ac:dyDescent="0.4">
      <c r="A405" s="15" t="str">
        <f t="shared" si="6"/>
        <v>modesg_out_sfcs_taxon_europeiacbalcao</v>
      </c>
      <c r="B405" s="46" t="s">
        <v>10</v>
      </c>
      <c r="C405" s="43" t="s">
        <v>274</v>
      </c>
      <c r="D405" s="39" t="s">
        <v>17</v>
      </c>
      <c r="E405" s="40" t="s">
        <v>290</v>
      </c>
      <c r="F405" s="39" t="s">
        <v>154</v>
      </c>
      <c r="G405" s="41" t="s">
        <v>433</v>
      </c>
      <c r="H405" s="48" t="s">
        <v>450</v>
      </c>
    </row>
    <row r="406" spans="1:8" ht="16.2" x14ac:dyDescent="0.4">
      <c r="A406" s="15" t="str">
        <f t="shared" si="6"/>
        <v>modesg_out_sfcs_taxon_europeiacempresa</v>
      </c>
      <c r="B406" s="46" t="s">
        <v>10</v>
      </c>
      <c r="C406" s="43" t="s">
        <v>274</v>
      </c>
      <c r="D406" s="39" t="s">
        <v>17</v>
      </c>
      <c r="E406" s="40" t="s">
        <v>290</v>
      </c>
      <c r="F406" s="39" t="s">
        <v>33</v>
      </c>
      <c r="G406" s="41" t="s">
        <v>433</v>
      </c>
      <c r="H406" s="48" t="s">
        <v>450</v>
      </c>
    </row>
    <row r="407" spans="1:8" ht="16.2" x14ac:dyDescent="0.4">
      <c r="A407" s="15" t="str">
        <f t="shared" si="6"/>
        <v>modesg_out_sfcs_taxon_europeiacnumecta</v>
      </c>
      <c r="B407" s="46" t="s">
        <v>10</v>
      </c>
      <c r="C407" s="43" t="s">
        <v>274</v>
      </c>
      <c r="D407" s="39" t="s">
        <v>17</v>
      </c>
      <c r="E407" s="40" t="s">
        <v>290</v>
      </c>
      <c r="F407" s="39" t="s">
        <v>159</v>
      </c>
      <c r="G407" s="41" t="s">
        <v>433</v>
      </c>
      <c r="H407" s="48" t="s">
        <v>450</v>
      </c>
    </row>
    <row r="408" spans="1:8" ht="16.2" x14ac:dyDescent="0.4">
      <c r="A408" s="15" t="str">
        <f t="shared" si="6"/>
        <v>modesg_out_sfcs_taxon_europeiacod_regra</v>
      </c>
      <c r="B408" s="46" t="s">
        <v>10</v>
      </c>
      <c r="C408" s="43" t="s">
        <v>274</v>
      </c>
      <c r="D408" s="39" t="s">
        <v>17</v>
      </c>
      <c r="E408" s="40" t="s">
        <v>290</v>
      </c>
      <c r="F408" s="39" t="s">
        <v>161</v>
      </c>
      <c r="G408" s="41" t="s">
        <v>433</v>
      </c>
      <c r="H408" s="48" t="s">
        <v>450</v>
      </c>
    </row>
    <row r="409" spans="1:8" ht="16.2" x14ac:dyDescent="0.4">
      <c r="A409" s="15" t="str">
        <f t="shared" si="6"/>
        <v>modesg_out_sfcs_taxon_europeiaordem</v>
      </c>
      <c r="B409" s="46" t="s">
        <v>10</v>
      </c>
      <c r="C409" s="43" t="s">
        <v>274</v>
      </c>
      <c r="D409" s="39" t="s">
        <v>17</v>
      </c>
      <c r="E409" s="40" t="s">
        <v>290</v>
      </c>
      <c r="F409" s="39" t="s">
        <v>291</v>
      </c>
      <c r="G409" s="41" t="s">
        <v>11</v>
      </c>
      <c r="H409" s="49" t="s">
        <v>445</v>
      </c>
    </row>
    <row r="410" spans="1:8" ht="16.2" x14ac:dyDescent="0.4">
      <c r="A410" s="15" t="str">
        <f t="shared" si="6"/>
        <v>modesg_out_sfcs_taxon_europeiamontante_pndrc</v>
      </c>
      <c r="B410" s="46" t="s">
        <v>10</v>
      </c>
      <c r="C410" s="43" t="s">
        <v>274</v>
      </c>
      <c r="D410" s="39" t="s">
        <v>17</v>
      </c>
      <c r="E410" s="40" t="s">
        <v>290</v>
      </c>
      <c r="F410" s="39" t="s">
        <v>171</v>
      </c>
      <c r="G410" s="41" t="s">
        <v>433</v>
      </c>
      <c r="H410" s="48" t="s">
        <v>450</v>
      </c>
    </row>
    <row r="411" spans="1:8" ht="16.2" x14ac:dyDescent="0.4">
      <c r="A411" s="15" t="str">
        <f t="shared" si="6"/>
        <v>modesg_out_sfcs_taxon_europeianome_ctgr_sfcs</v>
      </c>
      <c r="B411" s="46" t="s">
        <v>10</v>
      </c>
      <c r="C411" s="43" t="s">
        <v>274</v>
      </c>
      <c r="D411" s="39" t="s">
        <v>17</v>
      </c>
      <c r="E411" s="40" t="s">
        <v>290</v>
      </c>
      <c r="F411" s="39" t="s">
        <v>172</v>
      </c>
      <c r="G411" s="41" t="s">
        <v>433</v>
      </c>
      <c r="H411" s="48" t="s">
        <v>450</v>
      </c>
    </row>
    <row r="412" spans="1:8" ht="16.2" x14ac:dyDescent="0.4">
      <c r="A412" s="15" t="str">
        <f t="shared" si="6"/>
        <v>modesg_out_sfcs_taxon_europeianome_general_specific_purpose</v>
      </c>
      <c r="B412" s="46" t="s">
        <v>10</v>
      </c>
      <c r="C412" s="43" t="s">
        <v>274</v>
      </c>
      <c r="D412" s="39" t="s">
        <v>17</v>
      </c>
      <c r="E412" s="40" t="s">
        <v>290</v>
      </c>
      <c r="F412" s="39" t="s">
        <v>173</v>
      </c>
      <c r="G412" s="41" t="s">
        <v>433</v>
      </c>
      <c r="H412" s="48" t="s">
        <v>450</v>
      </c>
    </row>
    <row r="413" spans="1:8" ht="16.2" x14ac:dyDescent="0.4">
      <c r="A413" s="15" t="str">
        <f t="shared" si="6"/>
        <v>modesg_out_sfcs_taxon_europeianome_purpose_esg</v>
      </c>
      <c r="B413" s="46" t="s">
        <v>10</v>
      </c>
      <c r="C413" s="43" t="s">
        <v>274</v>
      </c>
      <c r="D413" s="39" t="s">
        <v>17</v>
      </c>
      <c r="E413" s="40" t="s">
        <v>290</v>
      </c>
      <c r="F413" s="39" t="s">
        <v>174</v>
      </c>
      <c r="G413" s="41" t="s">
        <v>433</v>
      </c>
      <c r="H413" s="48" t="s">
        <v>450</v>
      </c>
    </row>
    <row r="414" spans="1:8" ht="16.2" x14ac:dyDescent="0.4">
      <c r="A414" s="15" t="str">
        <f t="shared" si="6"/>
        <v>modesg_out_sfcs_taxon_europeianome_specific_eligible</v>
      </c>
      <c r="B414" s="46" t="s">
        <v>10</v>
      </c>
      <c r="C414" s="43" t="s">
        <v>274</v>
      </c>
      <c r="D414" s="39" t="s">
        <v>17</v>
      </c>
      <c r="E414" s="40" t="s">
        <v>290</v>
      </c>
      <c r="F414" s="39" t="s">
        <v>175</v>
      </c>
      <c r="G414" s="41" t="s">
        <v>433</v>
      </c>
      <c r="H414" s="48" t="s">
        <v>450</v>
      </c>
    </row>
    <row r="415" spans="1:8" ht="16.2" x14ac:dyDescent="0.4">
      <c r="A415" s="15" t="str">
        <f t="shared" si="6"/>
        <v>modesg_out_sfcs_taxon_europeianome_specific_sustainable</v>
      </c>
      <c r="B415" s="46" t="s">
        <v>10</v>
      </c>
      <c r="C415" s="43" t="s">
        <v>274</v>
      </c>
      <c r="D415" s="39" t="s">
        <v>17</v>
      </c>
      <c r="E415" s="40" t="s">
        <v>290</v>
      </c>
      <c r="F415" s="39" t="s">
        <v>176</v>
      </c>
      <c r="G415" s="41" t="s">
        <v>433</v>
      </c>
      <c r="H415" s="48" t="s">
        <v>450</v>
      </c>
    </row>
    <row r="416" spans="1:8" ht="16.2" x14ac:dyDescent="0.4">
      <c r="A416" s="15" t="str">
        <f t="shared" si="6"/>
        <v>modesg_out_sfcs_taxon_europeiaorigem</v>
      </c>
      <c r="B416" s="46" t="s">
        <v>10</v>
      </c>
      <c r="C416" s="43" t="s">
        <v>274</v>
      </c>
      <c r="D416" s="39" t="s">
        <v>17</v>
      </c>
      <c r="E416" s="40" t="s">
        <v>290</v>
      </c>
      <c r="F416" s="39" t="s">
        <v>48</v>
      </c>
      <c r="G416" s="41" t="s">
        <v>431</v>
      </c>
      <c r="H416" s="57"/>
    </row>
    <row r="417" spans="1:8" ht="16.2" x14ac:dyDescent="0.4">
      <c r="A417" s="15" t="str">
        <f t="shared" si="6"/>
        <v>modesg_out_sfcs_taxon_europeiaref_date</v>
      </c>
      <c r="B417" s="46" t="s">
        <v>10</v>
      </c>
      <c r="C417" s="43" t="s">
        <v>274</v>
      </c>
      <c r="D417" s="39" t="s">
        <v>17</v>
      </c>
      <c r="E417" s="40" t="s">
        <v>290</v>
      </c>
      <c r="F417" s="39" t="s">
        <v>49</v>
      </c>
      <c r="G417" s="41" t="s">
        <v>433</v>
      </c>
      <c r="H417" s="48" t="s">
        <v>450</v>
      </c>
    </row>
    <row r="418" spans="1:8" ht="16.2" x14ac:dyDescent="0.4">
      <c r="A418" s="15" t="str">
        <f t="shared" si="6"/>
        <v>modesg_out_sfcs_taxon_europeiazdeposit</v>
      </c>
      <c r="B418" s="46" t="s">
        <v>10</v>
      </c>
      <c r="C418" s="43" t="s">
        <v>274</v>
      </c>
      <c r="D418" s="39" t="s">
        <v>17</v>
      </c>
      <c r="E418" s="40" t="s">
        <v>290</v>
      </c>
      <c r="F418" s="39" t="s">
        <v>178</v>
      </c>
      <c r="G418" s="41" t="s">
        <v>433</v>
      </c>
      <c r="H418" s="48" t="s">
        <v>450</v>
      </c>
    </row>
    <row r="419" spans="1:8" ht="16.2" x14ac:dyDescent="0.4">
      <c r="A419" s="15" t="str">
        <f t="shared" si="6"/>
        <v>lt003_entitynace_esg</v>
      </c>
      <c r="B419" s="46" t="s">
        <v>10</v>
      </c>
      <c r="C419" s="43" t="s">
        <v>10</v>
      </c>
      <c r="D419" s="39" t="s">
        <v>17</v>
      </c>
      <c r="E419" s="42" t="s">
        <v>292</v>
      </c>
      <c r="F419" s="42" t="s">
        <v>293</v>
      </c>
      <c r="G419" s="41" t="s">
        <v>11</v>
      </c>
      <c r="H419" s="48"/>
    </row>
    <row r="420" spans="1:8" ht="16.2" x14ac:dyDescent="0.4">
      <c r="A420" s="15" t="str">
        <f t="shared" si="6"/>
        <v>lt003_entitytxnmy_elgbl_capex_ccm</v>
      </c>
      <c r="B420" s="46" t="s">
        <v>10</v>
      </c>
      <c r="C420" s="43" t="s">
        <v>10</v>
      </c>
      <c r="D420" s="39" t="s">
        <v>17</v>
      </c>
      <c r="E420" s="42" t="s">
        <v>292</v>
      </c>
      <c r="F420" s="42" t="s">
        <v>294</v>
      </c>
      <c r="G420" s="41" t="s">
        <v>11</v>
      </c>
      <c r="H420" s="48"/>
    </row>
    <row r="421" spans="1:8" ht="16.2" x14ac:dyDescent="0.4">
      <c r="A421" s="15" t="str">
        <f t="shared" si="6"/>
        <v>lt003_entitytxnmy_elgbl_trnvr_ccm</v>
      </c>
      <c r="B421" s="46" t="s">
        <v>10</v>
      </c>
      <c r="C421" s="43" t="s">
        <v>10</v>
      </c>
      <c r="D421" s="39" t="s">
        <v>17</v>
      </c>
      <c r="E421" s="42" t="s">
        <v>292</v>
      </c>
      <c r="F421" s="42" t="s">
        <v>295</v>
      </c>
      <c r="G421" s="41" t="s">
        <v>11</v>
      </c>
      <c r="H421" s="48"/>
    </row>
    <row r="422" spans="1:8" ht="16.2" x14ac:dyDescent="0.4">
      <c r="A422" s="15" t="str">
        <f t="shared" si="6"/>
        <v>lt003_entitytxnmy_elgbl_capex_cca</v>
      </c>
      <c r="B422" s="46" t="s">
        <v>10</v>
      </c>
      <c r="C422" s="43" t="s">
        <v>10</v>
      </c>
      <c r="D422" s="39" t="s">
        <v>17</v>
      </c>
      <c r="E422" s="42" t="s">
        <v>292</v>
      </c>
      <c r="F422" s="42" t="s">
        <v>296</v>
      </c>
      <c r="G422" s="41" t="s">
        <v>11</v>
      </c>
      <c r="H422" s="48"/>
    </row>
    <row r="423" spans="1:8" ht="16.2" x14ac:dyDescent="0.4">
      <c r="A423" s="15" t="str">
        <f t="shared" si="6"/>
        <v>lt003_entitytxnmy_elgbl_trnvr_cca</v>
      </c>
      <c r="B423" s="46" t="s">
        <v>10</v>
      </c>
      <c r="C423" s="43" t="s">
        <v>10</v>
      </c>
      <c r="D423" s="39" t="s">
        <v>17</v>
      </c>
      <c r="E423" s="42" t="s">
        <v>292</v>
      </c>
      <c r="F423" s="42" t="s">
        <v>297</v>
      </c>
      <c r="G423" s="41" t="s">
        <v>11</v>
      </c>
      <c r="H423" s="48"/>
    </row>
    <row r="424" spans="1:8" ht="16.2" x14ac:dyDescent="0.4">
      <c r="A424" s="15" t="str">
        <f t="shared" si="6"/>
        <v>lt003_entityenblng_capex_ccm</v>
      </c>
      <c r="B424" s="46" t="s">
        <v>10</v>
      </c>
      <c r="C424" s="43" t="s">
        <v>10</v>
      </c>
      <c r="D424" s="39" t="s">
        <v>17</v>
      </c>
      <c r="E424" s="42" t="s">
        <v>292</v>
      </c>
      <c r="F424" s="42" t="s">
        <v>298</v>
      </c>
      <c r="G424" s="41" t="s">
        <v>11</v>
      </c>
      <c r="H424" s="48"/>
    </row>
    <row r="425" spans="1:8" ht="16.2" x14ac:dyDescent="0.4">
      <c r="A425" s="15" t="str">
        <f t="shared" si="6"/>
        <v>lt003_entityenblng_capex_cca</v>
      </c>
      <c r="B425" s="46" t="s">
        <v>10</v>
      </c>
      <c r="C425" s="43" t="s">
        <v>10</v>
      </c>
      <c r="D425" s="39" t="s">
        <v>17</v>
      </c>
      <c r="E425" s="42" t="s">
        <v>292</v>
      </c>
      <c r="F425" s="42" t="s">
        <v>299</v>
      </c>
      <c r="G425" s="41" t="s">
        <v>11</v>
      </c>
      <c r="H425" s="48"/>
    </row>
    <row r="426" spans="1:8" ht="16.2" x14ac:dyDescent="0.4">
      <c r="A426" s="15" t="str">
        <f t="shared" si="6"/>
        <v>lt003_entitytrnstnl_capex</v>
      </c>
      <c r="B426" s="46" t="s">
        <v>10</v>
      </c>
      <c r="C426" s="43" t="s">
        <v>10</v>
      </c>
      <c r="D426" s="39" t="s">
        <v>17</v>
      </c>
      <c r="E426" s="42" t="s">
        <v>292</v>
      </c>
      <c r="F426" s="42" t="s">
        <v>300</v>
      </c>
      <c r="G426" s="41" t="s">
        <v>11</v>
      </c>
      <c r="H426" s="48"/>
    </row>
    <row r="427" spans="1:8" ht="16.2" x14ac:dyDescent="0.4">
      <c r="A427" s="15" t="str">
        <f t="shared" si="6"/>
        <v>lt003_entitypure_capex_ccm</v>
      </c>
      <c r="B427" s="46" t="s">
        <v>10</v>
      </c>
      <c r="C427" s="43" t="s">
        <v>10</v>
      </c>
      <c r="D427" s="39" t="s">
        <v>17</v>
      </c>
      <c r="E427" s="42" t="s">
        <v>292</v>
      </c>
      <c r="F427" s="42" t="s">
        <v>301</v>
      </c>
      <c r="G427" s="41" t="s">
        <v>11</v>
      </c>
      <c r="H427" s="48"/>
    </row>
    <row r="428" spans="1:8" ht="16.2" x14ac:dyDescent="0.4">
      <c r="A428" s="15" t="str">
        <f t="shared" si="6"/>
        <v>lt003_entitypure_capex_cca</v>
      </c>
      <c r="B428" s="46" t="s">
        <v>10</v>
      </c>
      <c r="C428" s="43" t="s">
        <v>10</v>
      </c>
      <c r="D428" s="39" t="s">
        <v>17</v>
      </c>
      <c r="E428" s="42" t="s">
        <v>292</v>
      </c>
      <c r="F428" s="42" t="s">
        <v>302</v>
      </c>
      <c r="G428" s="41" t="s">
        <v>11</v>
      </c>
      <c r="H428" s="48"/>
    </row>
    <row r="429" spans="1:8" ht="16.2" x14ac:dyDescent="0.4">
      <c r="A429" s="15" t="str">
        <f t="shared" si="6"/>
        <v>lt003_entityenblng_trnvr_ccm</v>
      </c>
      <c r="B429" s="46" t="s">
        <v>10</v>
      </c>
      <c r="C429" s="43" t="s">
        <v>10</v>
      </c>
      <c r="D429" s="39" t="s">
        <v>17</v>
      </c>
      <c r="E429" s="42" t="s">
        <v>292</v>
      </c>
      <c r="F429" s="42" t="s">
        <v>303</v>
      </c>
      <c r="G429" s="41" t="s">
        <v>11</v>
      </c>
      <c r="H429" s="48"/>
    </row>
    <row r="430" spans="1:8" ht="16.2" x14ac:dyDescent="0.4">
      <c r="A430" s="15" t="str">
        <f t="shared" si="6"/>
        <v>lt003_entityenblng_trnvr_cca</v>
      </c>
      <c r="B430" s="46" t="s">
        <v>10</v>
      </c>
      <c r="C430" s="43" t="s">
        <v>10</v>
      </c>
      <c r="D430" s="39" t="s">
        <v>17</v>
      </c>
      <c r="E430" s="42" t="s">
        <v>292</v>
      </c>
      <c r="F430" s="42" t="s">
        <v>304</v>
      </c>
      <c r="G430" s="41" t="s">
        <v>11</v>
      </c>
      <c r="H430" s="48"/>
    </row>
    <row r="431" spans="1:8" ht="16.2" x14ac:dyDescent="0.4">
      <c r="A431" s="15" t="str">
        <f t="shared" si="6"/>
        <v>lt003_entitytrnstnl_trnvr</v>
      </c>
      <c r="B431" s="46" t="s">
        <v>10</v>
      </c>
      <c r="C431" s="43" t="s">
        <v>10</v>
      </c>
      <c r="D431" s="39" t="s">
        <v>17</v>
      </c>
      <c r="E431" s="42" t="s">
        <v>292</v>
      </c>
      <c r="F431" s="42" t="s">
        <v>305</v>
      </c>
      <c r="G431" s="41" t="s">
        <v>11</v>
      </c>
      <c r="H431" s="48"/>
    </row>
    <row r="432" spans="1:8" ht="16.2" x14ac:dyDescent="0.4">
      <c r="A432" s="15" t="str">
        <f t="shared" si="6"/>
        <v>lt003_entitypure_trnvr_ccm</v>
      </c>
      <c r="B432" s="46" t="s">
        <v>10</v>
      </c>
      <c r="C432" s="43" t="s">
        <v>10</v>
      </c>
      <c r="D432" s="39" t="s">
        <v>17</v>
      </c>
      <c r="E432" s="42" t="s">
        <v>292</v>
      </c>
      <c r="F432" s="42" t="s">
        <v>306</v>
      </c>
      <c r="G432" s="41" t="s">
        <v>11</v>
      </c>
      <c r="H432" s="48"/>
    </row>
    <row r="433" spans="1:8" ht="16.2" x14ac:dyDescent="0.4">
      <c r="A433" s="15" t="str">
        <f t="shared" si="6"/>
        <v>lt003_entitypure_trnvr_cca</v>
      </c>
      <c r="B433" s="46" t="s">
        <v>10</v>
      </c>
      <c r="C433" s="43" t="s">
        <v>10</v>
      </c>
      <c r="D433" s="39" t="s">
        <v>17</v>
      </c>
      <c r="E433" s="42" t="s">
        <v>292</v>
      </c>
      <c r="F433" s="42" t="s">
        <v>307</v>
      </c>
      <c r="G433" s="41" t="s">
        <v>11</v>
      </c>
      <c r="H433" s="48"/>
    </row>
    <row r="434" spans="1:8" ht="16.2" x14ac:dyDescent="0.4">
      <c r="A434" s="15" t="str">
        <f t="shared" si="6"/>
        <v>lt003_entityflg_nfrd_applcblty</v>
      </c>
      <c r="B434" s="46" t="s">
        <v>10</v>
      </c>
      <c r="C434" s="43" t="s">
        <v>10</v>
      </c>
      <c r="D434" s="39" t="s">
        <v>17</v>
      </c>
      <c r="E434" s="42" t="s">
        <v>292</v>
      </c>
      <c r="F434" s="42" t="s">
        <v>308</v>
      </c>
      <c r="G434" s="41" t="s">
        <v>11</v>
      </c>
      <c r="H434" s="48"/>
    </row>
    <row r="435" spans="1:8" ht="16.2" x14ac:dyDescent="0.4">
      <c r="A435" s="15" t="str">
        <f t="shared" si="6"/>
        <v>lt003_entitycntrprty_emssns_scp1</v>
      </c>
      <c r="B435" s="46" t="s">
        <v>10</v>
      </c>
      <c r="C435" s="43" t="s">
        <v>10</v>
      </c>
      <c r="D435" s="39" t="s">
        <v>17</v>
      </c>
      <c r="E435" s="42" t="s">
        <v>292</v>
      </c>
      <c r="F435" s="42" t="s">
        <v>309</v>
      </c>
      <c r="G435" s="41" t="s">
        <v>11</v>
      </c>
      <c r="H435" s="48"/>
    </row>
    <row r="436" spans="1:8" ht="16.2" x14ac:dyDescent="0.4">
      <c r="A436" s="15" t="str">
        <f t="shared" si="6"/>
        <v>lt003_entitycntrprty_emssns_scp2</v>
      </c>
      <c r="B436" s="46" t="s">
        <v>10</v>
      </c>
      <c r="C436" s="43" t="s">
        <v>10</v>
      </c>
      <c r="D436" s="39" t="s">
        <v>17</v>
      </c>
      <c r="E436" s="42" t="s">
        <v>292</v>
      </c>
      <c r="F436" s="42" t="s">
        <v>310</v>
      </c>
      <c r="G436" s="41" t="s">
        <v>11</v>
      </c>
      <c r="H436" s="48"/>
    </row>
    <row r="437" spans="1:8" ht="16.2" x14ac:dyDescent="0.4">
      <c r="A437" s="15" t="str">
        <f t="shared" si="6"/>
        <v>lt003_entitycntrprty_emssns_scp3</v>
      </c>
      <c r="B437" s="46" t="s">
        <v>10</v>
      </c>
      <c r="C437" s="43" t="s">
        <v>10</v>
      </c>
      <c r="D437" s="39" t="s">
        <v>17</v>
      </c>
      <c r="E437" s="42" t="s">
        <v>292</v>
      </c>
      <c r="F437" s="42" t="s">
        <v>311</v>
      </c>
      <c r="G437" s="41" t="s">
        <v>11</v>
      </c>
      <c r="H437" s="48"/>
    </row>
    <row r="438" spans="1:8" ht="16.2" x14ac:dyDescent="0.4">
      <c r="A438" s="15" t="str">
        <f t="shared" si="6"/>
        <v>lt003_entityflg_excldd_eu_prs_algnd_bnchmrk</v>
      </c>
      <c r="B438" s="46" t="s">
        <v>10</v>
      </c>
      <c r="C438" s="43" t="s">
        <v>10</v>
      </c>
      <c r="D438" s="39" t="s">
        <v>17</v>
      </c>
      <c r="E438" s="42" t="s">
        <v>292</v>
      </c>
      <c r="F438" s="42" t="s">
        <v>312</v>
      </c>
      <c r="G438" s="41" t="s">
        <v>11</v>
      </c>
      <c r="H438" s="48"/>
    </row>
    <row r="439" spans="1:8" ht="16.2" x14ac:dyDescent="0.4">
      <c r="A439" s="15" t="str">
        <f t="shared" si="6"/>
        <v>lt003_entityflg_act_physcl_rsk</v>
      </c>
      <c r="B439" s="46" t="s">
        <v>10</v>
      </c>
      <c r="C439" s="43" t="s">
        <v>10</v>
      </c>
      <c r="D439" s="39" t="s">
        <v>17</v>
      </c>
      <c r="E439" s="42" t="s">
        <v>292</v>
      </c>
      <c r="F439" s="42" t="s">
        <v>313</v>
      </c>
      <c r="G439" s="41" t="s">
        <v>11</v>
      </c>
      <c r="H439" s="48"/>
    </row>
    <row r="440" spans="1:8" ht="16.2" x14ac:dyDescent="0.4">
      <c r="A440" s="15" t="str">
        <f t="shared" si="6"/>
        <v>lt003_entityflg_chrnc_physcl_rsk</v>
      </c>
      <c r="B440" s="46" t="s">
        <v>10</v>
      </c>
      <c r="C440" s="43" t="s">
        <v>10</v>
      </c>
      <c r="D440" s="39" t="s">
        <v>17</v>
      </c>
      <c r="E440" s="42" t="s">
        <v>292</v>
      </c>
      <c r="F440" s="42" t="s">
        <v>314</v>
      </c>
      <c r="G440" s="41" t="s">
        <v>11</v>
      </c>
      <c r="H440" s="48"/>
    </row>
    <row r="441" spans="1:8" ht="16.2" x14ac:dyDescent="0.4">
      <c r="A441" s="15" t="str">
        <f t="shared" si="6"/>
        <v>lt003_entitypst_cd</v>
      </c>
      <c r="B441" s="46" t="s">
        <v>10</v>
      </c>
      <c r="C441" s="43" t="s">
        <v>10</v>
      </c>
      <c r="D441" s="39" t="s">
        <v>17</v>
      </c>
      <c r="E441" s="42" t="s">
        <v>292</v>
      </c>
      <c r="F441" s="42" t="s">
        <v>315</v>
      </c>
      <c r="G441" s="41" t="s">
        <v>11</v>
      </c>
      <c r="H441" s="48"/>
    </row>
    <row r="442" spans="1:8" ht="16.2" x14ac:dyDescent="0.4">
      <c r="A442" s="15" t="str">
        <f t="shared" si="6"/>
        <v>lt003_entityesg_sbsctr</v>
      </c>
      <c r="B442" s="46" t="s">
        <v>10</v>
      </c>
      <c r="C442" s="43" t="s">
        <v>10</v>
      </c>
      <c r="D442" s="39" t="s">
        <v>17</v>
      </c>
      <c r="E442" s="42" t="s">
        <v>292</v>
      </c>
      <c r="F442" s="42" t="s">
        <v>316</v>
      </c>
      <c r="G442" s="41" t="s">
        <v>11</v>
      </c>
      <c r="H442" s="48"/>
    </row>
    <row r="443" spans="1:8" ht="16.2" x14ac:dyDescent="0.4">
      <c r="A443" s="15" t="str">
        <f t="shared" si="6"/>
        <v>lt003_entityttl_lblty</v>
      </c>
      <c r="B443" s="46" t="s">
        <v>10</v>
      </c>
      <c r="C443" s="43" t="s">
        <v>10</v>
      </c>
      <c r="D443" s="39" t="s">
        <v>17</v>
      </c>
      <c r="E443" s="42" t="s">
        <v>292</v>
      </c>
      <c r="F443" s="42" t="s">
        <v>317</v>
      </c>
      <c r="G443" s="41" t="s">
        <v>11</v>
      </c>
      <c r="H443" s="48"/>
    </row>
    <row r="444" spans="1:8" ht="16.2" x14ac:dyDescent="0.4">
      <c r="A444" s="15" t="str">
        <f t="shared" si="6"/>
        <v>lt003_entityisin</v>
      </c>
      <c r="B444" s="46" t="s">
        <v>10</v>
      </c>
      <c r="C444" s="43" t="s">
        <v>10</v>
      </c>
      <c r="D444" s="39" t="s">
        <v>17</v>
      </c>
      <c r="E444" s="42" t="s">
        <v>292</v>
      </c>
      <c r="F444" s="42" t="s">
        <v>204</v>
      </c>
      <c r="G444" s="41" t="s">
        <v>11</v>
      </c>
      <c r="H444" s="48"/>
    </row>
    <row r="445" spans="1:8" ht="16.2" x14ac:dyDescent="0.4">
      <c r="A445" s="15" t="str">
        <f t="shared" si="6"/>
        <v>lt003_entitygrp_annl_trnvr_le</v>
      </c>
      <c r="B445" s="46" t="s">
        <v>10</v>
      </c>
      <c r="C445" s="43" t="s">
        <v>10</v>
      </c>
      <c r="D445" s="39" t="s">
        <v>17</v>
      </c>
      <c r="E445" s="42" t="s">
        <v>292</v>
      </c>
      <c r="F445" s="42" t="s">
        <v>318</v>
      </c>
      <c r="G445" s="41" t="s">
        <v>11</v>
      </c>
      <c r="H445" s="48"/>
    </row>
    <row r="446" spans="1:8" ht="16.2" x14ac:dyDescent="0.4">
      <c r="A446" s="15" t="str">
        <f t="shared" si="6"/>
        <v>lt003_entitygrp_ttl_lblty</v>
      </c>
      <c r="B446" s="46" t="s">
        <v>10</v>
      </c>
      <c r="C446" s="43" t="s">
        <v>10</v>
      </c>
      <c r="D446" s="39" t="s">
        <v>17</v>
      </c>
      <c r="E446" s="42" t="s">
        <v>292</v>
      </c>
      <c r="F446" s="42" t="s">
        <v>319</v>
      </c>
      <c r="G446" s="41" t="s">
        <v>11</v>
      </c>
      <c r="H446" s="48"/>
    </row>
    <row r="447" spans="1:8" ht="16.2" x14ac:dyDescent="0.4">
      <c r="A447" s="15" t="str">
        <f t="shared" si="6"/>
        <v>lt003_entityflg_grp_nfrd_applcblty</v>
      </c>
      <c r="B447" s="46" t="s">
        <v>10</v>
      </c>
      <c r="C447" s="43" t="s">
        <v>10</v>
      </c>
      <c r="D447" s="39" t="s">
        <v>17</v>
      </c>
      <c r="E447" s="42" t="s">
        <v>292</v>
      </c>
      <c r="F447" s="42" t="s">
        <v>320</v>
      </c>
      <c r="G447" s="41" t="s">
        <v>11</v>
      </c>
      <c r="H447" s="48"/>
    </row>
    <row r="448" spans="1:8" ht="16.2" x14ac:dyDescent="0.4">
      <c r="A448" s="15" t="str">
        <f t="shared" si="6"/>
        <v>lt003_entitygrp_emssns_scp1</v>
      </c>
      <c r="B448" s="46" t="s">
        <v>10</v>
      </c>
      <c r="C448" s="43" t="s">
        <v>10</v>
      </c>
      <c r="D448" s="39" t="s">
        <v>17</v>
      </c>
      <c r="E448" s="42" t="s">
        <v>292</v>
      </c>
      <c r="F448" s="42" t="s">
        <v>321</v>
      </c>
      <c r="G448" s="41" t="s">
        <v>11</v>
      </c>
      <c r="H448" s="48"/>
    </row>
    <row r="449" spans="1:8" ht="16.2" x14ac:dyDescent="0.4">
      <c r="A449" s="15" t="str">
        <f t="shared" si="6"/>
        <v>lt003_entitygrp_emssns_scp2</v>
      </c>
      <c r="B449" s="46" t="s">
        <v>10</v>
      </c>
      <c r="C449" s="43" t="s">
        <v>10</v>
      </c>
      <c r="D449" s="39" t="s">
        <v>17</v>
      </c>
      <c r="E449" s="42" t="s">
        <v>292</v>
      </c>
      <c r="F449" s="42" t="s">
        <v>322</v>
      </c>
      <c r="G449" s="41" t="s">
        <v>11</v>
      </c>
      <c r="H449" s="48"/>
    </row>
    <row r="450" spans="1:8" ht="16.2" x14ac:dyDescent="0.4">
      <c r="A450" s="15" t="str">
        <f t="shared" si="6"/>
        <v>lt003_entitygrp_emssns_scp3</v>
      </c>
      <c r="B450" s="46" t="s">
        <v>10</v>
      </c>
      <c r="C450" s="43" t="s">
        <v>10</v>
      </c>
      <c r="D450" s="39" t="s">
        <v>17</v>
      </c>
      <c r="E450" s="42" t="s">
        <v>292</v>
      </c>
      <c r="F450" s="42" t="s">
        <v>323</v>
      </c>
      <c r="G450" s="41" t="s">
        <v>11</v>
      </c>
      <c r="H450" s="48"/>
    </row>
    <row r="451" spans="1:8" ht="16.2" x14ac:dyDescent="0.4">
      <c r="A451" s="15" t="str">
        <f t="shared" si="6"/>
        <v>lt004_protectiontyp_ep_scr</v>
      </c>
      <c r="B451" s="46" t="s">
        <v>10</v>
      </c>
      <c r="C451" s="43" t="s">
        <v>10</v>
      </c>
      <c r="D451" s="39" t="s">
        <v>17</v>
      </c>
      <c r="E451" s="42" t="s">
        <v>324</v>
      </c>
      <c r="F451" s="42" t="s">
        <v>325</v>
      </c>
      <c r="G451" s="41" t="s">
        <v>11</v>
      </c>
      <c r="H451" s="48"/>
    </row>
    <row r="452" spans="1:8" ht="16.2" x14ac:dyDescent="0.4">
      <c r="A452" s="15" t="str">
        <f t="shared" si="6"/>
        <v>lt004_protectionep_scr</v>
      </c>
      <c r="B452" s="46" t="s">
        <v>10</v>
      </c>
      <c r="C452" s="43" t="s">
        <v>10</v>
      </c>
      <c r="D452" s="39" t="s">
        <v>17</v>
      </c>
      <c r="E452" s="42" t="s">
        <v>324</v>
      </c>
      <c r="F452" s="42" t="s">
        <v>326</v>
      </c>
      <c r="G452" s="41" t="s">
        <v>11</v>
      </c>
      <c r="H452" s="48"/>
    </row>
    <row r="453" spans="1:8" ht="16.2" x14ac:dyDescent="0.4">
      <c r="A453" s="15" t="str">
        <f t="shared" si="6"/>
        <v>lt004_protectiontyp_epc_lbl</v>
      </c>
      <c r="B453" s="46" t="s">
        <v>10</v>
      </c>
      <c r="C453" s="43" t="s">
        <v>10</v>
      </c>
      <c r="D453" s="39" t="s">
        <v>17</v>
      </c>
      <c r="E453" s="42" t="s">
        <v>324</v>
      </c>
      <c r="F453" s="42" t="s">
        <v>327</v>
      </c>
      <c r="G453" s="41" t="s">
        <v>11</v>
      </c>
      <c r="H453" s="48"/>
    </row>
    <row r="454" spans="1:8" ht="16.2" x14ac:dyDescent="0.4">
      <c r="A454" s="15" t="str">
        <f t="shared" si="6"/>
        <v>lt004_protectionepc_lbl</v>
      </c>
      <c r="B454" s="46" t="s">
        <v>10</v>
      </c>
      <c r="C454" s="43" t="s">
        <v>10</v>
      </c>
      <c r="D454" s="39" t="s">
        <v>17</v>
      </c>
      <c r="E454" s="42" t="s">
        <v>324</v>
      </c>
      <c r="F454" s="42" t="s">
        <v>328</v>
      </c>
      <c r="G454" s="41" t="s">
        <v>11</v>
      </c>
      <c r="H454" s="48"/>
    </row>
    <row r="455" spans="1:8" ht="16.2" x14ac:dyDescent="0.4">
      <c r="A455" s="15" t="str">
        <f t="shared" si="6"/>
        <v>lt004_protectionemssns_scp1_prtctn</v>
      </c>
      <c r="B455" s="46" t="s">
        <v>10</v>
      </c>
      <c r="C455" s="43" t="s">
        <v>10</v>
      </c>
      <c r="D455" s="39" t="s">
        <v>17</v>
      </c>
      <c r="E455" s="42" t="s">
        <v>324</v>
      </c>
      <c r="F455" s="42" t="s">
        <v>329</v>
      </c>
      <c r="G455" s="41" t="s">
        <v>11</v>
      </c>
      <c r="H455" s="48"/>
    </row>
    <row r="456" spans="1:8" ht="16.2" x14ac:dyDescent="0.4">
      <c r="A456" s="15" t="str">
        <f t="shared" ref="A456:A519" si="7">E456&amp;F456</f>
        <v>lt004_protectionemssns_scp2_prtctn</v>
      </c>
      <c r="B456" s="46" t="s">
        <v>10</v>
      </c>
      <c r="C456" s="43" t="s">
        <v>10</v>
      </c>
      <c r="D456" s="39" t="s">
        <v>17</v>
      </c>
      <c r="E456" s="42" t="s">
        <v>324</v>
      </c>
      <c r="F456" s="42" t="s">
        <v>330</v>
      </c>
      <c r="G456" s="41" t="s">
        <v>11</v>
      </c>
      <c r="H456" s="48"/>
    </row>
    <row r="457" spans="1:8" ht="16.2" x14ac:dyDescent="0.4">
      <c r="A457" s="15" t="str">
        <f t="shared" si="7"/>
        <v>lt004_protectionemssns_scp3_prtctn</v>
      </c>
      <c r="B457" s="46" t="s">
        <v>10</v>
      </c>
      <c r="C457" s="43" t="s">
        <v>10</v>
      </c>
      <c r="D457" s="39" t="s">
        <v>17</v>
      </c>
      <c r="E457" s="42" t="s">
        <v>324</v>
      </c>
      <c r="F457" s="42" t="s">
        <v>331</v>
      </c>
      <c r="G457" s="41" t="s">
        <v>11</v>
      </c>
      <c r="H457" s="48"/>
    </row>
    <row r="458" spans="1:8" ht="16.2" x14ac:dyDescent="0.4">
      <c r="A458" s="15" t="str">
        <f t="shared" si="7"/>
        <v>lt004_protectionmthd_usd_prtctn_scp_1</v>
      </c>
      <c r="B458" s="46" t="s">
        <v>10</v>
      </c>
      <c r="C458" s="43" t="s">
        <v>10</v>
      </c>
      <c r="D458" s="39" t="s">
        <v>17</v>
      </c>
      <c r="E458" s="42" t="s">
        <v>324</v>
      </c>
      <c r="F458" s="42" t="s">
        <v>332</v>
      </c>
      <c r="G458" s="41" t="s">
        <v>11</v>
      </c>
      <c r="H458" s="48"/>
    </row>
    <row r="459" spans="1:8" ht="16.2" x14ac:dyDescent="0.4">
      <c r="A459" s="15" t="str">
        <f t="shared" si="7"/>
        <v>lt004_protectionmthd_usd_prtctn_scp_2</v>
      </c>
      <c r="B459" s="46" t="s">
        <v>10</v>
      </c>
      <c r="C459" s="43" t="s">
        <v>10</v>
      </c>
      <c r="D459" s="39" t="s">
        <v>17</v>
      </c>
      <c r="E459" s="42" t="s">
        <v>324</v>
      </c>
      <c r="F459" s="42" t="s">
        <v>333</v>
      </c>
      <c r="G459" s="41" t="s">
        <v>11</v>
      </c>
      <c r="H459" s="48"/>
    </row>
    <row r="460" spans="1:8" ht="16.2" x14ac:dyDescent="0.4">
      <c r="A460" s="15" t="str">
        <f t="shared" si="7"/>
        <v>lt004_protectionmthd_usd_prtctn_scp_3</v>
      </c>
      <c r="B460" s="46" t="s">
        <v>10</v>
      </c>
      <c r="C460" s="43" t="s">
        <v>10</v>
      </c>
      <c r="D460" s="39" t="s">
        <v>17</v>
      </c>
      <c r="E460" s="42" t="s">
        <v>324</v>
      </c>
      <c r="F460" s="42" t="s">
        <v>334</v>
      </c>
      <c r="G460" s="41" t="s">
        <v>11</v>
      </c>
      <c r="H460" s="48"/>
    </row>
    <row r="461" spans="1:8" ht="16.2" x14ac:dyDescent="0.4">
      <c r="A461" s="15" t="str">
        <f t="shared" si="7"/>
        <v>lt004_protectionflg_act_physcl_rsk</v>
      </c>
      <c r="B461" s="46" t="s">
        <v>10</v>
      </c>
      <c r="C461" s="43" t="s">
        <v>10</v>
      </c>
      <c r="D461" s="39" t="s">
        <v>17</v>
      </c>
      <c r="E461" s="42" t="s">
        <v>324</v>
      </c>
      <c r="F461" s="42" t="s">
        <v>313</v>
      </c>
      <c r="G461" s="41" t="s">
        <v>11</v>
      </c>
      <c r="H461" s="48"/>
    </row>
    <row r="462" spans="1:8" ht="16.2" x14ac:dyDescent="0.4">
      <c r="A462" s="15" t="str">
        <f t="shared" si="7"/>
        <v>lt004_protectionflg_chrnc_physcl_rsk</v>
      </c>
      <c r="B462" s="46" t="s">
        <v>10</v>
      </c>
      <c r="C462" s="43" t="s">
        <v>10</v>
      </c>
      <c r="D462" s="39" t="s">
        <v>17</v>
      </c>
      <c r="E462" s="42" t="s">
        <v>324</v>
      </c>
      <c r="F462" s="42" t="s">
        <v>314</v>
      </c>
      <c r="G462" s="41" t="s">
        <v>11</v>
      </c>
      <c r="H462" s="48"/>
    </row>
    <row r="463" spans="1:8" ht="16.2" x14ac:dyDescent="0.4">
      <c r="A463" s="15" t="str">
        <f t="shared" si="7"/>
        <v>lt002_instrumentrsk_mtgtd_cct</v>
      </c>
      <c r="B463" s="46" t="s">
        <v>10</v>
      </c>
      <c r="C463" s="43" t="s">
        <v>10</v>
      </c>
      <c r="D463" s="39" t="s">
        <v>17</v>
      </c>
      <c r="E463" s="42" t="s">
        <v>335</v>
      </c>
      <c r="F463" s="42" t="s">
        <v>336</v>
      </c>
      <c r="G463" s="41" t="s">
        <v>11</v>
      </c>
      <c r="H463" s="48"/>
    </row>
    <row r="464" spans="1:8" ht="16.2" x14ac:dyDescent="0.4">
      <c r="A464" s="15" t="str">
        <f t="shared" si="7"/>
        <v>lt002_instrumentrsk_mtgtd_ccp</v>
      </c>
      <c r="B464" s="46" t="s">
        <v>10</v>
      </c>
      <c r="C464" s="43" t="s">
        <v>10</v>
      </c>
      <c r="D464" s="39" t="s">
        <v>17</v>
      </c>
      <c r="E464" s="42" t="s">
        <v>335</v>
      </c>
      <c r="F464" s="42" t="s">
        <v>337</v>
      </c>
      <c r="G464" s="41" t="s">
        <v>11</v>
      </c>
      <c r="H464" s="48"/>
    </row>
    <row r="465" spans="1:8" ht="16.2" x14ac:dyDescent="0.4">
      <c r="A465" s="15" t="str">
        <f t="shared" si="7"/>
        <v>lt002_instrumentenvrnmntl_objctv</v>
      </c>
      <c r="B465" s="46" t="s">
        <v>10</v>
      </c>
      <c r="C465" s="43" t="s">
        <v>10</v>
      </c>
      <c r="D465" s="39" t="s">
        <v>17</v>
      </c>
      <c r="E465" s="42" t="s">
        <v>335</v>
      </c>
      <c r="F465" s="42" t="s">
        <v>338</v>
      </c>
      <c r="G465" s="41" t="s">
        <v>11</v>
      </c>
      <c r="H465" s="48"/>
    </row>
    <row r="466" spans="1:8" ht="16.2" x14ac:dyDescent="0.4">
      <c r="A466" s="15" t="str">
        <f t="shared" si="7"/>
        <v>lt002_instrumenttyp_actvty</v>
      </c>
      <c r="B466" s="46" t="s">
        <v>10</v>
      </c>
      <c r="C466" s="43" t="s">
        <v>10</v>
      </c>
      <c r="D466" s="39" t="s">
        <v>17</v>
      </c>
      <c r="E466" s="42" t="s">
        <v>335</v>
      </c>
      <c r="F466" s="42" t="s">
        <v>339</v>
      </c>
      <c r="G466" s="41" t="s">
        <v>11</v>
      </c>
      <c r="H466" s="48"/>
    </row>
    <row r="467" spans="1:8" ht="16.2" x14ac:dyDescent="0.4">
      <c r="A467" s="15" t="str">
        <f t="shared" si="7"/>
        <v>lt002_instrumentlns_clltrlzd_clssfctn</v>
      </c>
      <c r="B467" s="46" t="s">
        <v>10</v>
      </c>
      <c r="C467" s="43" t="s">
        <v>10</v>
      </c>
      <c r="D467" s="39" t="s">
        <v>17</v>
      </c>
      <c r="E467" s="42" t="s">
        <v>335</v>
      </c>
      <c r="F467" s="42" t="s">
        <v>340</v>
      </c>
      <c r="G467" s="41" t="s">
        <v>11</v>
      </c>
      <c r="H467" s="48"/>
    </row>
    <row r="468" spans="1:8" ht="16.2" x14ac:dyDescent="0.4">
      <c r="A468" s="15" t="str">
        <f t="shared" si="7"/>
        <v>lt002_instrumentmthd_usd_instrmnt_scp_1</v>
      </c>
      <c r="B468" s="46" t="s">
        <v>10</v>
      </c>
      <c r="C468" s="43" t="s">
        <v>10</v>
      </c>
      <c r="D468" s="39" t="s">
        <v>17</v>
      </c>
      <c r="E468" s="42" t="s">
        <v>335</v>
      </c>
      <c r="F468" s="42" t="s">
        <v>341</v>
      </c>
      <c r="G468" s="41" t="s">
        <v>11</v>
      </c>
      <c r="H468" s="48"/>
    </row>
    <row r="469" spans="1:8" ht="16.2" x14ac:dyDescent="0.4">
      <c r="A469" s="15" t="str">
        <f t="shared" si="7"/>
        <v>lt002_instrumentmthd_usd_instrmnt_scp_2</v>
      </c>
      <c r="B469" s="46" t="s">
        <v>10</v>
      </c>
      <c r="C469" s="43" t="s">
        <v>10</v>
      </c>
      <c r="D469" s="39" t="s">
        <v>17</v>
      </c>
      <c r="E469" s="42" t="s">
        <v>335</v>
      </c>
      <c r="F469" s="42" t="s">
        <v>342</v>
      </c>
      <c r="G469" s="41" t="s">
        <v>11</v>
      </c>
      <c r="H469" s="48"/>
    </row>
    <row r="470" spans="1:8" ht="16.2" x14ac:dyDescent="0.4">
      <c r="A470" s="15" t="str">
        <f t="shared" si="7"/>
        <v>lt002_instrumentmthd_usd_instrmnt_scp_3</v>
      </c>
      <c r="B470" s="46" t="s">
        <v>10</v>
      </c>
      <c r="C470" s="43" t="s">
        <v>10</v>
      </c>
      <c r="D470" s="39" t="s">
        <v>17</v>
      </c>
      <c r="E470" s="42" t="s">
        <v>335</v>
      </c>
      <c r="F470" s="42" t="s">
        <v>343</v>
      </c>
      <c r="G470" s="41" t="s">
        <v>11</v>
      </c>
      <c r="H470" s="48"/>
    </row>
    <row r="471" spans="1:8" ht="16.2" x14ac:dyDescent="0.4">
      <c r="A471" s="15" t="str">
        <f t="shared" si="7"/>
        <v>lt002_instrumentsstnbl_ctgry_txnmy</v>
      </c>
      <c r="B471" s="46" t="s">
        <v>10</v>
      </c>
      <c r="C471" s="43" t="s">
        <v>10</v>
      </c>
      <c r="D471" s="39" t="s">
        <v>17</v>
      </c>
      <c r="E471" s="42" t="s">
        <v>335</v>
      </c>
      <c r="F471" s="42" t="s">
        <v>344</v>
      </c>
      <c r="G471" s="41" t="s">
        <v>11</v>
      </c>
      <c r="H471" s="48"/>
    </row>
    <row r="472" spans="1:8" ht="16.2" x14ac:dyDescent="0.4">
      <c r="A472" s="15" t="str">
        <f t="shared" si="7"/>
        <v>lt825_mthd_usd_instrmntambito</v>
      </c>
      <c r="B472" s="46" t="s">
        <v>10</v>
      </c>
      <c r="C472" s="43" t="s">
        <v>10</v>
      </c>
      <c r="D472" s="39" t="s">
        <v>17</v>
      </c>
      <c r="E472" s="42" t="s">
        <v>345</v>
      </c>
      <c r="F472" s="42" t="s">
        <v>346</v>
      </c>
      <c r="G472" s="41" t="s">
        <v>11</v>
      </c>
      <c r="H472" s="48"/>
    </row>
    <row r="473" spans="1:8" ht="16.2" x14ac:dyDescent="0.4">
      <c r="A473" s="15" t="str">
        <f t="shared" si="7"/>
        <v>lt825_mthd_usd_instrmntref_date</v>
      </c>
      <c r="B473" s="46" t="s">
        <v>10</v>
      </c>
      <c r="C473" s="43" t="s">
        <v>10</v>
      </c>
      <c r="D473" s="39" t="s">
        <v>17</v>
      </c>
      <c r="E473" s="42" t="s">
        <v>345</v>
      </c>
      <c r="F473" s="42" t="s">
        <v>49</v>
      </c>
      <c r="G473" s="41" t="s">
        <v>11</v>
      </c>
      <c r="H473" s="48"/>
    </row>
    <row r="474" spans="1:8" ht="16.2" x14ac:dyDescent="0.4">
      <c r="A474" s="15" t="str">
        <f t="shared" si="7"/>
        <v>lt825_mthd_usd_instrmntordem</v>
      </c>
      <c r="B474" s="46" t="s">
        <v>10</v>
      </c>
      <c r="C474" s="43" t="s">
        <v>10</v>
      </c>
      <c r="D474" s="39" t="s">
        <v>17</v>
      </c>
      <c r="E474" s="42" t="s">
        <v>345</v>
      </c>
      <c r="F474" s="42" t="s">
        <v>291</v>
      </c>
      <c r="G474" s="41" t="s">
        <v>11</v>
      </c>
      <c r="H474" s="48"/>
    </row>
    <row r="475" spans="1:8" ht="16.2" x14ac:dyDescent="0.4">
      <c r="A475" s="15" t="str">
        <f t="shared" si="7"/>
        <v>lt825_mthd_usd_instrmnttabela</v>
      </c>
      <c r="B475" s="46" t="s">
        <v>10</v>
      </c>
      <c r="C475" s="43" t="s">
        <v>10</v>
      </c>
      <c r="D475" s="39" t="s">
        <v>17</v>
      </c>
      <c r="E475" s="42" t="s">
        <v>345</v>
      </c>
      <c r="F475" s="42" t="s">
        <v>347</v>
      </c>
      <c r="G475" s="41" t="s">
        <v>11</v>
      </c>
      <c r="H475" s="48"/>
    </row>
    <row r="476" spans="1:8" ht="16.2" x14ac:dyDescent="0.4">
      <c r="A476" s="15" t="str">
        <f t="shared" si="7"/>
        <v>lt825_mthd_usd_instrmntorigem_scp1_emss</v>
      </c>
      <c r="B476" s="46" t="s">
        <v>10</v>
      </c>
      <c r="C476" s="43" t="s">
        <v>10</v>
      </c>
      <c r="D476" s="39" t="s">
        <v>17</v>
      </c>
      <c r="E476" s="42" t="s">
        <v>345</v>
      </c>
      <c r="F476" s="42" t="s">
        <v>278</v>
      </c>
      <c r="G476" s="41" t="s">
        <v>11</v>
      </c>
      <c r="H476" s="48"/>
    </row>
    <row r="477" spans="1:8" ht="16.2" x14ac:dyDescent="0.4">
      <c r="A477" s="15" t="str">
        <f t="shared" si="7"/>
        <v>lt825_mthd_usd_instrmntorigem_scp2_emss</v>
      </c>
      <c r="B477" s="46" t="s">
        <v>10</v>
      </c>
      <c r="C477" s="43" t="s">
        <v>10</v>
      </c>
      <c r="D477" s="39" t="s">
        <v>17</v>
      </c>
      <c r="E477" s="42" t="s">
        <v>345</v>
      </c>
      <c r="F477" s="42" t="s">
        <v>279</v>
      </c>
      <c r="G477" s="41" t="s">
        <v>11</v>
      </c>
      <c r="H477" s="48"/>
    </row>
    <row r="478" spans="1:8" ht="16.2" x14ac:dyDescent="0.4">
      <c r="A478" s="15" t="str">
        <f t="shared" si="7"/>
        <v>lt825_mthd_usd_instrmntorigem_scp3_emss</v>
      </c>
      <c r="B478" s="46" t="s">
        <v>10</v>
      </c>
      <c r="C478" s="43" t="s">
        <v>10</v>
      </c>
      <c r="D478" s="39" t="s">
        <v>17</v>
      </c>
      <c r="E478" s="42" t="s">
        <v>345</v>
      </c>
      <c r="F478" s="42" t="s">
        <v>280</v>
      </c>
      <c r="G478" s="41" t="s">
        <v>11</v>
      </c>
      <c r="H478" s="48"/>
    </row>
    <row r="479" spans="1:8" ht="16.2" x14ac:dyDescent="0.4">
      <c r="A479" s="15" t="str">
        <f t="shared" si="7"/>
        <v>lt825_mthd_usd_instrmntmthd_usd_instrmnt_scp_1</v>
      </c>
      <c r="B479" s="46" t="s">
        <v>10</v>
      </c>
      <c r="C479" s="43" t="s">
        <v>10</v>
      </c>
      <c r="D479" s="39" t="s">
        <v>17</v>
      </c>
      <c r="E479" s="42" t="s">
        <v>345</v>
      </c>
      <c r="F479" s="42" t="s">
        <v>341</v>
      </c>
      <c r="G479" s="41" t="s">
        <v>11</v>
      </c>
      <c r="H479" s="48"/>
    </row>
    <row r="480" spans="1:8" ht="16.2" x14ac:dyDescent="0.4">
      <c r="A480" s="15" t="str">
        <f t="shared" si="7"/>
        <v>lt825_mthd_usd_instrmntmthd_usd_instrmnt_scp_2</v>
      </c>
      <c r="B480" s="46" t="s">
        <v>10</v>
      </c>
      <c r="C480" s="43" t="s">
        <v>10</v>
      </c>
      <c r="D480" s="39" t="s">
        <v>17</v>
      </c>
      <c r="E480" s="42" t="s">
        <v>345</v>
      </c>
      <c r="F480" s="42" t="s">
        <v>342</v>
      </c>
      <c r="G480" s="41" t="s">
        <v>11</v>
      </c>
      <c r="H480" s="48"/>
    </row>
    <row r="481" spans="1:8" ht="16.2" x14ac:dyDescent="0.4">
      <c r="A481" s="15" t="str">
        <f t="shared" si="7"/>
        <v>lt825_mthd_usd_instrmntmthd_usd_instrmnt_scp_3</v>
      </c>
      <c r="B481" s="46" t="s">
        <v>10</v>
      </c>
      <c r="C481" s="43" t="s">
        <v>10</v>
      </c>
      <c r="D481" s="39" t="s">
        <v>17</v>
      </c>
      <c r="E481" s="42" t="s">
        <v>345</v>
      </c>
      <c r="F481" s="42" t="s">
        <v>343</v>
      </c>
      <c r="G481" s="41" t="s">
        <v>11</v>
      </c>
      <c r="H481" s="48"/>
    </row>
    <row r="482" spans="1:8" ht="16.2" x14ac:dyDescent="0.4">
      <c r="A482" s="15" t="str">
        <f t="shared" si="7"/>
        <v>lt826_esg_sbsctrambito</v>
      </c>
      <c r="B482" s="46" t="s">
        <v>10</v>
      </c>
      <c r="C482" s="43" t="s">
        <v>10</v>
      </c>
      <c r="D482" s="39" t="s">
        <v>17</v>
      </c>
      <c r="E482" s="42" t="s">
        <v>348</v>
      </c>
      <c r="F482" s="42" t="s">
        <v>346</v>
      </c>
      <c r="G482" s="41" t="s">
        <v>11</v>
      </c>
      <c r="H482" s="48"/>
    </row>
    <row r="483" spans="1:8" ht="16.2" x14ac:dyDescent="0.4">
      <c r="A483" s="15" t="str">
        <f t="shared" si="7"/>
        <v>lt826_esg_sbsctrref_date</v>
      </c>
      <c r="B483" s="46" t="s">
        <v>10</v>
      </c>
      <c r="C483" s="43" t="s">
        <v>10</v>
      </c>
      <c r="D483" s="39" t="s">
        <v>17</v>
      </c>
      <c r="E483" s="42" t="s">
        <v>348</v>
      </c>
      <c r="F483" s="42" t="s">
        <v>49</v>
      </c>
      <c r="G483" s="41" t="s">
        <v>11</v>
      </c>
      <c r="H483" s="48"/>
    </row>
    <row r="484" spans="1:8" ht="16.2" x14ac:dyDescent="0.4">
      <c r="A484" s="15" t="str">
        <f t="shared" si="7"/>
        <v>lt826_esg_sbsctrordem</v>
      </c>
      <c r="B484" s="46" t="s">
        <v>10</v>
      </c>
      <c r="C484" s="43" t="s">
        <v>10</v>
      </c>
      <c r="D484" s="39" t="s">
        <v>17</v>
      </c>
      <c r="E484" s="42" t="s">
        <v>348</v>
      </c>
      <c r="F484" s="42" t="s">
        <v>291</v>
      </c>
      <c r="G484" s="41" t="s">
        <v>11</v>
      </c>
      <c r="H484" s="48"/>
    </row>
    <row r="485" spans="1:8" ht="16.2" x14ac:dyDescent="0.4">
      <c r="A485" s="15" t="str">
        <f t="shared" si="7"/>
        <v>lt826_esg_sbsctrnace_code</v>
      </c>
      <c r="B485" s="46" t="s">
        <v>10</v>
      </c>
      <c r="C485" s="43" t="s">
        <v>10</v>
      </c>
      <c r="D485" s="39" t="s">
        <v>17</v>
      </c>
      <c r="E485" s="42" t="s">
        <v>348</v>
      </c>
      <c r="F485" s="42" t="s">
        <v>349</v>
      </c>
      <c r="G485" s="41" t="s">
        <v>11</v>
      </c>
      <c r="H485" s="48"/>
    </row>
    <row r="486" spans="1:8" ht="16.2" x14ac:dyDescent="0.4">
      <c r="A486" s="15" t="str">
        <f t="shared" si="7"/>
        <v>lt826_esg_sbsctrcontraparte</v>
      </c>
      <c r="B486" s="46" t="s">
        <v>10</v>
      </c>
      <c r="C486" s="43" t="s">
        <v>10</v>
      </c>
      <c r="D486" s="39" t="s">
        <v>17</v>
      </c>
      <c r="E486" s="42" t="s">
        <v>348</v>
      </c>
      <c r="F486" s="42" t="s">
        <v>350</v>
      </c>
      <c r="G486" s="41" t="s">
        <v>11</v>
      </c>
      <c r="H486" s="48"/>
    </row>
    <row r="487" spans="1:8" ht="16.2" x14ac:dyDescent="0.4">
      <c r="A487" s="15" t="str">
        <f t="shared" si="7"/>
        <v>lt826_esg_sbsctrcnatureza_juri</v>
      </c>
      <c r="B487" s="46" t="s">
        <v>10</v>
      </c>
      <c r="C487" s="43" t="s">
        <v>10</v>
      </c>
      <c r="D487" s="39" t="s">
        <v>17</v>
      </c>
      <c r="E487" s="42" t="s">
        <v>348</v>
      </c>
      <c r="F487" s="42" t="s">
        <v>351</v>
      </c>
      <c r="G487" s="41" t="s">
        <v>11</v>
      </c>
      <c r="H487" s="48"/>
    </row>
    <row r="488" spans="1:8" ht="16.2" x14ac:dyDescent="0.4">
      <c r="A488" s="15" t="str">
        <f t="shared" si="7"/>
        <v>lt826_esg_sbsctridcomb</v>
      </c>
      <c r="B488" s="46" t="s">
        <v>10</v>
      </c>
      <c r="C488" s="43" t="s">
        <v>10</v>
      </c>
      <c r="D488" s="39" t="s">
        <v>17</v>
      </c>
      <c r="E488" s="42" t="s">
        <v>348</v>
      </c>
      <c r="F488" s="42" t="s">
        <v>352</v>
      </c>
      <c r="G488" s="41" t="s">
        <v>11</v>
      </c>
      <c r="H488" s="48"/>
    </row>
    <row r="489" spans="1:8" ht="16.2" x14ac:dyDescent="0.4">
      <c r="A489" s="15" t="str">
        <f t="shared" si="7"/>
        <v>lt826_esg_sbsctresg_sbsctr</v>
      </c>
      <c r="B489" s="46" t="s">
        <v>10</v>
      </c>
      <c r="C489" s="43" t="s">
        <v>10</v>
      </c>
      <c r="D489" s="39" t="s">
        <v>17</v>
      </c>
      <c r="E489" s="42" t="s">
        <v>348</v>
      </c>
      <c r="F489" s="42" t="s">
        <v>316</v>
      </c>
      <c r="G489" s="41" t="s">
        <v>11</v>
      </c>
      <c r="H489" s="48"/>
    </row>
    <row r="490" spans="1:8" ht="16.2" x14ac:dyDescent="0.4">
      <c r="A490" s="15" t="str">
        <f t="shared" si="7"/>
        <v>lt826_esg_sbsctrdescrição</v>
      </c>
      <c r="B490" s="46" t="s">
        <v>10</v>
      </c>
      <c r="C490" s="43" t="s">
        <v>10</v>
      </c>
      <c r="D490" s="39" t="s">
        <v>17</v>
      </c>
      <c r="E490" s="42" t="s">
        <v>348</v>
      </c>
      <c r="F490" s="42" t="s">
        <v>353</v>
      </c>
      <c r="G490" s="41" t="s">
        <v>11</v>
      </c>
      <c r="H490" s="48"/>
    </row>
    <row r="491" spans="1:8" ht="16.2" x14ac:dyDescent="0.4">
      <c r="A491" s="15" t="str">
        <f t="shared" si="7"/>
        <v>lt002_instrumentdt_rfrnc</v>
      </c>
      <c r="B491" s="46" t="s">
        <v>10</v>
      </c>
      <c r="C491" s="43" t="s">
        <v>10</v>
      </c>
      <c r="D491" s="39" t="s">
        <v>17</v>
      </c>
      <c r="E491" s="42" t="s">
        <v>335</v>
      </c>
      <c r="F491" s="42" t="s">
        <v>354</v>
      </c>
      <c r="G491" s="41" t="s">
        <v>11</v>
      </c>
      <c r="H491" s="48" t="s">
        <v>451</v>
      </c>
    </row>
    <row r="492" spans="1:8" ht="16.2" x14ac:dyDescent="0.4">
      <c r="A492" s="15" t="str">
        <f t="shared" si="7"/>
        <v>lt002_instrumentinstrmnt_id</v>
      </c>
      <c r="B492" s="46" t="s">
        <v>10</v>
      </c>
      <c r="C492" s="43" t="s">
        <v>10</v>
      </c>
      <c r="D492" s="39" t="s">
        <v>17</v>
      </c>
      <c r="E492" s="42" t="s">
        <v>335</v>
      </c>
      <c r="F492" s="42" t="s">
        <v>355</v>
      </c>
      <c r="G492" s="41" t="s">
        <v>11</v>
      </c>
      <c r="H492" s="48" t="s">
        <v>451</v>
      </c>
    </row>
    <row r="493" spans="1:8" ht="16.2" x14ac:dyDescent="0.4">
      <c r="A493" s="15" t="str">
        <f t="shared" si="7"/>
        <v>lt002_instrumentdt_incptn</v>
      </c>
      <c r="B493" s="46" t="s">
        <v>10</v>
      </c>
      <c r="C493" s="43" t="s">
        <v>10</v>
      </c>
      <c r="D493" s="39" t="s">
        <v>17</v>
      </c>
      <c r="E493" s="42" t="s">
        <v>335</v>
      </c>
      <c r="F493" s="42" t="s">
        <v>356</v>
      </c>
      <c r="G493" s="41" t="s">
        <v>11</v>
      </c>
      <c r="H493" s="48" t="s">
        <v>451</v>
      </c>
    </row>
    <row r="494" spans="1:8" ht="16.2" x14ac:dyDescent="0.4">
      <c r="A494" s="15" t="str">
        <f t="shared" si="7"/>
        <v>lt002_instrumentdflt_stts_instrmnt</v>
      </c>
      <c r="B494" s="46" t="s">
        <v>10</v>
      </c>
      <c r="C494" s="43" t="s">
        <v>10</v>
      </c>
      <c r="D494" s="39" t="s">
        <v>17</v>
      </c>
      <c r="E494" s="42" t="s">
        <v>335</v>
      </c>
      <c r="F494" s="42" t="s">
        <v>357</v>
      </c>
      <c r="G494" s="41" t="s">
        <v>11</v>
      </c>
      <c r="H494" s="48" t="s">
        <v>451</v>
      </c>
    </row>
    <row r="495" spans="1:8" ht="16.2" x14ac:dyDescent="0.4">
      <c r="A495" s="15" t="str">
        <f t="shared" si="7"/>
        <v>lt002_instrumentimprmnt_stts</v>
      </c>
      <c r="B495" s="46" t="s">
        <v>10</v>
      </c>
      <c r="C495" s="43" t="s">
        <v>10</v>
      </c>
      <c r="D495" s="39" t="s">
        <v>17</v>
      </c>
      <c r="E495" s="42" t="s">
        <v>335</v>
      </c>
      <c r="F495" s="42" t="s">
        <v>358</v>
      </c>
      <c r="G495" s="41" t="s">
        <v>11</v>
      </c>
      <c r="H495" s="48" t="s">
        <v>451</v>
      </c>
    </row>
    <row r="496" spans="1:8" ht="16.2" x14ac:dyDescent="0.4">
      <c r="A496" s="15" t="str">
        <f t="shared" si="7"/>
        <v>lt002_instrumentprfrmng_stts</v>
      </c>
      <c r="B496" s="46" t="s">
        <v>10</v>
      </c>
      <c r="C496" s="43" t="s">
        <v>10</v>
      </c>
      <c r="D496" s="39" t="s">
        <v>17</v>
      </c>
      <c r="E496" s="42" t="s">
        <v>335</v>
      </c>
      <c r="F496" s="42" t="s">
        <v>359</v>
      </c>
      <c r="G496" s="41" t="s">
        <v>11</v>
      </c>
      <c r="H496" s="48" t="s">
        <v>451</v>
      </c>
    </row>
    <row r="497" spans="1:8" ht="16.2" x14ac:dyDescent="0.4">
      <c r="A497" s="15" t="str">
        <f t="shared" si="7"/>
        <v>lt002_instrumentprjct_fnnc_ln</v>
      </c>
      <c r="B497" s="46" t="s">
        <v>10</v>
      </c>
      <c r="C497" s="43" t="s">
        <v>10</v>
      </c>
      <c r="D497" s="39" t="s">
        <v>17</v>
      </c>
      <c r="E497" s="42" t="s">
        <v>335</v>
      </c>
      <c r="F497" s="42" t="s">
        <v>360</v>
      </c>
      <c r="G497" s="41" t="s">
        <v>11</v>
      </c>
      <c r="H497" s="48" t="s">
        <v>451</v>
      </c>
    </row>
    <row r="498" spans="1:8" ht="16.2" x14ac:dyDescent="0.4">
      <c r="A498" s="15" t="str">
        <f t="shared" si="7"/>
        <v>lt002_instrumenttyp_instrmnt</v>
      </c>
      <c r="B498" s="46" t="s">
        <v>10</v>
      </c>
      <c r="C498" s="43" t="s">
        <v>10</v>
      </c>
      <c r="D498" s="39" t="s">
        <v>17</v>
      </c>
      <c r="E498" s="42" t="s">
        <v>335</v>
      </c>
      <c r="F498" s="42" t="s">
        <v>361</v>
      </c>
      <c r="G498" s="41" t="s">
        <v>11</v>
      </c>
      <c r="H498" s="48" t="s">
        <v>451</v>
      </c>
    </row>
    <row r="499" spans="1:8" ht="16.2" x14ac:dyDescent="0.4">
      <c r="A499" s="15" t="str">
        <f t="shared" si="7"/>
        <v>lt002_instrumentgrss_crryng_amnt_instrmnt</v>
      </c>
      <c r="B499" s="46" t="s">
        <v>10</v>
      </c>
      <c r="C499" s="43" t="s">
        <v>10</v>
      </c>
      <c r="D499" s="39" t="s">
        <v>17</v>
      </c>
      <c r="E499" s="42" t="s">
        <v>335</v>
      </c>
      <c r="F499" s="42" t="s">
        <v>362</v>
      </c>
      <c r="G499" s="41" t="s">
        <v>11</v>
      </c>
      <c r="H499" s="48" t="s">
        <v>451</v>
      </c>
    </row>
    <row r="500" spans="1:8" ht="16.2" x14ac:dyDescent="0.4">
      <c r="A500" s="15" t="str">
        <f t="shared" si="7"/>
        <v>lt002_instrumentaccmltd_chngs_fv_cr_instrmnt</v>
      </c>
      <c r="B500" s="46" t="s">
        <v>10</v>
      </c>
      <c r="C500" s="43" t="s">
        <v>10</v>
      </c>
      <c r="D500" s="39" t="s">
        <v>17</v>
      </c>
      <c r="E500" s="42" t="s">
        <v>335</v>
      </c>
      <c r="F500" s="42" t="s">
        <v>363</v>
      </c>
      <c r="G500" s="41" t="s">
        <v>11</v>
      </c>
      <c r="H500" s="48" t="s">
        <v>451</v>
      </c>
    </row>
    <row r="501" spans="1:8" ht="16.2" x14ac:dyDescent="0.4">
      <c r="A501" s="15" t="str">
        <f t="shared" si="7"/>
        <v>lt002_instrumentaccntng_clssfctn</v>
      </c>
      <c r="B501" s="46" t="s">
        <v>10</v>
      </c>
      <c r="C501" s="43" t="s">
        <v>10</v>
      </c>
      <c r="D501" s="39" t="s">
        <v>17</v>
      </c>
      <c r="E501" s="42" t="s">
        <v>335</v>
      </c>
      <c r="F501" s="42" t="s">
        <v>364</v>
      </c>
      <c r="G501" s="41" t="s">
        <v>11</v>
      </c>
      <c r="H501" s="48" t="s">
        <v>451</v>
      </c>
    </row>
    <row r="502" spans="1:8" ht="16.2" x14ac:dyDescent="0.4">
      <c r="A502" s="15" t="str">
        <f t="shared" si="7"/>
        <v>lt002_instrumentdt_lgl_fnl_mtrty</v>
      </c>
      <c r="B502" s="46" t="s">
        <v>10</v>
      </c>
      <c r="C502" s="43" t="s">
        <v>10</v>
      </c>
      <c r="D502" s="39" t="s">
        <v>17</v>
      </c>
      <c r="E502" s="42" t="s">
        <v>335</v>
      </c>
      <c r="F502" s="42" t="s">
        <v>365</v>
      </c>
      <c r="G502" s="41" t="s">
        <v>11</v>
      </c>
      <c r="H502" s="48" t="s">
        <v>451</v>
      </c>
    </row>
    <row r="503" spans="1:8" ht="16.2" x14ac:dyDescent="0.4">
      <c r="A503" s="15" t="str">
        <f t="shared" si="7"/>
        <v>lt002_instrumentaccmltd_imprmnt_instrmnt</v>
      </c>
      <c r="B503" s="46" t="s">
        <v>10</v>
      </c>
      <c r="C503" s="43" t="s">
        <v>10</v>
      </c>
      <c r="D503" s="39" t="s">
        <v>17</v>
      </c>
      <c r="E503" s="42" t="s">
        <v>335</v>
      </c>
      <c r="F503" s="42" t="s">
        <v>366</v>
      </c>
      <c r="G503" s="41" t="s">
        <v>11</v>
      </c>
      <c r="H503" s="48" t="s">
        <v>451</v>
      </c>
    </row>
    <row r="504" spans="1:8" ht="16.2" x14ac:dyDescent="0.4">
      <c r="A504" s="15" t="str">
        <f t="shared" si="7"/>
        <v>lt002_instrumentissr_cntry</v>
      </c>
      <c r="B504" s="46" t="s">
        <v>10</v>
      </c>
      <c r="C504" s="43" t="s">
        <v>10</v>
      </c>
      <c r="D504" s="39" t="s">
        <v>17</v>
      </c>
      <c r="E504" s="42" t="s">
        <v>335</v>
      </c>
      <c r="F504" s="42" t="s">
        <v>367</v>
      </c>
      <c r="G504" s="41" t="s">
        <v>11</v>
      </c>
      <c r="H504" s="48" t="s">
        <v>451</v>
      </c>
    </row>
    <row r="505" spans="1:8" ht="16.2" x14ac:dyDescent="0.4">
      <c r="A505" s="15" t="str">
        <f t="shared" si="7"/>
        <v>lt002_instrumentissr_nace_sctr</v>
      </c>
      <c r="B505" s="46" t="s">
        <v>10</v>
      </c>
      <c r="C505" s="43" t="s">
        <v>10</v>
      </c>
      <c r="D505" s="39" t="s">
        <v>17</v>
      </c>
      <c r="E505" s="42" t="s">
        <v>335</v>
      </c>
      <c r="F505" s="42" t="s">
        <v>368</v>
      </c>
      <c r="G505" s="41" t="s">
        <v>11</v>
      </c>
      <c r="H505" s="48" t="s">
        <v>451</v>
      </c>
    </row>
    <row r="506" spans="1:8" ht="16.2" x14ac:dyDescent="0.4">
      <c r="A506" s="15" t="str">
        <f t="shared" si="7"/>
        <v>lt002_instrumentprmry_asst_clssf</v>
      </c>
      <c r="B506" s="46" t="s">
        <v>10</v>
      </c>
      <c r="C506" s="43" t="s">
        <v>10</v>
      </c>
      <c r="D506" s="39" t="s">
        <v>17</v>
      </c>
      <c r="E506" s="42" t="s">
        <v>335</v>
      </c>
      <c r="F506" s="42" t="s">
        <v>369</v>
      </c>
      <c r="G506" s="41" t="s">
        <v>11</v>
      </c>
      <c r="H506" s="48" t="s">
        <v>451</v>
      </c>
    </row>
    <row r="507" spans="1:8" ht="16.2" x14ac:dyDescent="0.4">
      <c r="A507" s="15" t="str">
        <f t="shared" si="7"/>
        <v>lt002_instrumentsubportfolio_id</v>
      </c>
      <c r="B507" s="46" t="s">
        <v>10</v>
      </c>
      <c r="C507" s="43" t="s">
        <v>10</v>
      </c>
      <c r="D507" s="39" t="s">
        <v>17</v>
      </c>
      <c r="E507" s="42" t="s">
        <v>335</v>
      </c>
      <c r="F507" s="42" t="s">
        <v>370</v>
      </c>
      <c r="G507" s="41" t="s">
        <v>11</v>
      </c>
      <c r="H507" s="48" t="s">
        <v>451</v>
      </c>
    </row>
    <row r="508" spans="1:8" ht="16.2" x14ac:dyDescent="0.4">
      <c r="A508" s="15" t="str">
        <f t="shared" si="7"/>
        <v>lt002_instrumentcod_soc</v>
      </c>
      <c r="B508" s="46" t="s">
        <v>10</v>
      </c>
      <c r="C508" s="43" t="s">
        <v>10</v>
      </c>
      <c r="D508" s="39" t="s">
        <v>17</v>
      </c>
      <c r="E508" s="42" t="s">
        <v>335</v>
      </c>
      <c r="F508" s="42" t="s">
        <v>371</v>
      </c>
      <c r="G508" s="41" t="s">
        <v>11</v>
      </c>
      <c r="H508" s="48" t="s">
        <v>451</v>
      </c>
    </row>
    <row r="509" spans="1:8" ht="16.2" x14ac:dyDescent="0.4">
      <c r="A509" s="15" t="str">
        <f t="shared" si="7"/>
        <v>lt002_instrumentlcl_instmrnt_id</v>
      </c>
      <c r="B509" s="46" t="s">
        <v>10</v>
      </c>
      <c r="C509" s="43" t="s">
        <v>10</v>
      </c>
      <c r="D509" s="39" t="s">
        <v>17</v>
      </c>
      <c r="E509" s="42" t="s">
        <v>335</v>
      </c>
      <c r="F509" s="42" t="s">
        <v>372</v>
      </c>
      <c r="G509" s="41" t="s">
        <v>11</v>
      </c>
      <c r="H509" s="48" t="s">
        <v>451</v>
      </c>
    </row>
    <row r="510" spans="1:8" ht="16.2" x14ac:dyDescent="0.4">
      <c r="A510" s="15" t="str">
        <f t="shared" si="7"/>
        <v>lt002_instrumentsstnbl_indctr</v>
      </c>
      <c r="B510" s="46" t="s">
        <v>10</v>
      </c>
      <c r="C510" s="43" t="s">
        <v>10</v>
      </c>
      <c r="D510" s="39" t="s">
        <v>17</v>
      </c>
      <c r="E510" s="42" t="s">
        <v>335</v>
      </c>
      <c r="F510" s="42" t="s">
        <v>373</v>
      </c>
      <c r="G510" s="41" t="s">
        <v>11</v>
      </c>
      <c r="H510" s="48" t="s">
        <v>451</v>
      </c>
    </row>
    <row r="511" spans="1:8" ht="16.2" x14ac:dyDescent="0.4">
      <c r="A511" s="15" t="str">
        <f t="shared" si="7"/>
        <v>lt002_instrumentsstnbl_ctgry</v>
      </c>
      <c r="B511" s="46" t="s">
        <v>10</v>
      </c>
      <c r="C511" s="43" t="s">
        <v>10</v>
      </c>
      <c r="D511" s="39" t="s">
        <v>17</v>
      </c>
      <c r="E511" s="42" t="s">
        <v>335</v>
      </c>
      <c r="F511" s="42" t="s">
        <v>374</v>
      </c>
      <c r="G511" s="41" t="s">
        <v>11</v>
      </c>
      <c r="H511" s="48" t="s">
        <v>451</v>
      </c>
    </row>
    <row r="512" spans="1:8" ht="16.2" x14ac:dyDescent="0.4">
      <c r="A512" s="15" t="str">
        <f t="shared" si="7"/>
        <v>lt002_instrumentgrss_intrst_incm</v>
      </c>
      <c r="B512" s="46" t="s">
        <v>10</v>
      </c>
      <c r="C512" s="43" t="s">
        <v>10</v>
      </c>
      <c r="D512" s="39" t="s">
        <v>17</v>
      </c>
      <c r="E512" s="42" t="s">
        <v>335</v>
      </c>
      <c r="F512" s="42" t="s">
        <v>375</v>
      </c>
      <c r="G512" s="41" t="s">
        <v>11</v>
      </c>
      <c r="H512" s="48" t="s">
        <v>451</v>
      </c>
    </row>
    <row r="513" spans="1:8" ht="16.2" x14ac:dyDescent="0.4">
      <c r="A513" s="15" t="str">
        <f t="shared" si="7"/>
        <v>lt002_instrumentgrss_cmmssn_incm</v>
      </c>
      <c r="B513" s="46" t="s">
        <v>10</v>
      </c>
      <c r="C513" s="43" t="s">
        <v>10</v>
      </c>
      <c r="D513" s="39" t="s">
        <v>17</v>
      </c>
      <c r="E513" s="42" t="s">
        <v>335</v>
      </c>
      <c r="F513" s="42" t="s">
        <v>376</v>
      </c>
      <c r="G513" s="41" t="s">
        <v>11</v>
      </c>
      <c r="H513" s="48" t="s">
        <v>451</v>
      </c>
    </row>
    <row r="514" spans="1:8" ht="16.2" x14ac:dyDescent="0.4">
      <c r="A514" s="15" t="str">
        <f t="shared" si="7"/>
        <v>lt002_instrumentgrss_cmmssn_incm_off_blnc</v>
      </c>
      <c r="B514" s="46" t="s">
        <v>10</v>
      </c>
      <c r="C514" s="43" t="s">
        <v>10</v>
      </c>
      <c r="D514" s="39" t="s">
        <v>17</v>
      </c>
      <c r="E514" s="42" t="s">
        <v>335</v>
      </c>
      <c r="F514" s="42" t="s">
        <v>377</v>
      </c>
      <c r="G514" s="41" t="s">
        <v>11</v>
      </c>
      <c r="H514" s="48" t="s">
        <v>451</v>
      </c>
    </row>
    <row r="515" spans="1:8" ht="16.2" x14ac:dyDescent="0.4">
      <c r="A515" s="15" t="str">
        <f t="shared" si="7"/>
        <v>lt002_instrumentidcmb</v>
      </c>
      <c r="B515" s="46" t="s">
        <v>10</v>
      </c>
      <c r="C515" s="43" t="s">
        <v>10</v>
      </c>
      <c r="D515" s="39" t="s">
        <v>17</v>
      </c>
      <c r="E515" s="42" t="s">
        <v>335</v>
      </c>
      <c r="F515" s="42" t="s">
        <v>378</v>
      </c>
      <c r="G515" s="41" t="s">
        <v>11</v>
      </c>
      <c r="H515" s="48" t="s">
        <v>451</v>
      </c>
    </row>
    <row r="516" spans="1:8" ht="16.2" x14ac:dyDescent="0.4">
      <c r="A516" s="15" t="str">
        <f t="shared" si="7"/>
        <v>lt003_entitycntry</v>
      </c>
      <c r="B516" s="46" t="s">
        <v>10</v>
      </c>
      <c r="C516" s="43" t="s">
        <v>10</v>
      </c>
      <c r="D516" s="39" t="s">
        <v>17</v>
      </c>
      <c r="E516" s="42" t="s">
        <v>292</v>
      </c>
      <c r="F516" s="42" t="s">
        <v>379</v>
      </c>
      <c r="G516" s="41" t="s">
        <v>431</v>
      </c>
      <c r="H516" s="48" t="s">
        <v>451</v>
      </c>
    </row>
    <row r="517" spans="1:8" ht="16.2" x14ac:dyDescent="0.4">
      <c r="A517" s="15" t="str">
        <f t="shared" si="7"/>
        <v>lt003_entitydt_rfrnc</v>
      </c>
      <c r="B517" s="46" t="s">
        <v>10</v>
      </c>
      <c r="C517" s="43" t="s">
        <v>10</v>
      </c>
      <c r="D517" s="39" t="s">
        <v>17</v>
      </c>
      <c r="E517" s="42" t="s">
        <v>292</v>
      </c>
      <c r="F517" s="42" t="s">
        <v>354</v>
      </c>
      <c r="G517" s="41" t="s">
        <v>11</v>
      </c>
      <c r="H517" s="48" t="s">
        <v>451</v>
      </c>
    </row>
    <row r="518" spans="1:8" ht="16.2" x14ac:dyDescent="0.4">
      <c r="A518" s="15" t="str">
        <f t="shared" si="7"/>
        <v>lt003_entityentty_id</v>
      </c>
      <c r="B518" s="46" t="s">
        <v>10</v>
      </c>
      <c r="C518" s="43" t="s">
        <v>10</v>
      </c>
      <c r="D518" s="39" t="s">
        <v>17</v>
      </c>
      <c r="E518" s="42" t="s">
        <v>292</v>
      </c>
      <c r="F518" s="42" t="s">
        <v>380</v>
      </c>
      <c r="G518" s="41" t="s">
        <v>11</v>
      </c>
      <c r="H518" s="48" t="s">
        <v>451</v>
      </c>
    </row>
    <row r="519" spans="1:8" ht="16.2" x14ac:dyDescent="0.4">
      <c r="A519" s="15" t="str">
        <f t="shared" si="7"/>
        <v>lt003_entitylei</v>
      </c>
      <c r="B519" s="46" t="s">
        <v>10</v>
      </c>
      <c r="C519" s="43" t="s">
        <v>10</v>
      </c>
      <c r="D519" s="39" t="s">
        <v>17</v>
      </c>
      <c r="E519" s="42" t="s">
        <v>292</v>
      </c>
      <c r="F519" s="42" t="s">
        <v>381</v>
      </c>
      <c r="G519" s="41" t="s">
        <v>151</v>
      </c>
      <c r="H519" s="48" t="s">
        <v>451</v>
      </c>
    </row>
    <row r="520" spans="1:8" ht="16.2" x14ac:dyDescent="0.4">
      <c r="A520" s="15" t="str">
        <f t="shared" ref="A520:A583" si="8">E520&amp;F520</f>
        <v>lt003_entityecnmc_actvty</v>
      </c>
      <c r="B520" s="46" t="s">
        <v>10</v>
      </c>
      <c r="C520" s="43" t="s">
        <v>10</v>
      </c>
      <c r="D520" s="39" t="s">
        <v>17</v>
      </c>
      <c r="E520" s="42" t="s">
        <v>292</v>
      </c>
      <c r="F520" s="42" t="s">
        <v>382</v>
      </c>
      <c r="G520" s="41" t="s">
        <v>151</v>
      </c>
      <c r="H520" s="48" t="s">
        <v>451</v>
      </c>
    </row>
    <row r="521" spans="1:8" ht="16.2" x14ac:dyDescent="0.4">
      <c r="A521" s="15" t="str">
        <f t="shared" si="8"/>
        <v>lt003_entitygrp_eqty</v>
      </c>
      <c r="B521" s="46" t="s">
        <v>10</v>
      </c>
      <c r="C521" s="43" t="s">
        <v>10</v>
      </c>
      <c r="D521" s="39" t="s">
        <v>17</v>
      </c>
      <c r="E521" s="42" t="s">
        <v>292</v>
      </c>
      <c r="F521" s="42" t="s">
        <v>383</v>
      </c>
      <c r="G521" s="41" t="s">
        <v>151</v>
      </c>
      <c r="H521" s="48" t="s">
        <v>451</v>
      </c>
    </row>
    <row r="522" spans="1:8" ht="16.2" x14ac:dyDescent="0.4">
      <c r="A522" s="15" t="str">
        <f t="shared" si="8"/>
        <v>lt003_entityannl_trnvr_le</v>
      </c>
      <c r="B522" s="46" t="s">
        <v>10</v>
      </c>
      <c r="C522" s="43" t="s">
        <v>10</v>
      </c>
      <c r="D522" s="39" t="s">
        <v>17</v>
      </c>
      <c r="E522" s="42" t="s">
        <v>292</v>
      </c>
      <c r="F522" s="42" t="s">
        <v>384</v>
      </c>
      <c r="G522" s="41" t="s">
        <v>151</v>
      </c>
      <c r="H522" s="48" t="s">
        <v>451</v>
      </c>
    </row>
    <row r="523" spans="1:8" ht="16.2" x14ac:dyDescent="0.4">
      <c r="A523" s="15" t="str">
        <f t="shared" si="8"/>
        <v>lt003_entityeqty</v>
      </c>
      <c r="B523" s="46" t="s">
        <v>10</v>
      </c>
      <c r="C523" s="43" t="s">
        <v>10</v>
      </c>
      <c r="D523" s="39" t="s">
        <v>17</v>
      </c>
      <c r="E523" s="42" t="s">
        <v>292</v>
      </c>
      <c r="F523" s="42" t="s">
        <v>385</v>
      </c>
      <c r="G523" s="41" t="s">
        <v>151</v>
      </c>
      <c r="H523" s="48" t="s">
        <v>451</v>
      </c>
    </row>
    <row r="524" spans="1:8" ht="16.2" x14ac:dyDescent="0.4">
      <c r="A524" s="15" t="str">
        <f t="shared" si="8"/>
        <v>lt003_entitygrp_ttl_dbt</v>
      </c>
      <c r="B524" s="46" t="s">
        <v>10</v>
      </c>
      <c r="C524" s="43" t="s">
        <v>10</v>
      </c>
      <c r="D524" s="39" t="s">
        <v>17</v>
      </c>
      <c r="E524" s="42" t="s">
        <v>292</v>
      </c>
      <c r="F524" s="42" t="s">
        <v>386</v>
      </c>
      <c r="G524" s="41" t="s">
        <v>151</v>
      </c>
      <c r="H524" s="48" t="s">
        <v>451</v>
      </c>
    </row>
    <row r="525" spans="1:8" ht="16.2" x14ac:dyDescent="0.4">
      <c r="A525" s="15" t="str">
        <f t="shared" si="8"/>
        <v>lt003_entityttl_dbt</v>
      </c>
      <c r="B525" s="46" t="s">
        <v>10</v>
      </c>
      <c r="C525" s="43" t="s">
        <v>10</v>
      </c>
      <c r="D525" s="39" t="s">
        <v>17</v>
      </c>
      <c r="E525" s="42" t="s">
        <v>292</v>
      </c>
      <c r="F525" s="42" t="s">
        <v>387</v>
      </c>
      <c r="G525" s="41" t="s">
        <v>151</v>
      </c>
      <c r="H525" s="48" t="s">
        <v>451</v>
      </c>
    </row>
    <row r="526" spans="1:8" ht="16.2" x14ac:dyDescent="0.4">
      <c r="A526" s="15" t="str">
        <f t="shared" si="8"/>
        <v>lt003_entitycod_soc</v>
      </c>
      <c r="B526" s="46" t="s">
        <v>10</v>
      </c>
      <c r="C526" s="43" t="s">
        <v>10</v>
      </c>
      <c r="D526" s="39" t="s">
        <v>17</v>
      </c>
      <c r="E526" s="42" t="s">
        <v>292</v>
      </c>
      <c r="F526" s="42" t="s">
        <v>371</v>
      </c>
      <c r="G526" s="41" t="s">
        <v>431</v>
      </c>
      <c r="H526" s="48" t="s">
        <v>451</v>
      </c>
    </row>
    <row r="527" spans="1:8" ht="16.2" x14ac:dyDescent="0.4">
      <c r="A527" s="15" t="str">
        <f t="shared" si="8"/>
        <v>lt004_protectiondt_rfrnc</v>
      </c>
      <c r="B527" s="46" t="s">
        <v>10</v>
      </c>
      <c r="C527" s="43" t="s">
        <v>10</v>
      </c>
      <c r="D527" s="39" t="s">
        <v>17</v>
      </c>
      <c r="E527" s="42" t="s">
        <v>324</v>
      </c>
      <c r="F527" s="42" t="s">
        <v>354</v>
      </c>
      <c r="G527" s="41" t="s">
        <v>11</v>
      </c>
      <c r="H527" s="48" t="s">
        <v>451</v>
      </c>
    </row>
    <row r="528" spans="1:8" ht="16.2" x14ac:dyDescent="0.4">
      <c r="A528" s="15" t="str">
        <f t="shared" si="8"/>
        <v>lt004_protectionprtctn_id</v>
      </c>
      <c r="B528" s="46" t="s">
        <v>10</v>
      </c>
      <c r="C528" s="43" t="s">
        <v>10</v>
      </c>
      <c r="D528" s="39" t="s">
        <v>17</v>
      </c>
      <c r="E528" s="42" t="s">
        <v>324</v>
      </c>
      <c r="F528" s="42" t="s">
        <v>388</v>
      </c>
      <c r="G528" s="41" t="s">
        <v>11</v>
      </c>
      <c r="H528" s="48" t="s">
        <v>451</v>
      </c>
    </row>
    <row r="529" spans="1:8" ht="16.2" x14ac:dyDescent="0.4">
      <c r="A529" s="15" t="str">
        <f t="shared" si="8"/>
        <v>lt004_protectionrl_estt_clltrl_lctn</v>
      </c>
      <c r="B529" s="46" t="s">
        <v>10</v>
      </c>
      <c r="C529" s="43" t="s">
        <v>10</v>
      </c>
      <c r="D529" s="39" t="s">
        <v>17</v>
      </c>
      <c r="E529" s="42" t="s">
        <v>324</v>
      </c>
      <c r="F529" s="42" t="s">
        <v>389</v>
      </c>
      <c r="G529" s="41" t="s">
        <v>11</v>
      </c>
      <c r="H529" s="48" t="s">
        <v>451</v>
      </c>
    </row>
    <row r="530" spans="1:8" ht="16.2" x14ac:dyDescent="0.4">
      <c r="A530" s="15" t="str">
        <f t="shared" si="8"/>
        <v>lt004_protectionrl_estt_pst_cd</v>
      </c>
      <c r="B530" s="46" t="s">
        <v>10</v>
      </c>
      <c r="C530" s="43" t="s">
        <v>10</v>
      </c>
      <c r="D530" s="39" t="s">
        <v>17</v>
      </c>
      <c r="E530" s="42" t="s">
        <v>324</v>
      </c>
      <c r="F530" s="42" t="s">
        <v>390</v>
      </c>
      <c r="G530" s="41" t="s">
        <v>11</v>
      </c>
      <c r="H530" s="48" t="s">
        <v>451</v>
      </c>
    </row>
    <row r="531" spans="1:8" ht="16.2" x14ac:dyDescent="0.4">
      <c r="A531" s="15" t="str">
        <f t="shared" si="8"/>
        <v>lt004_protectiontyp_prtctn</v>
      </c>
      <c r="B531" s="46" t="s">
        <v>10</v>
      </c>
      <c r="C531" s="43" t="s">
        <v>10</v>
      </c>
      <c r="D531" s="39" t="s">
        <v>17</v>
      </c>
      <c r="E531" s="42" t="s">
        <v>324</v>
      </c>
      <c r="F531" s="42" t="s">
        <v>391</v>
      </c>
      <c r="G531" s="41" t="s">
        <v>11</v>
      </c>
      <c r="H531" s="48" t="s">
        <v>451</v>
      </c>
    </row>
    <row r="532" spans="1:8" ht="16.2" x14ac:dyDescent="0.4">
      <c r="A532" s="15" t="str">
        <f t="shared" si="8"/>
        <v>lt004_protectionorgnl_prtctn_vl</v>
      </c>
      <c r="B532" s="46" t="s">
        <v>10</v>
      </c>
      <c r="C532" s="43" t="s">
        <v>10</v>
      </c>
      <c r="D532" s="39" t="s">
        <v>17</v>
      </c>
      <c r="E532" s="42" t="s">
        <v>324</v>
      </c>
      <c r="F532" s="42" t="s">
        <v>392</v>
      </c>
      <c r="G532" s="41" t="s">
        <v>11</v>
      </c>
      <c r="H532" s="48" t="s">
        <v>451</v>
      </c>
    </row>
    <row r="533" spans="1:8" ht="16.2" x14ac:dyDescent="0.4">
      <c r="A533" s="15" t="str">
        <f t="shared" si="8"/>
        <v>lt004_protectionprtctn_vl</v>
      </c>
      <c r="B533" s="46" t="s">
        <v>10</v>
      </c>
      <c r="C533" s="43" t="s">
        <v>10</v>
      </c>
      <c r="D533" s="39" t="s">
        <v>17</v>
      </c>
      <c r="E533" s="42" t="s">
        <v>324</v>
      </c>
      <c r="F533" s="42" t="s">
        <v>393</v>
      </c>
      <c r="G533" s="41" t="s">
        <v>11</v>
      </c>
      <c r="H533" s="48" t="s">
        <v>451</v>
      </c>
    </row>
    <row r="534" spans="1:8" ht="16.2" x14ac:dyDescent="0.4">
      <c r="A534" s="15" t="str">
        <f t="shared" si="8"/>
        <v>lt004_protectioncod_soc</v>
      </c>
      <c r="B534" s="46" t="s">
        <v>10</v>
      </c>
      <c r="C534" s="43" t="s">
        <v>10</v>
      </c>
      <c r="D534" s="39" t="s">
        <v>17</v>
      </c>
      <c r="E534" s="42" t="s">
        <v>324</v>
      </c>
      <c r="F534" s="42" t="s">
        <v>371</v>
      </c>
      <c r="G534" s="41" t="s">
        <v>11</v>
      </c>
      <c r="H534" s="48" t="s">
        <v>451</v>
      </c>
    </row>
    <row r="535" spans="1:8" ht="16.2" x14ac:dyDescent="0.4">
      <c r="A535" s="15" t="str">
        <f t="shared" si="8"/>
        <v>lt005_instr_entdt_rfrnc</v>
      </c>
      <c r="B535" s="46" t="s">
        <v>10</v>
      </c>
      <c r="C535" s="43" t="s">
        <v>10</v>
      </c>
      <c r="D535" s="39" t="s">
        <v>17</v>
      </c>
      <c r="E535" s="42" t="s">
        <v>394</v>
      </c>
      <c r="F535" s="42" t="s">
        <v>354</v>
      </c>
      <c r="G535" s="41" t="s">
        <v>11</v>
      </c>
      <c r="H535" s="48" t="s">
        <v>451</v>
      </c>
    </row>
    <row r="536" spans="1:8" ht="16.2" x14ac:dyDescent="0.4">
      <c r="A536" s="15" t="str">
        <f t="shared" si="8"/>
        <v>lt005_instr_ententty_id</v>
      </c>
      <c r="B536" s="46" t="s">
        <v>10</v>
      </c>
      <c r="C536" s="43" t="s">
        <v>10</v>
      </c>
      <c r="D536" s="39" t="s">
        <v>17</v>
      </c>
      <c r="E536" s="42" t="s">
        <v>394</v>
      </c>
      <c r="F536" s="42" t="s">
        <v>380</v>
      </c>
      <c r="G536" s="41" t="s">
        <v>11</v>
      </c>
      <c r="H536" s="48" t="s">
        <v>451</v>
      </c>
    </row>
    <row r="537" spans="1:8" ht="16.2" x14ac:dyDescent="0.4">
      <c r="A537" s="15" t="str">
        <f t="shared" si="8"/>
        <v>lt005_instr_entinstrmnt_id</v>
      </c>
      <c r="B537" s="46" t="s">
        <v>10</v>
      </c>
      <c r="C537" s="43" t="s">
        <v>10</v>
      </c>
      <c r="D537" s="39" t="s">
        <v>17</v>
      </c>
      <c r="E537" s="42" t="s">
        <v>394</v>
      </c>
      <c r="F537" s="42" t="s">
        <v>355</v>
      </c>
      <c r="G537" s="41" t="s">
        <v>11</v>
      </c>
      <c r="H537" s="48" t="s">
        <v>451</v>
      </c>
    </row>
    <row r="538" spans="1:8" ht="16.2" x14ac:dyDescent="0.4">
      <c r="A538" s="15" t="str">
        <f t="shared" si="8"/>
        <v>lt005_instr_entcod_soc</v>
      </c>
      <c r="B538" s="46" t="s">
        <v>10</v>
      </c>
      <c r="C538" s="43" t="s">
        <v>10</v>
      </c>
      <c r="D538" s="39" t="s">
        <v>17</v>
      </c>
      <c r="E538" s="42" t="s">
        <v>394</v>
      </c>
      <c r="F538" s="42" t="s">
        <v>371</v>
      </c>
      <c r="G538" s="41" t="s">
        <v>11</v>
      </c>
      <c r="H538" s="48" t="s">
        <v>451</v>
      </c>
    </row>
    <row r="539" spans="1:8" ht="16.2" x14ac:dyDescent="0.4">
      <c r="A539" s="15" t="str">
        <f t="shared" si="8"/>
        <v>lt005_instr_entmn_entty_id</v>
      </c>
      <c r="B539" s="46" t="s">
        <v>10</v>
      </c>
      <c r="C539" s="43" t="s">
        <v>10</v>
      </c>
      <c r="D539" s="39" t="s">
        <v>17</v>
      </c>
      <c r="E539" s="42" t="s">
        <v>394</v>
      </c>
      <c r="F539" s="42" t="s">
        <v>395</v>
      </c>
      <c r="G539" s="41" t="s">
        <v>11</v>
      </c>
      <c r="H539" s="48" t="s">
        <v>451</v>
      </c>
    </row>
    <row r="540" spans="1:8" ht="16.2" x14ac:dyDescent="0.4">
      <c r="A540" s="15" t="str">
        <f t="shared" si="8"/>
        <v>lt006_instr_protdt_rfrnc</v>
      </c>
      <c r="B540" s="46" t="s">
        <v>10</v>
      </c>
      <c r="C540" s="43" t="s">
        <v>10</v>
      </c>
      <c r="D540" s="39" t="s">
        <v>17</v>
      </c>
      <c r="E540" s="42" t="s">
        <v>396</v>
      </c>
      <c r="F540" s="42" t="s">
        <v>354</v>
      </c>
      <c r="G540" s="41" t="s">
        <v>11</v>
      </c>
      <c r="H540" s="48" t="s">
        <v>451</v>
      </c>
    </row>
    <row r="541" spans="1:8" ht="16.2" x14ac:dyDescent="0.4">
      <c r="A541" s="15" t="str">
        <f t="shared" si="8"/>
        <v>lt006_instr_protinstrmnt_id</v>
      </c>
      <c r="B541" s="46" t="s">
        <v>10</v>
      </c>
      <c r="C541" s="43" t="s">
        <v>10</v>
      </c>
      <c r="D541" s="39" t="s">
        <v>17</v>
      </c>
      <c r="E541" s="42" t="s">
        <v>396</v>
      </c>
      <c r="F541" s="42" t="s">
        <v>355</v>
      </c>
      <c r="G541" s="41" t="s">
        <v>11</v>
      </c>
      <c r="H541" s="48" t="s">
        <v>451</v>
      </c>
    </row>
    <row r="542" spans="1:8" ht="16.2" x14ac:dyDescent="0.4">
      <c r="A542" s="15" t="str">
        <f t="shared" si="8"/>
        <v>lt006_instr_protprtctn_id</v>
      </c>
      <c r="B542" s="46" t="s">
        <v>10</v>
      </c>
      <c r="C542" s="43" t="s">
        <v>10</v>
      </c>
      <c r="D542" s="39" t="s">
        <v>17</v>
      </c>
      <c r="E542" s="42" t="s">
        <v>396</v>
      </c>
      <c r="F542" s="42" t="s">
        <v>388</v>
      </c>
      <c r="G542" s="41" t="s">
        <v>11</v>
      </c>
      <c r="H542" s="48" t="s">
        <v>451</v>
      </c>
    </row>
    <row r="543" spans="1:8" ht="16.2" x14ac:dyDescent="0.4">
      <c r="A543" s="15" t="str">
        <f t="shared" si="8"/>
        <v>lt006_instr_protprtctn_allctd_vl</v>
      </c>
      <c r="B543" s="46" t="s">
        <v>10</v>
      </c>
      <c r="C543" s="43" t="s">
        <v>10</v>
      </c>
      <c r="D543" s="39" t="s">
        <v>17</v>
      </c>
      <c r="E543" s="42" t="s">
        <v>396</v>
      </c>
      <c r="F543" s="42" t="s">
        <v>397</v>
      </c>
      <c r="G543" s="41" t="s">
        <v>11</v>
      </c>
      <c r="H543" s="48" t="s">
        <v>451</v>
      </c>
    </row>
    <row r="544" spans="1:8" ht="16.2" x14ac:dyDescent="0.4">
      <c r="A544" s="15" t="str">
        <f t="shared" si="8"/>
        <v>lt006_instr_protcod_soc</v>
      </c>
      <c r="B544" s="46" t="s">
        <v>10</v>
      </c>
      <c r="C544" s="43" t="s">
        <v>10</v>
      </c>
      <c r="D544" s="39" t="s">
        <v>17</v>
      </c>
      <c r="E544" s="42" t="s">
        <v>396</v>
      </c>
      <c r="F544" s="42" t="s">
        <v>371</v>
      </c>
      <c r="G544" s="41" t="s">
        <v>11</v>
      </c>
      <c r="H544" s="48" t="s">
        <v>451</v>
      </c>
    </row>
    <row r="545" spans="1:8" ht="16.2" x14ac:dyDescent="0.4">
      <c r="A545" s="15" t="str">
        <f t="shared" si="8"/>
        <v>lt002_insrmntn.a.</v>
      </c>
      <c r="B545" s="46" t="s">
        <v>12</v>
      </c>
      <c r="C545" s="43" t="s">
        <v>12</v>
      </c>
      <c r="D545" s="39" t="s">
        <v>14</v>
      </c>
      <c r="E545" s="42" t="s">
        <v>398</v>
      </c>
      <c r="F545" s="42" t="s">
        <v>16</v>
      </c>
      <c r="G545" s="41" t="s">
        <v>151</v>
      </c>
      <c r="H545" s="48"/>
    </row>
    <row r="546" spans="1:8" ht="16.2" x14ac:dyDescent="0.4">
      <c r="A546" s="15" t="str">
        <f t="shared" si="8"/>
        <v>lt002_insrmntsstnbl_ctgry</v>
      </c>
      <c r="B546" s="46" t="s">
        <v>12</v>
      </c>
      <c r="C546" s="43" t="s">
        <v>12</v>
      </c>
      <c r="D546" s="39" t="s">
        <v>17</v>
      </c>
      <c r="E546" s="42" t="s">
        <v>398</v>
      </c>
      <c r="F546" s="42" t="s">
        <v>374</v>
      </c>
      <c r="G546" s="41" t="s">
        <v>432</v>
      </c>
      <c r="H546" s="48"/>
    </row>
    <row r="547" spans="1:8" ht="16.2" x14ac:dyDescent="0.4">
      <c r="A547" s="15" t="str">
        <f t="shared" si="8"/>
        <v>lt002_insrmntdflt_stts_instrmnt</v>
      </c>
      <c r="B547" s="46" t="s">
        <v>12</v>
      </c>
      <c r="C547" s="43" t="s">
        <v>12</v>
      </c>
      <c r="D547" s="39" t="s">
        <v>17</v>
      </c>
      <c r="E547" s="42" t="s">
        <v>398</v>
      </c>
      <c r="F547" s="42" t="s">
        <v>357</v>
      </c>
      <c r="G547" s="41" t="s">
        <v>431</v>
      </c>
      <c r="H547" s="57"/>
    </row>
    <row r="548" spans="1:8" ht="16.2" x14ac:dyDescent="0.4">
      <c r="A548" s="15" t="str">
        <f t="shared" si="8"/>
        <v>lt002_insrmntaccmltd_chngs_fv_cr_instrmnt</v>
      </c>
      <c r="B548" s="46" t="s">
        <v>12</v>
      </c>
      <c r="C548" s="43" t="s">
        <v>12</v>
      </c>
      <c r="D548" s="39" t="s">
        <v>17</v>
      </c>
      <c r="E548" s="42" t="s">
        <v>398</v>
      </c>
      <c r="F548" s="42" t="s">
        <v>363</v>
      </c>
      <c r="G548" s="41" t="s">
        <v>431</v>
      </c>
      <c r="H548" s="57"/>
    </row>
    <row r="549" spans="1:8" ht="16.2" x14ac:dyDescent="0.4">
      <c r="A549" s="15" t="str">
        <f t="shared" si="8"/>
        <v>lt002_insrmntaccmltd_imprmnt_instrmnt</v>
      </c>
      <c r="B549" s="46" t="s">
        <v>12</v>
      </c>
      <c r="C549" s="43" t="s">
        <v>12</v>
      </c>
      <c r="D549" s="39" t="s">
        <v>17</v>
      </c>
      <c r="E549" s="42" t="s">
        <v>398</v>
      </c>
      <c r="F549" s="42" t="s">
        <v>366</v>
      </c>
      <c r="G549" s="41" t="s">
        <v>431</v>
      </c>
      <c r="H549" s="57"/>
    </row>
    <row r="550" spans="1:8" ht="16.2" x14ac:dyDescent="0.4">
      <c r="A550" s="15" t="str">
        <f t="shared" si="8"/>
        <v>lt002_insrmntaccntng_clssfctn</v>
      </c>
      <c r="B550" s="46" t="s">
        <v>12</v>
      </c>
      <c r="C550" s="43" t="s">
        <v>12</v>
      </c>
      <c r="D550" s="39" t="s">
        <v>17</v>
      </c>
      <c r="E550" s="42" t="s">
        <v>398</v>
      </c>
      <c r="F550" s="42" t="s">
        <v>364</v>
      </c>
      <c r="G550" s="41" t="s">
        <v>431</v>
      </c>
      <c r="H550" s="57"/>
    </row>
    <row r="551" spans="1:8" ht="16.2" x14ac:dyDescent="0.4">
      <c r="A551" s="15" t="str">
        <f t="shared" si="8"/>
        <v>lt002_insrmntcod_soc</v>
      </c>
      <c r="B551" s="46" t="s">
        <v>12</v>
      </c>
      <c r="C551" s="43" t="s">
        <v>12</v>
      </c>
      <c r="D551" s="39" t="s">
        <v>17</v>
      </c>
      <c r="E551" s="42" t="s">
        <v>398</v>
      </c>
      <c r="F551" s="42" t="s">
        <v>371</v>
      </c>
      <c r="G551" s="41" t="s">
        <v>431</v>
      </c>
      <c r="H551" s="57"/>
    </row>
    <row r="552" spans="1:8" ht="16.2" x14ac:dyDescent="0.4">
      <c r="A552" s="15" t="str">
        <f t="shared" si="8"/>
        <v>lt002_insrmntdt_rfrnc</v>
      </c>
      <c r="B552" s="46" t="s">
        <v>12</v>
      </c>
      <c r="C552" s="43" t="s">
        <v>12</v>
      </c>
      <c r="D552" s="39" t="s">
        <v>17</v>
      </c>
      <c r="E552" s="42" t="s">
        <v>398</v>
      </c>
      <c r="F552" s="42" t="s">
        <v>354</v>
      </c>
      <c r="G552" s="41" t="s">
        <v>431</v>
      </c>
      <c r="H552" s="57"/>
    </row>
    <row r="553" spans="1:8" ht="16.2" x14ac:dyDescent="0.4">
      <c r="A553" s="15" t="str">
        <f t="shared" si="8"/>
        <v>lt002_insrmntgrss_crryng_amnt_instrmnt</v>
      </c>
      <c r="B553" s="46" t="s">
        <v>12</v>
      </c>
      <c r="C553" s="43" t="s">
        <v>12</v>
      </c>
      <c r="D553" s="39" t="s">
        <v>17</v>
      </c>
      <c r="E553" s="42" t="s">
        <v>398</v>
      </c>
      <c r="F553" s="42" t="s">
        <v>362</v>
      </c>
      <c r="G553" s="41" t="s">
        <v>431</v>
      </c>
      <c r="H553" s="57"/>
    </row>
    <row r="554" spans="1:8" ht="16.2" x14ac:dyDescent="0.4">
      <c r="A554" s="15" t="str">
        <f t="shared" si="8"/>
        <v>lt002_insrmntidcmb</v>
      </c>
      <c r="B554" s="46" t="s">
        <v>12</v>
      </c>
      <c r="C554" s="43" t="s">
        <v>12</v>
      </c>
      <c r="D554" s="39" t="s">
        <v>17</v>
      </c>
      <c r="E554" s="42" t="s">
        <v>398</v>
      </c>
      <c r="F554" s="42" t="s">
        <v>378</v>
      </c>
      <c r="G554" s="41" t="s">
        <v>431</v>
      </c>
      <c r="H554" s="57"/>
    </row>
    <row r="555" spans="1:8" ht="16.2" x14ac:dyDescent="0.4">
      <c r="A555" s="15" t="str">
        <f t="shared" si="8"/>
        <v>lt002_insrmntimprmnt_stts</v>
      </c>
      <c r="B555" s="46" t="s">
        <v>12</v>
      </c>
      <c r="C555" s="43" t="s">
        <v>12</v>
      </c>
      <c r="D555" s="39" t="s">
        <v>17</v>
      </c>
      <c r="E555" s="42" t="s">
        <v>398</v>
      </c>
      <c r="F555" s="42" t="s">
        <v>358</v>
      </c>
      <c r="G555" s="41" t="s">
        <v>431</v>
      </c>
      <c r="H555" s="57"/>
    </row>
    <row r="556" spans="1:8" ht="16.2" x14ac:dyDescent="0.4">
      <c r="A556" s="15" t="str">
        <f t="shared" si="8"/>
        <v>lt002_insrmntinstrmnt_id</v>
      </c>
      <c r="B556" s="46" t="s">
        <v>12</v>
      </c>
      <c r="C556" s="43" t="s">
        <v>12</v>
      </c>
      <c r="D556" s="39" t="s">
        <v>17</v>
      </c>
      <c r="E556" s="42" t="s">
        <v>398</v>
      </c>
      <c r="F556" s="42" t="s">
        <v>355</v>
      </c>
      <c r="G556" s="41" t="s">
        <v>151</v>
      </c>
      <c r="H556" s="48"/>
    </row>
    <row r="557" spans="1:8" ht="16.2" x14ac:dyDescent="0.4">
      <c r="A557" s="15" t="str">
        <f t="shared" si="8"/>
        <v>lt002_insrmntlcl_instmrnt_id</v>
      </c>
      <c r="B557" s="46" t="s">
        <v>12</v>
      </c>
      <c r="C557" s="43" t="s">
        <v>12</v>
      </c>
      <c r="D557" s="39" t="s">
        <v>17</v>
      </c>
      <c r="E557" s="42" t="s">
        <v>398</v>
      </c>
      <c r="F557" s="42" t="s">
        <v>372</v>
      </c>
      <c r="G557" s="41" t="s">
        <v>431</v>
      </c>
      <c r="H557" s="57"/>
    </row>
    <row r="558" spans="1:8" ht="16.2" x14ac:dyDescent="0.4">
      <c r="A558" s="15" t="str">
        <f t="shared" si="8"/>
        <v>lt002_insrmntoff_blnc_sht_amnt_instrmnt</v>
      </c>
      <c r="B558" s="46" t="s">
        <v>12</v>
      </c>
      <c r="C558" s="43" t="s">
        <v>12</v>
      </c>
      <c r="D558" s="39" t="s">
        <v>17</v>
      </c>
      <c r="E558" s="42" t="s">
        <v>398</v>
      </c>
      <c r="F558" s="42" t="s">
        <v>399</v>
      </c>
      <c r="G558" s="41" t="s">
        <v>431</v>
      </c>
      <c r="H558" s="57"/>
    </row>
    <row r="559" spans="1:8" ht="16.2" x14ac:dyDescent="0.4">
      <c r="A559" s="15" t="str">
        <f t="shared" si="8"/>
        <v>lt002_insrmntprfrmng_stts</v>
      </c>
      <c r="B559" s="46" t="s">
        <v>12</v>
      </c>
      <c r="C559" s="43" t="s">
        <v>12</v>
      </c>
      <c r="D559" s="39" t="s">
        <v>17</v>
      </c>
      <c r="E559" s="42" t="s">
        <v>398</v>
      </c>
      <c r="F559" s="42" t="s">
        <v>359</v>
      </c>
      <c r="G559" s="41" t="s">
        <v>431</v>
      </c>
      <c r="H559" s="57"/>
    </row>
    <row r="560" spans="1:8" ht="16.2" x14ac:dyDescent="0.4">
      <c r="A560" s="15" t="str">
        <f t="shared" si="8"/>
        <v>lt002_insrmntprvsns_off_blnc_sht</v>
      </c>
      <c r="B560" s="46" t="s">
        <v>12</v>
      </c>
      <c r="C560" s="43" t="s">
        <v>12</v>
      </c>
      <c r="D560" s="39" t="s">
        <v>17</v>
      </c>
      <c r="E560" s="42" t="s">
        <v>398</v>
      </c>
      <c r="F560" s="42" t="s">
        <v>400</v>
      </c>
      <c r="G560" s="41" t="s">
        <v>431</v>
      </c>
      <c r="H560" s="57"/>
    </row>
    <row r="561" spans="1:8" ht="16.2" x14ac:dyDescent="0.4">
      <c r="A561" s="15" t="str">
        <f t="shared" si="8"/>
        <v>lt002_insrmntsubportfolio_id</v>
      </c>
      <c r="B561" s="46" t="s">
        <v>12</v>
      </c>
      <c r="C561" s="43" t="s">
        <v>12</v>
      </c>
      <c r="D561" s="39" t="s">
        <v>17</v>
      </c>
      <c r="E561" s="42" t="s">
        <v>398</v>
      </c>
      <c r="F561" s="42" t="s">
        <v>370</v>
      </c>
      <c r="G561" s="41" t="s">
        <v>431</v>
      </c>
      <c r="H561" s="57"/>
    </row>
    <row r="562" spans="1:8" ht="16.2" x14ac:dyDescent="0.4">
      <c r="A562" s="15" t="str">
        <f t="shared" si="8"/>
        <v>lt002_insrmnttyp_instrmnt</v>
      </c>
      <c r="B562" s="46" t="s">
        <v>12</v>
      </c>
      <c r="C562" s="43" t="s">
        <v>12</v>
      </c>
      <c r="D562" s="39" t="s">
        <v>17</v>
      </c>
      <c r="E562" s="42" t="s">
        <v>398</v>
      </c>
      <c r="F562" s="42" t="s">
        <v>361</v>
      </c>
      <c r="G562" s="41" t="s">
        <v>431</v>
      </c>
      <c r="H562" s="57"/>
    </row>
    <row r="563" spans="1:8" ht="16.2" x14ac:dyDescent="0.4">
      <c r="A563" s="15" t="str">
        <f t="shared" si="8"/>
        <v>lt002_insrmntrwa</v>
      </c>
      <c r="B563" s="46" t="s">
        <v>12</v>
      </c>
      <c r="C563" s="43" t="s">
        <v>12</v>
      </c>
      <c r="D563" s="39" t="s">
        <v>17</v>
      </c>
      <c r="E563" s="42" t="s">
        <v>398</v>
      </c>
      <c r="F563" s="42" t="s">
        <v>401</v>
      </c>
      <c r="G563" s="41" t="s">
        <v>431</v>
      </c>
      <c r="H563" s="57"/>
    </row>
    <row r="564" spans="1:8" ht="16.2" x14ac:dyDescent="0.4">
      <c r="A564" s="15" t="str">
        <f t="shared" si="8"/>
        <v>lt002_insrmntcod_soc_intrgrp</v>
      </c>
      <c r="B564" s="46" t="s">
        <v>12</v>
      </c>
      <c r="C564" s="43" t="s">
        <v>12</v>
      </c>
      <c r="D564" s="39" t="s">
        <v>17</v>
      </c>
      <c r="E564" s="42" t="s">
        <v>398</v>
      </c>
      <c r="F564" s="42" t="s">
        <v>402</v>
      </c>
      <c r="G564" s="41" t="s">
        <v>431</v>
      </c>
      <c r="H564" s="57"/>
    </row>
    <row r="565" spans="1:8" ht="16.2" x14ac:dyDescent="0.4">
      <c r="A565" s="15" t="str">
        <f t="shared" si="8"/>
        <v>lt002_insrmntbsnss_area_dstntn</v>
      </c>
      <c r="B565" s="46" t="s">
        <v>12</v>
      </c>
      <c r="C565" s="43" t="s">
        <v>12</v>
      </c>
      <c r="D565" s="39" t="s">
        <v>17</v>
      </c>
      <c r="E565" s="42" t="s">
        <v>398</v>
      </c>
      <c r="F565" s="42" t="s">
        <v>403</v>
      </c>
      <c r="G565" s="41" t="s">
        <v>431</v>
      </c>
      <c r="H565" s="57"/>
    </row>
    <row r="566" spans="1:8" ht="16.2" x14ac:dyDescent="0.4">
      <c r="A566" s="15" t="str">
        <f t="shared" si="8"/>
        <v>lt002_insrmntflg_intrbsnss</v>
      </c>
      <c r="B566" s="46" t="s">
        <v>12</v>
      </c>
      <c r="C566" s="43" t="s">
        <v>12</v>
      </c>
      <c r="D566" s="39" t="s">
        <v>17</v>
      </c>
      <c r="E566" s="42" t="s">
        <v>398</v>
      </c>
      <c r="F566" s="42" t="s">
        <v>404</v>
      </c>
      <c r="G566" s="41" t="s">
        <v>431</v>
      </c>
      <c r="H566" s="57"/>
    </row>
    <row r="567" spans="1:8" ht="16.2" x14ac:dyDescent="0.4">
      <c r="A567" s="15" t="str">
        <f t="shared" si="8"/>
        <v>lt002_insrmntintrbsnss_adj_cod</v>
      </c>
      <c r="B567" s="46" t="s">
        <v>12</v>
      </c>
      <c r="C567" s="43" t="s">
        <v>12</v>
      </c>
      <c r="D567" s="39" t="s">
        <v>17</v>
      </c>
      <c r="E567" s="42" t="s">
        <v>398</v>
      </c>
      <c r="F567" s="42" t="s">
        <v>405</v>
      </c>
      <c r="G567" s="41" t="s">
        <v>431</v>
      </c>
      <c r="H567" s="57"/>
    </row>
    <row r="568" spans="1:8" ht="16.2" x14ac:dyDescent="0.4">
      <c r="A568" s="15" t="str">
        <f t="shared" si="8"/>
        <v>lt002_insrmntcod_soc_dstntn</v>
      </c>
      <c r="B568" s="46" t="s">
        <v>12</v>
      </c>
      <c r="C568" s="43" t="s">
        <v>12</v>
      </c>
      <c r="D568" s="39" t="s">
        <v>17</v>
      </c>
      <c r="E568" s="42" t="s">
        <v>398</v>
      </c>
      <c r="F568" s="42" t="s">
        <v>406</v>
      </c>
      <c r="G568" s="41" t="s">
        <v>431</v>
      </c>
      <c r="H568" s="57"/>
    </row>
    <row r="569" spans="1:8" ht="16.2" x14ac:dyDescent="0.4">
      <c r="A569" s="15" t="str">
        <f t="shared" si="8"/>
        <v>lt002_insrmntrwa_off_blnc</v>
      </c>
      <c r="B569" s="46" t="s">
        <v>12</v>
      </c>
      <c r="C569" s="43" t="s">
        <v>12</v>
      </c>
      <c r="D569" s="39" t="s">
        <v>17</v>
      </c>
      <c r="E569" s="42" t="s">
        <v>398</v>
      </c>
      <c r="F569" s="42" t="s">
        <v>407</v>
      </c>
      <c r="G569" s="41" t="s">
        <v>431</v>
      </c>
      <c r="H569" s="57"/>
    </row>
    <row r="570" spans="1:8" ht="16.2" x14ac:dyDescent="0.4">
      <c r="A570" s="15" t="str">
        <f t="shared" si="8"/>
        <v>lt002_insrmntintrnl_trnsfr_rt_off_blnc</v>
      </c>
      <c r="B570" s="46" t="s">
        <v>12</v>
      </c>
      <c r="C570" s="43" t="s">
        <v>12</v>
      </c>
      <c r="D570" s="39" t="s">
        <v>17</v>
      </c>
      <c r="E570" s="42" t="s">
        <v>398</v>
      </c>
      <c r="F570" s="42" t="s">
        <v>408</v>
      </c>
      <c r="G570" s="41" t="s">
        <v>431</v>
      </c>
      <c r="H570" s="57"/>
    </row>
    <row r="571" spans="1:8" ht="16.2" x14ac:dyDescent="0.4">
      <c r="A571" s="15" t="str">
        <f t="shared" si="8"/>
        <v>lt002_insrmntbsnss_area</v>
      </c>
      <c r="B571" s="46" t="s">
        <v>12</v>
      </c>
      <c r="C571" s="43" t="s">
        <v>12</v>
      </c>
      <c r="D571" s="39" t="s">
        <v>17</v>
      </c>
      <c r="E571" s="42" t="s">
        <v>398</v>
      </c>
      <c r="F571" s="42" t="s">
        <v>409</v>
      </c>
      <c r="G571" s="41" t="s">
        <v>151</v>
      </c>
      <c r="H571" s="48"/>
    </row>
    <row r="572" spans="1:8" ht="16.2" x14ac:dyDescent="0.4">
      <c r="A572" s="15" t="str">
        <f t="shared" si="8"/>
        <v>lt002_insrmntavrg_blnc</v>
      </c>
      <c r="B572" s="46" t="s">
        <v>12</v>
      </c>
      <c r="C572" s="43" t="s">
        <v>12</v>
      </c>
      <c r="D572" s="39" t="s">
        <v>17</v>
      </c>
      <c r="E572" s="42" t="s">
        <v>398</v>
      </c>
      <c r="F572" s="42" t="s">
        <v>410</v>
      </c>
      <c r="G572" s="41" t="s">
        <v>151</v>
      </c>
      <c r="H572" s="48"/>
    </row>
    <row r="573" spans="1:8" ht="16.2" x14ac:dyDescent="0.4">
      <c r="A573" s="15" t="str">
        <f t="shared" si="8"/>
        <v>lt002_insrmntnt_ln_lss_prvsn</v>
      </c>
      <c r="B573" s="46" t="s">
        <v>12</v>
      </c>
      <c r="C573" s="43" t="s">
        <v>12</v>
      </c>
      <c r="D573" s="39" t="s">
        <v>17</v>
      </c>
      <c r="E573" s="42" t="s">
        <v>398</v>
      </c>
      <c r="F573" s="42" t="s">
        <v>411</v>
      </c>
      <c r="G573" s="41" t="s">
        <v>151</v>
      </c>
      <c r="H573" s="48"/>
    </row>
    <row r="574" spans="1:8" ht="16.2" x14ac:dyDescent="0.4">
      <c r="A574" s="15" t="str">
        <f t="shared" si="8"/>
        <v>lt002_insrmntmngmnt_prdct</v>
      </c>
      <c r="B574" s="46" t="s">
        <v>12</v>
      </c>
      <c r="C574" s="43" t="s">
        <v>12</v>
      </c>
      <c r="D574" s="39" t="s">
        <v>17</v>
      </c>
      <c r="E574" s="42" t="s">
        <v>398</v>
      </c>
      <c r="F574" s="42" t="s">
        <v>412</v>
      </c>
      <c r="G574" s="41" t="s">
        <v>151</v>
      </c>
      <c r="H574" s="48"/>
    </row>
    <row r="575" spans="1:8" ht="16.2" x14ac:dyDescent="0.4">
      <c r="A575" s="15" t="str">
        <f t="shared" si="8"/>
        <v>lt002_insrmntnw_bsnss</v>
      </c>
      <c r="B575" s="46" t="s">
        <v>12</v>
      </c>
      <c r="C575" s="43" t="s">
        <v>12</v>
      </c>
      <c r="D575" s="39" t="s">
        <v>17</v>
      </c>
      <c r="E575" s="42" t="s">
        <v>398</v>
      </c>
      <c r="F575" s="42" t="s">
        <v>413</v>
      </c>
      <c r="G575" s="41" t="s">
        <v>151</v>
      </c>
      <c r="H575" s="48"/>
    </row>
    <row r="576" spans="1:8" ht="16.2" x14ac:dyDescent="0.4">
      <c r="A576" s="15" t="str">
        <f t="shared" si="8"/>
        <v>lt002_insrmntgrss_intrst_incm_ccrr</v>
      </c>
      <c r="B576" s="46" t="s">
        <v>12</v>
      </c>
      <c r="C576" s="43" t="s">
        <v>12</v>
      </c>
      <c r="D576" s="39" t="s">
        <v>17</v>
      </c>
      <c r="E576" s="42" t="s">
        <v>398</v>
      </c>
      <c r="F576" s="42" t="s">
        <v>414</v>
      </c>
      <c r="G576" s="41" t="s">
        <v>151</v>
      </c>
      <c r="H576" s="48"/>
    </row>
    <row r="577" spans="1:8" ht="16.2" x14ac:dyDescent="0.4">
      <c r="A577" s="15" t="str">
        <f t="shared" si="8"/>
        <v>lt002_insrmntnt_ln_lss_prvsn_off_blnc</v>
      </c>
      <c r="B577" s="46" t="s">
        <v>12</v>
      </c>
      <c r="C577" s="43" t="s">
        <v>12</v>
      </c>
      <c r="D577" s="39" t="s">
        <v>17</v>
      </c>
      <c r="E577" s="42" t="s">
        <v>398</v>
      </c>
      <c r="F577" s="42" t="s">
        <v>415</v>
      </c>
      <c r="G577" s="41" t="s">
        <v>151</v>
      </c>
      <c r="H577" s="48"/>
    </row>
    <row r="578" spans="1:8" ht="16.2" x14ac:dyDescent="0.4">
      <c r="A578" s="15" t="str">
        <f t="shared" si="8"/>
        <v>lt002_insrmntavrg_blnc_off_blnc</v>
      </c>
      <c r="B578" s="46" t="s">
        <v>12</v>
      </c>
      <c r="C578" s="43" t="s">
        <v>12</v>
      </c>
      <c r="D578" s="39" t="s">
        <v>17</v>
      </c>
      <c r="E578" s="42" t="s">
        <v>398</v>
      </c>
      <c r="F578" s="42" t="s">
        <v>416</v>
      </c>
      <c r="G578" s="41" t="s">
        <v>151</v>
      </c>
      <c r="H578" s="48"/>
    </row>
    <row r="579" spans="1:8" ht="16.2" x14ac:dyDescent="0.4">
      <c r="A579" s="15" t="str">
        <f t="shared" si="8"/>
        <v>lt002_insrmntbsnss_area_ccrr</v>
      </c>
      <c r="B579" s="46" t="s">
        <v>12</v>
      </c>
      <c r="C579" s="43" t="s">
        <v>12</v>
      </c>
      <c r="D579" s="39" t="s">
        <v>17</v>
      </c>
      <c r="E579" s="42" t="s">
        <v>398</v>
      </c>
      <c r="F579" s="42" t="s">
        <v>417</v>
      </c>
      <c r="G579" s="41" t="s">
        <v>151</v>
      </c>
      <c r="H579" s="48"/>
    </row>
    <row r="580" spans="1:8" ht="16.2" x14ac:dyDescent="0.4">
      <c r="A580" s="15" t="str">
        <f t="shared" si="8"/>
        <v>lt002_insrmntgrss_cmmssn_incm_off_blnc</v>
      </c>
      <c r="B580" s="46" t="s">
        <v>12</v>
      </c>
      <c r="C580" s="43" t="s">
        <v>12</v>
      </c>
      <c r="D580" s="39" t="s">
        <v>17</v>
      </c>
      <c r="E580" s="42" t="s">
        <v>398</v>
      </c>
      <c r="F580" s="42" t="s">
        <v>377</v>
      </c>
      <c r="G580" s="41" t="s">
        <v>151</v>
      </c>
      <c r="H580" s="48"/>
    </row>
    <row r="581" spans="1:8" ht="16.2" x14ac:dyDescent="0.4">
      <c r="A581" s="15" t="str">
        <f t="shared" si="8"/>
        <v>lt002_insrmntgrss_cmmssn_expns_off_blnc_ccrr</v>
      </c>
      <c r="B581" s="46" t="s">
        <v>12</v>
      </c>
      <c r="C581" s="43" t="s">
        <v>12</v>
      </c>
      <c r="D581" s="39" t="s">
        <v>17</v>
      </c>
      <c r="E581" s="42" t="s">
        <v>398</v>
      </c>
      <c r="F581" s="42" t="s">
        <v>418</v>
      </c>
      <c r="G581" s="41" t="s">
        <v>151</v>
      </c>
      <c r="H581" s="48"/>
    </row>
    <row r="582" spans="1:8" ht="16.2" x14ac:dyDescent="0.4">
      <c r="A582" s="15" t="str">
        <f t="shared" si="8"/>
        <v>lt002_insrmntgrss_cmmssn_expns_off_blnc</v>
      </c>
      <c r="B582" s="46" t="s">
        <v>12</v>
      </c>
      <c r="C582" s="43" t="s">
        <v>12</v>
      </c>
      <c r="D582" s="39" t="s">
        <v>17</v>
      </c>
      <c r="E582" s="42" t="s">
        <v>398</v>
      </c>
      <c r="F582" s="42" t="s">
        <v>419</v>
      </c>
      <c r="G582" s="41" t="s">
        <v>151</v>
      </c>
      <c r="H582" s="48"/>
    </row>
    <row r="583" spans="1:8" ht="16.2" x14ac:dyDescent="0.4">
      <c r="A583" s="15" t="str">
        <f t="shared" si="8"/>
        <v>lt002_insrmntgrss_cmmssn_incm_off_blnc_ccrr</v>
      </c>
      <c r="B583" s="46" t="s">
        <v>12</v>
      </c>
      <c r="C583" s="43" t="s">
        <v>12</v>
      </c>
      <c r="D583" s="39" t="s">
        <v>17</v>
      </c>
      <c r="E583" s="42" t="s">
        <v>398</v>
      </c>
      <c r="F583" s="42" t="s">
        <v>420</v>
      </c>
      <c r="G583" s="41" t="s">
        <v>151</v>
      </c>
      <c r="H583" s="48"/>
    </row>
    <row r="584" spans="1:8" ht="16.2" x14ac:dyDescent="0.4">
      <c r="A584" s="15" t="str">
        <f t="shared" ref="A584:A605" si="9">E584&amp;F584</f>
        <v>lt002_insrmntgrss_intrst_incm</v>
      </c>
      <c r="B584" s="46" t="s">
        <v>12</v>
      </c>
      <c r="C584" s="43" t="s">
        <v>12</v>
      </c>
      <c r="D584" s="39" t="s">
        <v>17</v>
      </c>
      <c r="E584" s="42" t="s">
        <v>398</v>
      </c>
      <c r="F584" s="42" t="s">
        <v>375</v>
      </c>
      <c r="G584" s="41" t="s">
        <v>151</v>
      </c>
      <c r="H584" s="48"/>
    </row>
    <row r="585" spans="1:8" ht="16.2" x14ac:dyDescent="0.4">
      <c r="A585" s="15" t="str">
        <f t="shared" si="9"/>
        <v>lt002_insrmntgrss_cmmssn_incm</v>
      </c>
      <c r="B585" s="46" t="s">
        <v>12</v>
      </c>
      <c r="C585" s="43" t="s">
        <v>12</v>
      </c>
      <c r="D585" s="39" t="s">
        <v>17</v>
      </c>
      <c r="E585" s="42" t="s">
        <v>398</v>
      </c>
      <c r="F585" s="42" t="s">
        <v>376</v>
      </c>
      <c r="G585" s="41" t="s">
        <v>151</v>
      </c>
      <c r="H585" s="48"/>
    </row>
    <row r="586" spans="1:8" ht="16.2" x14ac:dyDescent="0.4">
      <c r="A586" s="15" t="str">
        <f t="shared" si="9"/>
        <v>lt002_insrmntgrss_cmmssn_incm_ccrr</v>
      </c>
      <c r="B586" s="46" t="s">
        <v>12</v>
      </c>
      <c r="C586" s="43" t="s">
        <v>12</v>
      </c>
      <c r="D586" s="39" t="s">
        <v>17</v>
      </c>
      <c r="E586" s="42" t="s">
        <v>398</v>
      </c>
      <c r="F586" s="42" t="s">
        <v>421</v>
      </c>
      <c r="G586" s="41" t="s">
        <v>151</v>
      </c>
      <c r="H586" s="48"/>
    </row>
    <row r="587" spans="1:8" ht="16.2" x14ac:dyDescent="0.4">
      <c r="A587" s="15" t="str">
        <f t="shared" si="9"/>
        <v>lt002_insrmntintrnl_trnsfr_rt</v>
      </c>
      <c r="B587" s="46" t="s">
        <v>12</v>
      </c>
      <c r="C587" s="43" t="s">
        <v>12</v>
      </c>
      <c r="D587" s="39" t="s">
        <v>17</v>
      </c>
      <c r="E587" s="42" t="s">
        <v>398</v>
      </c>
      <c r="F587" s="42" t="s">
        <v>422</v>
      </c>
      <c r="G587" s="41" t="s">
        <v>151</v>
      </c>
      <c r="H587" s="48"/>
    </row>
    <row r="588" spans="1:8" ht="16.2" x14ac:dyDescent="0.4">
      <c r="A588" s="15" t="str">
        <f t="shared" si="9"/>
        <v>lt002_insrmntgrss_cmmssn_expns</v>
      </c>
      <c r="B588" s="46" t="s">
        <v>12</v>
      </c>
      <c r="C588" s="43" t="s">
        <v>12</v>
      </c>
      <c r="D588" s="39" t="s">
        <v>17</v>
      </c>
      <c r="E588" s="42" t="s">
        <v>398</v>
      </c>
      <c r="F588" s="42" t="s">
        <v>423</v>
      </c>
      <c r="G588" s="41" t="s">
        <v>151</v>
      </c>
      <c r="H588" s="48"/>
    </row>
    <row r="589" spans="1:8" ht="16.2" x14ac:dyDescent="0.4">
      <c r="A589" s="15" t="str">
        <f t="shared" si="9"/>
        <v>lt002_insrmntgrss_cmmssn_expns_ccrr</v>
      </c>
      <c r="B589" s="46" t="s">
        <v>12</v>
      </c>
      <c r="C589" s="43" t="s">
        <v>12</v>
      </c>
      <c r="D589" s="39" t="s">
        <v>17</v>
      </c>
      <c r="E589" s="42" t="s">
        <v>398</v>
      </c>
      <c r="F589" s="42" t="s">
        <v>424</v>
      </c>
      <c r="G589" s="41" t="s">
        <v>151</v>
      </c>
      <c r="H589" s="48"/>
    </row>
    <row r="590" spans="1:8" ht="16.2" x14ac:dyDescent="0.4">
      <c r="A590" s="15" t="str">
        <f t="shared" si="9"/>
        <v>lt002_insrmntgrss_intrst_expns</v>
      </c>
      <c r="B590" s="46" t="s">
        <v>12</v>
      </c>
      <c r="C590" s="43" t="s">
        <v>12</v>
      </c>
      <c r="D590" s="39" t="s">
        <v>17</v>
      </c>
      <c r="E590" s="42" t="s">
        <v>398</v>
      </c>
      <c r="F590" s="42" t="s">
        <v>425</v>
      </c>
      <c r="G590" s="41" t="s">
        <v>151</v>
      </c>
      <c r="H590" s="48"/>
    </row>
    <row r="591" spans="1:8" ht="16.2" x14ac:dyDescent="0.4">
      <c r="A591" s="15" t="str">
        <f t="shared" si="9"/>
        <v>lt002_insrmntgrss_intrst_expns_ccrr</v>
      </c>
      <c r="B591" s="46" t="s">
        <v>12</v>
      </c>
      <c r="C591" s="43" t="s">
        <v>12</v>
      </c>
      <c r="D591" s="39" t="s">
        <v>17</v>
      </c>
      <c r="E591" s="42" t="s">
        <v>398</v>
      </c>
      <c r="F591" s="42" t="s">
        <v>426</v>
      </c>
      <c r="G591" s="41" t="s">
        <v>151</v>
      </c>
      <c r="H591" s="48"/>
    </row>
    <row r="592" spans="1:8" ht="16.2" x14ac:dyDescent="0.4">
      <c r="A592" s="15" t="str">
        <f t="shared" si="9"/>
        <v>lt002_insrmntgns_fnncl_trnsctn_exchng_dffrncs</v>
      </c>
      <c r="B592" s="46" t="s">
        <v>12</v>
      </c>
      <c r="C592" s="43" t="s">
        <v>12</v>
      </c>
      <c r="D592" s="39" t="s">
        <v>17</v>
      </c>
      <c r="E592" s="42" t="s">
        <v>398</v>
      </c>
      <c r="F592" s="42" t="s">
        <v>427</v>
      </c>
      <c r="G592" s="41" t="s">
        <v>151</v>
      </c>
      <c r="H592" s="48"/>
    </row>
    <row r="593" spans="1:9" ht="16.2" x14ac:dyDescent="0.4">
      <c r="A593" s="15" t="str">
        <f t="shared" si="9"/>
        <v>lt002_insrmntgns_fnncl_trnsctn_exchng_ccrr</v>
      </c>
      <c r="B593" s="46" t="s">
        <v>12</v>
      </c>
      <c r="C593" s="43" t="s">
        <v>12</v>
      </c>
      <c r="D593" s="39" t="s">
        <v>17</v>
      </c>
      <c r="E593" s="42" t="s">
        <v>398</v>
      </c>
      <c r="F593" s="42" t="s">
        <v>428</v>
      </c>
      <c r="G593" s="41" t="s">
        <v>151</v>
      </c>
      <c r="H593" s="48"/>
    </row>
    <row r="594" spans="1:9" ht="16.2" x14ac:dyDescent="0.4">
      <c r="A594" s="15" t="str">
        <f t="shared" si="9"/>
        <v>lt002_insrmntcnclld_instrmnt_stts</v>
      </c>
      <c r="B594" s="46" t="s">
        <v>12</v>
      </c>
      <c r="C594" s="43" t="s">
        <v>12</v>
      </c>
      <c r="D594" s="39" t="s">
        <v>17</v>
      </c>
      <c r="E594" s="42" t="s">
        <v>398</v>
      </c>
      <c r="F594" s="42" t="s">
        <v>429</v>
      </c>
      <c r="G594" s="41" t="s">
        <v>151</v>
      </c>
      <c r="H594" s="48" t="s">
        <v>452</v>
      </c>
    </row>
    <row r="595" spans="1:9" ht="16.2" x14ac:dyDescent="0.4">
      <c r="A595" s="15" t="str">
        <f t="shared" si="9"/>
        <v>lt002_insrmntsstnbl_indctr</v>
      </c>
      <c r="B595" s="46" t="s">
        <v>12</v>
      </c>
      <c r="C595" s="43" t="s">
        <v>12</v>
      </c>
      <c r="D595" s="39" t="s">
        <v>17</v>
      </c>
      <c r="E595" s="42" t="s">
        <v>398</v>
      </c>
      <c r="F595" s="42" t="s">
        <v>373</v>
      </c>
      <c r="G595" s="41" t="s">
        <v>151</v>
      </c>
      <c r="H595" s="48" t="s">
        <v>452</v>
      </c>
    </row>
    <row r="596" spans="1:9" ht="16.2" x14ac:dyDescent="0.4">
      <c r="A596" s="15" t="str">
        <f t="shared" si="9"/>
        <v>modesg_inp_emss_nacenome_pais</v>
      </c>
      <c r="B596" s="46" t="s">
        <v>10</v>
      </c>
      <c r="C596" s="43" t="s">
        <v>152</v>
      </c>
      <c r="D596" s="39" t="s">
        <v>17</v>
      </c>
      <c r="E596" s="40" t="s">
        <v>185</v>
      </c>
      <c r="F596" s="39" t="s">
        <v>188</v>
      </c>
      <c r="G596" s="41" t="s">
        <v>430</v>
      </c>
      <c r="H596" s="48" t="s">
        <v>446</v>
      </c>
      <c r="I596" s="15"/>
    </row>
    <row r="597" spans="1:9" ht="16.2" x14ac:dyDescent="0.4">
      <c r="A597" s="15" t="str">
        <f t="shared" si="9"/>
        <v>modesg_inp_emss_nacearea_atividade</v>
      </c>
      <c r="B597" s="46" t="s">
        <v>10</v>
      </c>
      <c r="C597" s="43" t="s">
        <v>152</v>
      </c>
      <c r="D597" s="39" t="s">
        <v>17</v>
      </c>
      <c r="E597" s="40" t="s">
        <v>185</v>
      </c>
      <c r="F597" s="39" t="s">
        <v>453</v>
      </c>
      <c r="G597" s="41" t="s">
        <v>430</v>
      </c>
      <c r="H597" s="48" t="s">
        <v>446</v>
      </c>
      <c r="I597" s="15"/>
    </row>
    <row r="598" spans="1:9" ht="16.2" x14ac:dyDescent="0.4">
      <c r="A598" s="15" t="str">
        <f t="shared" si="9"/>
        <v>modesg_inp_emss_nacetipo_atividade</v>
      </c>
      <c r="B598" s="46" t="s">
        <v>10</v>
      </c>
      <c r="C598" s="43" t="s">
        <v>152</v>
      </c>
      <c r="D598" s="39" t="s">
        <v>17</v>
      </c>
      <c r="E598" s="40" t="s">
        <v>185</v>
      </c>
      <c r="F598" s="39" t="s">
        <v>454</v>
      </c>
      <c r="G598" s="41" t="s">
        <v>430</v>
      </c>
      <c r="H598" s="48" t="s">
        <v>446</v>
      </c>
      <c r="I598" s="15"/>
    </row>
    <row r="599" spans="1:9" ht="16.2" x14ac:dyDescent="0.4">
      <c r="A599" s="15" t="str">
        <f t="shared" si="9"/>
        <v>modesg_inp_emss_nacesub_tipo_atividade_1</v>
      </c>
      <c r="B599" s="46" t="s">
        <v>10</v>
      </c>
      <c r="C599" s="43" t="s">
        <v>152</v>
      </c>
      <c r="D599" s="39" t="s">
        <v>17</v>
      </c>
      <c r="E599" s="40" t="s">
        <v>185</v>
      </c>
      <c r="F599" s="39" t="s">
        <v>455</v>
      </c>
      <c r="G599" s="41" t="s">
        <v>430</v>
      </c>
      <c r="H599" s="48" t="s">
        <v>446</v>
      </c>
      <c r="I599" s="15"/>
    </row>
    <row r="600" spans="1:9" ht="16.2" x14ac:dyDescent="0.4">
      <c r="A600" s="15" t="str">
        <f t="shared" si="9"/>
        <v>modesg_inp_emss_nacesub_tipo_atividade_2</v>
      </c>
      <c r="B600" s="46" t="s">
        <v>10</v>
      </c>
      <c r="C600" s="43" t="s">
        <v>152</v>
      </c>
      <c r="D600" s="39" t="s">
        <v>17</v>
      </c>
      <c r="E600" s="40" t="s">
        <v>185</v>
      </c>
      <c r="F600" s="39" t="s">
        <v>456</v>
      </c>
      <c r="G600" s="41" t="s">
        <v>430</v>
      </c>
      <c r="H600" s="48" t="s">
        <v>446</v>
      </c>
      <c r="I600" s="15"/>
    </row>
    <row r="601" spans="1:9" ht="16.2" x14ac:dyDescent="0.4">
      <c r="A601" s="15" t="str">
        <f t="shared" si="9"/>
        <v>modesg_inp_emss_naceunidades_unidade_funcional</v>
      </c>
      <c r="B601" s="46" t="s">
        <v>10</v>
      </c>
      <c r="C601" s="43" t="s">
        <v>152</v>
      </c>
      <c r="D601" s="39" t="s">
        <v>17</v>
      </c>
      <c r="E601" s="40" t="s">
        <v>185</v>
      </c>
      <c r="F601" s="39" t="s">
        <v>457</v>
      </c>
      <c r="G601" s="41" t="s">
        <v>430</v>
      </c>
      <c r="H601" s="48" t="s">
        <v>446</v>
      </c>
      <c r="I601" s="15"/>
    </row>
    <row r="602" spans="1:9" ht="16.2" x14ac:dyDescent="0.4">
      <c r="A602" s="15" t="str">
        <f t="shared" si="9"/>
        <v>modesg_inp_emss_nacefator_emissao</v>
      </c>
      <c r="B602" s="46" t="s">
        <v>10</v>
      </c>
      <c r="C602" s="43" t="s">
        <v>152</v>
      </c>
      <c r="D602" s="39" t="s">
        <v>17</v>
      </c>
      <c r="E602" s="40" t="s">
        <v>185</v>
      </c>
      <c r="F602" s="39" t="s">
        <v>458</v>
      </c>
      <c r="G602" s="41" t="s">
        <v>430</v>
      </c>
      <c r="H602" s="48" t="s">
        <v>446</v>
      </c>
      <c r="I602" s="15"/>
    </row>
    <row r="603" spans="1:9" ht="16.2" x14ac:dyDescent="0.4">
      <c r="A603" s="15" t="str">
        <f t="shared" si="9"/>
        <v>modesg_inp_km_medios_emss_vclsmedia_scp1_emss</v>
      </c>
      <c r="B603" s="46" t="s">
        <v>10</v>
      </c>
      <c r="C603" s="43" t="s">
        <v>152</v>
      </c>
      <c r="D603" s="39" t="s">
        <v>17</v>
      </c>
      <c r="E603" s="40" t="s">
        <v>180</v>
      </c>
      <c r="F603" s="39" t="s">
        <v>459</v>
      </c>
      <c r="G603" s="41" t="s">
        <v>430</v>
      </c>
      <c r="H603" s="48" t="s">
        <v>446</v>
      </c>
      <c r="I603" s="15"/>
    </row>
    <row r="604" spans="1:9" ht="16.2" x14ac:dyDescent="0.4">
      <c r="A604" s="15" t="str">
        <f t="shared" si="9"/>
        <v>modesg_inp_km_medios_emss_vclsmedia_scp2_emss</v>
      </c>
      <c r="B604" s="46" t="s">
        <v>10</v>
      </c>
      <c r="C604" s="43" t="s">
        <v>152</v>
      </c>
      <c r="D604" s="39" t="s">
        <v>17</v>
      </c>
      <c r="E604" s="40" t="s">
        <v>180</v>
      </c>
      <c r="F604" s="39" t="s">
        <v>460</v>
      </c>
      <c r="G604" s="41" t="s">
        <v>430</v>
      </c>
      <c r="H604" s="48" t="s">
        <v>446</v>
      </c>
      <c r="I604" s="15"/>
    </row>
    <row r="605" spans="1:9" ht="16.2" x14ac:dyDescent="0.4">
      <c r="A605" s="15" t="str">
        <f t="shared" si="9"/>
        <v>modesg_inp_km_medios_emss_vclsmedia_scp3_emss</v>
      </c>
      <c r="B605" s="51" t="s">
        <v>10</v>
      </c>
      <c r="C605" s="52" t="s">
        <v>152</v>
      </c>
      <c r="D605" s="53" t="s">
        <v>17</v>
      </c>
      <c r="E605" s="54" t="s">
        <v>180</v>
      </c>
      <c r="F605" s="53" t="s">
        <v>461</v>
      </c>
      <c r="G605" s="55" t="s">
        <v>430</v>
      </c>
      <c r="H605" s="56" t="s">
        <v>446</v>
      </c>
      <c r="I605" s="15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P148"/>
  <sheetViews>
    <sheetView showGridLines="0" topLeftCell="A27" zoomScale="85" zoomScaleNormal="85" workbookViewId="0">
      <selection activeCell="B7" sqref="B7"/>
    </sheetView>
  </sheetViews>
  <sheetFormatPr defaultRowHeight="13.8" x14ac:dyDescent="0.25"/>
  <cols>
    <col min="1" max="1" width="3.69921875" customWidth="1"/>
    <col min="2" max="2" width="15.09765625" bestFit="1" customWidth="1"/>
    <col min="3" max="3" width="16.09765625" bestFit="1" customWidth="1"/>
    <col min="4" max="4" width="11.19921875" bestFit="1" customWidth="1"/>
    <col min="5" max="5" width="37.59765625" bestFit="1" customWidth="1"/>
    <col min="6" max="6" width="11" bestFit="1" customWidth="1"/>
    <col min="7" max="7" width="14.296875" bestFit="1" customWidth="1"/>
    <col min="8" max="8" width="14.3984375" bestFit="1" customWidth="1"/>
    <col min="9" max="9" width="11.69921875" bestFit="1" customWidth="1"/>
    <col min="10" max="10" width="11" bestFit="1" customWidth="1"/>
    <col min="13" max="13" width="26" bestFit="1" customWidth="1"/>
    <col min="14" max="14" width="16.09765625" bestFit="1" customWidth="1"/>
    <col min="15" max="15" width="11.69921875" bestFit="1" customWidth="1"/>
    <col min="16" max="16" width="11.19921875" bestFit="1" customWidth="1"/>
    <col min="17" max="17" width="14.19921875" bestFit="1" customWidth="1"/>
    <col min="18" max="18" width="14.296875" bestFit="1" customWidth="1"/>
    <col min="19" max="19" width="11" bestFit="1" customWidth="1"/>
    <col min="20" max="20" width="11.69921875" bestFit="1" customWidth="1"/>
    <col min="21" max="21" width="11" bestFit="1" customWidth="1"/>
  </cols>
  <sheetData>
    <row r="2" spans="2:12" ht="22.2" x14ac:dyDescent="0.55000000000000004">
      <c r="B2" s="36" t="s">
        <v>463</v>
      </c>
      <c r="C2" s="4"/>
      <c r="D2" s="4"/>
      <c r="E2" s="4"/>
      <c r="F2" s="4"/>
      <c r="G2" s="4"/>
      <c r="H2" s="4"/>
      <c r="I2" s="4"/>
      <c r="J2" s="4"/>
      <c r="K2" s="4"/>
      <c r="L2" s="4"/>
    </row>
    <row r="5" spans="2:12" x14ac:dyDescent="0.25">
      <c r="B5" s="19" t="s">
        <v>4</v>
      </c>
      <c r="C5" t="s" vm="3">
        <v>10</v>
      </c>
    </row>
    <row r="6" spans="2:12" x14ac:dyDescent="0.25">
      <c r="B6" s="19" t="s">
        <v>5</v>
      </c>
      <c r="C6" t="s" vm="4">
        <v>464</v>
      </c>
    </row>
    <row r="7" spans="2:12" x14ac:dyDescent="0.25">
      <c r="B7" s="19" t="s">
        <v>6</v>
      </c>
      <c r="C7" t="s" vm="5">
        <v>17</v>
      </c>
    </row>
    <row r="9" spans="2:12" x14ac:dyDescent="0.25">
      <c r="B9" s="19" t="s">
        <v>465</v>
      </c>
      <c r="C9" s="19" t="s">
        <v>466</v>
      </c>
    </row>
    <row r="10" spans="2:12" x14ac:dyDescent="0.25">
      <c r="B10" s="19" t="s">
        <v>467</v>
      </c>
      <c r="C10" t="s">
        <v>430</v>
      </c>
      <c r="D10" t="s">
        <v>431</v>
      </c>
      <c r="E10" t="s">
        <v>151</v>
      </c>
      <c r="F10" t="s">
        <v>433</v>
      </c>
      <c r="G10" t="s">
        <v>434</v>
      </c>
      <c r="H10" t="s">
        <v>462</v>
      </c>
    </row>
    <row r="11" spans="2:12" x14ac:dyDescent="0.25">
      <c r="B11" s="20" t="s">
        <v>62</v>
      </c>
      <c r="C11">
        <v>1</v>
      </c>
      <c r="D11">
        <v>14</v>
      </c>
      <c r="H11">
        <v>15</v>
      </c>
    </row>
    <row r="12" spans="2:12" x14ac:dyDescent="0.25">
      <c r="B12" s="20" t="s">
        <v>32</v>
      </c>
      <c r="C12">
        <v>3</v>
      </c>
      <c r="D12">
        <v>7</v>
      </c>
      <c r="E12">
        <v>10</v>
      </c>
      <c r="H12">
        <v>20</v>
      </c>
    </row>
    <row r="13" spans="2:12" x14ac:dyDescent="0.25">
      <c r="B13" s="20" t="s">
        <v>31</v>
      </c>
      <c r="C13">
        <v>3</v>
      </c>
      <c r="D13">
        <v>3</v>
      </c>
      <c r="E13">
        <v>11</v>
      </c>
      <c r="H13">
        <v>17</v>
      </c>
    </row>
    <row r="14" spans="2:12" x14ac:dyDescent="0.25">
      <c r="B14" s="20" t="s">
        <v>95</v>
      </c>
      <c r="D14">
        <v>4</v>
      </c>
      <c r="E14">
        <v>61</v>
      </c>
      <c r="H14">
        <v>65</v>
      </c>
    </row>
    <row r="15" spans="2:12" x14ac:dyDescent="0.25">
      <c r="B15" s="20" t="s">
        <v>68</v>
      </c>
      <c r="C15">
        <v>1</v>
      </c>
      <c r="D15">
        <v>25</v>
      </c>
      <c r="G15">
        <v>6</v>
      </c>
      <c r="H15">
        <v>32</v>
      </c>
    </row>
    <row r="16" spans="2:12" x14ac:dyDescent="0.25">
      <c r="B16" s="20" t="s">
        <v>15</v>
      </c>
      <c r="F16">
        <v>12</v>
      </c>
      <c r="H16">
        <v>12</v>
      </c>
    </row>
    <row r="17" spans="2:8" x14ac:dyDescent="0.25">
      <c r="B17" s="20" t="s">
        <v>462</v>
      </c>
      <c r="C17">
        <v>8</v>
      </c>
      <c r="D17">
        <v>53</v>
      </c>
      <c r="E17">
        <v>82</v>
      </c>
      <c r="F17">
        <v>12</v>
      </c>
      <c r="G17">
        <v>6</v>
      </c>
      <c r="H17">
        <v>161</v>
      </c>
    </row>
    <row r="23" spans="2:8" x14ac:dyDescent="0.25">
      <c r="B23" s="19" t="s">
        <v>4</v>
      </c>
      <c r="C23" t="s" vm="3">
        <v>10</v>
      </c>
    </row>
    <row r="24" spans="2:8" x14ac:dyDescent="0.25">
      <c r="B24" s="19" t="s">
        <v>5</v>
      </c>
      <c r="C24" t="s" vm="4">
        <v>464</v>
      </c>
    </row>
    <row r="25" spans="2:8" x14ac:dyDescent="0.25">
      <c r="B25" s="19" t="s">
        <v>6</v>
      </c>
      <c r="C25" t="s" vm="5">
        <v>17</v>
      </c>
    </row>
    <row r="27" spans="2:8" x14ac:dyDescent="0.25">
      <c r="B27" s="19" t="s">
        <v>467</v>
      </c>
      <c r="C27" t="s">
        <v>465</v>
      </c>
    </row>
    <row r="28" spans="2:8" x14ac:dyDescent="0.25">
      <c r="B28" s="20" t="s">
        <v>430</v>
      </c>
      <c r="C28">
        <v>8</v>
      </c>
    </row>
    <row r="29" spans="2:8" x14ac:dyDescent="0.25">
      <c r="B29" s="20" t="s">
        <v>431</v>
      </c>
      <c r="C29">
        <v>53</v>
      </c>
    </row>
    <row r="30" spans="2:8" x14ac:dyDescent="0.25">
      <c r="B30" s="20" t="s">
        <v>151</v>
      </c>
      <c r="C30">
        <v>82</v>
      </c>
    </row>
    <row r="31" spans="2:8" x14ac:dyDescent="0.25">
      <c r="B31" s="20" t="s">
        <v>433</v>
      </c>
      <c r="C31">
        <v>12</v>
      </c>
    </row>
    <row r="32" spans="2:8" x14ac:dyDescent="0.25">
      <c r="B32" s="20" t="s">
        <v>434</v>
      </c>
      <c r="C32">
        <v>6</v>
      </c>
    </row>
    <row r="33" spans="2:16" x14ac:dyDescent="0.25">
      <c r="B33" s="20" t="s">
        <v>462</v>
      </c>
      <c r="C33">
        <v>161</v>
      </c>
    </row>
    <row r="42" spans="2:16" ht="22.2" x14ac:dyDescent="0.55000000000000004">
      <c r="B42" s="36" t="s">
        <v>436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4" spans="2:16" x14ac:dyDescent="0.25">
      <c r="B44" s="19" t="s">
        <v>4</v>
      </c>
      <c r="C44" t="s" vm="3">
        <v>10</v>
      </c>
    </row>
    <row r="45" spans="2:16" x14ac:dyDescent="0.25">
      <c r="B45" s="19" t="s">
        <v>5</v>
      </c>
      <c r="C45" t="s" vm="6">
        <v>464</v>
      </c>
    </row>
    <row r="46" spans="2:16" x14ac:dyDescent="0.25">
      <c r="B46" s="19" t="s">
        <v>6</v>
      </c>
      <c r="C46" t="s" vm="5">
        <v>17</v>
      </c>
    </row>
    <row r="48" spans="2:16" x14ac:dyDescent="0.25">
      <c r="B48" s="19" t="s">
        <v>465</v>
      </c>
      <c r="C48" s="19" t="s">
        <v>466</v>
      </c>
    </row>
    <row r="49" spans="2:10" x14ac:dyDescent="0.25">
      <c r="B49" s="19" t="s">
        <v>467</v>
      </c>
      <c r="C49" t="s">
        <v>430</v>
      </c>
      <c r="D49" t="s">
        <v>431</v>
      </c>
      <c r="E49" t="s">
        <v>151</v>
      </c>
      <c r="F49" t="s">
        <v>432</v>
      </c>
      <c r="G49" t="s">
        <v>433</v>
      </c>
      <c r="H49" t="s">
        <v>434</v>
      </c>
      <c r="I49" t="s">
        <v>11</v>
      </c>
      <c r="J49" t="s">
        <v>462</v>
      </c>
    </row>
    <row r="50" spans="2:10" x14ac:dyDescent="0.25">
      <c r="B50" s="20" t="s">
        <v>153</v>
      </c>
      <c r="D50">
        <v>18</v>
      </c>
      <c r="G50">
        <v>10</v>
      </c>
      <c r="J50">
        <v>28</v>
      </c>
    </row>
    <row r="51" spans="2:10" x14ac:dyDescent="0.25">
      <c r="B51" s="20" t="s">
        <v>290</v>
      </c>
      <c r="D51">
        <v>1</v>
      </c>
      <c r="G51">
        <v>12</v>
      </c>
      <c r="I51">
        <v>1</v>
      </c>
      <c r="J51">
        <v>14</v>
      </c>
    </row>
    <row r="52" spans="2:10" x14ac:dyDescent="0.25">
      <c r="B52" s="20" t="s">
        <v>289</v>
      </c>
      <c r="D52">
        <v>8</v>
      </c>
      <c r="F52">
        <v>7</v>
      </c>
      <c r="J52">
        <v>15</v>
      </c>
    </row>
    <row r="53" spans="2:10" x14ac:dyDescent="0.25">
      <c r="B53" s="20" t="s">
        <v>284</v>
      </c>
      <c r="D53">
        <v>2</v>
      </c>
      <c r="E53">
        <v>30</v>
      </c>
      <c r="J53">
        <v>32</v>
      </c>
    </row>
    <row r="54" spans="2:10" x14ac:dyDescent="0.25">
      <c r="B54" s="20" t="s">
        <v>275</v>
      </c>
      <c r="D54">
        <v>6</v>
      </c>
      <c r="E54">
        <v>4</v>
      </c>
      <c r="F54">
        <v>8</v>
      </c>
      <c r="J54">
        <v>18</v>
      </c>
    </row>
    <row r="55" spans="2:10" x14ac:dyDescent="0.25">
      <c r="B55" s="20" t="s">
        <v>183</v>
      </c>
      <c r="D55">
        <v>6</v>
      </c>
      <c r="J55">
        <v>6</v>
      </c>
    </row>
    <row r="56" spans="2:10" x14ac:dyDescent="0.25">
      <c r="B56" s="20" t="s">
        <v>182</v>
      </c>
      <c r="H56">
        <v>40</v>
      </c>
      <c r="J56">
        <v>40</v>
      </c>
    </row>
    <row r="57" spans="2:10" x14ac:dyDescent="0.25">
      <c r="B57" s="20" t="s">
        <v>180</v>
      </c>
      <c r="C57">
        <v>3</v>
      </c>
      <c r="H57">
        <v>6</v>
      </c>
      <c r="J57">
        <v>9</v>
      </c>
    </row>
    <row r="58" spans="2:10" x14ac:dyDescent="0.25">
      <c r="B58" s="20" t="s">
        <v>179</v>
      </c>
      <c r="H58">
        <v>17</v>
      </c>
      <c r="J58">
        <v>17</v>
      </c>
    </row>
    <row r="59" spans="2:10" x14ac:dyDescent="0.25">
      <c r="B59" s="20" t="s">
        <v>184</v>
      </c>
      <c r="D59">
        <v>17</v>
      </c>
      <c r="J59">
        <v>17</v>
      </c>
    </row>
    <row r="60" spans="2:10" x14ac:dyDescent="0.25">
      <c r="B60" s="20" t="s">
        <v>185</v>
      </c>
      <c r="C60">
        <v>7</v>
      </c>
      <c r="H60">
        <v>14</v>
      </c>
      <c r="J60">
        <v>21</v>
      </c>
    </row>
    <row r="61" spans="2:10" x14ac:dyDescent="0.25">
      <c r="B61" s="20" t="s">
        <v>186</v>
      </c>
      <c r="H61">
        <v>18</v>
      </c>
      <c r="J61">
        <v>18</v>
      </c>
    </row>
    <row r="62" spans="2:10" x14ac:dyDescent="0.25">
      <c r="B62" s="20" t="s">
        <v>181</v>
      </c>
      <c r="D62">
        <v>7</v>
      </c>
      <c r="J62">
        <v>7</v>
      </c>
    </row>
    <row r="63" spans="2:10" x14ac:dyDescent="0.25">
      <c r="B63" s="20" t="s">
        <v>462</v>
      </c>
      <c r="C63">
        <v>10</v>
      </c>
      <c r="D63">
        <v>65</v>
      </c>
      <c r="E63">
        <v>34</v>
      </c>
      <c r="F63">
        <v>15</v>
      </c>
      <c r="G63">
        <v>22</v>
      </c>
      <c r="H63">
        <v>95</v>
      </c>
      <c r="I63">
        <v>1</v>
      </c>
      <c r="J63">
        <v>242</v>
      </c>
    </row>
    <row r="68" spans="2:3" x14ac:dyDescent="0.25">
      <c r="B68" s="19" t="s">
        <v>4</v>
      </c>
      <c r="C68" t="s" vm="3">
        <v>10</v>
      </c>
    </row>
    <row r="69" spans="2:3" x14ac:dyDescent="0.25">
      <c r="B69" s="19" t="s">
        <v>5</v>
      </c>
      <c r="C69" t="s" vm="6">
        <v>464</v>
      </c>
    </row>
    <row r="70" spans="2:3" x14ac:dyDescent="0.25">
      <c r="B70" s="19" t="s">
        <v>6</v>
      </c>
      <c r="C70" t="s" vm="5">
        <v>17</v>
      </c>
    </row>
    <row r="72" spans="2:3" x14ac:dyDescent="0.25">
      <c r="B72" s="19" t="s">
        <v>467</v>
      </c>
      <c r="C72" t="s">
        <v>465</v>
      </c>
    </row>
    <row r="73" spans="2:3" x14ac:dyDescent="0.25">
      <c r="B73" s="20" t="s">
        <v>430</v>
      </c>
      <c r="C73">
        <v>10</v>
      </c>
    </row>
    <row r="74" spans="2:3" x14ac:dyDescent="0.25">
      <c r="B74" s="20" t="s">
        <v>431</v>
      </c>
      <c r="C74">
        <v>65</v>
      </c>
    </row>
    <row r="75" spans="2:3" x14ac:dyDescent="0.25">
      <c r="B75" s="20" t="s">
        <v>151</v>
      </c>
      <c r="C75">
        <v>34</v>
      </c>
    </row>
    <row r="76" spans="2:3" x14ac:dyDescent="0.25">
      <c r="B76" s="20" t="s">
        <v>432</v>
      </c>
      <c r="C76">
        <v>15</v>
      </c>
    </row>
    <row r="77" spans="2:3" x14ac:dyDescent="0.25">
      <c r="B77" s="20" t="s">
        <v>433</v>
      </c>
      <c r="C77">
        <v>22</v>
      </c>
    </row>
    <row r="78" spans="2:3" x14ac:dyDescent="0.25">
      <c r="B78" s="20" t="s">
        <v>434</v>
      </c>
      <c r="C78">
        <v>95</v>
      </c>
    </row>
    <row r="79" spans="2:3" x14ac:dyDescent="0.25">
      <c r="B79" s="20" t="s">
        <v>11</v>
      </c>
      <c r="C79">
        <v>1</v>
      </c>
    </row>
    <row r="80" spans="2:3" x14ac:dyDescent="0.25">
      <c r="B80" s="20" t="s">
        <v>462</v>
      </c>
      <c r="C80">
        <v>242</v>
      </c>
    </row>
    <row r="87" spans="2:16" ht="22.2" x14ac:dyDescent="0.55000000000000004">
      <c r="B87" s="36" t="s">
        <v>437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2:16" ht="22.2" x14ac:dyDescent="0.55000000000000004">
      <c r="B88" s="44"/>
    </row>
    <row r="90" spans="2:16" x14ac:dyDescent="0.25">
      <c r="B90" s="19" t="s">
        <v>4</v>
      </c>
      <c r="C90" t="s" vm="3">
        <v>10</v>
      </c>
    </row>
    <row r="91" spans="2:16" x14ac:dyDescent="0.25">
      <c r="B91" s="19" t="s">
        <v>5</v>
      </c>
      <c r="C91" t="s" vm="7">
        <v>10</v>
      </c>
    </row>
    <row r="92" spans="2:16" x14ac:dyDescent="0.25">
      <c r="B92" s="19" t="s">
        <v>6</v>
      </c>
      <c r="C92" t="s" vm="5">
        <v>17</v>
      </c>
    </row>
    <row r="94" spans="2:16" x14ac:dyDescent="0.25">
      <c r="B94" s="19" t="s">
        <v>465</v>
      </c>
      <c r="C94" s="19" t="s">
        <v>466</v>
      </c>
    </row>
    <row r="95" spans="2:16" x14ac:dyDescent="0.25">
      <c r="B95" s="19" t="s">
        <v>467</v>
      </c>
      <c r="C95" t="s">
        <v>431</v>
      </c>
      <c r="D95" t="s">
        <v>151</v>
      </c>
      <c r="E95" t="s">
        <v>11</v>
      </c>
      <c r="F95" t="s">
        <v>462</v>
      </c>
    </row>
    <row r="96" spans="2:16" x14ac:dyDescent="0.25">
      <c r="B96" s="20" t="s">
        <v>335</v>
      </c>
      <c r="E96">
        <v>34</v>
      </c>
      <c r="F96">
        <v>34</v>
      </c>
    </row>
    <row r="97" spans="2:6" x14ac:dyDescent="0.25">
      <c r="B97" s="20" t="s">
        <v>292</v>
      </c>
      <c r="C97">
        <v>2</v>
      </c>
      <c r="D97">
        <v>7</v>
      </c>
      <c r="E97">
        <v>34</v>
      </c>
      <c r="F97">
        <v>43</v>
      </c>
    </row>
    <row r="98" spans="2:6" x14ac:dyDescent="0.25">
      <c r="B98" s="20" t="s">
        <v>324</v>
      </c>
      <c r="E98">
        <v>20</v>
      </c>
      <c r="F98">
        <v>20</v>
      </c>
    </row>
    <row r="99" spans="2:6" x14ac:dyDescent="0.25">
      <c r="B99" s="20" t="s">
        <v>394</v>
      </c>
      <c r="E99">
        <v>5</v>
      </c>
      <c r="F99">
        <v>5</v>
      </c>
    </row>
    <row r="100" spans="2:6" x14ac:dyDescent="0.25">
      <c r="B100" s="20" t="s">
        <v>396</v>
      </c>
      <c r="E100">
        <v>5</v>
      </c>
      <c r="F100">
        <v>5</v>
      </c>
    </row>
    <row r="101" spans="2:6" x14ac:dyDescent="0.25">
      <c r="B101" s="20" t="s">
        <v>345</v>
      </c>
      <c r="E101">
        <v>10</v>
      </c>
      <c r="F101">
        <v>10</v>
      </c>
    </row>
    <row r="102" spans="2:6" x14ac:dyDescent="0.25">
      <c r="B102" s="20" t="s">
        <v>348</v>
      </c>
      <c r="E102">
        <v>9</v>
      </c>
      <c r="F102">
        <v>9</v>
      </c>
    </row>
    <row r="103" spans="2:6" x14ac:dyDescent="0.25">
      <c r="B103" s="20" t="s">
        <v>462</v>
      </c>
      <c r="C103">
        <v>2</v>
      </c>
      <c r="D103">
        <v>7</v>
      </c>
      <c r="E103">
        <v>117</v>
      </c>
      <c r="F103">
        <v>126</v>
      </c>
    </row>
    <row r="108" spans="2:6" x14ac:dyDescent="0.25">
      <c r="B108" s="20"/>
    </row>
    <row r="109" spans="2:6" x14ac:dyDescent="0.25">
      <c r="B109" s="20"/>
    </row>
    <row r="111" spans="2:6" x14ac:dyDescent="0.25">
      <c r="B111" s="19" t="s">
        <v>4</v>
      </c>
      <c r="C111" t="s" vm="3">
        <v>10</v>
      </c>
    </row>
    <row r="112" spans="2:6" x14ac:dyDescent="0.25">
      <c r="B112" s="19" t="s">
        <v>5</v>
      </c>
      <c r="C112" t="s" vm="7">
        <v>10</v>
      </c>
    </row>
    <row r="113" spans="2:3" x14ac:dyDescent="0.25">
      <c r="B113" s="19" t="s">
        <v>6</v>
      </c>
      <c r="C113" t="s" vm="5">
        <v>17</v>
      </c>
    </row>
    <row r="115" spans="2:3" x14ac:dyDescent="0.25">
      <c r="B115" s="19" t="s">
        <v>467</v>
      </c>
      <c r="C115" t="s">
        <v>465</v>
      </c>
    </row>
    <row r="116" spans="2:3" x14ac:dyDescent="0.25">
      <c r="B116" s="20" t="s">
        <v>11</v>
      </c>
      <c r="C116">
        <v>117</v>
      </c>
    </row>
    <row r="117" spans="2:3" x14ac:dyDescent="0.25">
      <c r="B117" s="20" t="s">
        <v>431</v>
      </c>
      <c r="C117">
        <v>2</v>
      </c>
    </row>
    <row r="118" spans="2:3" x14ac:dyDescent="0.25">
      <c r="B118" s="20" t="s">
        <v>151</v>
      </c>
      <c r="C118">
        <v>7</v>
      </c>
    </row>
    <row r="119" spans="2:3" x14ac:dyDescent="0.25">
      <c r="B119" s="20" t="s">
        <v>462</v>
      </c>
      <c r="C119">
        <v>126</v>
      </c>
    </row>
    <row r="120" spans="2:3" x14ac:dyDescent="0.25">
      <c r="B120" s="20"/>
    </row>
    <row r="121" spans="2:3" x14ac:dyDescent="0.25">
      <c r="B121" s="20"/>
    </row>
    <row r="122" spans="2:3" x14ac:dyDescent="0.25">
      <c r="B122" s="20"/>
    </row>
    <row r="123" spans="2:3" x14ac:dyDescent="0.25">
      <c r="B123" s="20"/>
    </row>
    <row r="124" spans="2:3" x14ac:dyDescent="0.25">
      <c r="B124" s="20"/>
    </row>
    <row r="125" spans="2:3" x14ac:dyDescent="0.25">
      <c r="B125" s="20"/>
    </row>
    <row r="129" spans="2:16" ht="22.2" x14ac:dyDescent="0.55000000000000004">
      <c r="B129" s="36" t="s">
        <v>438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2" spans="2:16" x14ac:dyDescent="0.25">
      <c r="B132" s="19" t="s">
        <v>4</v>
      </c>
      <c r="C132" t="s" vm="2">
        <v>12</v>
      </c>
    </row>
    <row r="133" spans="2:16" x14ac:dyDescent="0.25">
      <c r="B133" s="19" t="s">
        <v>6</v>
      </c>
      <c r="C133" t="s" vm="1">
        <v>17</v>
      </c>
    </row>
    <row r="135" spans="2:16" x14ac:dyDescent="0.25">
      <c r="B135" s="19" t="s">
        <v>465</v>
      </c>
      <c r="C135" s="19" t="s">
        <v>466</v>
      </c>
    </row>
    <row r="136" spans="2:16" x14ac:dyDescent="0.25">
      <c r="B136" s="19" t="s">
        <v>467</v>
      </c>
      <c r="C136" t="s">
        <v>431</v>
      </c>
      <c r="D136" t="s">
        <v>151</v>
      </c>
      <c r="E136" t="s">
        <v>432</v>
      </c>
      <c r="F136" t="s">
        <v>462</v>
      </c>
    </row>
    <row r="137" spans="2:16" x14ac:dyDescent="0.25">
      <c r="B137" s="20" t="s">
        <v>398</v>
      </c>
      <c r="C137">
        <v>23</v>
      </c>
      <c r="D137">
        <v>26</v>
      </c>
      <c r="E137">
        <v>1</v>
      </c>
      <c r="F137">
        <v>50</v>
      </c>
    </row>
    <row r="138" spans="2:16" x14ac:dyDescent="0.25">
      <c r="B138" s="20" t="s">
        <v>462</v>
      </c>
      <c r="C138">
        <v>23</v>
      </c>
      <c r="D138">
        <v>26</v>
      </c>
      <c r="E138">
        <v>1</v>
      </c>
      <c r="F138">
        <v>50</v>
      </c>
    </row>
    <row r="141" spans="2:16" x14ac:dyDescent="0.25">
      <c r="B141" s="19" t="s">
        <v>4</v>
      </c>
      <c r="C141" t="s" vm="2">
        <v>12</v>
      </c>
    </row>
    <row r="142" spans="2:16" x14ac:dyDescent="0.25">
      <c r="B142" s="19" t="s">
        <v>6</v>
      </c>
      <c r="C142" t="s" vm="1">
        <v>17</v>
      </c>
    </row>
    <row r="144" spans="2:16" x14ac:dyDescent="0.25">
      <c r="B144" s="19" t="s">
        <v>467</v>
      </c>
      <c r="C144" t="s">
        <v>465</v>
      </c>
    </row>
    <row r="145" spans="2:3" x14ac:dyDescent="0.25">
      <c r="B145" s="20" t="s">
        <v>431</v>
      </c>
      <c r="C145">
        <v>23</v>
      </c>
    </row>
    <row r="146" spans="2:3" x14ac:dyDescent="0.25">
      <c r="B146" s="20" t="s">
        <v>151</v>
      </c>
      <c r="C146">
        <v>26</v>
      </c>
    </row>
    <row r="147" spans="2:3" x14ac:dyDescent="0.25">
      <c r="B147" s="20" t="s">
        <v>432</v>
      </c>
      <c r="C147">
        <v>1</v>
      </c>
    </row>
    <row r="148" spans="2:3" x14ac:dyDescent="0.25">
      <c r="B148" s="20" t="s">
        <v>462</v>
      </c>
      <c r="C148">
        <v>50</v>
      </c>
    </row>
  </sheetData>
  <pageMargins left="0.7" right="0.7" top="0.75" bottom="0.75" header="0.3" footer="0.3"/>
  <pageSetup paperSize="9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2:J23"/>
  <sheetViews>
    <sheetView topLeftCell="A7" zoomScale="85" zoomScaleNormal="85" workbookViewId="0">
      <selection activeCell="B7" sqref="B7"/>
    </sheetView>
  </sheetViews>
  <sheetFormatPr defaultRowHeight="13.8" x14ac:dyDescent="0.25"/>
  <cols>
    <col min="1" max="1" width="31.09765625" bestFit="1" customWidth="1"/>
    <col min="2" max="2" width="58.09765625" customWidth="1"/>
    <col min="3" max="3" width="100.69921875" customWidth="1"/>
  </cols>
  <sheetData>
    <row r="2" spans="2:10" x14ac:dyDescent="0.25">
      <c r="D2" t="s">
        <v>481</v>
      </c>
    </row>
    <row r="3" spans="2:10" ht="17.399999999999999" x14ac:dyDescent="0.45">
      <c r="B3" s="6" t="s">
        <v>482</v>
      </c>
      <c r="D3" t="s">
        <v>468</v>
      </c>
    </row>
    <row r="4" spans="2:10" ht="17.399999999999999" x14ac:dyDescent="0.45">
      <c r="B4" s="22" t="s">
        <v>483</v>
      </c>
      <c r="C4" s="22" t="s">
        <v>484</v>
      </c>
      <c r="D4" s="21" t="s">
        <v>477</v>
      </c>
      <c r="E4" s="21" t="s">
        <v>478</v>
      </c>
      <c r="F4" s="21" t="s">
        <v>470</v>
      </c>
      <c r="H4" s="16" t="s">
        <v>477</v>
      </c>
      <c r="I4" s="16" t="s">
        <v>478</v>
      </c>
      <c r="J4" s="16" t="s">
        <v>470</v>
      </c>
    </row>
    <row r="5" spans="2:10" ht="34.799999999999997" x14ac:dyDescent="0.45">
      <c r="B5" s="2" t="s">
        <v>469</v>
      </c>
      <c r="C5" s="3" t="s">
        <v>485</v>
      </c>
      <c r="D5">
        <v>8</v>
      </c>
      <c r="E5">
        <v>8</v>
      </c>
      <c r="F5">
        <v>8</v>
      </c>
      <c r="H5" s="16">
        <v>1</v>
      </c>
      <c r="I5" s="16">
        <v>3</v>
      </c>
      <c r="J5" s="16">
        <v>8</v>
      </c>
    </row>
    <row r="6" spans="2:10" ht="34.799999999999997" x14ac:dyDescent="0.45">
      <c r="B6" s="2" t="s">
        <v>471</v>
      </c>
      <c r="C6" s="3" t="s">
        <v>486</v>
      </c>
      <c r="D6">
        <v>2</v>
      </c>
      <c r="E6">
        <v>4</v>
      </c>
      <c r="F6">
        <v>8</v>
      </c>
      <c r="H6" s="16">
        <v>1</v>
      </c>
      <c r="I6" s="16">
        <v>3</v>
      </c>
      <c r="J6" s="16">
        <v>4</v>
      </c>
    </row>
    <row r="7" spans="2:10" ht="17.399999999999999" x14ac:dyDescent="0.45">
      <c r="B7" s="2" t="s">
        <v>472</v>
      </c>
      <c r="C7" s="3" t="s">
        <v>487</v>
      </c>
      <c r="D7">
        <v>2</v>
      </c>
      <c r="E7">
        <v>4</v>
      </c>
      <c r="F7">
        <v>8</v>
      </c>
      <c r="H7" s="16">
        <v>1</v>
      </c>
      <c r="I7" s="16">
        <v>1</v>
      </c>
      <c r="J7" s="16">
        <v>2</v>
      </c>
    </row>
    <row r="8" spans="2:10" ht="17.399999999999999" x14ac:dyDescent="0.45">
      <c r="B8" s="13" t="s">
        <v>473</v>
      </c>
      <c r="C8" s="3" t="s">
        <v>488</v>
      </c>
      <c r="D8">
        <v>2</v>
      </c>
      <c r="E8">
        <v>4</v>
      </c>
      <c r="F8">
        <v>8</v>
      </c>
      <c r="H8" s="16">
        <v>2</v>
      </c>
      <c r="I8" s="16">
        <v>4</v>
      </c>
      <c r="J8" s="16">
        <v>4</v>
      </c>
    </row>
    <row r="9" spans="2:10" ht="17.399999999999999" x14ac:dyDescent="0.45">
      <c r="B9" s="14" t="s">
        <v>476</v>
      </c>
      <c r="C9" s="3" t="s">
        <v>489</v>
      </c>
      <c r="D9">
        <v>1</v>
      </c>
      <c r="E9">
        <v>1</v>
      </c>
      <c r="F9">
        <v>1</v>
      </c>
      <c r="H9" s="16"/>
      <c r="I9" s="16"/>
      <c r="J9" s="16"/>
    </row>
    <row r="10" spans="2:10" ht="52.2" x14ac:dyDescent="0.45">
      <c r="B10" s="2" t="s">
        <v>474</v>
      </c>
      <c r="C10" s="3" t="s">
        <v>490</v>
      </c>
      <c r="D10">
        <v>0.1</v>
      </c>
      <c r="E10">
        <v>0.1</v>
      </c>
      <c r="F10">
        <v>0.1</v>
      </c>
      <c r="H10" s="16">
        <v>0.1</v>
      </c>
      <c r="I10" s="16">
        <v>0.5</v>
      </c>
      <c r="J10" s="16">
        <v>0.5</v>
      </c>
    </row>
    <row r="11" spans="2:10" ht="17.399999999999999" x14ac:dyDescent="0.45">
      <c r="B11" s="14" t="s">
        <v>475</v>
      </c>
      <c r="C11" s="3" t="s">
        <v>491</v>
      </c>
      <c r="D11">
        <v>1</v>
      </c>
      <c r="E11">
        <v>2</v>
      </c>
      <c r="F11">
        <v>2</v>
      </c>
      <c r="H11" s="16"/>
      <c r="I11" s="16"/>
      <c r="J11" s="16"/>
    </row>
    <row r="12" spans="2:10" ht="17.399999999999999" x14ac:dyDescent="0.45">
      <c r="B12" s="14" t="s">
        <v>480</v>
      </c>
      <c r="C12" s="3" t="s">
        <v>492</v>
      </c>
      <c r="D12">
        <v>0.5</v>
      </c>
      <c r="E12">
        <v>0.5</v>
      </c>
      <c r="F12">
        <v>0.5</v>
      </c>
      <c r="H12" s="16">
        <v>0.5</v>
      </c>
      <c r="I12" s="16">
        <v>0.5</v>
      </c>
      <c r="J12" s="16">
        <v>0.5</v>
      </c>
    </row>
    <row r="13" spans="2:10" ht="34.799999999999997" x14ac:dyDescent="0.45">
      <c r="B13" s="17" t="s">
        <v>479</v>
      </c>
      <c r="C13" s="3" t="s">
        <v>493</v>
      </c>
      <c r="D13">
        <v>0.5</v>
      </c>
      <c r="E13">
        <v>0.5</v>
      </c>
      <c r="F13">
        <v>0.5</v>
      </c>
      <c r="H13" s="16">
        <v>0.5</v>
      </c>
      <c r="I13" s="16">
        <v>0.5</v>
      </c>
      <c r="J13" s="16">
        <v>0.5</v>
      </c>
    </row>
    <row r="14" spans="2:10" ht="17.399999999999999" x14ac:dyDescent="0.45">
      <c r="B14" s="18"/>
      <c r="C14" s="12"/>
    </row>
    <row r="15" spans="2:10" x14ac:dyDescent="0.25">
      <c r="B15" s="5" t="s">
        <v>9</v>
      </c>
    </row>
    <row r="16" spans="2:10" ht="17.399999999999999" x14ac:dyDescent="0.25">
      <c r="B16" s="7" t="s">
        <v>431</v>
      </c>
      <c r="C16">
        <f>_xlfn.NUMBERVALUE(LEFT(B16,1))</f>
        <v>1</v>
      </c>
      <c r="D16" s="24">
        <v>1</v>
      </c>
    </row>
    <row r="17" spans="1:4" ht="17.399999999999999" x14ac:dyDescent="0.25">
      <c r="A17" t="s">
        <v>494</v>
      </c>
      <c r="B17" s="7" t="s">
        <v>432</v>
      </c>
      <c r="C17">
        <f t="shared" ref="C17:C23" si="0">_xlfn.NUMBERVALUE(LEFT(B17,1))</f>
        <v>3</v>
      </c>
      <c r="D17" s="24">
        <v>0.25</v>
      </c>
    </row>
    <row r="18" spans="1:4" ht="17.399999999999999" x14ac:dyDescent="0.25">
      <c r="B18" s="9" t="s">
        <v>11</v>
      </c>
      <c r="C18">
        <f t="shared" si="0"/>
        <v>7</v>
      </c>
      <c r="D18" s="24">
        <v>0</v>
      </c>
    </row>
    <row r="19" spans="1:4" ht="17.399999999999999" x14ac:dyDescent="0.45">
      <c r="B19" s="1" t="s">
        <v>151</v>
      </c>
      <c r="C19">
        <f t="shared" si="0"/>
        <v>2</v>
      </c>
      <c r="D19" s="24">
        <v>0.5</v>
      </c>
    </row>
    <row r="20" spans="1:4" ht="17.399999999999999" x14ac:dyDescent="0.45">
      <c r="A20" t="s">
        <v>495</v>
      </c>
      <c r="B20" s="10" t="s">
        <v>433</v>
      </c>
      <c r="C20">
        <f t="shared" si="0"/>
        <v>4</v>
      </c>
      <c r="D20" s="24">
        <v>0.25</v>
      </c>
    </row>
    <row r="21" spans="1:4" ht="17.399999999999999" x14ac:dyDescent="0.45">
      <c r="A21" t="s">
        <v>496</v>
      </c>
      <c r="B21" s="8" t="s">
        <v>434</v>
      </c>
      <c r="C21">
        <f t="shared" si="0"/>
        <v>5</v>
      </c>
      <c r="D21" s="24">
        <v>0.25</v>
      </c>
    </row>
    <row r="22" spans="1:4" ht="17.399999999999999" x14ac:dyDescent="0.45">
      <c r="B22" s="8" t="s">
        <v>435</v>
      </c>
      <c r="C22">
        <f t="shared" si="0"/>
        <v>6</v>
      </c>
      <c r="D22" s="24">
        <v>0.25</v>
      </c>
    </row>
    <row r="23" spans="1:4" ht="17.399999999999999" x14ac:dyDescent="0.45">
      <c r="A23" t="s">
        <v>497</v>
      </c>
      <c r="B23" s="1" t="s">
        <v>430</v>
      </c>
      <c r="C23">
        <f t="shared" si="0"/>
        <v>0</v>
      </c>
      <c r="D23" s="24">
        <v>0</v>
      </c>
    </row>
  </sheetData>
  <conditionalFormatting sqref="B16:B23">
    <cfRule type="cellIs" dxfId="3" priority="1" operator="equal">
      <formula>$B$23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95969BE-C34E-49F0-8570-DF3795205EE0}">
            <xm:f>NOT(ISERROR(SEARCH($B$21,B16)))</xm:f>
            <xm:f>$B$21</xm:f>
            <x14:dxf>
              <font>
                <b/>
                <i val="0"/>
                <color rgb="FFC0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3" operator="containsText" id="{B0574C7E-907B-4484-A1CC-EBB9AA1C8984}">
            <xm:f>NOT(ISERROR(SEARCH($B$19,B16)))</xm:f>
            <xm:f>$B$19</xm:f>
            <x14:dxf>
              <font>
                <b/>
                <i val="0"/>
                <color theme="7" tint="-0.24994659260841701"/>
              </font>
              <fill>
                <patternFill>
                  <bgColor theme="7" tint="0.79998168889431442"/>
                </patternFill>
              </fill>
            </x14:dxf>
          </x14:cfRule>
          <x14:cfRule type="containsText" priority="4" operator="containsText" id="{189E0EEA-8B4A-4A84-ABC7-266A6AAD0E7B}">
            <xm:f>NOT(ISERROR(SEARCH($B$16,B16)))</xm:f>
            <xm:f>$B$16</xm:f>
            <x14:dxf>
              <font>
                <b/>
                <i val="0"/>
                <color theme="9"/>
              </font>
              <fill>
                <patternFill>
                  <bgColor theme="9" tint="0.79998168889431442"/>
                </patternFill>
              </fill>
            </x14:dxf>
          </x14:cfRule>
          <xm:sqref>B16:B23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6" ma:contentTypeDescription="Create a new document." ma:contentTypeScope="" ma:versionID="76f47d5310bd02227e7967e601aa09a3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7fb41a0c38d0a068f8a7023141bd94b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E34E50-0EAE-4C00-B5EB-19B4C6307AB5}"/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purl.org/dc/dcmitype/"/>
    <ds:schemaRef ds:uri="0683c779-04fc-4b63-89c9-6c25ffa1c0a4"/>
    <ds:schemaRef ds:uri="http://schemas.microsoft.com/sharepoint/v3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ea7b29d-57ec-408d-9ea9-cf73b04f66d5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Esquema</vt:lpstr>
      <vt:lpstr>2. Status Detalhe Campos</vt:lpstr>
      <vt:lpstr>Aux - Pivots2</vt:lpstr>
      <vt:lpstr>Auxiliar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Diogo Alexandre Escaleira</cp:lastModifiedBy>
  <cp:revision/>
  <dcterms:created xsi:type="dcterms:W3CDTF">2024-07-02T08:46:04Z</dcterms:created>
  <dcterms:modified xsi:type="dcterms:W3CDTF">2025-10-28T14:38:47Z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