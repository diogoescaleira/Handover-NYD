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Dezembro/"/>
    </mc:Choice>
  </mc:AlternateContent>
  <bookViews>
    <workbookView xWindow="-120" yWindow="-16320" windowWidth="29040" windowHeight="15840"/>
  </bookViews>
  <sheets>
    <sheet name="1. Status Resumo" sheetId="15" r:id="rId1"/>
    <sheet name="2. Status Detalhe Campos" sheetId="17" r:id="rId2"/>
    <sheet name="Plano Campos" sheetId="21" r:id="rId3"/>
  </sheets>
  <definedNames>
    <definedName name="_xlnm._FilterDatabase" localSheetId="1" hidden="1">'2. Status Detalhe Campos'!$A$6:$J$574</definedName>
    <definedName name="_xlnm._FilterDatabase" localSheetId="2" hidden="1">'Plano Campos'!$A$12:$AM$56</definedName>
    <definedName name="_xlcn.WorksheetConnection_2.StatusDetalheCamposB6G6051" hidden="1">'2. Status Detalhe Campos'!$B$6:$G$574</definedName>
    <definedName name="_xlcn.WorksheetConnection_Sheet2B2G5451" hidden="1">'2. Status Detalhe Campos'!$B$6:$G$560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5" l="1"/>
  <c r="K39" i="15" s="1"/>
  <c r="Q38" i="15"/>
  <c r="I39" i="15" l="1"/>
  <c r="H48" i="15" l="1"/>
  <c r="Q36" i="15"/>
  <c r="T121" i="15"/>
  <c r="T86" i="15"/>
  <c r="U62" i="15"/>
  <c r="U121" i="15" s="1"/>
  <c r="U86" i="15" l="1"/>
  <c r="L48" i="15"/>
  <c r="K48" i="15"/>
  <c r="J48" i="15"/>
  <c r="I48" i="15"/>
  <c r="O37" i="15"/>
  <c r="Q37" i="15" s="1"/>
  <c r="M46" i="15"/>
  <c r="O47" i="15"/>
  <c r="H39" i="15"/>
  <c r="M48" i="15" l="1"/>
  <c r="O46" i="15"/>
  <c r="O39" i="15"/>
  <c r="Q39" i="15"/>
  <c r="O45" i="15"/>
  <c r="T25" i="15"/>
  <c r="T24" i="15"/>
  <c r="T23" i="15"/>
  <c r="T22" i="15"/>
  <c r="T21" i="15"/>
  <c r="T20" i="15"/>
  <c r="T19" i="15"/>
  <c r="T18" i="15"/>
  <c r="T17" i="15"/>
  <c r="T63" i="15"/>
  <c r="F36" i="15" s="1"/>
  <c r="U16" i="15"/>
  <c r="T26" i="15" l="1"/>
  <c r="A52" i="21" l="1"/>
  <c r="AD12" i="21" l="1"/>
  <c r="A55" i="21"/>
  <c r="AD11" i="21" l="1"/>
  <c r="A107" i="17" l="1"/>
  <c r="A498" i="17" l="1"/>
  <c r="A497" i="17"/>
  <c r="A496" i="17"/>
  <c r="A495" i="17"/>
  <c r="A494" i="17"/>
  <c r="A493" i="17"/>
  <c r="A564" i="17" l="1"/>
  <c r="A563" i="17"/>
  <c r="A562" i="17"/>
  <c r="A561" i="17"/>
  <c r="T125" i="15" l="1"/>
  <c r="T90" i="15"/>
  <c r="T66" i="15"/>
  <c r="T65" i="15"/>
  <c r="A180" i="17" l="1"/>
  <c r="A179" i="17"/>
  <c r="A178" i="17"/>
  <c r="A177" i="17"/>
  <c r="A176" i="17"/>
  <c r="A175" i="17"/>
  <c r="A174" i="17"/>
  <c r="T94" i="15" l="1"/>
  <c r="A212" i="17" l="1"/>
  <c r="A211" i="17"/>
  <c r="A213" i="17"/>
  <c r="A214" i="17"/>
  <c r="A256" i="17" l="1"/>
  <c r="T89" i="15" l="1"/>
  <c r="A574" i="17" l="1"/>
  <c r="A573" i="17"/>
  <c r="A572" i="17"/>
  <c r="A571" i="17"/>
  <c r="A570" i="17"/>
  <c r="A569" i="17"/>
  <c r="A568" i="17"/>
  <c r="A567" i="17"/>
  <c r="A566" i="17"/>
  <c r="A565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L31" i="17" l="1"/>
  <c r="L16" i="17"/>
  <c r="L24" i="17"/>
  <c r="L32" i="17"/>
  <c r="L34" i="17"/>
  <c r="L19" i="17"/>
  <c r="L23" i="17"/>
  <c r="L9" i="17"/>
  <c r="L26" i="17"/>
  <c r="L27" i="17"/>
  <c r="L20" i="17"/>
  <c r="L28" i="17"/>
  <c r="L36" i="17"/>
  <c r="L15" i="17"/>
  <c r="L17" i="17"/>
  <c r="L33" i="17"/>
  <c r="L18" i="17"/>
  <c r="L13" i="17"/>
  <c r="L21" i="17"/>
  <c r="L29" i="17"/>
  <c r="L25" i="17"/>
  <c r="L10" i="17"/>
  <c r="L11" i="17"/>
  <c r="L35" i="17"/>
  <c r="L14" i="17"/>
  <c r="L22" i="17"/>
  <c r="L30" i="17"/>
  <c r="L12" i="17"/>
  <c r="J12" i="17"/>
  <c r="K23" i="17"/>
  <c r="K25" i="17"/>
  <c r="J14" i="17"/>
  <c r="K28" i="17"/>
  <c r="J11" i="17"/>
  <c r="K14" i="17"/>
  <c r="J22" i="17"/>
  <c r="K22" i="17"/>
  <c r="J29" i="17"/>
  <c r="K29" i="17"/>
  <c r="J13" i="17"/>
  <c r="K13" i="17"/>
  <c r="J30" i="17"/>
  <c r="K30" i="17"/>
  <c r="J16" i="17"/>
  <c r="K16" i="17"/>
  <c r="J24" i="17"/>
  <c r="K24" i="17"/>
  <c r="J32" i="17"/>
  <c r="K32" i="17"/>
  <c r="J28" i="17"/>
  <c r="K12" i="17"/>
  <c r="K20" i="17"/>
  <c r="J20" i="17"/>
  <c r="K36" i="17"/>
  <c r="J36" i="17"/>
  <c r="K15" i="17"/>
  <c r="J15" i="17"/>
  <c r="K33" i="17"/>
  <c r="J33" i="17"/>
  <c r="J25" i="17"/>
  <c r="J19" i="17"/>
  <c r="K19" i="17"/>
  <c r="J27" i="17"/>
  <c r="K27" i="17"/>
  <c r="J35" i="17"/>
  <c r="K35" i="17"/>
  <c r="J21" i="17"/>
  <c r="K21" i="17"/>
  <c r="K11" i="17"/>
  <c r="K31" i="17"/>
  <c r="J31" i="17"/>
  <c r="K9" i="17"/>
  <c r="J9" i="17"/>
  <c r="K17" i="17"/>
  <c r="J17" i="17"/>
  <c r="J10" i="17"/>
  <c r="K10" i="17"/>
  <c r="J18" i="17"/>
  <c r="K18" i="17"/>
  <c r="J26" i="17"/>
  <c r="K26" i="17"/>
  <c r="J34" i="17"/>
  <c r="K34" i="17"/>
  <c r="J23" i="17"/>
  <c r="T130" i="15" l="1"/>
  <c r="T129" i="15"/>
  <c r="T128" i="15"/>
  <c r="T127" i="15"/>
  <c r="T126" i="15"/>
  <c r="T124" i="15"/>
  <c r="T123" i="15"/>
  <c r="E38" i="15" s="1"/>
  <c r="T122" i="15"/>
  <c r="F38" i="15" s="1"/>
  <c r="T87" i="15" l="1"/>
  <c r="F37" i="15" s="1"/>
  <c r="F39" i="15" s="1"/>
  <c r="T88" i="15"/>
  <c r="E37" i="15" s="1"/>
  <c r="T91" i="15"/>
  <c r="T92" i="15"/>
  <c r="T93" i="15"/>
  <c r="T95" i="15"/>
  <c r="T64" i="15"/>
  <c r="E36" i="15" s="1"/>
  <c r="T67" i="15"/>
  <c r="T68" i="15"/>
  <c r="T69" i="15"/>
  <c r="T70" i="15"/>
  <c r="T71" i="15"/>
  <c r="E39" i="15" l="1"/>
  <c r="T72" i="15"/>
  <c r="D36" i="15" s="1"/>
  <c r="T131" i="15"/>
  <c r="D38" i="15" s="1"/>
  <c r="G38" i="15" s="1"/>
  <c r="T96" i="15"/>
  <c r="D37" i="15" s="1"/>
  <c r="G37" i="15" s="1"/>
  <c r="A8" i="17"/>
  <c r="A7" i="17"/>
  <c r="D39" i="15" l="1"/>
  <c r="G36" i="15"/>
  <c r="G39" i="15" s="1"/>
  <c r="G41" i="15" s="1"/>
  <c r="L7" i="17"/>
  <c r="L8" i="17"/>
  <c r="K7" i="17"/>
  <c r="J7" i="17"/>
  <c r="J8" i="17"/>
  <c r="K8" i="17"/>
  <c r="G40" i="15" l="1"/>
  <c r="E40" i="15"/>
  <c r="E41" i="15"/>
  <c r="F40" i="15"/>
  <c r="G9" i="17" l="1"/>
  <c r="G11" i="17"/>
  <c r="G26" i="17"/>
  <c r="G34" i="17"/>
  <c r="G32" i="17"/>
  <c r="G7" i="17"/>
  <c r="G15" i="17"/>
  <c r="G19" i="17"/>
  <c r="G21" i="17"/>
  <c r="G27" i="17"/>
  <c r="G33" i="17"/>
  <c r="G28" i="17"/>
  <c r="G18" i="17"/>
  <c r="G35" i="17"/>
  <c r="G8" i="17"/>
  <c r="G24" i="17"/>
  <c r="G13" i="17"/>
  <c r="G17" i="17"/>
  <c r="G16" i="17"/>
  <c r="G31" i="17"/>
  <c r="G23" i="17"/>
  <c r="G22" i="17"/>
  <c r="G30" i="17"/>
  <c r="G29" i="17"/>
  <c r="G36" i="17"/>
  <c r="G14" i="17"/>
  <c r="G12" i="17"/>
  <c r="G25" i="17"/>
  <c r="G20" i="17"/>
  <c r="G10" i="17"/>
  <c r="U24" i="15" l="1"/>
  <c r="V24" i="15" s="1"/>
  <c r="U20" i="15"/>
  <c r="V20" i="15" s="1"/>
  <c r="F45" i="15"/>
  <c r="U67" i="15"/>
  <c r="V67" i="15" s="1"/>
  <c r="U71" i="15"/>
  <c r="U23" i="15"/>
  <c r="V23" i="15" s="1"/>
  <c r="U19" i="15"/>
  <c r="V19" i="15" s="1"/>
  <c r="U68" i="15"/>
  <c r="U22" i="15"/>
  <c r="V22" i="15" s="1"/>
  <c r="U18" i="15"/>
  <c r="V18" i="15" s="1"/>
  <c r="U65" i="15"/>
  <c r="U69" i="15"/>
  <c r="U25" i="15"/>
  <c r="V25" i="15" s="1"/>
  <c r="U21" i="15"/>
  <c r="V21" i="15" s="1"/>
  <c r="U17" i="15"/>
  <c r="U66" i="15"/>
  <c r="V70" i="15"/>
  <c r="U125" i="15"/>
  <c r="V125" i="15" s="1"/>
  <c r="U90" i="15"/>
  <c r="V90" i="15" s="1"/>
  <c r="V66" i="15"/>
  <c r="U128" i="15"/>
  <c r="V128" i="15" s="1"/>
  <c r="U127" i="15"/>
  <c r="V127" i="15" s="1"/>
  <c r="U126" i="15"/>
  <c r="V126" i="15" s="1"/>
  <c r="U122" i="15"/>
  <c r="F47" i="15" s="1"/>
  <c r="U124" i="15"/>
  <c r="U123" i="15"/>
  <c r="U130" i="15"/>
  <c r="V130" i="15" s="1"/>
  <c r="U129" i="15"/>
  <c r="V129" i="15" s="1"/>
  <c r="V71" i="15"/>
  <c r="U87" i="15"/>
  <c r="F46" i="15" s="1"/>
  <c r="U92" i="15"/>
  <c r="V92" i="15" s="1"/>
  <c r="U93" i="15"/>
  <c r="V93" i="15" s="1"/>
  <c r="V68" i="15"/>
  <c r="U88" i="15"/>
  <c r="V69" i="15"/>
  <c r="U89" i="15"/>
  <c r="U94" i="15"/>
  <c r="V94" i="15" s="1"/>
  <c r="U91" i="15"/>
  <c r="V91" i="15" s="1"/>
  <c r="U95" i="15"/>
  <c r="V95" i="15" s="1"/>
  <c r="V64" i="15" l="1"/>
  <c r="E45" i="15"/>
  <c r="F48" i="15"/>
  <c r="V89" i="15"/>
  <c r="V124" i="15"/>
  <c r="V65" i="15"/>
  <c r="V88" i="15"/>
  <c r="E46" i="15"/>
  <c r="V123" i="15"/>
  <c r="E47" i="15"/>
  <c r="U26" i="15"/>
  <c r="V17" i="15"/>
  <c r="V87" i="15"/>
  <c r="U96" i="15"/>
  <c r="D46" i="15" s="1"/>
  <c r="V122" i="15"/>
  <c r="U131" i="15"/>
  <c r="V63" i="15"/>
  <c r="U72" i="15"/>
  <c r="G46" i="15" l="1"/>
  <c r="D125" i="15"/>
  <c r="D47" i="15"/>
  <c r="D66" i="15"/>
  <c r="D45" i="15"/>
  <c r="G45" i="15" s="1"/>
  <c r="O48" i="15"/>
  <c r="E48" i="15"/>
  <c r="D90" i="15"/>
  <c r="D48" i="15" l="1"/>
  <c r="F49" i="15" s="1"/>
  <c r="G47" i="15"/>
  <c r="G48" i="15" s="1"/>
  <c r="E49" i="15" l="1"/>
  <c r="E50" i="15"/>
  <c r="G50" i="15"/>
  <c r="G49" i="15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<sst xmlns="http://schemas.openxmlformats.org/spreadsheetml/2006/main" count="6163" uniqueCount="577">
  <si>
    <t>Outubro</t>
  </si>
  <si>
    <t>Novembro</t>
  </si>
  <si>
    <t>Dezembro</t>
  </si>
  <si>
    <t>Âmbito</t>
  </si>
  <si>
    <t>Sub-âmbito</t>
  </si>
  <si>
    <t>Tipo de teste</t>
  </si>
  <si>
    <t>Tabela</t>
  </si>
  <si>
    <t>Campo</t>
  </si>
  <si>
    <t>Status</t>
  </si>
  <si>
    <t>Observações</t>
  </si>
  <si>
    <t>Pilar III</t>
  </si>
  <si>
    <t>Bens Imóveis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</si>
  <si>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</si>
  <si>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</si>
  <si>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</si>
  <si>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</si>
  <si>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</si>
  <si>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</si>
  <si>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</si>
  <si>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</si>
  <si>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</si>
  <si>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</si>
  <si>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</si>
  <si>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</si>
  <si>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</si>
  <si>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</si>
  <si>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</si>
  <si>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</si>
  <si>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</si>
  <si>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</si>
  <si>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</si>
  <si>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</si>
  <si>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</si>
  <si>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</si>
  <si>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</si>
  <si>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</si>
  <si>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</si>
  <si>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</si>
  <si>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</si>
  <si>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</si>
  <si>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</si>
  <si>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</si>
  <si>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</si>
  <si>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</si>
  <si>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</si>
  <si>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</si>
  <si>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</si>
  <si>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</si>
  <si>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</si>
  <si>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</si>
  <si>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</si>
  <si>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</si>
  <si>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</si>
  <si>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</si>
  <si>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</si>
  <si>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</si>
  <si>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</si>
  <si>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</si>
  <si>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</si>
  <si>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</si>
  <si>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</si>
  <si>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</si>
  <si>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</si>
  <si>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</si>
  <si>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</si>
  <si>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</si>
  <si>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</si>
  <si>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</si>
  <si>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</si>
  <si>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</si>
  <si>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</si>
  <si>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</si>
  <si>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</si>
  <si>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</si>
  <si>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</si>
  <si>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</si>
  <si>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</si>
  <si>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</si>
  <si>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</si>
  <si>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</si>
  <si>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</si>
  <si>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</si>
  <si>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</si>
  <si>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</si>
  <si>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</si>
  <si>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</si>
  <si>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</si>
  <si>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</si>
  <si>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</si>
  <si>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</si>
  <si>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</si>
  <si>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</si>
  <si>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</si>
  <si>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</si>
  <si>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</si>
  <si>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</si>
  <si>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</si>
  <si>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</si>
  <si>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</si>
  <si>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</si>
  <si>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</si>
  <si>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</si>
  <si>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</si>
  <si>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</si>
  <si>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</si>
  <si>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</si>
  <si>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</si>
  <si>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</si>
  <si>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</si>
  <si>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</si>
  <si>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</si>
  <si>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</si>
  <si>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</si>
  <si>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</si>
  <si>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</si>
  <si>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</si>
  <si>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</si>
  <si>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</si>
  <si>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</si>
  <si>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</si>
  <si>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</si>
  <si>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</si>
  <si>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</si>
  <si>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</si>
  <si>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</si>
  <si>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</si>
  <si>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</si>
  <si>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</si>
  <si>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</si>
  <si>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</si>
  <si>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</si>
  <si>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</si>
  <si>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</si>
  <si>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</si>
  <si>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</si>
  <si>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</si>
  <si>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</si>
  <si>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</si>
  <si>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</si>
  <si>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</si>
  <si>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</si>
  <si>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</si>
  <si>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</si>
  <si>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</si>
  <si>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</si>
  <si>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</si>
  <si>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</si>
  <si>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</si>
  <si>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</si>
  <si>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</si>
  <si>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</si>
  <si>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</si>
  <si>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</si>
  <si>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</si>
  <si>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</si>
  <si>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</si>
  <si>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</si>
  <si>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</si>
  <si>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</si>
  <si>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</si>
  <si>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</si>
  <si>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</si>
  <si>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</si>
  <si>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</si>
  <si>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</si>
  <si>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</si>
  <si>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</si>
  <si>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</si>
  <si>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</si>
  <si>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</si>
  <si>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</si>
  <si>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</si>
  <si>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</si>
  <si>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</si>
  <si>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</si>
  <si>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</si>
  <si>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</si>
  <si>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</si>
  <si>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</si>
  <si>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</si>
  <si>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</si>
  <si>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</si>
  <si>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</si>
  <si>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</si>
  <si>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</si>
  <si>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</si>
  <si>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</si>
  <si>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</si>
  <si>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</si>
  <si>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</si>
  <si>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</si>
  <si>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</si>
  <si>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</si>
  <si>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</si>
  <si>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</si>
  <si>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</si>
  <si>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</si>
  <si>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</si>
  <si>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</si>
  <si>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</si>
  <si>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</si>
  <si>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</si>
  <si>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</si>
  <si>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</si>
  <si>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</si>
  <si>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</si>
  <si>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</si>
  <si>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</si>
  <si>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</si>
  <si>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</si>
  <si>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</si>
  <si>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</si>
  <si>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</si>
  <si>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</si>
  <si>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</si>
  <si>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</si>
  <si>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</si>
  <si>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</si>
  <si>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</si>
  <si>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</si>
  <si>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</si>
  <si>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</si>
  <si>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</si>
  <si>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</si>
  <si>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</si>
  <si>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</si>
  <si>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</si>
  <si>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</si>
  <si>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</si>
  <si>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</si>
  <si>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</si>
  <si>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</si>
  <si>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</si>
  <si>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</si>
  <si>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</si>
  <si>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</si>
  <si>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</si>
  <si>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</si>
  <si>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</si>
  <si>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</si>
  <si>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</si>
  <si>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</si>
  <si>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</si>
  <si>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</si>
  <si>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</si>
  <si>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</si>
  <si>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</si>
  <si>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</si>
  <si>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</si>
  <si>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</si>
  <si>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</si>
  <si>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</si>
  <si>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</si>
  <si>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</si>
  <si>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</si>
  <si>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</si>
  <si>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</si>
  <si>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</si>
  <si>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</si>
  <si>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</si>
  <si>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</si>
  <si>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</si>
  <si>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</si>
  <si>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</si>
  <si>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</si>
  <si>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</si>
  <si>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</si>
  <si>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</si>
  <si>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</si>
  <si>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</si>
  <si>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</si>
  <si>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</si>
  <si>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</si>
  <si>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</si>
  <si>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</si>
  <si>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</si>
  <si>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</si>
  <si>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</si>
  <si>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</si>
  <si>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</si>
  <si>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</si>
  <si>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</si>
  <si>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</si>
  <si>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</si>
  <si>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</si>
  <si>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</si>
  <si>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</si>
  <si>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</si>
  <si>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</si>
  <si>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</si>
  <si>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</si>
  <si>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</si>
  <si>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</si>
  <si>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</si>
  <si>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</si>
  <si>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</si>
  <si>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</si>
  <si>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</si>
  <si>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</si>
  <si>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</si>
  <si>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</si>
  <si>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</si>
  <si>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</si>
  <si>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</si>
  <si>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</si>
  <si>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</si>
  <si>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</si>
  <si>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</si>
  <si>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</si>
  <si>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</si>
  <si>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</si>
  <si>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</si>
  <si>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</si>
  <si>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</si>
  <si>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</si>
  <si>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</si>
  <si>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</si>
  <si>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</si>
  <si>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</si>
  <si>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</si>
  <si>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</si>
  <si>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</si>
  <si>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</si>
  <si>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</si>
  <si>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</si>
  <si>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</si>
  <si>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</si>
  <si>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</si>
  <si>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</si>
  <si>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</si>
  <si>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</si>
  <si>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</si>
  <si>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</si>
  <si>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</si>
  <si>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</si>
  <si>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</si>
  <si>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</si>
  <si>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</si>
  <si>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</si>
  <si>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</si>
  <si>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</si>
  <si>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</si>
  <si>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</si>
  <si>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</si>
  <si>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</si>
  <si>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</si>
  <si>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</si>
  <si>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</si>
  <si>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</si>
  <si>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</si>
  <si>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</si>
  <si>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</si>
  <si>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</si>
  <si>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</si>
  <si>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</si>
  <si>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</si>
  <si>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</si>
  <si>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</si>
  <si>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</si>
  <si>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</si>
  <si>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</si>
  <si>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</si>
  <si>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</si>
  <si>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</si>
  <si>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</si>
  <si>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</si>
  <si>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</si>
  <si>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</si>
  <si>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</si>
  <si>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</si>
  <si>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</si>
  <si>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</si>
  <si>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</si>
  <si>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</si>
  <si>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</si>
  <si>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</si>
  <si>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</si>
  <si>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</si>
  <si>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</si>
  <si>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</si>
  <si>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</si>
  <si>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</si>
  <si>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</si>
  <si>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</si>
  <si>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</si>
  <si>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</si>
  <si>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</si>
  <si>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</si>
  <si>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</si>
  <si>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</si>
  <si>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</si>
  <si>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</si>
  <si>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</si>
  <si>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</si>
  <si>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</si>
  <si>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</si>
  <si>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</si>
  <si>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</si>
  <si>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</si>
  <si>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</si>
  <si>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</si>
  <si>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</si>
  <si>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</si>
  <si>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</si>
  <si>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</si>
  <si>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</si>
  <si>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</si>
  <si>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</si>
  <si>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</si>
  <si>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</si>
  <si>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t>Janeiro</t>
  </si>
  <si>
    <t>flg_col</t>
  </si>
  <si>
    <t>flg_fin</t>
  </si>
  <si>
    <t>flg_pro</t>
  </si>
  <si>
    <t>Re-especificação</t>
  </si>
  <si>
    <t>Testes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</si>
  <si>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</si>
  <si>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</si>
  <si>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</si>
  <si>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</si>
  <si>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</si>
  <si>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</si>
  <si>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</si>
  <si>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</si>
  <si>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</si>
  <si>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</si>
  <si>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</si>
  <si>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6. Em implementação (re-especificação)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</si>
  <si>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</si>
  <si>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</si>
  <si>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</si>
  <si>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</si>
  <si>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</si>
  <si>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</si>
  <si>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</si>
  <si>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</si>
  <si>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</si>
  <si>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</si>
  <si>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</si>
  <si>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</si>
  <si>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</si>
  <si>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Em Implementação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</si>
  <si>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</si>
  <si>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</si>
  <si>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</si>
  <si>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t>Input Munich Re</t>
  </si>
  <si>
    <t xml:space="preserve">Em Implementação </t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</si>
  <si>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</si>
  <si>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</si>
  <si>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</si>
  <si>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</si>
  <si>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</si>
  <si>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</si>
  <si>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</si>
  <si>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</si>
  <si>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26/07/2024: Conclusão de testes ao universo MUG e GP. Adjudicados fora de âmbito deste projeto.</t>
  </si>
  <si>
    <t>19/07/2024: Campo eliminado do Modelo para garantir coerência com MUG</t>
  </si>
  <si>
    <t>08/08/2024: Campo eliminado de modo a garantir a coerência com o atualmente realizado no Modelo Único de Garantias.</t>
  </si>
  <si>
    <t>22/07/2024: Entrega de campo para testes</t>
  </si>
  <si>
    <t>Novo Campo - IT já implementou</t>
  </si>
  <si>
    <t>Novo Campo</t>
  </si>
  <si>
    <t>13/09/2024: Dependente da atualização dos códigos de SFICS por parte da Corporação.</t>
  </si>
  <si>
    <t>26/09/2024: Remoção de campo</t>
  </si>
  <si>
    <t>Novo Campo no input corporativo</t>
  </si>
  <si>
    <t>18/07/2024: Em validação com Corporação sobre a possibilidade de valores zero (contra especificação); 26/07/2024: Campo concluido</t>
  </si>
  <si>
    <t xml:space="preserve">Campo removido </t>
  </si>
  <si>
    <t xml:space="preserve">Re-especificação </t>
  </si>
  <si>
    <t>A concluir re-especificação</t>
  </si>
  <si>
    <t>13/09/2024: Dependente da TAT para identificação de códigos de veículos</t>
  </si>
  <si>
    <t>26/07/2024: Campo não espelhado na documentação da Deloitte (LT ESTR)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</si>
  <si>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</si>
  <si>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</si>
  <si>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</si>
  <si>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</si>
  <si>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</si>
  <si>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</si>
  <si>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</si>
  <si>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</si>
  <si>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</si>
  <si>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flg_exec</t>
  </si>
  <si>
    <t>2.1 Em Teste</t>
  </si>
  <si>
    <t>2.2 Em Re-especificação</t>
  </si>
  <si>
    <t>Apesar da data de correção ser 28/11 a data que importa é 24/10, uma vez que a última implementação não é relevanta para iniciar os testes à tabela</t>
  </si>
  <si>
    <t>Em Curso</t>
  </si>
  <si>
    <t>Data Prevista de Re-especificação</t>
  </si>
  <si>
    <t>Data Prevista de Teste</t>
  </si>
  <si>
    <t>Campo eliminado na versão de Dez24</t>
  </si>
  <si>
    <t>Pendente de feedback de CDO - Criação de Nova tabela</t>
  </si>
  <si>
    <t>Pendente de feedback de CDO - Reunião marcada para dia 28/10</t>
  </si>
  <si>
    <t>Tema de Loan Tape Estrutural</t>
  </si>
  <si>
    <t>purpose_code</t>
  </si>
  <si>
    <t>CGARANT_BEM</t>
  </si>
  <si>
    <t>Entrega IT prevista</t>
  </si>
  <si>
    <t>Entrega IT real</t>
  </si>
  <si>
    <t>lt007_instr_activity</t>
  </si>
  <si>
    <t>lt827_mthd_usd_instrmnt</t>
  </si>
  <si>
    <t>munichRe</t>
  </si>
  <si>
    <t>tbd</t>
  </si>
  <si>
    <t>RE-TESTES</t>
  </si>
  <si>
    <t>Todos</t>
  </si>
  <si>
    <t>Entrega</t>
  </si>
  <si>
    <t>Entrega #1</t>
  </si>
  <si>
    <t>Entrega #2</t>
  </si>
  <si>
    <t>Entrega #3</t>
  </si>
  <si>
    <t>Entrega #4</t>
  </si>
  <si>
    <t>Entrega #1 (Re-especificação)</t>
  </si>
  <si>
    <t>Status Atual (%)</t>
  </si>
  <si>
    <t>Status Estimado (%)</t>
  </si>
  <si>
    <t>Variação (%)</t>
  </si>
  <si>
    <t>Entrega #4 (Re-especificação)</t>
  </si>
  <si>
    <t>Validação EF</t>
  </si>
  <si>
    <t>1 campo Em Implementação</t>
  </si>
  <si>
    <t>Concluído</t>
  </si>
  <si>
    <t>Pendente CdG</t>
  </si>
  <si>
    <t>Nova data de entrega &gt; de 28/11 para 04/12</t>
  </si>
  <si>
    <t>GLOVAL - Tabela unificada/ traçabilidade</t>
  </si>
  <si>
    <t>GLOVAL - Reprocessamento via front</t>
  </si>
  <si>
    <t>IT - Em implementação</t>
  </si>
  <si>
    <t>NYD - Em teste</t>
  </si>
  <si>
    <t>Nova data de entrega &gt; de 28/11 para 12/12</t>
  </si>
  <si>
    <t>IT - Correção de incidências</t>
  </si>
  <si>
    <t>Campos comuns ao GD com incidência &gt; a aguardar data de entrega</t>
  </si>
  <si>
    <t xml:space="preserve">Re-especificação com base num novo campo do MBI </t>
  </si>
  <si>
    <t>Entrega #1 (Re-especificação 2)</t>
  </si>
  <si>
    <t>Entrega #2 (Re-especificação2)</t>
  </si>
  <si>
    <t>Nova data de entrega de  28/11para 04/12. Nova data de entrega de 04/12 para 19/12</t>
  </si>
  <si>
    <t>Novo campo na tabela. Nova data de entrega de 05/12 para 19/12</t>
  </si>
  <si>
    <t>Nova data de entrega &gt; de 28/11 para 02/12</t>
  </si>
  <si>
    <t>Nova data de entrega de  15/11 para 05/12</t>
  </si>
  <si>
    <t>Entrega #1 (Incidências)</t>
  </si>
  <si>
    <t>Re-especificação sobre campos de scopes sobre tipo de propriedade. Nova data de entrega de 31/10 para 05/12</t>
  </si>
  <si>
    <t>29/11: Conclusão de teste aos campos</t>
  </si>
  <si>
    <t>Entrega #1 (Pendência Negócio)</t>
  </si>
  <si>
    <t>Pendente de alteração de parametrizaçao de marcação verde com CdG (categorias SFICS)</t>
  </si>
  <si>
    <t>Data Fim Testes (prevista)</t>
  </si>
  <si>
    <t>Entrega #1 (Dependências)</t>
  </si>
  <si>
    <t>Pendente Modelo Bens Imóveis</t>
  </si>
  <si>
    <t>1. Visão Geral</t>
  </si>
  <si>
    <t>3. Modelo Verde</t>
  </si>
  <si>
    <t>4. Loan Tape | Pilar III</t>
  </si>
  <si>
    <t xml:space="preserve">2. Modelo de Bens Imóveis </t>
  </si>
  <si>
    <t>Modelo</t>
  </si>
  <si>
    <t xml:space="preserve">1. Plano de Testes </t>
  </si>
  <si>
    <t>Por testar</t>
  </si>
  <si>
    <t>TOTAL</t>
  </si>
  <si>
    <t>MBI</t>
  </si>
  <si>
    <t>MV</t>
  </si>
  <si>
    <t>Em Teste</t>
  </si>
  <si>
    <t>Plano</t>
  </si>
  <si>
    <t>Satus s/ cancelados</t>
  </si>
  <si>
    <t>-</t>
  </si>
  <si>
    <t>T. Campos</t>
  </si>
  <si>
    <t>T. Concluídos</t>
  </si>
  <si>
    <t>T. Cancelados</t>
  </si>
  <si>
    <t>06/12: Conclusão de teste aos campos</t>
  </si>
  <si>
    <t>Campo com incidência -&gt; a aguardar data de entrega</t>
  </si>
  <si>
    <t>Entrega #2 (Incidências)</t>
  </si>
  <si>
    <t>Entrega #2 (Re-especificação)</t>
  </si>
  <si>
    <t>Re-especificação sobre o campo grp_ttl_lblty -&gt; a aguardar data de entrega</t>
  </si>
  <si>
    <t>Entrega #5 (Incidências)</t>
  </si>
  <si>
    <t>Apesar de entregue, não é possível testar por temos de usuário</t>
  </si>
  <si>
    <t>Só será possível testar com base no input de risco físico corporativo</t>
  </si>
  <si>
    <t>Entrega de IT adiada. Será testado em Janeiro na extensão do projeto</t>
  </si>
  <si>
    <t>Pendente Loan Tape</t>
  </si>
  <si>
    <t>Pendente da entrega do campo na Loan Tape Estrutural</t>
  </si>
  <si>
    <t xml:space="preserve">Entrega #1 </t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</si>
  <si>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06 de dezembro a 13 de dezembro</t>
    </r>
  </si>
  <si>
    <r>
      <t>1.</t>
    </r>
    <r>
      <rPr>
        <b/>
        <sz val="11"/>
        <color theme="1"/>
        <rFont val="Santander Text"/>
        <family val="2"/>
      </rPr>
      <t xml:space="preserve"> Datas de entrega de Tecnologia: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
Tabela de Clientes (modesg_out_empr_info_nfin):</t>
    </r>
    <r>
      <rPr>
        <sz val="11"/>
        <color theme="1"/>
        <rFont val="Santander Text"/>
        <family val="2"/>
      </rPr>
      <t xml:space="preserve">
- Risco Físico Clientes:</t>
    </r>
    <r>
      <rPr>
        <b/>
        <sz val="11"/>
        <rFont val="Santander Text"/>
        <family val="2"/>
      </rPr>
      <t xml:space="preserve"> </t>
    </r>
    <r>
      <rPr>
        <sz val="11"/>
        <rFont val="Santander Text"/>
        <family val="2"/>
      </rPr>
      <t xml:space="preserve">12/12 (4 campos) </t>
    </r>
    <r>
      <rPr>
        <sz val="11"/>
        <color theme="7"/>
        <rFont val="Santander Text"/>
        <family val="2"/>
      </rPr>
      <t xml:space="preserve"> </t>
    </r>
    <r>
      <rPr>
        <b/>
        <sz val="11"/>
        <color theme="7"/>
        <rFont val="Santander Text"/>
        <family val="2"/>
      </rPr>
      <t>-&gt; Entregue no dia 13/12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 xml:space="preserve">
2. Testes:</t>
    </r>
    <r>
      <rPr>
        <sz val="11"/>
        <color theme="1"/>
        <rFont val="Santander Text"/>
        <family val="2"/>
      </rPr>
      <t xml:space="preserve">
- </t>
    </r>
    <r>
      <rPr>
        <b/>
        <sz val="11"/>
        <color theme="1"/>
        <rFont val="Santander Text"/>
        <family val="2"/>
      </rPr>
      <t>Tabela de Output de Clientes:</t>
    </r>
    <r>
      <rPr>
        <sz val="11"/>
        <color theme="1"/>
        <rFont val="Santander Text"/>
        <family val="2"/>
      </rPr>
      <t xml:space="preserve"> concluídos os 14 campos de rácios de eligibilidade que tinham sido reportados com incidências
</t>
    </r>
  </si>
  <si>
    <r>
      <t>1.</t>
    </r>
    <r>
      <rPr>
        <b/>
        <sz val="11"/>
        <rFont val="Santander Text"/>
        <family val="2"/>
      </rPr>
      <t xml:space="preserve"> Datas de entrega de Tecnologia:</t>
    </r>
    <r>
      <rPr>
        <b/>
        <sz val="11"/>
        <color theme="7"/>
        <rFont val="Santander Text"/>
        <family val="2"/>
      </rPr>
      <t xml:space="preserve">
</t>
    </r>
    <r>
      <rPr>
        <sz val="11"/>
        <rFont val="Santander Text"/>
        <family val="2"/>
      </rPr>
      <t>- Nova especificação da tabela output de certificados (property_energy_certificate):</t>
    </r>
    <r>
      <rPr>
        <b/>
        <sz val="11"/>
        <color theme="7"/>
        <rFont val="Santander Text"/>
        <family val="2"/>
      </rPr>
      <t xml:space="preserve"> </t>
    </r>
    <r>
      <rPr>
        <sz val="11"/>
        <color theme="1"/>
        <rFont val="Santander Text"/>
        <family val="2"/>
      </rPr>
      <t xml:space="preserve">12/12 </t>
    </r>
    <r>
      <rPr>
        <b/>
        <sz val="11"/>
        <color theme="7"/>
        <rFont val="Santander Text"/>
        <family val="2"/>
      </rPr>
      <t>-&gt; Entregue no dia 13/12</t>
    </r>
    <r>
      <rPr>
        <sz val="11"/>
        <rFont val="Santander Text"/>
        <family val="2"/>
      </rPr>
      <t xml:space="preserve">
- Inclusão campo CGARANT_BEM (tabela Property):</t>
    </r>
    <r>
      <rPr>
        <b/>
        <sz val="11"/>
        <color theme="1"/>
        <rFont val="Santander Text"/>
        <family val="2"/>
      </rPr>
      <t xml:space="preserve"> 19/12 </t>
    </r>
    <r>
      <rPr>
        <sz val="11"/>
        <rFont val="Santander Text"/>
        <family val="2"/>
      </rPr>
      <t xml:space="preserve">
- Habilitação de reprocessamento via front-end:</t>
    </r>
    <r>
      <rPr>
        <sz val="11"/>
        <color theme="1"/>
        <rFont val="Santander Text"/>
        <family val="2"/>
      </rPr>
      <t xml:space="preserve"> </t>
    </r>
    <r>
      <rPr>
        <b/>
        <sz val="11"/>
        <color theme="1"/>
        <rFont val="Santander Text"/>
        <family val="2"/>
      </rPr>
      <t xml:space="preserve">19/12
</t>
    </r>
    <r>
      <rPr>
        <sz val="11"/>
        <color theme="1"/>
        <rFont val="Santander Text"/>
        <family val="2"/>
      </rPr>
      <t xml:space="preserve">2. </t>
    </r>
    <r>
      <rPr>
        <b/>
        <sz val="11"/>
        <color theme="1"/>
        <rFont val="Santander Text"/>
        <family val="2"/>
      </rPr>
      <t xml:space="preserve">Testes:
- </t>
    </r>
    <r>
      <rPr>
        <sz val="11"/>
        <color theme="1"/>
        <rFont val="Santander Text"/>
        <family val="2"/>
      </rPr>
      <t>Testados os 22 campos da Tabela de Output de Certificados, permitindo assim dar como concluída a mesma.</t>
    </r>
    <r>
      <rPr>
        <sz val="11"/>
        <rFont val="Santander Text"/>
        <family val="2"/>
      </rPr>
      <t xml:space="preserve">
 </t>
    </r>
  </si>
  <si>
    <t>- Concluída a Tabela de Certificados do Modelo de Bens Imóveis
- Concluídos 14 campos da Tabela de Clientes do Modelo Verde
- Concluídos 10 campos da Loan Tape Pilar III</t>
  </si>
  <si>
    <r>
      <rPr>
        <b/>
        <sz val="11"/>
        <color theme="1"/>
        <rFont val="Santander Text"/>
        <family val="2"/>
      </rPr>
      <t>1. Testes:</t>
    </r>
    <r>
      <rPr>
        <sz val="11"/>
        <color theme="1"/>
        <rFont val="Santander Text"/>
        <family val="2"/>
      </rPr>
      <t xml:space="preserve">
- </t>
    </r>
    <r>
      <rPr>
        <b/>
        <sz val="11"/>
        <color theme="1"/>
        <rFont val="Santander Text"/>
        <family val="2"/>
      </rPr>
      <t>14 campos da tabela de Clientes:</t>
    </r>
    <r>
      <rPr>
        <sz val="11"/>
        <color theme="1"/>
        <rFont val="Santander Text"/>
        <family val="2"/>
      </rPr>
      <t xml:space="preserve"> Concluídos 8 campos da tabela de clientes, 5 campos foram testados e reportados com incidências e 1 está em implementação de re-especificação (lt003_entity)
- </t>
    </r>
    <r>
      <rPr>
        <b/>
        <sz val="11"/>
        <color theme="1"/>
        <rFont val="Santander Text"/>
        <family val="2"/>
      </rPr>
      <t>5 campos da tabela de Garantias:</t>
    </r>
    <r>
      <rPr>
        <sz val="11"/>
        <color theme="1"/>
        <rFont val="Santander Text"/>
        <family val="2"/>
      </rPr>
      <t xml:space="preserve"> Concluídos 2 campo da tabela de garantias, 2 campos não são possíveis testar por estarem dependentes de outros desenvolvimentos e 1 campo está ok para o universo comum da Loan Tape estrutural mas não foi possível testar para o restante universo (lt004_protection)
- </t>
    </r>
    <r>
      <rPr>
        <b/>
        <sz val="11"/>
        <color theme="1"/>
        <rFont val="Santander Text"/>
        <family val="2"/>
      </rPr>
      <t>1 campo da tabela de Contratos:</t>
    </r>
    <r>
      <rPr>
        <sz val="11"/>
        <color theme="1"/>
        <rFont val="Santander Text"/>
        <family val="2"/>
      </rPr>
      <t xml:space="preserve"> Não foi possível testar o campo uma vez que está dependente da atualização da tabela de parametrização da marcação verde do Modelo Verde (lt002_instrument)</t>
    </r>
  </si>
  <si>
    <r>
      <rPr>
        <b/>
        <sz val="11"/>
        <rFont val="Santander Text"/>
        <family val="2"/>
      </rPr>
      <t xml:space="preserve">Testes 13/Dez: 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>1. Modelo de Bens Imóveis</t>
    </r>
    <r>
      <rPr>
        <sz val="11"/>
        <rFont val="Santander Text"/>
        <family val="2"/>
      </rPr>
      <t xml:space="preserve">: Foram concluídos os 22 campos previstos, permitindo fechar a tabela de Output de Certificados
</t>
    </r>
    <r>
      <rPr>
        <b/>
        <sz val="11"/>
        <rFont val="Santander Text"/>
        <family val="2"/>
      </rPr>
      <t>2. Modelo Verde:</t>
    </r>
    <r>
      <rPr>
        <sz val="11"/>
        <rFont val="Santander Text"/>
        <family val="2"/>
      </rPr>
      <t xml:space="preserve"> Foram concluídos os 14 campos previstos da tabela de output de Clientes
3</t>
    </r>
    <r>
      <rPr>
        <b/>
        <sz val="11"/>
        <rFont val="Santander Text"/>
        <family val="2"/>
      </rPr>
      <t>. Pilar III:</t>
    </r>
    <r>
      <rPr>
        <sz val="11"/>
        <rFont val="Santander Text"/>
        <family val="2"/>
      </rPr>
      <t xml:space="preserve"> Dos 20 campos previstos fechar no Pilar III foram concluídos 10. 
- 5 foram testados mas reportados com incidências
- 1 está em implementação de re-especificação 
- 3 estão pendentes: a) da atualização da tabela de parametrização de Marcação Verde do Modelo Verde; b) Da implementação do campo 'cagarant_bem' da tabela de Bens do Modelo de Bens Imóveis
</t>
    </r>
    <r>
      <rPr>
        <sz val="11"/>
        <color theme="1"/>
        <rFont val="Santander Text"/>
        <family val="2"/>
      </rPr>
      <t xml:space="preserve">- 1 está ok para o universo comum de Loan Tape Estrutural mas não foi possível concluir os testes para o universo restante
</t>
    </r>
    <r>
      <rPr>
        <b/>
        <sz val="11"/>
        <rFont val="Santander Text"/>
        <family val="2"/>
      </rPr>
      <t xml:space="preserve">
Testes 20/Dez:</t>
    </r>
    <r>
      <rPr>
        <sz val="11"/>
        <rFont val="Santander Text"/>
        <family val="2"/>
      </rPr>
      <t xml:space="preserve">
</t>
    </r>
    <r>
      <rPr>
        <b/>
        <sz val="11"/>
        <rFont val="Santander Text"/>
        <family val="2"/>
      </rPr>
      <t>1. Modelo Verde:</t>
    </r>
    <r>
      <rPr>
        <sz val="11"/>
        <rFont val="Santander Text"/>
        <family val="2"/>
      </rPr>
      <t xml:space="preserve"> Está previsto testar 16 campos do Modelo verde - 12 campos da tabela de Output de Marcação Verde e 4 referentes aos riscos físicos da tabela de Clientes
</t>
    </r>
    <r>
      <rPr>
        <b/>
        <sz val="11"/>
        <rFont val="Santander Text"/>
        <family val="2"/>
      </rPr>
      <t xml:space="preserve">2. Pilar III: </t>
    </r>
    <r>
      <rPr>
        <sz val="11"/>
        <rFont val="Santander Text"/>
        <family val="2"/>
      </rPr>
      <t>Está previsto testar 23 campos (13 previstos do dia 20/Dez + os 10 que não foram concluídos no dia 13/Dez)</t>
    </r>
  </si>
  <si>
    <t>13/12: Conclusão de teste aos campos</t>
  </si>
  <si>
    <t>13/12: Conclusão de teste ao campo</t>
  </si>
  <si>
    <t>Re-especificação sobre os campos ep_scr e epc_lbl -&gt; a aguardar data de entrega. Pendente de entrega do Modelo de Bens Imóveis</t>
  </si>
  <si>
    <t>Campos com incidências -&gt; a aguardar data de entrega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</si>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</sst>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ddd"/>
  </numFmts>
  <fonts count="50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i/>
      <sz val="11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color theme="0" tint="-0.249977111117893"/>
      <name val="Arial"/>
      <family val="2"/>
      <scheme val="minor"/>
    </font>
    <font>
      <b/>
      <sz val="10"/>
      <name val="Santander Text"/>
      <family val="2"/>
    </font>
    <font>
      <b/>
      <sz val="11"/>
      <color theme="8"/>
      <name val="Santander Text"/>
      <family val="2"/>
    </font>
    <font>
      <sz val="11"/>
      <color theme="7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9"/>
      <name val="Santander Text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darkUp">
        <fgColor theme="0"/>
        <bgColor theme="4" tint="0.59999389629810485"/>
      </patternFill>
    </fill>
    <fill>
      <patternFill patternType="solid">
        <fgColor rgb="FFAEAAA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220">
    <xf numFmtId="0" fontId="0" fillId="0" borderId="0" xfId="0"/>
    <xf numFmtId="0" fontId="4" fillId="3" borderId="0" xfId="2" applyFont="1" applyFill="1" applyProtection="1">
      <protection hidden="1"/>
    </xf>
    <xf numFmtId="0" fontId="5" fillId="0" borderId="0" xfId="2" applyFont="1" applyProtection="1">
      <protection hidden="1"/>
    </xf>
    <xf numFmtId="14" fontId="6" fillId="0" borderId="0" xfId="0" applyNumberFormat="1" applyFont="1" applyAlignment="1" applyProtection="1">
      <alignment vertical="top"/>
      <protection hidden="1"/>
    </xf>
    <xf numFmtId="0" fontId="5" fillId="0" borderId="0" xfId="2" applyFont="1" applyAlignment="1" applyProtection="1">
      <alignment horizontal="centerContinuous"/>
      <protection hidden="1"/>
    </xf>
    <xf numFmtId="0" fontId="7" fillId="0" borderId="0" xfId="2" applyFont="1" applyAlignment="1" applyProtection="1">
      <alignment horizontal="left"/>
      <protection hidden="1"/>
    </xf>
    <xf numFmtId="0" fontId="2" fillId="0" borderId="0" xfId="0" applyFont="1"/>
    <xf numFmtId="0" fontId="10" fillId="0" borderId="0" xfId="0" applyFont="1"/>
    <xf numFmtId="165" fontId="14" fillId="8" borderId="0" xfId="0" applyNumberFormat="1" applyFont="1" applyFill="1" applyAlignment="1">
      <alignment horizontal="center" vertical="center"/>
    </xf>
    <xf numFmtId="0" fontId="2" fillId="12" borderId="0" xfId="0" applyFont="1" applyFill="1"/>
    <xf numFmtId="0" fontId="2" fillId="4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6" fillId="4" borderId="0" xfId="0" applyFont="1" applyFill="1"/>
    <xf numFmtId="0" fontId="12" fillId="0" borderId="0" xfId="0" applyFont="1"/>
    <xf numFmtId="0" fontId="19" fillId="4" borderId="0" xfId="0" applyFont="1" applyFill="1"/>
    <xf numFmtId="0" fontId="12" fillId="0" borderId="1" xfId="0" applyFont="1" applyBorder="1"/>
    <xf numFmtId="0" fontId="2" fillId="0" borderId="1" xfId="0" applyFont="1" applyBorder="1"/>
    <xf numFmtId="16" fontId="12" fillId="0" borderId="1" xfId="0" applyNumberFormat="1" applyFont="1" applyBorder="1"/>
    <xf numFmtId="0" fontId="18" fillId="0" borderId="1" xfId="0" applyFont="1" applyBorder="1" applyAlignment="1">
      <alignment horizontal="right" indent="1"/>
    </xf>
    <xf numFmtId="0" fontId="15" fillId="0" borderId="14" xfId="0" applyFont="1" applyBorder="1" applyAlignment="1">
      <alignment vertical="center"/>
    </xf>
    <xf numFmtId="0" fontId="15" fillId="0" borderId="14" xfId="0" applyFont="1" applyBorder="1" applyAlignment="1">
      <alignment horizontal="left" vertical="center"/>
    </xf>
    <xf numFmtId="0" fontId="15" fillId="0" borderId="14" xfId="0" applyFont="1" applyBorder="1"/>
    <xf numFmtId="0" fontId="22" fillId="0" borderId="14" xfId="0" applyFont="1" applyBorder="1" applyAlignment="1">
      <alignment horizontal="left" vertical="center" readingOrder="1"/>
    </xf>
    <xf numFmtId="0" fontId="21" fillId="13" borderId="14" xfId="0" applyFont="1" applyFill="1" applyBorder="1" applyAlignment="1">
      <alignment vertical="center"/>
    </xf>
    <xf numFmtId="0" fontId="21" fillId="13" borderId="3" xfId="0" applyFont="1" applyFill="1" applyBorder="1" applyAlignment="1">
      <alignment vertical="center"/>
    </xf>
    <xf numFmtId="0" fontId="15" fillId="0" borderId="2" xfId="0" applyFont="1" applyBorder="1"/>
    <xf numFmtId="0" fontId="15" fillId="5" borderId="2" xfId="0" applyFont="1" applyFill="1" applyBorder="1"/>
    <xf numFmtId="0" fontId="15" fillId="6" borderId="2" xfId="0" applyFont="1" applyFill="1" applyBorder="1"/>
    <xf numFmtId="0" fontId="21" fillId="13" borderId="8" xfId="0" applyFont="1" applyFill="1" applyBorder="1" applyAlignment="1">
      <alignment vertical="center"/>
    </xf>
    <xf numFmtId="0" fontId="21" fillId="13" borderId="15" xfId="0" applyFont="1" applyFill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/>
    <xf numFmtId="0" fontId="15" fillId="0" borderId="6" xfId="0" applyFont="1" applyBorder="1"/>
    <xf numFmtId="14" fontId="15" fillId="0" borderId="14" xfId="0" applyNumberFormat="1" applyFont="1" applyBorder="1"/>
    <xf numFmtId="14" fontId="15" fillId="0" borderId="2" xfId="0" applyNumberFormat="1" applyFont="1" applyBorder="1"/>
    <xf numFmtId="0" fontId="17" fillId="0" borderId="0" xfId="0" applyFont="1"/>
    <xf numFmtId="0" fontId="20" fillId="0" borderId="0" xfId="0" applyFont="1"/>
    <xf numFmtId="0" fontId="25" fillId="0" borderId="0" xfId="0" quotePrefix="1" applyFont="1"/>
    <xf numFmtId="0" fontId="2" fillId="0" borderId="10" xfId="0" applyFont="1" applyBorder="1" applyAlignment="1">
      <alignment horizontal="left" vertical="top" wrapText="1" indent="1"/>
    </xf>
    <xf numFmtId="0" fontId="25" fillId="0" borderId="0" xfId="0" applyFont="1"/>
    <xf numFmtId="0" fontId="12" fillId="0" borderId="0" xfId="0" applyFont="1" applyAlignment="1">
      <alignment horizontal="right"/>
    </xf>
    <xf numFmtId="0" fontId="30" fillId="0" borderId="0" xfId="0" applyFont="1"/>
    <xf numFmtId="0" fontId="28" fillId="0" borderId="0" xfId="0" applyFont="1"/>
    <xf numFmtId="0" fontId="31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horizontal="left" vertical="center" wrapText="1" indent="1"/>
    </xf>
    <xf numFmtId="0" fontId="29" fillId="0" borderId="0" xfId="0" applyFont="1"/>
    <xf numFmtId="0" fontId="33" fillId="0" borderId="0" xfId="0" applyFont="1"/>
    <xf numFmtId="0" fontId="34" fillId="0" borderId="0" xfId="0" applyFont="1"/>
    <xf numFmtId="14" fontId="0" fillId="0" borderId="0" xfId="0" applyNumberFormat="1"/>
    <xf numFmtId="0" fontId="2" fillId="14" borderId="0" xfId="0" applyFont="1" applyFill="1"/>
    <xf numFmtId="0" fontId="35" fillId="0" borderId="0" xfId="0" applyFont="1"/>
    <xf numFmtId="14" fontId="36" fillId="0" borderId="14" xfId="0" applyNumberFormat="1" applyFont="1" applyBorder="1"/>
    <xf numFmtId="14" fontId="36" fillId="0" borderId="19" xfId="0" applyNumberFormat="1" applyFont="1" applyBorder="1"/>
    <xf numFmtId="14" fontId="36" fillId="0" borderId="15" xfId="0" applyNumberFormat="1" applyFont="1" applyBorder="1"/>
    <xf numFmtId="0" fontId="11" fillId="12" borderId="3" xfId="0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/>
    </xf>
    <xf numFmtId="0" fontId="11" fillId="12" borderId="9" xfId="0" applyFont="1" applyFill="1" applyBorder="1" applyAlignment="1">
      <alignment horizontal="left" vertical="center"/>
    </xf>
    <xf numFmtId="0" fontId="11" fillId="15" borderId="9" xfId="0" applyFont="1" applyFill="1" applyBorder="1" applyAlignment="1">
      <alignment horizontal="left" vertical="center"/>
    </xf>
    <xf numFmtId="0" fontId="11" fillId="15" borderId="0" xfId="0" applyFont="1" applyFill="1" applyAlignment="1">
      <alignment horizontal="left" vertical="center"/>
    </xf>
    <xf numFmtId="0" fontId="37" fillId="15" borderId="20" xfId="0" applyFont="1" applyFill="1" applyBorder="1" applyAlignment="1">
      <alignment horizontal="left" vertical="center"/>
    </xf>
    <xf numFmtId="0" fontId="11" fillId="15" borderId="20" xfId="0" applyFont="1" applyFill="1" applyBorder="1" applyAlignment="1">
      <alignment horizontal="left" vertical="center"/>
    </xf>
    <xf numFmtId="0" fontId="22" fillId="0" borderId="14" xfId="0" applyFont="1" applyBorder="1" applyAlignment="1">
      <alignment vertical="center"/>
    </xf>
    <xf numFmtId="0" fontId="22" fillId="0" borderId="14" xfId="0" applyFont="1" applyBorder="1"/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 applyAlignment="1">
      <alignment vertical="center"/>
    </xf>
    <xf numFmtId="0" fontId="39" fillId="0" borderId="14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14" fontId="5" fillId="0" borderId="0" xfId="2" applyNumberFormat="1" applyFont="1" applyProtection="1">
      <protection hidden="1"/>
    </xf>
    <xf numFmtId="14" fontId="5" fillId="0" borderId="0" xfId="2" applyNumberFormat="1" applyFont="1" applyAlignment="1" applyProtection="1">
      <alignment horizontal="centerContinuous"/>
      <protection hidden="1"/>
    </xf>
    <xf numFmtId="14" fontId="4" fillId="3" borderId="0" xfId="2" applyNumberFormat="1" applyFont="1" applyFill="1" applyProtection="1">
      <protection hidden="1"/>
    </xf>
    <xf numFmtId="9" fontId="15" fillId="0" borderId="19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14" fillId="0" borderId="19" xfId="1" applyFont="1" applyBorder="1" applyAlignment="1">
      <alignment horizontal="center" vertical="center"/>
    </xf>
    <xf numFmtId="9" fontId="14" fillId="0" borderId="19" xfId="1" applyFont="1" applyFill="1" applyBorder="1" applyAlignment="1">
      <alignment horizontal="center" vertical="center"/>
    </xf>
    <xf numFmtId="0" fontId="40" fillId="0" borderId="0" xfId="0" applyFont="1"/>
    <xf numFmtId="0" fontId="39" fillId="0" borderId="14" xfId="0" applyFont="1" applyBorder="1" applyAlignment="1">
      <alignment horizontal="right" vertical="center" readingOrder="1"/>
    </xf>
    <xf numFmtId="9" fontId="15" fillId="2" borderId="19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2" applyFont="1" applyAlignment="1" applyProtection="1">
      <alignment wrapText="1"/>
      <protection hidden="1"/>
    </xf>
    <xf numFmtId="0" fontId="5" fillId="0" borderId="0" xfId="2" applyFont="1" applyAlignment="1" applyProtection="1">
      <alignment horizontal="centerContinuous" wrapText="1"/>
      <protection hidden="1"/>
    </xf>
    <xf numFmtId="0" fontId="4" fillId="3" borderId="0" xfId="2" applyFont="1" applyFill="1" applyAlignment="1" applyProtection="1">
      <alignment wrapText="1"/>
      <protection hidden="1"/>
    </xf>
    <xf numFmtId="9" fontId="15" fillId="0" borderId="19" xfId="1" applyFont="1" applyBorder="1" applyAlignment="1">
      <alignment horizontal="center" vertical="center" wrapText="1"/>
    </xf>
    <xf numFmtId="9" fontId="15" fillId="0" borderId="19" xfId="1" applyFont="1" applyBorder="1" applyAlignment="1">
      <alignment horizontal="left" vertical="center" wrapText="1"/>
    </xf>
    <xf numFmtId="9" fontId="0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16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17" borderId="0" xfId="0" applyFill="1" applyAlignment="1">
      <alignment vertical="center"/>
    </xf>
    <xf numFmtId="0" fontId="0" fillId="18" borderId="0" xfId="0" applyFill="1" applyAlignment="1">
      <alignment vertical="center"/>
    </xf>
    <xf numFmtId="0" fontId="38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11" fillId="7" borderId="4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5" fillId="6" borderId="14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10" borderId="5" xfId="0" applyFill="1" applyBorder="1" applyAlignment="1">
      <alignment vertical="center"/>
    </xf>
    <xf numFmtId="0" fontId="0" fillId="17" borderId="5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18" borderId="5" xfId="0" applyFill="1" applyBorder="1" applyAlignment="1">
      <alignment vertical="center"/>
    </xf>
    <xf numFmtId="0" fontId="0" fillId="16" borderId="5" xfId="0" applyFill="1" applyBorder="1" applyAlignment="1">
      <alignment vertical="center"/>
    </xf>
    <xf numFmtId="0" fontId="15" fillId="16" borderId="14" xfId="0" applyFont="1" applyFill="1" applyBorder="1" applyAlignment="1">
      <alignment vertical="center"/>
    </xf>
    <xf numFmtId="0" fontId="15" fillId="5" borderId="14" xfId="0" applyFont="1" applyFill="1" applyBorder="1" applyAlignment="1">
      <alignment vertical="center"/>
    </xf>
    <xf numFmtId="0" fontId="15" fillId="11" borderId="14" xfId="0" applyFont="1" applyFill="1" applyBorder="1" applyAlignment="1">
      <alignment vertical="center"/>
    </xf>
    <xf numFmtId="14" fontId="15" fillId="0" borderId="19" xfId="0" applyNumberFormat="1" applyFont="1" applyBorder="1" applyAlignment="1">
      <alignment horizontal="right" vertical="center"/>
    </xf>
    <xf numFmtId="9" fontId="15" fillId="0" borderId="19" xfId="1" applyFont="1" applyFill="1" applyBorder="1" applyAlignment="1">
      <alignment horizontal="center" vertical="center"/>
    </xf>
    <xf numFmtId="9" fontId="14" fillId="6" borderId="19" xfId="1" applyFont="1" applyFill="1" applyBorder="1" applyAlignment="1">
      <alignment horizontal="center" vertical="center"/>
    </xf>
    <xf numFmtId="9" fontId="14" fillId="2" borderId="19" xfId="1" applyFont="1" applyFill="1" applyBorder="1" applyAlignment="1">
      <alignment horizontal="center" vertical="center"/>
    </xf>
    <xf numFmtId="0" fontId="22" fillId="2" borderId="14" xfId="0" applyFont="1" applyFill="1" applyBorder="1" applyAlignment="1">
      <alignment horizontal="left" vertical="center" readingOrder="1"/>
    </xf>
    <xf numFmtId="0" fontId="15" fillId="2" borderId="14" xfId="0" applyFont="1" applyFill="1" applyBorder="1"/>
    <xf numFmtId="14" fontId="11" fillId="12" borderId="14" xfId="0" applyNumberFormat="1" applyFont="1" applyFill="1" applyBorder="1" applyAlignment="1">
      <alignment horizontal="left" vertical="center"/>
    </xf>
    <xf numFmtId="0" fontId="11" fillId="12" borderId="14" xfId="0" applyFont="1" applyFill="1" applyBorder="1" applyAlignment="1">
      <alignment horizontal="left" vertical="center" wrapText="1"/>
    </xf>
    <xf numFmtId="164" fontId="12" fillId="9" borderId="0" xfId="0" applyNumberFormat="1" applyFont="1" applyFill="1" applyAlignment="1" applyProtection="1">
      <alignment horizontal="left" vertical="center"/>
      <protection hidden="1"/>
    </xf>
    <xf numFmtId="9" fontId="14" fillId="5" borderId="19" xfId="1" applyFont="1" applyFill="1" applyBorder="1" applyAlignment="1">
      <alignment horizontal="center" vertical="center"/>
    </xf>
    <xf numFmtId="14" fontId="39" fillId="0" borderId="19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14" fillId="0" borderId="14" xfId="0" applyFont="1" applyBorder="1" applyAlignment="1">
      <alignment horizontal="right" vertical="center"/>
    </xf>
    <xf numFmtId="0" fontId="22" fillId="0" borderId="14" xfId="0" applyFont="1" applyBorder="1" applyAlignment="1">
      <alignment horizontal="right" vertical="center" readingOrder="1"/>
    </xf>
    <xf numFmtId="0" fontId="24" fillId="0" borderId="6" xfId="0" applyFont="1" applyBorder="1" applyAlignment="1">
      <alignment vertical="center" wrapText="1"/>
    </xf>
    <xf numFmtId="0" fontId="24" fillId="0" borderId="7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14" fontId="42" fillId="0" borderId="14" xfId="0" applyNumberFormat="1" applyFont="1" applyFill="1" applyBorder="1"/>
    <xf numFmtId="14" fontId="42" fillId="0" borderId="19" xfId="0" applyNumberFormat="1" applyFont="1" applyFill="1" applyBorder="1"/>
    <xf numFmtId="0" fontId="43" fillId="12" borderId="20" xfId="0" applyFont="1" applyFill="1" applyBorder="1" applyAlignment="1">
      <alignment horizontal="left" vertical="center"/>
    </xf>
    <xf numFmtId="0" fontId="2" fillId="4" borderId="7" xfId="0" applyFont="1" applyFill="1" applyBorder="1"/>
    <xf numFmtId="0" fontId="2" fillId="4" borderId="0" xfId="0" applyFont="1" applyFill="1" applyBorder="1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0" xfId="0" applyFont="1" applyFill="1" applyBorder="1" applyAlignment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12" xfId="0" applyFont="1" applyFill="1" applyBorder="1" applyAlignment="1"/>
    <xf numFmtId="0" fontId="2" fillId="2" borderId="13" xfId="0" applyFont="1" applyFill="1" applyBorder="1" applyAlignment="1"/>
    <xf numFmtId="0" fontId="44" fillId="0" borderId="0" xfId="0" applyFont="1"/>
    <xf numFmtId="0" fontId="45" fillId="3" borderId="0" xfId="0" applyFont="1" applyFill="1" applyAlignment="1">
      <alignment vertical="center"/>
    </xf>
    <xf numFmtId="0" fontId="45" fillId="19" borderId="0" xfId="0" applyFont="1" applyFill="1" applyAlignment="1">
      <alignment vertical="center"/>
    </xf>
    <xf numFmtId="0" fontId="46" fillId="0" borderId="0" xfId="0" applyFont="1" applyAlignment="1">
      <alignment horizontal="center" vertical="center"/>
    </xf>
    <xf numFmtId="0" fontId="46" fillId="20" borderId="0" xfId="0" applyFont="1" applyFill="1" applyAlignment="1">
      <alignment horizontal="center" vertical="center"/>
    </xf>
    <xf numFmtId="0" fontId="47" fillId="20" borderId="0" xfId="0" applyFont="1" applyFill="1" applyAlignment="1">
      <alignment horizontal="center" vertical="center"/>
    </xf>
    <xf numFmtId="0" fontId="48" fillId="21" borderId="21" xfId="0" applyFont="1" applyFill="1" applyBorder="1" applyAlignment="1">
      <alignment vertical="center"/>
    </xf>
    <xf numFmtId="0" fontId="48" fillId="0" borderId="22" xfId="0" applyFont="1" applyBorder="1" applyAlignment="1">
      <alignment horizontal="center" vertical="center"/>
    </xf>
    <xf numFmtId="0" fontId="48" fillId="20" borderId="22" xfId="0" applyFont="1" applyFill="1" applyBorder="1" applyAlignment="1">
      <alignment horizontal="center" vertical="center"/>
    </xf>
    <xf numFmtId="0" fontId="2" fillId="4" borderId="9" xfId="0" applyFont="1" applyFill="1" applyBorder="1"/>
    <xf numFmtId="9" fontId="2" fillId="2" borderId="0" xfId="1" applyFont="1" applyFill="1" applyBorder="1" applyAlignment="1">
      <alignment horizontal="center"/>
    </xf>
    <xf numFmtId="0" fontId="12" fillId="2" borderId="0" xfId="0" applyFont="1" applyFill="1" applyBorder="1" applyAlignment="1"/>
    <xf numFmtId="9" fontId="12" fillId="2" borderId="0" xfId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45" fillId="19" borderId="0" xfId="0" applyFont="1" applyFill="1" applyAlignment="1">
      <alignment horizontal="center" vertical="center"/>
    </xf>
    <xf numFmtId="16" fontId="45" fillId="3" borderId="0" xfId="0" applyNumberFormat="1" applyFont="1" applyFill="1" applyAlignment="1">
      <alignment horizontal="center" vertical="center"/>
    </xf>
    <xf numFmtId="9" fontId="15" fillId="2" borderId="19" xfId="1" applyFont="1" applyFill="1" applyBorder="1" applyAlignment="1">
      <alignment horizontal="left" vertical="center" wrapText="1"/>
    </xf>
    <xf numFmtId="0" fontId="39" fillId="0" borderId="14" xfId="0" applyFont="1" applyFill="1" applyBorder="1" applyAlignment="1">
      <alignment horizontal="left" vertical="center" readingOrder="1"/>
    </xf>
    <xf numFmtId="0" fontId="14" fillId="0" borderId="14" xfId="0" applyFont="1" applyFill="1" applyBorder="1" applyAlignment="1">
      <alignment horizontal="left" vertical="center"/>
    </xf>
    <xf numFmtId="9" fontId="15" fillId="0" borderId="19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left" vertical="top" wrapText="1" indent="1"/>
    </xf>
    <xf numFmtId="0" fontId="2" fillId="0" borderId="10" xfId="0" applyFont="1" applyFill="1" applyBorder="1"/>
    <xf numFmtId="0" fontId="3" fillId="4" borderId="0" xfId="0" applyFont="1" applyFill="1" applyBorder="1" applyAlignment="1">
      <alignment horizontal="center" vertical="top" wrapText="1"/>
    </xf>
    <xf numFmtId="0" fontId="2" fillId="0" borderId="23" xfId="0" applyFont="1" applyBorder="1"/>
    <xf numFmtId="0" fontId="3" fillId="0" borderId="23" xfId="0" applyFont="1" applyFill="1" applyBorder="1" applyAlignment="1">
      <alignment horizontal="center" vertical="top" wrapText="1"/>
    </xf>
    <xf numFmtId="16" fontId="45" fillId="2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6" xfId="0" quotePrefix="1" applyFont="1" applyBorder="1" applyAlignment="1">
      <alignment horizontal="left" vertical="center" wrapText="1" indent="1"/>
    </xf>
    <xf numFmtId="0" fontId="24" fillId="0" borderId="7" xfId="0" applyFont="1" applyBorder="1" applyAlignment="1">
      <alignment horizontal="left" vertical="center" wrapText="1" indent="1"/>
    </xf>
    <xf numFmtId="0" fontId="24" fillId="0" borderId="8" xfId="0" applyFont="1" applyBorder="1" applyAlignment="1">
      <alignment horizontal="left" vertical="center" wrapText="1" indent="1"/>
    </xf>
    <xf numFmtId="0" fontId="24" fillId="0" borderId="9" xfId="0" applyFont="1" applyBorder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4" fillId="0" borderId="10" xfId="0" applyFont="1" applyBorder="1" applyAlignment="1">
      <alignment horizontal="left" vertical="center" wrapText="1" indent="1"/>
    </xf>
    <xf numFmtId="0" fontId="24" fillId="0" borderId="11" xfId="0" applyFont="1" applyBorder="1" applyAlignment="1">
      <alignment horizontal="left" vertical="center" wrapText="1" indent="1"/>
    </xf>
    <xf numFmtId="0" fontId="24" fillId="0" borderId="12" xfId="0" applyFont="1" applyBorder="1" applyAlignment="1">
      <alignment horizontal="left" vertical="center" wrapText="1" indent="1"/>
    </xf>
    <xf numFmtId="0" fontId="24" fillId="0" borderId="13" xfId="0" applyFont="1" applyBorder="1" applyAlignment="1">
      <alignment horizontal="left" vertical="center" wrapText="1" indent="1"/>
    </xf>
    <xf numFmtId="0" fontId="2" fillId="11" borderId="6" xfId="0" applyFont="1" applyFill="1" applyBorder="1" applyAlignment="1">
      <alignment horizontal="left" vertical="top" wrapText="1" indent="1"/>
    </xf>
    <xf numFmtId="0" fontId="2" fillId="11" borderId="7" xfId="0" applyFont="1" applyFill="1" applyBorder="1" applyAlignment="1">
      <alignment horizontal="left" vertical="top" wrapText="1" indent="1"/>
    </xf>
    <xf numFmtId="0" fontId="2" fillId="11" borderId="8" xfId="0" applyFont="1" applyFill="1" applyBorder="1" applyAlignment="1">
      <alignment horizontal="left" vertical="top" wrapText="1" indent="1"/>
    </xf>
    <xf numFmtId="0" fontId="2" fillId="11" borderId="9" xfId="0" applyFont="1" applyFill="1" applyBorder="1" applyAlignment="1">
      <alignment horizontal="left" vertical="top" wrapText="1" indent="1"/>
    </xf>
    <xf numFmtId="0" fontId="2" fillId="11" borderId="0" xfId="0" applyFont="1" applyFill="1" applyAlignment="1">
      <alignment horizontal="left" vertical="top" wrapText="1" indent="1"/>
    </xf>
    <xf numFmtId="0" fontId="2" fillId="11" borderId="10" xfId="0" applyFont="1" applyFill="1" applyBorder="1" applyAlignment="1">
      <alignment horizontal="left" vertical="top" wrapText="1" indent="1"/>
    </xf>
    <xf numFmtId="0" fontId="2" fillId="11" borderId="11" xfId="0" applyFont="1" applyFill="1" applyBorder="1" applyAlignment="1">
      <alignment horizontal="left" vertical="top" wrapText="1" indent="1"/>
    </xf>
    <xf numFmtId="0" fontId="2" fillId="11" borderId="12" xfId="0" applyFont="1" applyFill="1" applyBorder="1" applyAlignment="1">
      <alignment horizontal="left" vertical="top" wrapText="1" indent="1"/>
    </xf>
    <xf numFmtId="0" fontId="2" fillId="11" borderId="13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11" borderId="9" xfId="0" applyFont="1" applyFill="1" applyBorder="1" applyAlignment="1">
      <alignment horizontal="left" vertical="top" wrapText="1" indent="1"/>
    </xf>
    <xf numFmtId="0" fontId="3" fillId="11" borderId="0" xfId="0" applyFont="1" applyFill="1" applyAlignment="1">
      <alignment horizontal="left" vertical="top" wrapText="1" indent="1"/>
    </xf>
    <xf numFmtId="0" fontId="3" fillId="11" borderId="10" xfId="0" applyFont="1" applyFill="1" applyBorder="1" applyAlignment="1">
      <alignment horizontal="left" vertical="top" wrapText="1" indent="1"/>
    </xf>
    <xf numFmtId="0" fontId="3" fillId="11" borderId="17" xfId="0" applyFont="1" applyFill="1" applyBorder="1" applyAlignment="1">
      <alignment horizontal="left" vertical="top" wrapText="1" indent="1"/>
    </xf>
    <xf numFmtId="0" fontId="3" fillId="11" borderId="16" xfId="0" applyFont="1" applyFill="1" applyBorder="1" applyAlignment="1">
      <alignment horizontal="left" vertical="top" wrapText="1" indent="1"/>
    </xf>
    <xf numFmtId="0" fontId="3" fillId="11" borderId="18" xfId="0" applyFont="1" applyFill="1" applyBorder="1" applyAlignment="1">
      <alignment horizontal="left" vertical="top" wrapText="1" indent="1"/>
    </xf>
    <xf numFmtId="0" fontId="2" fillId="11" borderId="14" xfId="0" applyFont="1" applyFill="1" applyBorder="1" applyAlignment="1">
      <alignment horizontal="left" vertical="top" wrapText="1"/>
    </xf>
    <xf numFmtId="0" fontId="31" fillId="11" borderId="14" xfId="0" applyFont="1" applyFill="1" applyBorder="1" applyAlignment="1">
      <alignment horizontal="left" vertical="top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8" xfId="0" applyFont="1" applyFill="1" applyBorder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horizontal="center" vertical="center" wrapText="1"/>
    </xf>
    <xf numFmtId="0" fontId="24" fillId="11" borderId="11" xfId="0" applyFont="1" applyFill="1" applyBorder="1" applyAlignment="1">
      <alignment horizontal="center" vertical="center" wrapText="1"/>
    </xf>
    <xf numFmtId="0" fontId="24" fillId="11" borderId="12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3" fillId="11" borderId="0" xfId="0" applyFont="1" applyFill="1" applyBorder="1" applyAlignment="1">
      <alignment horizontal="left" vertical="top" wrapText="1"/>
    </xf>
    <xf numFmtId="0" fontId="49" fillId="0" borderId="0" xfId="0" applyFont="1"/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ercent" xfId="1" builtinId="5"/>
  </cellStyles>
  <dxfs count="20"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7" tint="0.79998168889431442"/>
      </font>
      <fill>
        <patternFill>
          <bgColor theme="7" tint="0.79998168889431442"/>
        </patternFill>
      </fill>
    </dxf>
    <dxf>
      <font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31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3"/>
              <c:pt idx="0">
                <c:v>0. Cancelado</c:v>
              </c:pt>
              <c:pt idx="1">
                <c:v>1. Concluído</c:v>
              </c:pt>
              <c:pt idx="2">
                <c:v>6. Em implementação (re-especificação)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146</c:v>
              </c:pt>
              <c:pt idx="2">
                <c:v>13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4047932473673E-3"/>
              <c:y val="-1.7707102283186959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12F5-49AF-A6DA-E7D14A38F3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12F5-49AF-A6DA-E7D14A38F3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12F5-49AF-A6DA-E7D14A38F3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12F5-49AF-A6DA-E7D14A38F3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2F5-49AF-A6DA-E7D14A38F3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12F5-49AF-A6DA-E7D14A38F3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12F5-49AF-A6DA-E7D14A38F37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12F5-49AF-A6DA-E7D14A38F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3</c:v>
              </c:pt>
              <c:pt idx="8">
                <c:v>0</c:v>
              </c:pt>
              <c:pt idx="9">
                <c:v>0</c:v>
              </c:pt>
              <c:pt idx="10">
                <c:v>7</c:v>
              </c:pt>
              <c:pt idx="11">
                <c:v>1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27</c:v>
              </c:pt>
              <c:pt idx="1">
                <c:v>1</c:v>
              </c:pt>
              <c:pt idx="2">
                <c:v>15</c:v>
              </c:pt>
              <c:pt idx="3">
                <c:v>16</c:v>
              </c:pt>
              <c:pt idx="4">
                <c:v>14</c:v>
              </c:pt>
              <c:pt idx="5">
                <c:v>6</c:v>
              </c:pt>
              <c:pt idx="6">
                <c:v>41</c:v>
              </c:pt>
              <c:pt idx="7">
                <c:v>6</c:v>
              </c:pt>
              <c:pt idx="8">
                <c:v>17</c:v>
              </c:pt>
              <c:pt idx="9">
                <c:v>17</c:v>
              </c:pt>
              <c:pt idx="10">
                <c:v>14</c:v>
              </c:pt>
              <c:pt idx="11">
                <c:v>17</c:v>
              </c:pt>
              <c:pt idx="1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EED-4CB2-9D70-D98A05FE311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12F5-49AF-A6DA-E7D14A38F3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12F5-49AF-A6DA-E7D14A38F3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12F5-49AF-A6DA-E7D14A38F37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2F5-49AF-A6DA-E7D14A38F3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2F5-49AF-A6DA-E7D14A38F3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12F5-49AF-A6DA-E7D14A38F37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12F5-49AF-A6DA-E7D14A38F37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2F5-49AF-A6DA-E7D14A38F37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12F5-49AF-A6DA-E7D14A38F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12</c:v>
              </c:pt>
              <c:pt idx="2">
                <c:v>0</c:v>
              </c:pt>
              <c:pt idx="3">
                <c:v>16</c:v>
              </c:pt>
              <c:pt idx="4">
                <c:v>4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0"/>
              <c:layout>
                <c:manualLayout>
                  <c:x val="-2.166449670528594E-3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8C3-49E5-8E7A-5E4DCD040C6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A0F-4EDD-ACC5-348D9ABBCC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12F5-49AF-A6DA-E7D14A38F3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12F5-49AF-A6DA-E7D14A38F3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12F5-49AF-A6DA-E7D14A38F3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12F5-49AF-A6DA-E7D14A38F3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12F5-49AF-A6DA-E7D14A38F37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2F5-49AF-A6DA-E7D14A38F37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12F5-49AF-A6DA-E7D14A38F37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12F5-49AF-A6DA-E7D14A38F37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12F5-49AF-A6DA-E7D14A38F37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2F5-49AF-A6DA-E7D14A38F37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2F5-49AF-A6DA-E7D14A38F3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3"/>
              <c:pt idx="0">
                <c:v>modesg_param_sfcs_taxon_europeia</c:v>
              </c:pt>
              <c:pt idx="1">
                <c:v>modesg_out_sfcs_taxon_europeia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</c:v>
              </c:pt>
              <c:pt idx="6">
                <c:v>modesg_inp_nfrd_alinhamento_tax</c:v>
              </c:pt>
              <c:pt idx="7">
                <c:v>modesg_inp_km_medios_emss_vcls</c:v>
              </c:pt>
              <c:pt idx="8">
                <c:v>modesg_inp_emss_vcls</c:v>
              </c:pt>
              <c:pt idx="9">
                <c:v>modesg_inp_emss_scib</c:v>
              </c:pt>
              <c:pt idx="10">
                <c:v>modesg_inp_emss_nace</c:v>
              </c:pt>
              <c:pt idx="11">
                <c:v>modesg_inp_emss_bens_imoveis</c:v>
              </c:pt>
              <c:pt idx="12">
                <c:v>modesg_inp_empr_excl_paris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4818712398532879E-3"/>
              <c:y val="-3.56663302470490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6068424527287999E-2"/>
              <c:y val="-4.458291280881129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dLbl>
              <c:idx val="3"/>
              <c:layout>
                <c:manualLayout>
                  <c:x val="-1.6068424527287999E-2"/>
                  <c:y val="-4.458291280881129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4. Validação EF</c:v>
              </c:pt>
            </c:strLit>
          </c:cat>
          <c:val>
            <c:numLit>
              <c:formatCode>General</c:formatCode>
              <c:ptCount val="4"/>
              <c:pt idx="0">
                <c:v>14</c:v>
              </c:pt>
              <c:pt idx="1">
                <c:v>198</c:v>
              </c:pt>
              <c:pt idx="2">
                <c:v>32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0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FF0000"/>
          </a:solidFill>
          <a:ln>
            <a:noFill/>
          </a:ln>
          <a:effectLst/>
        </c:spPr>
      </c:pivotFmt>
      <c:pivotFmt>
        <c:idx val="44"/>
        <c:spPr>
          <a:solidFill>
            <a:srgbClr val="FF0000"/>
          </a:solidFill>
          <a:ln>
            <a:noFill/>
          </a:ln>
          <a:effectLst/>
        </c:spPr>
      </c:pivotFmt>
      <c:pivotFmt>
        <c:idx val="45"/>
        <c:spPr>
          <a:solidFill>
            <a:srgbClr val="FF0000"/>
          </a:solidFill>
          <a:ln>
            <a:noFill/>
          </a:ln>
          <a:effectLst/>
        </c:spPr>
      </c:pivotFmt>
      <c:pivotFmt>
        <c:idx val="4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1653390-DEC3-4CA9-8471-0FB2344E8399}" type="VALU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pt-PT"/>
              </a:p>
            </c:rich>
          </c:tx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F72376EC-D7A8-446C-A5DD-6A6224614223}" type="VALUE">
                  <a:rPr lang="en-US">
                    <a:solidFill>
                      <a:schemeClr val="bg1"/>
                    </a:solidFill>
                  </a:rPr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[VALUE]</a:t>
                </a:fld>
                <a:endParaRPr lang="pt-PT"/>
              </a:p>
            </c:rich>
          </c:tx>
          <c:spPr>
            <a:solidFill>
              <a:schemeClr val="accent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9339-46A6-951F-5634F3DE8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23</c:v>
              </c:pt>
              <c:pt idx="1">
                <c:v>37</c:v>
              </c:pt>
              <c:pt idx="2">
                <c:v>9</c:v>
              </c:pt>
              <c:pt idx="3">
                <c:v>5</c:v>
              </c:pt>
              <c:pt idx="4">
                <c:v>5</c:v>
              </c:pt>
              <c:pt idx="5">
                <c:v>0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2.1 Em Teste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9339-46A6-951F-5634F3DE81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9339-46A6-951F-5634F3DE81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9339-46A6-951F-5634F3DE81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9339-46A6-951F-5634F3DE81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9339-46A6-951F-5634F3DE8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6</c:v>
              </c:pt>
              <c:pt idx="1">
                <c:v>0</c:v>
              </c:pt>
              <c:pt idx="2">
                <c:v>11</c:v>
              </c:pt>
              <c:pt idx="3">
                <c:v>0</c:v>
              </c:pt>
              <c:pt idx="4">
                <c:v>0</c:v>
              </c:pt>
              <c:pt idx="5">
                <c:v>4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504-466D-888C-55EE7128F2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9339-46A6-951F-5634F3DE81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9339-46A6-951F-5634F3DE81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9339-46A6-951F-5634F3DE81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339-46A6-951F-5634F3DE81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9339-46A6-951F-5634F3DE81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9339-46A6-951F-5634F3DE8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0E1-4780-9CEB-66B6DEF286F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Lbls>
            <c:dLbl>
              <c:idx val="0"/>
              <c:layout>
                <c:manualLayout>
                  <c:x val="-1.6653603859544815E-3"/>
                  <c:y val="1.0448829627233643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F80-4C6D-A0A0-D247D194EFA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60E1-4780-9CEB-66B6DEF286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B7D-4E56-A212-F28BC47DA87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9339-46A6-951F-5634F3DE81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9339-46A6-951F-5634F3DE81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339-46A6-951F-5634F3DE81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339-46A6-951F-5634F3DE81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339-46A6-951F-5634F3DE8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5. Em Correção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9339-46A6-951F-5634F3DE8105}"/>
                </c:ext>
              </c:extLst>
            </c:dLbl>
            <c:dLbl>
              <c:idx val="1"/>
              <c:layout>
                <c:manualLayout>
                  <c:x val="0"/>
                  <c:y val="-2.849713727183321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9339-46A6-951F-5634F3DE81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9339-46A6-951F-5634F3DE81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9339-46A6-951F-5634F3DE81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9339-46A6-951F-5634F3DE81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339-46A6-951F-5634F3DE81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339-46A6-951F-5634F3DE81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339-46A6-951F-5634F3DE8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60E1-4780-9CEB-66B6DEF286F0}"/>
            </c:ext>
          </c:extLst>
        </c:ser>
        <c:ser>
          <c:idx val="5"/>
          <c:order val="5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9339-46A6-951F-5634F3DE8105}"/>
                </c:ext>
              </c:extLst>
            </c:dLbl>
            <c:dLbl>
              <c:idx val="1"/>
              <c:layout>
                <c:manualLayout>
                  <c:x val="-1.6653603859546038E-3"/>
                  <c:y val="-2.849713727183321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9339-46A6-951F-5634F3DE81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9339-46A6-951F-5634F3DE81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9339-46A6-951F-5634F3DE81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339-46A6-951F-5634F3DE81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339-46A6-951F-5634F3DE81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339-46A6-951F-5634F3DE8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A153-4B22-8B74-FF38870D9B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0.10101132523677256"/>
              <c:y val="-0.1268633375632594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fld id="{9C7055CE-D46E-49AD-ABFF-F9E6EA84297B}" type="PERCENTAGE">
                  <a:rPr lang="en-US">
                    <a:solidFill>
                      <a:schemeClr val="tx2"/>
                    </a:solidFill>
                  </a:rPr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8128411148510635E-3"/>
              <c:y val="-5.3671296273796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6256822297021271E-3"/>
              <c:y val="1.07342592547592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2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1.9251364459404254E-2"/>
              <c:y val="-2.95192129505879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8-4C05-B1C4-CBB96626B528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08-4C05-B1C4-CBB96626B528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EA1-423E-8C13-BDBB41B13F05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C65-439B-923A-BE58796246E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B4-4390-903C-CE65ADFF7F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830-47BC-8FAC-9BF1780788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830-47BC-8FAC-9BF1780788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EC2-4439-BBDF-21232B49C323}"/>
              </c:ext>
            </c:extLst>
          </c:dPt>
          <c:dLbls>
            <c:dLbl>
              <c:idx val="5"/>
              <c:layout>
                <c:manualLayout>
                  <c:x val="5.46294360607607E-3"/>
                  <c:y val="-4.49187201065033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B5B4-4390-903C-CE65ADFF7F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1. Concluído</c:v>
              </c:pt>
              <c:pt idx="1">
                <c:v>6. Em implementação (re-especificação)</c:v>
              </c:pt>
              <c:pt idx="2">
                <c:v>3. Pendente de outros desenvolvimentos</c:v>
              </c:pt>
              <c:pt idx="3">
                <c:v>2.1 Em Teste</c:v>
              </c:pt>
              <c:pt idx="4">
                <c:v>5. Em Correção</c:v>
              </c:pt>
              <c:pt idx="5">
                <c:v>4. Validação EF</c:v>
              </c:pt>
            </c:strLit>
          </c:cat>
          <c:val>
            <c:numLit>
              <c:formatCode>General</c:formatCode>
              <c:ptCount val="6"/>
              <c:pt idx="0">
                <c:v>103</c:v>
              </c:pt>
              <c:pt idx="1">
                <c:v>3</c:v>
              </c:pt>
              <c:pt idx="2">
                <c:v>2</c:v>
              </c:pt>
              <c:pt idx="3">
                <c:v>21</c:v>
              </c:pt>
              <c:pt idx="4">
                <c:v>5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>
              <a:lumMod val="50000"/>
            </a:schemeClr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326-42EA-8F83-2474A766C28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326-42EA-8F83-2474A766C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326-42EA-8F83-2474A766C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72</c:v>
              </c:pt>
              <c:pt idx="2">
                <c:v>30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6. Em implementação (re-especificação)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326-42EA-8F83-2474A766C28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2F8-451C-8C09-DE580A6F521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326-42EA-8F83-2474A766C28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326-42EA-8F83-2474A766C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 w="9525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/>
          </a:solidFill>
          <a:ln w="9525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9525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lumMod val="50000"/>
            </a:schemeClr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6.3085218976652859E-3"/>
              <c:y val="-5.69160476697583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fld id="{4B66AF19-E000-4FD6-A523-4A508DFC85B6}" type="PERCENTAGE">
                  <a:rPr lang="en-US">
                    <a:solidFill>
                      <a:schemeClr val="bg1"/>
                    </a:solidFill>
                  </a:rPr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Santander (text)"/>
                      <a:ea typeface="+mn-ea"/>
                      <a:cs typeface="+mn-cs"/>
                    </a:defRPr>
                  </a:pPr>
                  <a:t>[PERCENTAGE]</a:t>
                </a:fld>
                <a:endParaRPr lang="pt-PT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-1.4936718784633597E-4"/>
              <c:y val="7.57046843447175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 w="9525">
            <a:solidFill>
              <a:schemeClr val="lt1"/>
            </a:solidFill>
          </a:ln>
          <a:effectLst/>
        </c:spPr>
        <c:dLbl>
          <c:idx val="0"/>
          <c:layout>
            <c:manualLayout>
              <c:x val="5.9101239952622075E-3"/>
              <c:y val="6.50491736151923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 w="9525"/>
          </c:spPr>
          <c:dPt>
            <c:idx val="0"/>
            <c:bubble3D val="0"/>
            <c:spPr>
              <a:solidFill>
                <a:schemeClr val="tx2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964-46FD-9A46-124C407B2E06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64-46FD-9A46-124C407B2E0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964-46FD-9A46-124C407B2E06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C964-46FD-9A46-124C407B2E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964-46FD-9A46-124C407B2E06}"/>
              </c:ext>
            </c:extLst>
          </c:dPt>
          <c:dPt>
            <c:idx val="5"/>
            <c:bubble3D val="0"/>
            <c:spPr>
              <a:solidFill>
                <a:srgbClr val="C00000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C964-46FD-9A46-124C407B2E06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964-46FD-9A46-124C407B2E06}"/>
              </c:ext>
            </c:extLst>
          </c:dPt>
          <c:dLbls>
            <c:dLbl>
              <c:idx val="3"/>
              <c:layout>
                <c:manualLayout>
                  <c:x val="-6.3085218976652859E-3"/>
                  <c:y val="-5.6916047669758336E-2"/>
                </c:manualLayout>
              </c:layout>
              <c:tx>
                <c:rich>
                  <a:bodyPr/>
                  <a:lstStyle/>
                  <a:p>
                    <a:fld id="{4B66AF19-E000-4FD6-A523-4A508DFC85B6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[PERCENTAGE]</a:t>
                    </a:fld>
                    <a:endParaRPr lang="pt-PT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A-C964-46FD-9A46-124C407B2E06}"/>
                </c:ext>
              </c:extLst>
            </c:dLbl>
            <c:dLbl>
              <c:idx val="4"/>
              <c:layout>
                <c:manualLayout>
                  <c:x val="-1.4936718784633597E-4"/>
                  <c:y val="7.5704684344717575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964-46FD-9A46-124C407B2E06}"/>
                </c:ext>
              </c:extLst>
            </c:dLbl>
            <c:dLbl>
              <c:idx val="5"/>
              <c:layout>
                <c:manualLayout>
                  <c:x val="5.9101239952622075E-3"/>
                  <c:y val="6.504917361519230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964-46FD-9A46-124C407B2E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(text)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5. Em Correção</c:v>
              </c:pt>
              <c:pt idx="6">
                <c:v>6. Em implementação (re-especificação)</c:v>
              </c:pt>
            </c:strLit>
          </c:cat>
          <c:val>
            <c:numLit>
              <c:formatCode>General</c:formatCode>
              <c:ptCount val="7"/>
              <c:pt idx="0">
                <c:v>24</c:v>
              </c:pt>
              <c:pt idx="1">
                <c:v>447</c:v>
              </c:pt>
              <c:pt idx="2">
                <c:v>53</c:v>
              </c:pt>
              <c:pt idx="3">
                <c:v>2</c:v>
              </c:pt>
              <c:pt idx="4">
                <c:v>2</c:v>
              </c:pt>
              <c:pt idx="5">
                <c:v>5</c:v>
              </c:pt>
              <c:pt idx="6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0-C964-46FD-9A46-124C407B2E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ntander tex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000301398013757E-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2.3917295333892145E-2"/>
                  <c:h val="5.2800734618916434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2.104352794714048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(text)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10</c:v>
              </c:pt>
              <c:pt idx="1">
                <c:v>14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2-6515-4094-B8DF-FA1F4F29B766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146</c:v>
              </c:pt>
              <c:pt idx="1">
                <c:v>198</c:v>
              </c:pt>
              <c:pt idx="2">
                <c:v>103</c:v>
              </c:pt>
            </c:numLit>
          </c:val>
          <c:extLst>
            <c:ext xmlns:c16="http://schemas.microsoft.com/office/drawing/2014/chart" uri="{C3380CC4-5D6E-409C-BE32-E72D297353CC}">
              <c16:uniqueId val="{00000013-6515-4094-B8DF-FA1F4F29B766}"/>
            </c:ext>
          </c:extLst>
        </c:ser>
        <c:ser>
          <c:idx val="2"/>
          <c:order val="2"/>
          <c:tx>
            <c:v>2.1 Em Teste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32</c:v>
              </c:pt>
              <c:pt idx="2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14-6515-4094-B8DF-FA1F4F29B766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15-6515-4094-B8DF-FA1F4F29B766}"/>
            </c:ext>
          </c:extLst>
        </c:ser>
        <c:ser>
          <c:idx val="4"/>
          <c:order val="4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16-6515-4094-B8DF-FA1F4F29B766}"/>
            </c:ext>
          </c:extLst>
        </c:ser>
        <c:ser>
          <c:idx val="5"/>
          <c:order val="5"/>
          <c:tx>
            <c:v>5. Em Correção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17-6515-4094-B8DF-FA1F4F29B766}"/>
            </c:ext>
          </c:extLst>
        </c:ser>
        <c:ser>
          <c:idx val="6"/>
          <c:order val="6"/>
          <c:tx>
            <c:v>6. Em implementação (re-especificação)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Bens Imóveis</c:v>
              </c:pt>
              <c:pt idx="1">
                <c:v>Modelo Verde</c:v>
              </c:pt>
              <c:pt idx="2">
                <c:v>Pilar III</c:v>
              </c:pt>
            </c:strLit>
          </c:cat>
          <c:val>
            <c:numLit>
              <c:formatCode>General</c:formatCode>
              <c:ptCount val="3"/>
              <c:pt idx="0">
                <c:v>13</c:v>
              </c:pt>
              <c:pt idx="1">
                <c:v>0</c:v>
              </c:pt>
              <c:pt idx="2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18-6515-4094-B8DF-FA1F4F29B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3727360"/>
        <c:axId val="1883732352"/>
      </c:barChart>
      <c:catAx>
        <c:axId val="188372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(text)"/>
                <a:ea typeface="+mn-ea"/>
                <a:cs typeface="+mn-cs"/>
              </a:defRPr>
            </a:pPr>
            <a:endParaRPr lang="pt-PT"/>
          </a:p>
        </c:txPr>
        <c:crossAx val="1883732352"/>
        <c:crosses val="autoZero"/>
        <c:auto val="1"/>
        <c:lblAlgn val="ctr"/>
        <c:lblOffset val="100"/>
        <c:noMultiLvlLbl val="0"/>
      </c:catAx>
      <c:valAx>
        <c:axId val="1883732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837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42018</xdr:colOff>
      <xdr:row>60</xdr:row>
      <xdr:rowOff>203200</xdr:rowOff>
    </xdr:from>
    <xdr:to>
      <xdr:col>5</xdr:col>
      <xdr:colOff>989518</xdr:colOff>
      <xdr:row>72</xdr:row>
      <xdr:rowOff>43105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62</xdr:row>
      <xdr:rowOff>56603</xdr:rowOff>
    </xdr:from>
    <xdr:to>
      <xdr:col>14</xdr:col>
      <xdr:colOff>631909</xdr:colOff>
      <xdr:row>62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85609" y="5141895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63</xdr:row>
      <xdr:rowOff>58238</xdr:rowOff>
    </xdr:from>
    <xdr:to>
      <xdr:col>14</xdr:col>
      <xdr:colOff>628099</xdr:colOff>
      <xdr:row>63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64</xdr:row>
      <xdr:rowOff>56063</xdr:rowOff>
    </xdr:from>
    <xdr:to>
      <xdr:col>14</xdr:col>
      <xdr:colOff>628099</xdr:colOff>
      <xdr:row>64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66</xdr:row>
      <xdr:rowOff>59332</xdr:rowOff>
    </xdr:from>
    <xdr:to>
      <xdr:col>14</xdr:col>
      <xdr:colOff>628099</xdr:colOff>
      <xdr:row>66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89419" y="6012457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68</xdr:row>
      <xdr:rowOff>58791</xdr:rowOff>
    </xdr:from>
    <xdr:to>
      <xdr:col>14</xdr:col>
      <xdr:colOff>628099</xdr:colOff>
      <xdr:row>68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89419" y="6445833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70</xdr:row>
      <xdr:rowOff>60155</xdr:rowOff>
    </xdr:from>
    <xdr:to>
      <xdr:col>14</xdr:col>
      <xdr:colOff>631909</xdr:colOff>
      <xdr:row>70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69</xdr:row>
      <xdr:rowOff>58521</xdr:rowOff>
    </xdr:from>
    <xdr:to>
      <xdr:col>14</xdr:col>
      <xdr:colOff>628099</xdr:colOff>
      <xdr:row>69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89419" y="6662521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86</xdr:row>
      <xdr:rowOff>60414</xdr:rowOff>
    </xdr:from>
    <xdr:to>
      <xdr:col>14</xdr:col>
      <xdr:colOff>621111</xdr:colOff>
      <xdr:row>86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87</xdr:row>
      <xdr:rowOff>56941</xdr:rowOff>
    </xdr:from>
    <xdr:to>
      <xdr:col>14</xdr:col>
      <xdr:colOff>624921</xdr:colOff>
      <xdr:row>87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093231" y="11127108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88</xdr:row>
      <xdr:rowOff>62994</xdr:rowOff>
    </xdr:from>
    <xdr:to>
      <xdr:col>14</xdr:col>
      <xdr:colOff>624921</xdr:colOff>
      <xdr:row>88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093231" y="11350119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90</xdr:row>
      <xdr:rowOff>66849</xdr:rowOff>
    </xdr:from>
    <xdr:to>
      <xdr:col>14</xdr:col>
      <xdr:colOff>625339</xdr:colOff>
      <xdr:row>90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089419" y="11787891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91</xdr:row>
      <xdr:rowOff>61051</xdr:rowOff>
    </xdr:from>
    <xdr:to>
      <xdr:col>14</xdr:col>
      <xdr:colOff>624921</xdr:colOff>
      <xdr:row>91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093231" y="1199905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92</xdr:row>
      <xdr:rowOff>63293</xdr:rowOff>
    </xdr:from>
    <xdr:to>
      <xdr:col>14</xdr:col>
      <xdr:colOff>624921</xdr:colOff>
      <xdr:row>92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093231" y="12218251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94</xdr:row>
      <xdr:rowOff>56346</xdr:rowOff>
    </xdr:from>
    <xdr:to>
      <xdr:col>14</xdr:col>
      <xdr:colOff>621111</xdr:colOff>
      <xdr:row>94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520731</xdr:colOff>
      <xdr:row>93</xdr:row>
      <xdr:rowOff>63629</xdr:rowOff>
    </xdr:from>
    <xdr:to>
      <xdr:col>14</xdr:col>
      <xdr:colOff>624921</xdr:colOff>
      <xdr:row>93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093231" y="12435546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121</xdr:row>
      <xdr:rowOff>56604</xdr:rowOff>
    </xdr:from>
    <xdr:to>
      <xdr:col>14</xdr:col>
      <xdr:colOff>624919</xdr:colOff>
      <xdr:row>121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093229" y="18413396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122</xdr:row>
      <xdr:rowOff>58608</xdr:rowOff>
    </xdr:from>
    <xdr:to>
      <xdr:col>14</xdr:col>
      <xdr:colOff>628729</xdr:colOff>
      <xdr:row>122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089419" y="18632358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123</xdr:row>
      <xdr:rowOff>54897</xdr:rowOff>
    </xdr:from>
    <xdr:to>
      <xdr:col>14</xdr:col>
      <xdr:colOff>628729</xdr:colOff>
      <xdr:row>123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089419" y="18845605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125</xdr:row>
      <xdr:rowOff>63989</xdr:rowOff>
    </xdr:from>
    <xdr:to>
      <xdr:col>14</xdr:col>
      <xdr:colOff>625339</xdr:colOff>
      <xdr:row>125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089419" y="19288614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126</xdr:row>
      <xdr:rowOff>56048</xdr:rowOff>
    </xdr:from>
    <xdr:to>
      <xdr:col>14</xdr:col>
      <xdr:colOff>628729</xdr:colOff>
      <xdr:row>126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089419" y="19497631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127</xdr:row>
      <xdr:rowOff>56146</xdr:rowOff>
    </xdr:from>
    <xdr:to>
      <xdr:col>14</xdr:col>
      <xdr:colOff>628729</xdr:colOff>
      <xdr:row>127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089419" y="19714688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520729</xdr:colOff>
      <xdr:row>129</xdr:row>
      <xdr:rowOff>60156</xdr:rowOff>
    </xdr:from>
    <xdr:to>
      <xdr:col>14</xdr:col>
      <xdr:colOff>624919</xdr:colOff>
      <xdr:row>129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093229" y="2015261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128</xdr:row>
      <xdr:rowOff>54340</xdr:rowOff>
    </xdr:from>
    <xdr:to>
      <xdr:col>14</xdr:col>
      <xdr:colOff>628729</xdr:colOff>
      <xdr:row>128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089419" y="19929840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355001</xdr:colOff>
      <xdr:row>85</xdr:row>
      <xdr:rowOff>76535</xdr:rowOff>
    </xdr:from>
    <xdr:to>
      <xdr:col>14</xdr:col>
      <xdr:colOff>246753</xdr:colOff>
      <xdr:row>108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103372</xdr:colOff>
      <xdr:row>84</xdr:row>
      <xdr:rowOff>45017</xdr:rowOff>
    </xdr:from>
    <xdr:to>
      <xdr:col>5</xdr:col>
      <xdr:colOff>956836</xdr:colOff>
      <xdr:row>97</xdr:row>
      <xdr:rowOff>4392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143708</xdr:colOff>
      <xdr:row>120</xdr:row>
      <xdr:rowOff>31798</xdr:rowOff>
    </xdr:from>
    <xdr:to>
      <xdr:col>14</xdr:col>
      <xdr:colOff>448624</xdr:colOff>
      <xdr:row>140</xdr:row>
      <xdr:rowOff>27756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142185</xdr:colOff>
      <xdr:row>120</xdr:row>
      <xdr:rowOff>46501</xdr:rowOff>
    </xdr:from>
    <xdr:to>
      <xdr:col>6</xdr:col>
      <xdr:colOff>108857</xdr:colOff>
      <xdr:row>132</xdr:row>
      <xdr:rowOff>206830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522636</xdr:colOff>
      <xdr:row>149</xdr:row>
      <xdr:rowOff>60414</xdr:rowOff>
    </xdr:from>
    <xdr:to>
      <xdr:col>14</xdr:col>
      <xdr:colOff>621111</xdr:colOff>
      <xdr:row>149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150</xdr:row>
      <xdr:rowOff>57538</xdr:rowOff>
    </xdr:from>
    <xdr:to>
      <xdr:col>14</xdr:col>
      <xdr:colOff>621111</xdr:colOff>
      <xdr:row>150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151</xdr:row>
      <xdr:rowOff>56118</xdr:rowOff>
    </xdr:from>
    <xdr:to>
      <xdr:col>14</xdr:col>
      <xdr:colOff>621111</xdr:colOff>
      <xdr:row>151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152</xdr:row>
      <xdr:rowOff>60189</xdr:rowOff>
    </xdr:from>
    <xdr:to>
      <xdr:col>14</xdr:col>
      <xdr:colOff>632959</xdr:colOff>
      <xdr:row>152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153</xdr:row>
      <xdr:rowOff>74234</xdr:rowOff>
    </xdr:from>
    <xdr:to>
      <xdr:col>14</xdr:col>
      <xdr:colOff>621111</xdr:colOff>
      <xdr:row>153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154</xdr:row>
      <xdr:rowOff>74943</xdr:rowOff>
    </xdr:from>
    <xdr:to>
      <xdr:col>14</xdr:col>
      <xdr:colOff>621111</xdr:colOff>
      <xdr:row>154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156</xdr:row>
      <xdr:rowOff>56346</xdr:rowOff>
    </xdr:from>
    <xdr:to>
      <xdr:col>14</xdr:col>
      <xdr:colOff>621111</xdr:colOff>
      <xdr:row>156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155</xdr:row>
      <xdr:rowOff>92090</xdr:rowOff>
    </xdr:from>
    <xdr:to>
      <xdr:col>14</xdr:col>
      <xdr:colOff>621111</xdr:colOff>
      <xdr:row>155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151</xdr:row>
      <xdr:rowOff>130394</xdr:rowOff>
    </xdr:from>
    <xdr:to>
      <xdr:col>14</xdr:col>
      <xdr:colOff>369793</xdr:colOff>
      <xdr:row>154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247603</xdr:colOff>
      <xdr:row>147</xdr:row>
      <xdr:rowOff>78081</xdr:rowOff>
    </xdr:from>
    <xdr:to>
      <xdr:col>6</xdr:col>
      <xdr:colOff>327030</xdr:colOff>
      <xdr:row>159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12041</xdr:colOff>
      <xdr:row>61</xdr:row>
      <xdr:rowOff>85830</xdr:rowOff>
    </xdr:from>
    <xdr:to>
      <xdr:col>14</xdr:col>
      <xdr:colOff>352159</xdr:colOff>
      <xdr:row>72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65</xdr:row>
      <xdr:rowOff>53887</xdr:rowOff>
    </xdr:from>
    <xdr:to>
      <xdr:col>14</xdr:col>
      <xdr:colOff>628099</xdr:colOff>
      <xdr:row>65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67</xdr:row>
      <xdr:rowOff>62872</xdr:rowOff>
    </xdr:from>
    <xdr:to>
      <xdr:col>14</xdr:col>
      <xdr:colOff>628099</xdr:colOff>
      <xdr:row>67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89419" y="623295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514159</xdr:colOff>
      <xdr:row>89</xdr:row>
      <xdr:rowOff>59522</xdr:rowOff>
    </xdr:from>
    <xdr:to>
      <xdr:col>14</xdr:col>
      <xdr:colOff>634864</xdr:colOff>
      <xdr:row>89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9086659" y="11563605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124</xdr:row>
      <xdr:rowOff>56900</xdr:rowOff>
    </xdr:from>
    <xdr:to>
      <xdr:col>14</xdr:col>
      <xdr:colOff>645244</xdr:colOff>
      <xdr:row>124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9089419" y="19064567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16</xdr:row>
      <xdr:rowOff>56603</xdr:rowOff>
    </xdr:from>
    <xdr:to>
      <xdr:col>14</xdr:col>
      <xdr:colOff>631909</xdr:colOff>
      <xdr:row>16</xdr:row>
      <xdr:rowOff>167783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047509" y="8503917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17</xdr:row>
      <xdr:rowOff>58238</xdr:rowOff>
    </xdr:from>
    <xdr:to>
      <xdr:col>14</xdr:col>
      <xdr:colOff>628099</xdr:colOff>
      <xdr:row>17</xdr:row>
      <xdr:rowOff>169418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051319" y="8723267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18</xdr:row>
      <xdr:rowOff>56063</xdr:rowOff>
    </xdr:from>
    <xdr:to>
      <xdr:col>14</xdr:col>
      <xdr:colOff>628099</xdr:colOff>
      <xdr:row>18</xdr:row>
      <xdr:rowOff>167243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051319" y="8938806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20</xdr:row>
      <xdr:rowOff>59332</xdr:rowOff>
    </xdr:from>
    <xdr:to>
      <xdr:col>14</xdr:col>
      <xdr:colOff>628099</xdr:colOff>
      <xdr:row>20</xdr:row>
      <xdr:rowOff>176227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9051319" y="9377503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22</xdr:row>
      <xdr:rowOff>58791</xdr:rowOff>
    </xdr:from>
    <xdr:to>
      <xdr:col>14</xdr:col>
      <xdr:colOff>628099</xdr:colOff>
      <xdr:row>22</xdr:row>
      <xdr:rowOff>171876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051319" y="9812391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513109</xdr:colOff>
      <xdr:row>24</xdr:row>
      <xdr:rowOff>60155</xdr:rowOff>
    </xdr:from>
    <xdr:to>
      <xdr:col>14</xdr:col>
      <xdr:colOff>631909</xdr:colOff>
      <xdr:row>24</xdr:row>
      <xdr:rowOff>171335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047509" y="10249184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23</xdr:row>
      <xdr:rowOff>58521</xdr:rowOff>
    </xdr:from>
    <xdr:to>
      <xdr:col>14</xdr:col>
      <xdr:colOff>628099</xdr:colOff>
      <xdr:row>23</xdr:row>
      <xdr:rowOff>169701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051319" y="10029835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19</xdr:row>
      <xdr:rowOff>53887</xdr:rowOff>
    </xdr:from>
    <xdr:to>
      <xdr:col>14</xdr:col>
      <xdr:colOff>628099</xdr:colOff>
      <xdr:row>19</xdr:row>
      <xdr:rowOff>172687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9051319" y="9154344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516919</xdr:colOff>
      <xdr:row>21</xdr:row>
      <xdr:rowOff>62872</xdr:rowOff>
    </xdr:from>
    <xdr:to>
      <xdr:col>14</xdr:col>
      <xdr:colOff>628099</xdr:colOff>
      <xdr:row>21</xdr:row>
      <xdr:rowOff>172147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9051319" y="9598758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0</xdr:col>
      <xdr:colOff>0</xdr:colOff>
      <xdr:row>14</xdr:row>
      <xdr:rowOff>122464</xdr:rowOff>
    </xdr:from>
    <xdr:to>
      <xdr:col>7</xdr:col>
      <xdr:colOff>12700</xdr:colOff>
      <xdr:row>26</xdr:row>
      <xdr:rowOff>130629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428625</xdr:colOff>
      <xdr:row>16</xdr:row>
      <xdr:rowOff>138113</xdr:rowOff>
    </xdr:from>
    <xdr:to>
      <xdr:col>15</xdr:col>
      <xdr:colOff>97072</xdr:colOff>
      <xdr:row>24</xdr:row>
      <xdr:rowOff>16398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25400</xdr:colOff>
      <xdr:row>33</xdr:row>
      <xdr:rowOff>38100</xdr:rowOff>
    </xdr:from>
    <xdr:to>
      <xdr:col>8</xdr:col>
      <xdr:colOff>914400</xdr:colOff>
      <xdr:row>39</xdr:row>
      <xdr:rowOff>165100</xdr:rowOff>
    </xdr:to>
    <xdr:sp macro="" textlink="">
      <xdr:nvSpPr>
        <xdr:cNvPr id="58" name="Rectangle 57"/>
        <xdr:cNvSpPr/>
      </xdr:nvSpPr>
      <xdr:spPr>
        <a:xfrm>
          <a:off x="5511800" y="3365500"/>
          <a:ext cx="1816100" cy="1447800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9</xdr:col>
      <xdr:colOff>50800</xdr:colOff>
      <xdr:row>33</xdr:row>
      <xdr:rowOff>38100</xdr:rowOff>
    </xdr:from>
    <xdr:to>
      <xdr:col>11</xdr:col>
      <xdr:colOff>25400</xdr:colOff>
      <xdr:row>39</xdr:row>
      <xdr:rowOff>165100</xdr:rowOff>
    </xdr:to>
    <xdr:sp macro="" textlink="">
      <xdr:nvSpPr>
        <xdr:cNvPr id="65" name="Rectangle 64"/>
        <xdr:cNvSpPr/>
      </xdr:nvSpPr>
      <xdr:spPr>
        <a:xfrm>
          <a:off x="7391400" y="3365500"/>
          <a:ext cx="1816100" cy="1447800"/>
        </a:xfrm>
        <a:prstGeom prst="rect">
          <a:avLst/>
        </a:prstGeom>
        <a:noFill/>
        <a:ln w="28575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982540</xdr:colOff>
      <xdr:row>0</xdr:row>
      <xdr:rowOff>165217</xdr:rowOff>
    </xdr:from>
    <xdr:to>
      <xdr:col>3</xdr:col>
      <xdr:colOff>555171</xdr:colOff>
      <xdr:row>3</xdr:row>
      <xdr:rowOff>57298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1BA6A32B-F6C2-4F28-946F-F8256494A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8711" y="165217"/>
          <a:ext cx="1085746" cy="447252"/>
        </a:xfrm>
        <a:prstGeom prst="rect">
          <a:avLst/>
        </a:prstGeom>
      </xdr:spPr>
    </xdr:pic>
    <xdr:clientData/>
  </xdr:twoCellAnchor>
  <xdr:absoluteAnchor>
    <xdr:pos x="204107" y="231323"/>
    <xdr:ext cx="1624392" cy="285750"/>
    <xdr:pic>
      <xdr:nvPicPr>
        <xdr:cNvPr id="3" name="Gráfico 10">
          <a:extLst>
            <a:ext uri="{FF2B5EF4-FFF2-40B4-BE49-F238E27FC236}">
              <a16:creationId xmlns:a16="http://schemas.microsoft.com/office/drawing/2014/main" id="{8C8012F3-69A5-478B-ADBC-B6F06B431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204107" y="231323"/>
          <a:ext cx="1624392" cy="285750"/>
        </a:xfrm>
        <a:prstGeom prst="rect">
          <a:avLst/>
        </a:prstGeom>
      </xdr:spPr>
    </xdr:pic>
    <xdr:clientData/>
  </xdr:absoluteAnchor>
  <xdr:twoCellAnchor>
    <xdr:from>
      <xdr:col>20</xdr:col>
      <xdr:colOff>208187</xdr:colOff>
      <xdr:row>8</xdr:row>
      <xdr:rowOff>19050</xdr:rowOff>
    </xdr:from>
    <xdr:to>
      <xdr:col>20</xdr:col>
      <xdr:colOff>208187</xdr:colOff>
      <xdr:row>56</xdr:row>
      <xdr:rowOff>28577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35717387" y="1314450"/>
          <a:ext cx="0" cy="11537498"/>
        </a:xfrm>
        <a:prstGeom prst="straightConnector1">
          <a:avLst/>
        </a:prstGeom>
        <a:ln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O574" totalsRowShown="0" headerRowDxfId="19" tableBorderDxfId="18">
  <autoFilter ref="B6:O574"/>
  <tableColumns count="14">
    <tableColumn id="1" name="Âmbito" dataDxfId="17"/>
    <tableColumn id="2" name="Sub-âmbito" dataDxfId="16"/>
    <tableColumn id="3" name="Tipo de teste" dataDxfId="15"/>
    <tableColumn id="4" name="Tabela" dataDxfId="14"/>
    <tableColumn id="5" name="Campo" dataDxfId="13"/>
    <tableColumn id="6" name="Status Atual" dataDxfId="12"/>
    <tableColumn id="7" name="Status Anterior" dataDxfId="11"/>
    <tableColumn id="8" name="Observações" dataDxfId="10"/>
    <tableColumn id="9" name="Data de Pedido correção/esclarecimento" dataDxfId="9">
      <calculatedColumnFormula>IF(VLOOKUP(A7,#REF!,3,0)=0, "",VLOOKUP(A7,#REF!,3,0))</calculatedColumnFormula>
    </tableColumn>
    <tableColumn id="10" name="Data de correção prevista" dataDxfId="8">
      <calculatedColumnFormula>IF(VLOOKUP(A7,#REF!,4,0)=0, "",VLOOKUP(A7,#REF!,4,0))</calculatedColumnFormula>
    </tableColumn>
    <tableColumn id="11" name="Data de correção efetiva" dataDxfId="7">
      <calculatedColumnFormula>IF(VLOOKUP(A7,#REF!,5,0)=0, "",VLOOKUP(A7,#REF!,5,0))</calculatedColumnFormula>
    </tableColumn>
    <tableColumn id="12" name="Data Prevista de Re-especificação" dataDxfId="6"/>
    <tableColumn id="13" name="Data Prevista de Teste" dataDxfId="5"/>
    <tableColumn id="14" name="Modelo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N227"/>
  <sheetViews>
    <sheetView showGridLines="0" tabSelected="1" zoomScale="60" zoomScaleNormal="60" workbookViewId="0"/>
  </sheetViews>
  <sheetFormatPr defaultColWidth="0" defaultRowHeight="17.399999999999999" zeroHeight="1"/>
  <cols>
    <col min="1" max="2" width="3.69921875" style="6" customWidth="1"/>
    <col min="3" max="3" width="8.796875" style="6" customWidth="1"/>
    <col min="4" max="4" width="12.5" style="6" customWidth="1"/>
    <col min="5" max="5" width="16.3984375" style="6" customWidth="1"/>
    <col min="6" max="6" width="16.296875" style="6" customWidth="1"/>
    <col min="7" max="7" width="10.69921875" style="6" customWidth="1"/>
    <col min="8" max="9" width="12.19921875" style="6" customWidth="1"/>
    <col min="10" max="10" width="12" style="6" customWidth="1"/>
    <col min="11" max="11" width="12.09765625" style="6" customWidth="1"/>
    <col min="12" max="13" width="12.5" style="6" customWidth="1"/>
    <col min="14" max="14" width="11.796875" style="6" customWidth="1"/>
    <col min="15" max="15" width="12.3984375" style="6" customWidth="1"/>
    <col min="16" max="16" width="12.796875" style="6" customWidth="1"/>
    <col min="17" max="17" width="13" style="6" customWidth="1"/>
    <col min="18" max="22" width="8.69921875" style="6" customWidth="1"/>
    <col min="23" max="23" width="10" style="6" customWidth="1"/>
    <col min="24" max="32" width="8.69921875" style="6" customWidth="1"/>
    <col min="33" max="34" width="3.69921875" style="6" customWidth="1"/>
    <col min="35" max="40" width="3.69921875" style="6" hidden="1" customWidth="1"/>
    <col min="41" max="16384" width="8.69921875" style="6" hidden="1"/>
  </cols>
  <sheetData>
    <row r="1" spans="1:34"/>
    <row r="2" spans="1:34"/>
    <row r="3" spans="1:34"/>
    <row r="4" spans="1:34" ht="4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 spans="1:3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22.2">
      <c r="A6" s="10"/>
      <c r="B6" s="19" t="s">
        <v>566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4.9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ht="17.7" customHeight="1">
      <c r="A8" s="10"/>
      <c r="B8" s="177" t="s">
        <v>569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9"/>
      <c r="AH8" s="10"/>
    </row>
    <row r="9" spans="1:34" ht="17.7" customHeight="1">
      <c r="A9" s="10"/>
      <c r="B9" s="180"/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2"/>
      <c r="AH9" s="10"/>
    </row>
    <row r="10" spans="1:34" ht="17.7" customHeight="1">
      <c r="A10" s="10"/>
      <c r="B10" s="180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2"/>
      <c r="AH10" s="10"/>
    </row>
    <row r="11" spans="1:34" ht="17.7" customHeight="1">
      <c r="A11" s="10"/>
      <c r="B11" s="183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5"/>
      <c r="AH11" s="10"/>
    </row>
    <row r="12" spans="1:3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ht="22.2" hidden="1">
      <c r="A13" s="10"/>
      <c r="B13" s="19" t="s">
        <v>537</v>
      </c>
      <c r="C13" s="10"/>
      <c r="D13" s="10"/>
      <c r="E13" s="10"/>
      <c r="F13" s="10"/>
      <c r="G13" s="21"/>
      <c r="H13" s="2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ht="4.2" hidden="1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ht="17.399999999999999" hidden="1" customHeight="1">
      <c r="A15" s="10"/>
      <c r="B15" s="128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30"/>
      <c r="AH15" s="10"/>
    </row>
    <row r="16" spans="1:34" ht="17.399999999999999" hidden="1" customHeight="1">
      <c r="A16" s="10"/>
      <c r="B16" s="131"/>
      <c r="C16" s="43" t="s">
        <v>416</v>
      </c>
      <c r="D16" s="132"/>
      <c r="E16" s="132"/>
      <c r="F16" s="132"/>
      <c r="G16" s="132"/>
      <c r="H16" s="43" t="s">
        <v>417</v>
      </c>
      <c r="I16" s="132"/>
      <c r="J16" s="132"/>
      <c r="K16" s="132"/>
      <c r="L16" s="132"/>
      <c r="M16" s="132"/>
      <c r="N16" s="132"/>
      <c r="P16" s="22" t="s">
        <v>418</v>
      </c>
      <c r="Q16" s="23"/>
      <c r="R16" s="22"/>
      <c r="S16" s="23"/>
      <c r="T16" s="24">
        <v>45625</v>
      </c>
      <c r="U16" s="24">
        <f>T16+7</f>
        <v>45632</v>
      </c>
      <c r="V16" s="25" t="s">
        <v>419</v>
      </c>
      <c r="W16" s="132"/>
      <c r="X16" s="44" t="s">
        <v>420</v>
      </c>
      <c r="Y16" s="132"/>
      <c r="Z16" s="132"/>
      <c r="AA16" s="132"/>
      <c r="AB16" s="132"/>
      <c r="AC16" s="132"/>
      <c r="AD16" s="132"/>
      <c r="AE16" s="132"/>
      <c r="AF16" s="132"/>
      <c r="AG16" s="133"/>
      <c r="AH16" s="10"/>
    </row>
    <row r="17" spans="1:34" ht="17.399999999999999" hidden="1" customHeight="1">
      <c r="A17" s="10"/>
      <c r="B17" s="131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P17" s="6" t="s">
        <v>421</v>
      </c>
      <c r="T17" s="6">
        <f>COUNTIFS('2. Status Detalhe Campos'!$H$7:$H$574,'1. Status Resumo'!$P63,'2. Status Detalhe Campos'!$C$7:$C$574,'1. Status Resumo'!$G$59,'2. Status Detalhe Campos'!$D$7:$D$574,"2. Campo")+COUNTIFS('2. Status Detalhe Campos'!$H$7:$H$574,'1. Status Resumo'!$P63,'2. Status Detalhe Campos'!$C$7:$C$574,'1. Status Resumo'!$H$59,'2. Status Detalhe Campos'!$D$7:$D$574,"2. Campo")+COUNTIFS('2. Status Detalhe Campos'!$H$7:$H$574,'1. Status Resumo'!$P87,'2. Status Detalhe Campos'!$C$7:$C$574,'1. Status Resumo'!$G$83,'2. Status Detalhe Campos'!$D$7:$D$574,"2. Campo")+COUNTIFS('2. Status Detalhe Campos'!$H$7:$H$574,'1. Status Resumo'!$P87,'2. Status Detalhe Campos'!$C$7:$C$574,'1. Status Resumo'!$H$83,'2. Status Detalhe Campos'!$D$7:$D$574,"2. Campo")+COUNTIFS(Table4[Status Anterior],'1. Status Resumo'!$P122,Table4[Sub-âmbito],'1. Status Resumo'!$G$118,Table4[Tipo de teste],"2. Campo")</f>
        <v>24</v>
      </c>
      <c r="U17" s="6">
        <f>COUNTIFS('2. Status Detalhe Campos'!$G$7:$G$574,'1. Status Resumo'!$P63,'2. Status Detalhe Campos'!$C$7:$C$574,'1. Status Resumo'!$G$59,'2. Status Detalhe Campos'!$D$7:$D$574,"2. Campo")+COUNTIFS('2. Status Detalhe Campos'!$G$7:$G$574,'1. Status Resumo'!$P63,'2. Status Detalhe Campos'!$C$7:$C$574,'1. Status Resumo'!$H$59,'2. Status Detalhe Campos'!$D$7:$D$574,"2. Campo")+COUNTIFS('2. Status Detalhe Campos'!$G$7:$G$574,'1. Status Resumo'!$P87,'2. Status Detalhe Campos'!$C$7:$C$574,'1. Status Resumo'!$G$83,'2. Status Detalhe Campos'!$D$7:$D$574,"2. Campo")+COUNTIFS('2. Status Detalhe Campos'!$G$7:$G$574,'1. Status Resumo'!$P87,'2. Status Detalhe Campos'!$C$7:$C$574,'1. Status Resumo'!$H$83,'2. Status Detalhe Campos'!$D$7:$D$574,"2. Campo")+COUNTIFS(Table4[Status Atual],'1. Status Resumo'!$P122,Table4[Sub-âmbito],'1. Status Resumo'!$G$118,Table4[Tipo de teste],"2. Campo")</f>
        <v>20</v>
      </c>
      <c r="V17" s="6">
        <f>U17-T17</f>
        <v>-4</v>
      </c>
      <c r="W17" s="132"/>
      <c r="X17" s="206"/>
      <c r="Y17" s="207"/>
      <c r="Z17" s="207"/>
      <c r="AA17" s="207"/>
      <c r="AB17" s="207"/>
      <c r="AC17" s="207"/>
      <c r="AD17" s="207"/>
      <c r="AE17" s="207"/>
      <c r="AF17" s="208"/>
      <c r="AG17" s="133"/>
      <c r="AH17" s="10"/>
    </row>
    <row r="18" spans="1:34" ht="17.399999999999999" hidden="1" customHeight="1">
      <c r="A18" s="10"/>
      <c r="B18" s="131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P18" s="6" t="s">
        <v>422</v>
      </c>
      <c r="T18" s="6">
        <f>COUNTIFS('2. Status Detalhe Campos'!$H$7:$H$574,'1. Status Resumo'!$P64,'2. Status Detalhe Campos'!$C$7:$C$574,'1. Status Resumo'!$G$59,'2. Status Detalhe Campos'!$D$7:$D$574,"2. Campo")+COUNTIFS('2. Status Detalhe Campos'!$H$7:$H$574,'1. Status Resumo'!$P64,'2. Status Detalhe Campos'!$C$7:$C$574,'1. Status Resumo'!$H$59,'2. Status Detalhe Campos'!$D$7:$D$574,"2. Campo")+COUNTIFS('2. Status Detalhe Campos'!$H$7:$H$574,'1. Status Resumo'!$P88,'2. Status Detalhe Campos'!$C$7:$C$574,'1. Status Resumo'!$G$83,'2. Status Detalhe Campos'!$D$7:$D$574,"2. Campo")+COUNTIFS('2. Status Detalhe Campos'!$H$7:$H$574,'1. Status Resumo'!$P88,'2. Status Detalhe Campos'!$C$7:$C$574,'1. Status Resumo'!$H$83,'2. Status Detalhe Campos'!$D$7:$D$574,"2. Campo")+COUNTIFS(Table4[Status Anterior],'1. Status Resumo'!$P123,Table4[Sub-âmbito],'1. Status Resumo'!$G$118,Table4[Tipo de teste],"2. Campo")</f>
        <v>401</v>
      </c>
      <c r="U18" s="6">
        <f>COUNTIFS('2. Status Detalhe Campos'!$G$7:$G$574,'1. Status Resumo'!$P64,'2. Status Detalhe Campos'!$C$7:$C$574,'1. Status Resumo'!$G$59,'2. Status Detalhe Campos'!$D$7:$D$574,"2. Campo")+COUNTIFS('2. Status Detalhe Campos'!$G$7:$G$574,'1. Status Resumo'!$P64,'2. Status Detalhe Campos'!$C$7:$C$574,'1. Status Resumo'!$H$59,'2. Status Detalhe Campos'!$D$7:$D$574,"2. Campo")+COUNTIFS('2. Status Detalhe Campos'!$G$7:$G$574,'1. Status Resumo'!$P88,'2. Status Detalhe Campos'!$C$7:$C$574,'1. Status Resumo'!$G$83,'2. Status Detalhe Campos'!$D$7:$D$574,"2. Campo")+COUNTIFS('2. Status Detalhe Campos'!$G$7:$G$574,'1. Status Resumo'!$P88,'2. Status Detalhe Campos'!$C$7:$C$574,'1. Status Resumo'!$H$83,'2. Status Detalhe Campos'!$D$7:$D$574,"2. Campo")+COUNTIFS(Table4[Status Atual],'1. Status Resumo'!$P123,Table4[Sub-âmbito],'1. Status Resumo'!$G$118,Table4[Tipo de teste],"2. Campo")</f>
        <v>435</v>
      </c>
      <c r="V18" s="6">
        <f t="shared" ref="V18:V25" si="0">U18-T18</f>
        <v>34</v>
      </c>
      <c r="W18" s="132"/>
      <c r="X18" s="209"/>
      <c r="Y18" s="210"/>
      <c r="Z18" s="210"/>
      <c r="AA18" s="210"/>
      <c r="AB18" s="210"/>
      <c r="AC18" s="210"/>
      <c r="AD18" s="210"/>
      <c r="AE18" s="210"/>
      <c r="AF18" s="211"/>
      <c r="AG18" s="133"/>
      <c r="AH18" s="10"/>
    </row>
    <row r="19" spans="1:34" ht="17.399999999999999" hidden="1" customHeight="1">
      <c r="A19" s="10"/>
      <c r="B19" s="131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P19" s="6" t="s">
        <v>480</v>
      </c>
      <c r="T19" s="6">
        <f>COUNTIFS('2. Status Detalhe Campos'!$H$7:$H$574,'1. Status Resumo'!$P65,'2. Status Detalhe Campos'!$C$7:$C$574,'1. Status Resumo'!$G$59,'2. Status Detalhe Campos'!$D$7:$D$574,"2. Campo")+COUNTIFS('2. Status Detalhe Campos'!$H$7:$H$574,'1. Status Resumo'!$P65,'2. Status Detalhe Campos'!$C$7:$C$574,'1. Status Resumo'!$H$59,'2. Status Detalhe Campos'!$D$7:$D$574,"2. Campo")+COUNTIFS('2. Status Detalhe Campos'!$H$7:$H$574,'1. Status Resumo'!$P89,'2. Status Detalhe Campos'!$C$7:$C$574,'1. Status Resumo'!$G$83,'2. Status Detalhe Campos'!$D$7:$D$574,"2. Campo")+COUNTIFS('2. Status Detalhe Campos'!$H$7:$H$574,'1. Status Resumo'!$P89,'2. Status Detalhe Campos'!$C$7:$C$574,'1. Status Resumo'!$H$83,'2. Status Detalhe Campos'!$D$7:$D$574,"2. Campo")+COUNTIFS(Table4[Status Anterior],'1. Status Resumo'!$P124,Table4[Sub-âmbito],'1. Status Resumo'!$G$118,Table4[Tipo de teste],"2. Campo")</f>
        <v>58</v>
      </c>
      <c r="U19" s="6">
        <f>COUNTIFS('2. Status Detalhe Campos'!$G$7:$G$574,'1. Status Resumo'!$P65,'2. Status Detalhe Campos'!$C$7:$C$574,'1. Status Resumo'!$G$59,'2. Status Detalhe Campos'!$D$7:$D$574,"2. Campo")+COUNTIFS('2. Status Detalhe Campos'!$G$7:$G$574,'1. Status Resumo'!$P65,'2. Status Detalhe Campos'!$C$7:$C$574,'1. Status Resumo'!$H$59,'2. Status Detalhe Campos'!$D$7:$D$574,"2. Campo")+COUNTIFS('2. Status Detalhe Campos'!$G$7:$G$574,'1. Status Resumo'!$P89,'2. Status Detalhe Campos'!$C$7:$C$574,'1. Status Resumo'!$G$83,'2. Status Detalhe Campos'!$D$7:$D$574,"2. Campo")+COUNTIFS('2. Status Detalhe Campos'!$G$7:$G$574,'1. Status Resumo'!$P89,'2. Status Detalhe Campos'!$C$7:$C$574,'1. Status Resumo'!$H$83,'2. Status Detalhe Campos'!$D$7:$D$574,"2. Campo")+COUNTIFS(Table4[Status Atual],'1. Status Resumo'!$P124,Table4[Sub-âmbito],'1. Status Resumo'!$G$118,Table4[Tipo de teste],"2. Campo")</f>
        <v>53</v>
      </c>
      <c r="V19" s="6">
        <f t="shared" si="0"/>
        <v>-5</v>
      </c>
      <c r="W19" s="132"/>
      <c r="X19" s="209"/>
      <c r="Y19" s="210"/>
      <c r="Z19" s="210"/>
      <c r="AA19" s="210"/>
      <c r="AB19" s="210"/>
      <c r="AC19" s="210"/>
      <c r="AD19" s="210"/>
      <c r="AE19" s="210"/>
      <c r="AF19" s="211"/>
      <c r="AG19" s="133"/>
      <c r="AH19" s="10"/>
    </row>
    <row r="20" spans="1:34" ht="17.399999999999999" hidden="1" customHeight="1">
      <c r="A20" s="10"/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P20" s="6" t="s">
        <v>481</v>
      </c>
      <c r="T20" s="6">
        <f>COUNTIFS('2. Status Detalhe Campos'!$H$7:$H$574,'1. Status Resumo'!$P66,'2. Status Detalhe Campos'!$C$7:$C$574,'1. Status Resumo'!$G$59,'2. Status Detalhe Campos'!$D$7:$D$574,"2. Campo")+COUNTIFS('2. Status Detalhe Campos'!$H$7:$H$574,'1. Status Resumo'!$P66,'2. Status Detalhe Campos'!$C$7:$C$574,'1. Status Resumo'!$H$59,'2. Status Detalhe Campos'!$D$7:$D$574,"2. Campo")+COUNTIFS('2. Status Detalhe Campos'!$H$7:$H$574,'1. Status Resumo'!$P90,'2. Status Detalhe Campos'!$C$7:$C$574,'1. Status Resumo'!$G$83,'2. Status Detalhe Campos'!$D$7:$D$574,"2. Campo")+COUNTIFS('2. Status Detalhe Campos'!$H$7:$H$574,'1. Status Resumo'!$P90,'2. Status Detalhe Campos'!$C$7:$C$574,'1. Status Resumo'!$H$83,'2. Status Detalhe Campos'!$D$7:$D$574,"2. Campo")+COUNTIFS(Table4[Status Anterior],'1. Status Resumo'!$P125,Table4[Sub-âmbito],'1. Status Resumo'!$G$118,Table4[Tipo de teste],"2. Campo")</f>
        <v>0</v>
      </c>
      <c r="U20" s="6">
        <f>COUNTIFS('2. Status Detalhe Campos'!$G$7:$G$574,'1. Status Resumo'!$P66,'2. Status Detalhe Campos'!$C$7:$C$574,'1. Status Resumo'!$G$59,'2. Status Detalhe Campos'!$D$7:$D$574,"2. Campo")+COUNTIFS('2. Status Detalhe Campos'!$G$7:$G$574,'1. Status Resumo'!$P66,'2. Status Detalhe Campos'!$C$7:$C$574,'1. Status Resumo'!$H$59,'2. Status Detalhe Campos'!$D$7:$D$574,"2. Campo")+COUNTIFS('2. Status Detalhe Campos'!$G$7:$G$574,'1. Status Resumo'!$P90,'2. Status Detalhe Campos'!$C$7:$C$574,'1. Status Resumo'!$G$83,'2. Status Detalhe Campos'!$D$7:$D$574,"2. Campo")+COUNTIFS('2. Status Detalhe Campos'!$G$7:$G$574,'1. Status Resumo'!$P90,'2. Status Detalhe Campos'!$C$7:$C$574,'1. Status Resumo'!$H$83,'2. Status Detalhe Campos'!$D$7:$D$574,"2. Campo")+COUNTIFS(Table4[Status Atual],'1. Status Resumo'!$P125,Table4[Sub-âmbito],'1. Status Resumo'!$G$118,Table4[Tipo de teste],"2. Campo")</f>
        <v>0</v>
      </c>
      <c r="V20" s="6">
        <f t="shared" si="0"/>
        <v>0</v>
      </c>
      <c r="W20" s="132"/>
      <c r="X20" s="209"/>
      <c r="Y20" s="210"/>
      <c r="Z20" s="210"/>
      <c r="AA20" s="210"/>
      <c r="AB20" s="210"/>
      <c r="AC20" s="210"/>
      <c r="AD20" s="210"/>
      <c r="AE20" s="210"/>
      <c r="AF20" s="211"/>
      <c r="AG20" s="133"/>
      <c r="AH20" s="10"/>
    </row>
    <row r="21" spans="1:34" ht="17.399999999999999" hidden="1" customHeight="1">
      <c r="A21" s="10"/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P21" s="6" t="s">
        <v>423</v>
      </c>
      <c r="T21" s="6">
        <f>COUNTIFS('2. Status Detalhe Campos'!$H$7:$H$574,'1. Status Resumo'!$P67,'2. Status Detalhe Campos'!$C$7:$C$574,'1. Status Resumo'!$G$59,'2. Status Detalhe Campos'!$D$7:$D$574,"2. Campo")+COUNTIFS('2. Status Detalhe Campos'!$H$7:$H$574,'1. Status Resumo'!$P67,'2. Status Detalhe Campos'!$C$7:$C$574,'1. Status Resumo'!$H$59,'2. Status Detalhe Campos'!$D$7:$D$574,"2. Campo")+COUNTIFS('2. Status Detalhe Campos'!$H$7:$H$574,'1. Status Resumo'!$P91,'2. Status Detalhe Campos'!$C$7:$C$574,'1. Status Resumo'!$G$83,'2. Status Detalhe Campos'!$D$7:$D$574,"2. Campo")+COUNTIFS('2. Status Detalhe Campos'!$H$7:$H$574,'1. Status Resumo'!$P91,'2. Status Detalhe Campos'!$C$7:$C$574,'1. Status Resumo'!$H$83,'2. Status Detalhe Campos'!$D$7:$D$574,"2. Campo")+COUNTIFS(Table4[Status Anterior],'1. Status Resumo'!$P126,Table4[Sub-âmbito],'1. Status Resumo'!$G$118,Table4[Tipo de teste],"2. Campo")</f>
        <v>4</v>
      </c>
      <c r="U21" s="6">
        <f>COUNTIFS('2. Status Detalhe Campos'!$G$7:$G$574,'1. Status Resumo'!$P67,'2. Status Detalhe Campos'!$C$7:$C$574,'1. Status Resumo'!$G$59,'2. Status Detalhe Campos'!$D$7:$D$574,"2. Campo")+COUNTIFS('2. Status Detalhe Campos'!$G$7:$G$574,'1. Status Resumo'!$P67,'2. Status Detalhe Campos'!$C$7:$C$574,'1. Status Resumo'!$H$59,'2. Status Detalhe Campos'!$D$7:$D$574,"2. Campo")+COUNTIFS('2. Status Detalhe Campos'!$G$7:$G$574,'1. Status Resumo'!$P91,'2. Status Detalhe Campos'!$C$7:$C$574,'1. Status Resumo'!$G$83,'2. Status Detalhe Campos'!$D$7:$D$574,"2. Campo")+COUNTIFS('2. Status Detalhe Campos'!$G$7:$G$574,'1. Status Resumo'!$P91,'2. Status Detalhe Campos'!$C$7:$C$574,'1. Status Resumo'!$H$83,'2. Status Detalhe Campos'!$D$7:$D$574,"2. Campo")+COUNTIFS(Table4[Status Atual],'1. Status Resumo'!$P126,Table4[Sub-âmbito],'1. Status Resumo'!$G$118,Table4[Tipo de teste],"2. Campo")</f>
        <v>2</v>
      </c>
      <c r="V21" s="6">
        <f t="shared" si="0"/>
        <v>-2</v>
      </c>
      <c r="W21" s="132"/>
      <c r="X21" s="209"/>
      <c r="Y21" s="210"/>
      <c r="Z21" s="210"/>
      <c r="AA21" s="210"/>
      <c r="AB21" s="210"/>
      <c r="AC21" s="210"/>
      <c r="AD21" s="210"/>
      <c r="AE21" s="210"/>
      <c r="AF21" s="211"/>
      <c r="AG21" s="133"/>
      <c r="AH21" s="10"/>
    </row>
    <row r="22" spans="1:34" ht="17.399999999999999" hidden="1" customHeight="1">
      <c r="A22" s="10"/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P22" s="6" t="s">
        <v>424</v>
      </c>
      <c r="T22" s="6">
        <f>COUNTIFS('2. Status Detalhe Campos'!$H$7:$H$574,'1. Status Resumo'!$P68,'2. Status Detalhe Campos'!$C$7:$C$574,'1. Status Resumo'!$G$59,'2. Status Detalhe Campos'!$D$7:$D$574,"2. Campo")+COUNTIFS('2. Status Detalhe Campos'!$H$7:$H$574,'1. Status Resumo'!$P68,'2. Status Detalhe Campos'!$C$7:$C$574,'1. Status Resumo'!$H$59,'2. Status Detalhe Campos'!$D$7:$D$574,"2. Campo")+COUNTIFS('2. Status Detalhe Campos'!$H$7:$H$574,'1. Status Resumo'!$P92,'2. Status Detalhe Campos'!$C$7:$C$574,'1. Status Resumo'!$G$83,'2. Status Detalhe Campos'!$D$7:$D$574,"2. Campo")+COUNTIFS('2. Status Detalhe Campos'!$H$7:$H$574,'1. Status Resumo'!$P92,'2. Status Detalhe Campos'!$C$7:$C$574,'1. Status Resumo'!$H$83,'2. Status Detalhe Campos'!$D$7:$D$574,"2. Campo")+COUNTIFS(Table4[Status Anterior],'1. Status Resumo'!$P127,Table4[Sub-âmbito],'1. Status Resumo'!$G$118,Table4[Tipo de teste],"2. Campo")</f>
        <v>1</v>
      </c>
      <c r="U22" s="6">
        <f>COUNTIFS('2. Status Detalhe Campos'!$G$7:$G$574,'1. Status Resumo'!$P68,'2. Status Detalhe Campos'!$C$7:$C$574,'1. Status Resumo'!$G$59,'2. Status Detalhe Campos'!$D$7:$D$574,"2. Campo")+COUNTIFS('2. Status Detalhe Campos'!$G$7:$G$574,'1. Status Resumo'!$P68,'2. Status Detalhe Campos'!$C$7:$C$574,'1. Status Resumo'!$H$59,'2. Status Detalhe Campos'!$D$7:$D$574,"2. Campo")+COUNTIFS('2. Status Detalhe Campos'!$G$7:$G$574,'1. Status Resumo'!$P92,'2. Status Detalhe Campos'!$C$7:$C$574,'1. Status Resumo'!$G$83,'2. Status Detalhe Campos'!$D$7:$D$574,"2. Campo")+COUNTIFS('2. Status Detalhe Campos'!$G$7:$G$574,'1. Status Resumo'!$P92,'2. Status Detalhe Campos'!$C$7:$C$574,'1. Status Resumo'!$H$83,'2. Status Detalhe Campos'!$D$7:$D$574,"2. Campo")+COUNTIFS(Table4[Status Atual],'1. Status Resumo'!$P127,Table4[Sub-âmbito],'1. Status Resumo'!$G$118,Table4[Tipo de teste],"2. Campo")</f>
        <v>2</v>
      </c>
      <c r="V22" s="6">
        <f t="shared" si="0"/>
        <v>1</v>
      </c>
      <c r="W22" s="132"/>
      <c r="X22" s="209"/>
      <c r="Y22" s="210"/>
      <c r="Z22" s="210"/>
      <c r="AA22" s="210"/>
      <c r="AB22" s="210"/>
      <c r="AC22" s="210"/>
      <c r="AD22" s="210"/>
      <c r="AE22" s="210"/>
      <c r="AF22" s="211"/>
      <c r="AG22" s="133"/>
      <c r="AH22" s="10"/>
    </row>
    <row r="23" spans="1:34" ht="17.399999999999999" hidden="1" customHeight="1">
      <c r="A23" s="10"/>
      <c r="B23" s="131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P23" s="6" t="s">
        <v>425</v>
      </c>
      <c r="R23" s="6" t="s">
        <v>426</v>
      </c>
      <c r="T23" s="6">
        <f>COUNTIFS('2. Status Detalhe Campos'!$H$7:$H$574,'1. Status Resumo'!$P69,'2. Status Detalhe Campos'!$C$7:$C$574,'1. Status Resumo'!$G$59,'2. Status Detalhe Campos'!$D$7:$D$574,"2. Campo")+COUNTIFS('2. Status Detalhe Campos'!$H$7:$H$574,'1. Status Resumo'!$P69,'2. Status Detalhe Campos'!$C$7:$C$574,'1. Status Resumo'!$H$59,'2. Status Detalhe Campos'!$D$7:$D$574,"2. Campo")+COUNTIFS('2. Status Detalhe Campos'!$H$7:$H$574,'1. Status Resumo'!$P93,'2. Status Detalhe Campos'!$C$7:$C$574,'1. Status Resumo'!$G$83,'2. Status Detalhe Campos'!$D$7:$D$574,"2. Campo")+COUNTIFS('2. Status Detalhe Campos'!$H$7:$H$574,'1. Status Resumo'!$P93,'2. Status Detalhe Campos'!$C$7:$C$574,'1. Status Resumo'!$H$83,'2. Status Detalhe Campos'!$D$7:$D$574,"2. Campo")+COUNTIFS(Table4[Status Anterior],'1. Status Resumo'!$P128,Table4[Sub-âmbito],'1. Status Resumo'!$G$118,Table4[Tipo de teste],"2. Campo")</f>
        <v>19</v>
      </c>
      <c r="U23" s="6">
        <f>COUNTIFS('2. Status Detalhe Campos'!$G$7:$G$574,'1. Status Resumo'!$P69,'2. Status Detalhe Campos'!$C$7:$C$574,'1. Status Resumo'!$G$59,'2. Status Detalhe Campos'!$D$7:$D$574,"2. Campo")+COUNTIFS('2. Status Detalhe Campos'!$G$7:$G$574,'1. Status Resumo'!$P69,'2. Status Detalhe Campos'!$C$7:$C$574,'1. Status Resumo'!$H$59,'2. Status Detalhe Campos'!$D$7:$D$574,"2. Campo")+COUNTIFS('2. Status Detalhe Campos'!$G$7:$G$574,'1. Status Resumo'!$P93,'2. Status Detalhe Campos'!$C$7:$C$574,'1. Status Resumo'!$G$83,'2. Status Detalhe Campos'!$D$7:$D$574,"2. Campo")+COUNTIFS('2. Status Detalhe Campos'!$G$7:$G$574,'1. Status Resumo'!$P93,'2. Status Detalhe Campos'!$C$7:$C$574,'1. Status Resumo'!$H$83,'2. Status Detalhe Campos'!$D$7:$D$574,"2. Campo")+COUNTIFS(Table4[Status Atual],'1. Status Resumo'!$P128,Table4[Sub-âmbito],'1. Status Resumo'!$G$118,Table4[Tipo de teste],"2. Campo")</f>
        <v>5</v>
      </c>
      <c r="V23" s="6">
        <f t="shared" si="0"/>
        <v>-14</v>
      </c>
      <c r="W23" s="132"/>
      <c r="X23" s="209"/>
      <c r="Y23" s="210"/>
      <c r="Z23" s="210"/>
      <c r="AA23" s="210"/>
      <c r="AB23" s="210"/>
      <c r="AC23" s="210"/>
      <c r="AD23" s="210"/>
      <c r="AE23" s="210"/>
      <c r="AF23" s="211"/>
      <c r="AG23" s="133"/>
      <c r="AH23" s="10"/>
    </row>
    <row r="24" spans="1:34" ht="17.399999999999999" hidden="1" customHeight="1">
      <c r="A24" s="10"/>
      <c r="B24" s="131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P24" s="6" t="s">
        <v>427</v>
      </c>
      <c r="T24" s="6">
        <f>COUNTIFS('2. Status Detalhe Campos'!$H$7:$H$574,'1. Status Resumo'!$P70,'2. Status Detalhe Campos'!$C$7:$C$574,'1. Status Resumo'!$G$59,'2. Status Detalhe Campos'!$D$7:$D$574,"2. Campo")+COUNTIFS('2. Status Detalhe Campos'!$H$7:$H$574,'1. Status Resumo'!$P70,'2. Status Detalhe Campos'!$C$7:$C$574,'1. Status Resumo'!$H$59,'2. Status Detalhe Campos'!$D$7:$D$574,"2. Campo")+COUNTIFS('2. Status Detalhe Campos'!$H$7:$H$574,'1. Status Resumo'!$P94,'2. Status Detalhe Campos'!$C$7:$C$574,'1. Status Resumo'!$G$83,'2. Status Detalhe Campos'!$D$7:$D$574,"2. Campo")+COUNTIFS('2. Status Detalhe Campos'!$H$7:$H$574,'1. Status Resumo'!$P94,'2. Status Detalhe Campos'!$C$7:$C$574,'1. Status Resumo'!$H$83,'2. Status Detalhe Campos'!$D$7:$D$574,"2. Campo")+COUNTIFS(Table4[Status Anterior],'1. Status Resumo'!$P129,Table4[Sub-âmbito],'1. Status Resumo'!$G$118,Table4[Tipo de teste],"2. Campo")</f>
        <v>42</v>
      </c>
      <c r="U24" s="6">
        <f>COUNTIFS('2. Status Detalhe Campos'!$G$7:$G$574,'1. Status Resumo'!$P70,'2. Status Detalhe Campos'!$C$7:$C$574,'1. Status Resumo'!$G$59,'2. Status Detalhe Campos'!$D$7:$D$574,"2. Campo")+COUNTIFS('2. Status Detalhe Campos'!$G$7:$G$574,'1. Status Resumo'!$P70,'2. Status Detalhe Campos'!$C$7:$C$574,'1. Status Resumo'!$H$59,'2. Status Detalhe Campos'!$D$7:$D$574,"2. Campo")+COUNTIFS('2. Status Detalhe Campos'!$G$7:$G$574,'1. Status Resumo'!$P94,'2. Status Detalhe Campos'!$C$7:$C$574,'1. Status Resumo'!$G$83,'2. Status Detalhe Campos'!$D$7:$D$574,"2. Campo")+COUNTIFS('2. Status Detalhe Campos'!$G$7:$G$574,'1. Status Resumo'!$P94,'2. Status Detalhe Campos'!$C$7:$C$574,'1. Status Resumo'!$H$83,'2. Status Detalhe Campos'!$D$7:$D$574,"2. Campo")+COUNTIFS(Table4[Status Atual],'1. Status Resumo'!$P129,Table4[Sub-âmbito],'1. Status Resumo'!$G$118,Table4[Tipo de teste],"2. Campo")</f>
        <v>4</v>
      </c>
      <c r="V24" s="6">
        <f t="shared" si="0"/>
        <v>-38</v>
      </c>
      <c r="W24" s="132"/>
      <c r="X24" s="209"/>
      <c r="Y24" s="210"/>
      <c r="Z24" s="210"/>
      <c r="AA24" s="210"/>
      <c r="AB24" s="210"/>
      <c r="AC24" s="210"/>
      <c r="AD24" s="210"/>
      <c r="AE24" s="210"/>
      <c r="AF24" s="211"/>
      <c r="AG24" s="133"/>
      <c r="AH24" s="10"/>
    </row>
    <row r="25" spans="1:34" ht="17.399999999999999" hidden="1" customHeight="1">
      <c r="A25" s="10"/>
      <c r="B25" s="131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P25" s="6" t="s">
        <v>12</v>
      </c>
      <c r="T25" s="6">
        <f>COUNTIFS('2. Status Detalhe Campos'!$H$7:$H$574,'1. Status Resumo'!$P71,'2. Status Detalhe Campos'!$C$7:$C$574,'1. Status Resumo'!$G$59,'2. Status Detalhe Campos'!$D$7:$D$574,"2. Campo")+COUNTIFS('2. Status Detalhe Campos'!$H$7:$H$574,'1. Status Resumo'!$P71,'2. Status Detalhe Campos'!$C$7:$C$574,'1. Status Resumo'!$H$59,'2. Status Detalhe Campos'!$D$7:$D$574,"2. Campo")+COUNTIFS('2. Status Detalhe Campos'!$H$7:$H$574,'1. Status Resumo'!$P95,'2. Status Detalhe Campos'!$C$7:$C$574,'1. Status Resumo'!$G$83,'2. Status Detalhe Campos'!$D$7:$D$574,"2. Campo")+COUNTIFS('2. Status Detalhe Campos'!$H$7:$H$574,'1. Status Resumo'!$P95,'2. Status Detalhe Campos'!$C$7:$C$574,'1. Status Resumo'!$H$83,'2. Status Detalhe Campos'!$D$7:$D$574,"2. Campo")+COUNTIFS(Table4[Status Anterior],'1. Status Resumo'!$P130,Table4[Sub-âmbito],'1. Status Resumo'!$G$118,Table4[Tipo de teste],"2. Campo")</f>
        <v>0</v>
      </c>
      <c r="U25" s="6">
        <f>COUNTIFS('2. Status Detalhe Campos'!$G$7:$G$574,'1. Status Resumo'!$P71,'2. Status Detalhe Campos'!$C$7:$C$574,'1. Status Resumo'!$G$59,'2. Status Detalhe Campos'!$D$7:$D$574,"2. Campo")+COUNTIFS('2. Status Detalhe Campos'!$G$7:$G$574,'1. Status Resumo'!$P71,'2. Status Detalhe Campos'!$C$7:$C$574,'1. Status Resumo'!$H$59,'2. Status Detalhe Campos'!$D$7:$D$574,"2. Campo")+COUNTIFS('2. Status Detalhe Campos'!$G$7:$G$574,'1. Status Resumo'!$P95,'2. Status Detalhe Campos'!$C$7:$C$574,'1. Status Resumo'!$G$83,'2. Status Detalhe Campos'!$D$7:$D$574,"2. Campo")+COUNTIFS('2. Status Detalhe Campos'!$G$7:$G$574,'1. Status Resumo'!$P95,'2. Status Detalhe Campos'!$C$7:$C$574,'1. Status Resumo'!$H$83,'2. Status Detalhe Campos'!$D$7:$D$574,"2. Campo")+COUNTIFS(Table4[Status Atual],'1. Status Resumo'!$P130,Table4[Sub-âmbito],'1. Status Resumo'!$G$118,Table4[Tipo de teste],"2. Campo")</f>
        <v>0</v>
      </c>
      <c r="V25" s="6">
        <f t="shared" si="0"/>
        <v>0</v>
      </c>
      <c r="W25" s="132"/>
      <c r="X25" s="209"/>
      <c r="Y25" s="210"/>
      <c r="Z25" s="210"/>
      <c r="AA25" s="210"/>
      <c r="AB25" s="210"/>
      <c r="AC25" s="210"/>
      <c r="AD25" s="210"/>
      <c r="AE25" s="210"/>
      <c r="AF25" s="211"/>
      <c r="AG25" s="133"/>
      <c r="AH25" s="10"/>
    </row>
    <row r="26" spans="1:34" ht="17.399999999999999" hidden="1" customHeight="1">
      <c r="A26" s="10"/>
      <c r="B26" s="131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T26" s="20">
        <f>SUM(T17:T25)</f>
        <v>549</v>
      </c>
      <c r="U26" s="20">
        <f>SUM(U17:U25)</f>
        <v>521</v>
      </c>
      <c r="W26" s="132"/>
      <c r="X26" s="212"/>
      <c r="Y26" s="213"/>
      <c r="Z26" s="213"/>
      <c r="AA26" s="213"/>
      <c r="AB26" s="213"/>
      <c r="AC26" s="213"/>
      <c r="AD26" s="213"/>
      <c r="AE26" s="213"/>
      <c r="AF26" s="214"/>
      <c r="AG26" s="133"/>
      <c r="AH26" s="10"/>
    </row>
    <row r="27" spans="1:34" ht="17.399999999999999" hidden="1" customHeight="1">
      <c r="A27" s="10"/>
      <c r="B27" s="131"/>
      <c r="C27" s="134"/>
      <c r="D27" s="134"/>
      <c r="E27" s="132"/>
      <c r="F27" s="132"/>
      <c r="G27" s="134"/>
      <c r="H27" s="134"/>
      <c r="I27" s="134"/>
      <c r="J27" s="134"/>
      <c r="K27" s="134"/>
      <c r="L27" s="134"/>
      <c r="M27" s="134"/>
      <c r="N27" s="134"/>
      <c r="O27" s="134"/>
      <c r="P27" s="132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2"/>
      <c r="AC27" s="134"/>
      <c r="AD27" s="134"/>
      <c r="AE27" s="134"/>
      <c r="AF27" s="134"/>
      <c r="AG27" s="133"/>
      <c r="AH27" s="10"/>
    </row>
    <row r="28" spans="1:34" hidden="1">
      <c r="A28" s="10"/>
      <c r="B28" s="138"/>
      <c r="C28" s="10"/>
      <c r="D28" s="10"/>
      <c r="E28" s="138"/>
      <c r="F28" s="138"/>
      <c r="G28" s="10"/>
      <c r="H28" s="10"/>
      <c r="I28" s="10"/>
      <c r="J28" s="10"/>
      <c r="K28" s="10"/>
      <c r="L28" s="10"/>
      <c r="M28" s="10"/>
      <c r="N28" s="10"/>
      <c r="O28" s="10"/>
      <c r="P28" s="13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38"/>
      <c r="AC28" s="10"/>
      <c r="AD28" s="10"/>
      <c r="AE28" s="10"/>
      <c r="AF28" s="10"/>
      <c r="AG28" s="138"/>
      <c r="AH28" s="10"/>
    </row>
    <row r="29" spans="1:34">
      <c r="A29" s="10"/>
      <c r="B29" s="139"/>
      <c r="C29" s="10"/>
      <c r="D29" s="10"/>
      <c r="E29" s="139"/>
      <c r="F29" s="139"/>
      <c r="G29" s="10"/>
      <c r="H29" s="10"/>
      <c r="I29" s="10"/>
      <c r="J29" s="10"/>
      <c r="K29" s="10"/>
      <c r="L29" s="10"/>
      <c r="M29" s="10"/>
      <c r="N29" s="10"/>
      <c r="O29" s="10"/>
      <c r="P29" s="139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39"/>
      <c r="AC29" s="10"/>
      <c r="AD29" s="10"/>
      <c r="AE29" s="10"/>
      <c r="AF29" s="10"/>
      <c r="AG29" s="139"/>
      <c r="AH29" s="10"/>
    </row>
    <row r="30" spans="1:34" ht="22.2">
      <c r="A30" s="10"/>
      <c r="B30" s="19" t="s">
        <v>542</v>
      </c>
      <c r="C30" s="10"/>
      <c r="D30" s="10"/>
      <c r="E30" s="139"/>
      <c r="F30" s="139"/>
      <c r="G30" s="10"/>
      <c r="H30" s="10"/>
      <c r="I30" s="10"/>
      <c r="J30" s="10"/>
      <c r="K30" s="10"/>
      <c r="L30" s="10"/>
      <c r="M30" s="10"/>
      <c r="N30" s="10"/>
      <c r="O30" s="10"/>
      <c r="P30" s="139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39"/>
      <c r="AC30" s="10"/>
      <c r="AD30" s="10"/>
      <c r="AE30" s="10"/>
      <c r="AF30" s="10"/>
      <c r="AG30" s="139"/>
      <c r="AH30" s="10"/>
    </row>
    <row r="31" spans="1:34" ht="3.6" customHeight="1">
      <c r="A31" s="10"/>
      <c r="B31" s="139"/>
      <c r="C31" s="10"/>
      <c r="D31" s="10"/>
      <c r="E31" s="139"/>
      <c r="F31" s="139"/>
      <c r="G31" s="10"/>
      <c r="H31" s="10"/>
      <c r="I31" s="10"/>
      <c r="J31" s="10"/>
      <c r="K31" s="10"/>
      <c r="L31" s="10"/>
      <c r="M31" s="10"/>
      <c r="N31" s="10"/>
      <c r="O31" s="10"/>
      <c r="P31" s="13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39"/>
      <c r="AC31" s="10"/>
      <c r="AD31" s="10"/>
      <c r="AE31" s="10"/>
      <c r="AF31" s="10"/>
      <c r="AG31" s="139"/>
      <c r="AH31" s="10"/>
    </row>
    <row r="32" spans="1:34">
      <c r="A32" s="10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2"/>
      <c r="AH32" s="10"/>
    </row>
    <row r="33" spans="1:36">
      <c r="A33" s="10"/>
      <c r="B33" s="143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5"/>
      <c r="AH33" s="10"/>
    </row>
    <row r="34" spans="1:36">
      <c r="A34" s="10"/>
      <c r="B34" s="143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44" t="s">
        <v>420</v>
      </c>
      <c r="AG34" s="144"/>
      <c r="AH34" s="158"/>
    </row>
    <row r="35" spans="1:36" ht="17.399999999999999" customHeight="1">
      <c r="A35" s="10"/>
      <c r="B35" s="143"/>
      <c r="C35" s="149"/>
      <c r="D35" s="150" t="s">
        <v>551</v>
      </c>
      <c r="E35" s="150" t="s">
        <v>552</v>
      </c>
      <c r="F35" s="150" t="s">
        <v>553</v>
      </c>
      <c r="G35" s="151" t="s">
        <v>543</v>
      </c>
      <c r="H35" s="164">
        <v>45639</v>
      </c>
      <c r="I35" s="175">
        <v>45639</v>
      </c>
      <c r="J35" s="164">
        <v>45646</v>
      </c>
      <c r="K35" s="175">
        <v>45646</v>
      </c>
      <c r="L35" s="164">
        <v>45649</v>
      </c>
      <c r="M35" s="164">
        <v>45660</v>
      </c>
      <c r="N35" s="164">
        <v>45667</v>
      </c>
      <c r="O35" s="164">
        <v>45674</v>
      </c>
      <c r="P35" s="164">
        <v>45678</v>
      </c>
      <c r="Q35" s="151" t="s">
        <v>548</v>
      </c>
      <c r="R35" s="144"/>
      <c r="S35" s="144"/>
      <c r="T35" s="144"/>
      <c r="U35" s="144"/>
      <c r="V35" s="170"/>
      <c r="W35" s="170"/>
      <c r="X35" s="215" t="s">
        <v>571</v>
      </c>
      <c r="Y35" s="215"/>
      <c r="Z35" s="215"/>
      <c r="AA35" s="215"/>
      <c r="AB35" s="215"/>
      <c r="AC35" s="215"/>
      <c r="AD35" s="215"/>
      <c r="AE35" s="215"/>
      <c r="AF35" s="215"/>
      <c r="AG35" s="174"/>
      <c r="AH35" s="172"/>
      <c r="AI35" s="15"/>
      <c r="AJ35" s="139"/>
    </row>
    <row r="36" spans="1:36">
      <c r="A36" s="10"/>
      <c r="B36" s="143"/>
      <c r="C36" s="150" t="s">
        <v>545</v>
      </c>
      <c r="D36" s="152">
        <f>T72</f>
        <v>169</v>
      </c>
      <c r="E36" s="152">
        <f>T64</f>
        <v>124</v>
      </c>
      <c r="F36" s="152">
        <f>T63</f>
        <v>10</v>
      </c>
      <c r="G36" s="153">
        <f>D36-E36-F36</f>
        <v>35</v>
      </c>
      <c r="H36" s="152">
        <v>22</v>
      </c>
      <c r="I36" s="152">
        <v>22</v>
      </c>
      <c r="J36" s="152">
        <v>0</v>
      </c>
      <c r="K36" s="152">
        <v>0</v>
      </c>
      <c r="L36" s="152">
        <v>0</v>
      </c>
      <c r="M36" s="152">
        <v>0</v>
      </c>
      <c r="N36" s="152">
        <v>13</v>
      </c>
      <c r="O36" s="152">
        <v>0</v>
      </c>
      <c r="P36" s="152">
        <v>0</v>
      </c>
      <c r="Q36" s="153">
        <f>SUM(H36,J36:N36,O36,P36)</f>
        <v>35</v>
      </c>
      <c r="R36" s="144"/>
      <c r="S36" s="144"/>
      <c r="T36" s="144"/>
      <c r="U36" s="144"/>
      <c r="V36" s="170"/>
      <c r="W36" s="170"/>
      <c r="X36" s="215"/>
      <c r="Y36" s="215"/>
      <c r="Z36" s="215"/>
      <c r="AA36" s="215"/>
      <c r="AB36" s="215"/>
      <c r="AC36" s="215"/>
      <c r="AD36" s="215"/>
      <c r="AE36" s="215"/>
      <c r="AF36" s="215"/>
      <c r="AG36" s="174"/>
      <c r="AH36" s="172"/>
      <c r="AI36" s="15"/>
      <c r="AJ36" s="139"/>
    </row>
    <row r="37" spans="1:36">
      <c r="A37" s="10"/>
      <c r="B37" s="143"/>
      <c r="C37" s="150" t="s">
        <v>546</v>
      </c>
      <c r="D37" s="152">
        <f>T96</f>
        <v>245</v>
      </c>
      <c r="E37" s="152">
        <f>T88</f>
        <v>184</v>
      </c>
      <c r="F37" s="152">
        <f>T87</f>
        <v>14</v>
      </c>
      <c r="G37" s="153">
        <f>D37-E37-F37</f>
        <v>47</v>
      </c>
      <c r="H37" s="152">
        <v>14</v>
      </c>
      <c r="I37" s="152">
        <v>14</v>
      </c>
      <c r="J37" s="152">
        <v>16</v>
      </c>
      <c r="K37" s="152">
        <v>16</v>
      </c>
      <c r="L37" s="152">
        <v>0</v>
      </c>
      <c r="M37" s="152">
        <v>0</v>
      </c>
      <c r="N37" s="152">
        <v>0</v>
      </c>
      <c r="O37" s="152">
        <f>4+12</f>
        <v>16</v>
      </c>
      <c r="P37" s="152" t="s">
        <v>497</v>
      </c>
      <c r="Q37" s="154">
        <f>SUM(H37,JO37,P37,J37,L37:O37)</f>
        <v>46</v>
      </c>
      <c r="R37" s="144"/>
      <c r="S37" s="144"/>
      <c r="T37" s="144"/>
      <c r="U37" s="144"/>
      <c r="V37" s="170"/>
      <c r="W37" s="170"/>
      <c r="X37" s="215"/>
      <c r="Y37" s="215"/>
      <c r="Z37" s="215"/>
      <c r="AA37" s="215"/>
      <c r="AB37" s="215"/>
      <c r="AC37" s="215"/>
      <c r="AD37" s="215"/>
      <c r="AE37" s="215"/>
      <c r="AF37" s="215"/>
      <c r="AG37" s="174"/>
      <c r="AH37" s="172"/>
      <c r="AI37" s="15"/>
      <c r="AJ37" s="139"/>
    </row>
    <row r="38" spans="1:36" ht="18" thickBot="1">
      <c r="A38" s="10"/>
      <c r="B38" s="143"/>
      <c r="C38" s="150" t="s">
        <v>10</v>
      </c>
      <c r="D38" s="152">
        <f>T131</f>
        <v>135</v>
      </c>
      <c r="E38" s="152">
        <f>T123</f>
        <v>93</v>
      </c>
      <c r="F38" s="152">
        <f>T122</f>
        <v>0</v>
      </c>
      <c r="G38" s="153">
        <f>D38-E38-F38</f>
        <v>42</v>
      </c>
      <c r="H38" s="152">
        <v>20</v>
      </c>
      <c r="I38" s="152">
        <v>10</v>
      </c>
      <c r="J38" s="152">
        <v>13</v>
      </c>
      <c r="K38" s="152">
        <f>J38+(H38-I38)</f>
        <v>23</v>
      </c>
      <c r="L38" s="152">
        <v>6</v>
      </c>
      <c r="M38" s="152">
        <v>0</v>
      </c>
      <c r="N38" s="152">
        <v>0</v>
      </c>
      <c r="O38" s="152">
        <v>3</v>
      </c>
      <c r="P38" s="152">
        <v>0</v>
      </c>
      <c r="Q38" s="153">
        <f>SUM(H38,J38,L38:N38,O38,P38)</f>
        <v>42</v>
      </c>
      <c r="R38" s="144"/>
      <c r="S38" s="144"/>
      <c r="T38" s="144"/>
      <c r="U38" s="144"/>
      <c r="V38" s="170"/>
      <c r="W38" s="170"/>
      <c r="X38" s="215"/>
      <c r="Y38" s="215"/>
      <c r="Z38" s="215"/>
      <c r="AA38" s="215"/>
      <c r="AB38" s="215"/>
      <c r="AC38" s="215"/>
      <c r="AD38" s="215"/>
      <c r="AE38" s="215"/>
      <c r="AF38" s="215"/>
      <c r="AG38" s="174"/>
      <c r="AH38" s="172"/>
      <c r="AI38" s="15"/>
      <c r="AJ38" s="139"/>
    </row>
    <row r="39" spans="1:36" ht="18" thickBot="1">
      <c r="A39" s="10"/>
      <c r="B39" s="143"/>
      <c r="C39" s="155" t="s">
        <v>544</v>
      </c>
      <c r="D39" s="156">
        <f t="shared" ref="D39:I39" si="1">SUM(D36:D38)</f>
        <v>549</v>
      </c>
      <c r="E39" s="156">
        <f t="shared" si="1"/>
        <v>401</v>
      </c>
      <c r="F39" s="156">
        <f t="shared" si="1"/>
        <v>24</v>
      </c>
      <c r="G39" s="157">
        <f t="shared" si="1"/>
        <v>124</v>
      </c>
      <c r="H39" s="156">
        <f t="shared" si="1"/>
        <v>56</v>
      </c>
      <c r="I39" s="156">
        <f t="shared" si="1"/>
        <v>46</v>
      </c>
      <c r="J39" s="156">
        <v>29</v>
      </c>
      <c r="K39" s="156">
        <f>SUM(K36:K38)</f>
        <v>39</v>
      </c>
      <c r="L39" s="156">
        <v>6</v>
      </c>
      <c r="M39" s="156">
        <v>0</v>
      </c>
      <c r="N39" s="156">
        <v>13</v>
      </c>
      <c r="O39" s="156">
        <f>SUM(O36:O38)</f>
        <v>19</v>
      </c>
      <c r="P39" s="156">
        <v>0</v>
      </c>
      <c r="Q39" s="157">
        <f>SUM(Q36:Q38)</f>
        <v>123</v>
      </c>
      <c r="R39" s="144"/>
      <c r="S39" s="144"/>
      <c r="T39" s="144"/>
      <c r="U39" s="144"/>
      <c r="V39" s="170"/>
      <c r="W39" s="170"/>
      <c r="X39" s="215"/>
      <c r="Y39" s="215"/>
      <c r="Z39" s="215"/>
      <c r="AA39" s="215"/>
      <c r="AB39" s="215"/>
      <c r="AC39" s="215"/>
      <c r="AD39" s="215"/>
      <c r="AE39" s="215"/>
      <c r="AF39" s="215"/>
      <c r="AG39" s="174"/>
      <c r="AH39" s="172"/>
      <c r="AI39" s="15"/>
      <c r="AJ39" s="139"/>
    </row>
    <row r="40" spans="1:36">
      <c r="A40" s="10"/>
      <c r="B40" s="143"/>
      <c r="C40" s="144" t="s">
        <v>8</v>
      </c>
      <c r="D40" s="144"/>
      <c r="E40" s="159">
        <f>E39/$D$39</f>
        <v>0.73041894353369763</v>
      </c>
      <c r="F40" s="159">
        <f>F39/$D$39</f>
        <v>4.3715846994535519E-2</v>
      </c>
      <c r="G40" s="159">
        <f>G39/$D$39</f>
        <v>0.22586520947176686</v>
      </c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69"/>
      <c r="U40" s="169"/>
      <c r="V40" s="170"/>
      <c r="W40" s="170"/>
      <c r="X40" s="215"/>
      <c r="Y40" s="215"/>
      <c r="Z40" s="215"/>
      <c r="AA40" s="215"/>
      <c r="AB40" s="215"/>
      <c r="AC40" s="215"/>
      <c r="AD40" s="215"/>
      <c r="AE40" s="215"/>
      <c r="AF40" s="215"/>
      <c r="AG40" s="173"/>
      <c r="AH40" s="139"/>
    </row>
    <row r="41" spans="1:36">
      <c r="A41" s="10"/>
      <c r="B41" s="143"/>
      <c r="C41" s="160" t="s">
        <v>549</v>
      </c>
      <c r="D41" s="144"/>
      <c r="E41" s="161">
        <f>E39/($D$39-$F$39)</f>
        <v>0.76380952380952383</v>
      </c>
      <c r="F41" s="162" t="s">
        <v>550</v>
      </c>
      <c r="G41" s="161">
        <f>G39/($D$39-$F$39)</f>
        <v>0.2361904761904762</v>
      </c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69"/>
      <c r="U41" s="169"/>
      <c r="V41" s="170"/>
      <c r="W41" s="170"/>
      <c r="X41" s="215"/>
      <c r="Y41" s="215"/>
      <c r="Z41" s="215"/>
      <c r="AA41" s="215"/>
      <c r="AB41" s="215"/>
      <c r="AC41" s="215"/>
      <c r="AD41" s="215"/>
      <c r="AE41" s="215"/>
      <c r="AF41" s="215"/>
      <c r="AG41" s="173"/>
      <c r="AH41" s="139"/>
    </row>
    <row r="42" spans="1:36">
      <c r="A42" s="10"/>
      <c r="B42" s="143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69"/>
      <c r="U42" s="169"/>
      <c r="V42" s="170"/>
      <c r="W42" s="170"/>
      <c r="X42" s="215"/>
      <c r="Y42" s="215"/>
      <c r="Z42" s="215"/>
      <c r="AA42" s="215"/>
      <c r="AB42" s="215"/>
      <c r="AC42" s="215"/>
      <c r="AD42" s="215"/>
      <c r="AE42" s="215"/>
      <c r="AF42" s="215"/>
      <c r="AG42" s="15"/>
      <c r="AH42" s="139"/>
    </row>
    <row r="43" spans="1:36">
      <c r="A43" s="10"/>
      <c r="B43" s="143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69"/>
      <c r="U43" s="169"/>
      <c r="V43" s="170"/>
      <c r="W43" s="170"/>
      <c r="X43" s="215"/>
      <c r="Y43" s="215"/>
      <c r="Z43" s="215"/>
      <c r="AA43" s="215"/>
      <c r="AB43" s="215"/>
      <c r="AC43" s="215"/>
      <c r="AD43" s="215"/>
      <c r="AE43" s="215"/>
      <c r="AF43" s="215"/>
      <c r="AG43" s="15"/>
      <c r="AH43" s="139"/>
    </row>
    <row r="44" spans="1:36">
      <c r="A44" s="10"/>
      <c r="B44" s="143"/>
      <c r="C44" s="149"/>
      <c r="D44" s="150" t="s">
        <v>551</v>
      </c>
      <c r="E44" s="150" t="s">
        <v>552</v>
      </c>
      <c r="F44" s="150" t="s">
        <v>553</v>
      </c>
      <c r="G44" s="151" t="s">
        <v>543</v>
      </c>
      <c r="H44" s="164">
        <v>45639</v>
      </c>
      <c r="I44" s="164">
        <v>45646</v>
      </c>
      <c r="J44" s="164">
        <v>45649</v>
      </c>
      <c r="K44" s="164">
        <v>45660</v>
      </c>
      <c r="L44" s="164">
        <v>45667</v>
      </c>
      <c r="M44" s="164">
        <v>45674</v>
      </c>
      <c r="N44" s="164">
        <v>45678</v>
      </c>
      <c r="O44" s="163" t="s">
        <v>548</v>
      </c>
      <c r="P44" s="144"/>
      <c r="Q44" s="144"/>
      <c r="R44" s="144"/>
      <c r="S44" s="144"/>
      <c r="T44" s="169"/>
      <c r="U44" s="169"/>
      <c r="V44" s="169"/>
      <c r="W44" s="170"/>
      <c r="X44" s="215"/>
      <c r="Y44" s="215"/>
      <c r="Z44" s="215"/>
      <c r="AA44" s="215"/>
      <c r="AB44" s="215"/>
      <c r="AC44" s="215"/>
      <c r="AD44" s="215"/>
      <c r="AE44" s="215"/>
      <c r="AF44" s="215"/>
      <c r="AG44" s="171"/>
      <c r="AH44" s="139"/>
    </row>
    <row r="45" spans="1:36">
      <c r="A45" s="10"/>
      <c r="B45" s="143"/>
      <c r="C45" s="150" t="s">
        <v>545</v>
      </c>
      <c r="D45" s="152">
        <f>U72</f>
        <v>169</v>
      </c>
      <c r="E45" s="152">
        <f>U64</f>
        <v>146</v>
      </c>
      <c r="F45" s="152">
        <f>U63</f>
        <v>10</v>
      </c>
      <c r="G45" s="153">
        <f>D45-E45-F45</f>
        <v>13</v>
      </c>
      <c r="H45" s="152">
        <v>22</v>
      </c>
      <c r="I45" s="152">
        <v>0</v>
      </c>
      <c r="J45" s="152">
        <v>0</v>
      </c>
      <c r="K45" s="152">
        <v>0</v>
      </c>
      <c r="L45" s="152">
        <v>13</v>
      </c>
      <c r="M45" s="152">
        <v>0</v>
      </c>
      <c r="N45" s="152">
        <v>0</v>
      </c>
      <c r="O45" s="153">
        <f>SUM(I45:N45)</f>
        <v>13</v>
      </c>
      <c r="P45" s="144"/>
      <c r="Q45" s="144"/>
      <c r="R45" s="144"/>
      <c r="S45" s="144"/>
      <c r="T45" s="169"/>
      <c r="U45" s="169"/>
      <c r="V45" s="169"/>
      <c r="W45" s="170"/>
      <c r="X45" s="215"/>
      <c r="Y45" s="215"/>
      <c r="Z45" s="215"/>
      <c r="AA45" s="215"/>
      <c r="AB45" s="215"/>
      <c r="AC45" s="215"/>
      <c r="AD45" s="215"/>
      <c r="AE45" s="215"/>
      <c r="AF45" s="215"/>
      <c r="AG45" s="171"/>
      <c r="AH45" s="139"/>
    </row>
    <row r="46" spans="1:36">
      <c r="A46" s="10"/>
      <c r="B46" s="143"/>
      <c r="C46" s="150" t="s">
        <v>546</v>
      </c>
      <c r="D46" s="152">
        <f>U96</f>
        <v>245</v>
      </c>
      <c r="E46" s="152">
        <f>U88</f>
        <v>198</v>
      </c>
      <c r="F46" s="152">
        <f>U87</f>
        <v>14</v>
      </c>
      <c r="G46" s="153">
        <f>D46-E46-F46</f>
        <v>33</v>
      </c>
      <c r="H46" s="152">
        <v>14</v>
      </c>
      <c r="I46" s="152">
        <v>16</v>
      </c>
      <c r="J46" s="152">
        <v>0</v>
      </c>
      <c r="K46" s="152">
        <v>0</v>
      </c>
      <c r="L46" s="152">
        <v>0</v>
      </c>
      <c r="M46" s="152">
        <f>4+12</f>
        <v>16</v>
      </c>
      <c r="N46" s="152" t="s">
        <v>497</v>
      </c>
      <c r="O46" s="154">
        <f>SUM(I46:N46)</f>
        <v>32</v>
      </c>
      <c r="P46" s="144"/>
      <c r="Q46" s="144"/>
      <c r="R46" s="144"/>
      <c r="S46" s="144"/>
      <c r="T46" s="169"/>
      <c r="U46" s="169"/>
      <c r="V46" s="169"/>
      <c r="W46" s="170"/>
      <c r="X46" s="215"/>
      <c r="Y46" s="215"/>
      <c r="Z46" s="215"/>
      <c r="AA46" s="215"/>
      <c r="AB46" s="215"/>
      <c r="AC46" s="215"/>
      <c r="AD46" s="215"/>
      <c r="AE46" s="215"/>
      <c r="AF46" s="215"/>
      <c r="AG46" s="171"/>
      <c r="AH46" s="139"/>
    </row>
    <row r="47" spans="1:36" ht="18" thickBot="1">
      <c r="A47" s="10"/>
      <c r="B47" s="143"/>
      <c r="C47" s="150" t="s">
        <v>10</v>
      </c>
      <c r="D47" s="152">
        <f>U131</f>
        <v>135</v>
      </c>
      <c r="E47" s="152">
        <f>U123</f>
        <v>103</v>
      </c>
      <c r="F47" s="152">
        <f>U122</f>
        <v>0</v>
      </c>
      <c r="G47" s="153">
        <f>D47-E47-F47</f>
        <v>32</v>
      </c>
      <c r="H47" s="152">
        <v>10</v>
      </c>
      <c r="I47" s="152">
        <v>23</v>
      </c>
      <c r="J47" s="152">
        <v>6</v>
      </c>
      <c r="K47" s="152">
        <v>0</v>
      </c>
      <c r="L47" s="152">
        <v>0</v>
      </c>
      <c r="M47" s="152">
        <v>3</v>
      </c>
      <c r="N47" s="152">
        <v>0</v>
      </c>
      <c r="O47" s="153">
        <f>SUM(I47:N47)</f>
        <v>32</v>
      </c>
      <c r="P47" s="144"/>
      <c r="Q47" s="144"/>
      <c r="R47" s="144"/>
      <c r="S47" s="144"/>
      <c r="T47" s="169"/>
      <c r="U47" s="169"/>
      <c r="V47" s="169"/>
      <c r="W47" s="170"/>
      <c r="X47" s="215"/>
      <c r="Y47" s="215"/>
      <c r="Z47" s="215"/>
      <c r="AA47" s="215"/>
      <c r="AB47" s="215"/>
      <c r="AC47" s="215"/>
      <c r="AD47" s="215"/>
      <c r="AE47" s="215"/>
      <c r="AF47" s="215"/>
      <c r="AG47" s="171"/>
      <c r="AH47" s="139"/>
    </row>
    <row r="48" spans="1:36" ht="18" thickBot="1">
      <c r="A48" s="10"/>
      <c r="B48" s="143"/>
      <c r="C48" s="155" t="s">
        <v>544</v>
      </c>
      <c r="D48" s="156">
        <f t="shared" ref="D48:M48" si="2">SUM(D45:D47)</f>
        <v>549</v>
      </c>
      <c r="E48" s="156">
        <f t="shared" si="2"/>
        <v>447</v>
      </c>
      <c r="F48" s="156">
        <f t="shared" si="2"/>
        <v>24</v>
      </c>
      <c r="G48" s="157">
        <f t="shared" si="2"/>
        <v>78</v>
      </c>
      <c r="H48" s="156">
        <f>SUM(H45:H47)</f>
        <v>46</v>
      </c>
      <c r="I48" s="156">
        <f t="shared" si="2"/>
        <v>39</v>
      </c>
      <c r="J48" s="156">
        <f t="shared" si="2"/>
        <v>6</v>
      </c>
      <c r="K48" s="156">
        <f t="shared" si="2"/>
        <v>0</v>
      </c>
      <c r="L48" s="156">
        <f t="shared" si="2"/>
        <v>13</v>
      </c>
      <c r="M48" s="156">
        <f t="shared" si="2"/>
        <v>19</v>
      </c>
      <c r="N48" s="156">
        <v>0</v>
      </c>
      <c r="O48" s="157">
        <f>SUM(O45:O47)</f>
        <v>77</v>
      </c>
      <c r="P48" s="144"/>
      <c r="Q48" s="144"/>
      <c r="R48" s="144"/>
      <c r="S48" s="144"/>
      <c r="T48" s="169"/>
      <c r="U48" s="169"/>
      <c r="V48" s="169"/>
      <c r="W48" s="170"/>
      <c r="X48" s="215"/>
      <c r="Y48" s="215"/>
      <c r="Z48" s="215"/>
      <c r="AA48" s="215"/>
      <c r="AB48" s="215"/>
      <c r="AC48" s="215"/>
      <c r="AD48" s="215"/>
      <c r="AE48" s="215"/>
      <c r="AF48" s="215"/>
      <c r="AG48" s="171"/>
      <c r="AH48" s="139"/>
    </row>
    <row r="49" spans="1:34">
      <c r="A49" s="10"/>
      <c r="B49" s="143"/>
      <c r="C49" s="144" t="s">
        <v>8</v>
      </c>
      <c r="D49" s="144"/>
      <c r="E49" s="159">
        <f>E48/$D$48</f>
        <v>0.81420765027322406</v>
      </c>
      <c r="F49" s="159">
        <f>F48/$D$48</f>
        <v>4.3715846994535519E-2</v>
      </c>
      <c r="G49" s="159">
        <f>G48/$D$48</f>
        <v>0.14207650273224043</v>
      </c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69"/>
      <c r="U49" s="169"/>
      <c r="V49" s="170"/>
      <c r="W49" s="170"/>
      <c r="X49" s="215"/>
      <c r="Y49" s="215"/>
      <c r="Z49" s="215"/>
      <c r="AA49" s="215"/>
      <c r="AB49" s="215"/>
      <c r="AC49" s="215"/>
      <c r="AD49" s="215"/>
      <c r="AE49" s="215"/>
      <c r="AF49" s="215"/>
      <c r="AG49" s="171"/>
      <c r="AH49" s="139"/>
    </row>
    <row r="50" spans="1:34">
      <c r="A50" s="10"/>
      <c r="B50" s="143"/>
      <c r="C50" s="160" t="s">
        <v>549</v>
      </c>
      <c r="D50" s="160"/>
      <c r="E50" s="161">
        <f>E48/($D$48-F48)</f>
        <v>0.85142857142857142</v>
      </c>
      <c r="F50" s="162" t="s">
        <v>550</v>
      </c>
      <c r="G50" s="161">
        <f>G48/($D$48-F48)</f>
        <v>0.14857142857142858</v>
      </c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69"/>
      <c r="U50" s="169"/>
      <c r="V50" s="170"/>
      <c r="W50" s="170"/>
      <c r="X50" s="215"/>
      <c r="Y50" s="215"/>
      <c r="Z50" s="215"/>
      <c r="AA50" s="215"/>
      <c r="AB50" s="215"/>
      <c r="AC50" s="215"/>
      <c r="AD50" s="215"/>
      <c r="AE50" s="215"/>
      <c r="AF50" s="215"/>
      <c r="AG50" s="15"/>
      <c r="AH50" s="139"/>
    </row>
    <row r="51" spans="1:34">
      <c r="A51" s="10"/>
      <c r="B51" s="143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69"/>
      <c r="U51" s="169"/>
      <c r="V51" s="170"/>
      <c r="W51" s="170"/>
      <c r="X51" s="215"/>
      <c r="Y51" s="215"/>
      <c r="Z51" s="215"/>
      <c r="AA51" s="215"/>
      <c r="AB51" s="215"/>
      <c r="AC51" s="215"/>
      <c r="AD51" s="215"/>
      <c r="AE51" s="215"/>
      <c r="AF51" s="215"/>
      <c r="AG51" s="15"/>
      <c r="AH51" s="139"/>
    </row>
    <row r="52" spans="1:34">
      <c r="A52" s="10"/>
      <c r="B52" s="14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69"/>
      <c r="U52" s="169"/>
      <c r="V52" s="169"/>
      <c r="W52" s="169"/>
      <c r="X52" s="215"/>
      <c r="Y52" s="215"/>
      <c r="Z52" s="215"/>
      <c r="AA52" s="215"/>
      <c r="AB52" s="215"/>
      <c r="AC52" s="215"/>
      <c r="AD52" s="215"/>
      <c r="AE52" s="215"/>
      <c r="AF52" s="215"/>
      <c r="AG52" s="145"/>
      <c r="AH52" s="10"/>
    </row>
    <row r="53" spans="1:34">
      <c r="A53" s="10"/>
      <c r="B53" s="14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69"/>
      <c r="U53" s="169"/>
      <c r="V53" s="169"/>
      <c r="W53" s="169"/>
      <c r="X53" s="215"/>
      <c r="Y53" s="215"/>
      <c r="Z53" s="215"/>
      <c r="AA53" s="215"/>
      <c r="AB53" s="215"/>
      <c r="AC53" s="215"/>
      <c r="AD53" s="215"/>
      <c r="AE53" s="215"/>
      <c r="AF53" s="215"/>
      <c r="AG53" s="145"/>
      <c r="AH53" s="10"/>
    </row>
    <row r="54" spans="1:34">
      <c r="A54" s="10"/>
      <c r="B54" s="146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8"/>
      <c r="AH54" s="10"/>
    </row>
    <row r="55" spans="1:34">
      <c r="A55" s="10"/>
      <c r="B55" s="139"/>
      <c r="C55" s="10"/>
      <c r="D55" s="10"/>
      <c r="E55" s="139"/>
      <c r="F55" s="139"/>
      <c r="G55" s="10"/>
      <c r="H55" s="10"/>
      <c r="I55" s="10"/>
      <c r="J55" s="10"/>
      <c r="K55" s="10"/>
      <c r="L55" s="10"/>
      <c r="M55" s="10"/>
      <c r="N55" s="10"/>
      <c r="O55" s="10"/>
      <c r="P55" s="139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39"/>
      <c r="AC55" s="10"/>
      <c r="AD55" s="10"/>
      <c r="AE55" s="10"/>
      <c r="AF55" s="10"/>
      <c r="AG55" s="139"/>
      <c r="AH55" s="10"/>
    </row>
    <row r="56" spans="1:34">
      <c r="A56" s="10"/>
      <c r="B56" s="139"/>
      <c r="C56" s="10"/>
      <c r="D56" s="10"/>
      <c r="E56" s="139"/>
      <c r="F56" s="139"/>
      <c r="G56" s="10"/>
      <c r="H56" s="10"/>
      <c r="I56" s="10"/>
      <c r="J56" s="10"/>
      <c r="K56" s="10"/>
      <c r="L56" s="10"/>
      <c r="M56" s="10"/>
      <c r="N56" s="10"/>
      <c r="O56" s="10"/>
      <c r="P56" s="139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39"/>
      <c r="AC56" s="10"/>
      <c r="AD56" s="10"/>
      <c r="AE56" s="10"/>
      <c r="AF56" s="10"/>
      <c r="AG56" s="139"/>
      <c r="AH56" s="10"/>
    </row>
    <row r="57" spans="1:34">
      <c r="A57" s="10"/>
      <c r="B57" s="139"/>
      <c r="C57" s="10"/>
      <c r="D57" s="10"/>
      <c r="E57" s="139"/>
      <c r="F57" s="139"/>
      <c r="G57" s="10"/>
      <c r="H57" s="10"/>
      <c r="I57" s="10"/>
      <c r="J57" s="10"/>
      <c r="K57" s="10"/>
      <c r="L57" s="10"/>
      <c r="M57" s="10"/>
      <c r="N57" s="10"/>
      <c r="O57" s="10"/>
      <c r="P57" s="139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39"/>
      <c r="AC57" s="10"/>
      <c r="AD57" s="10"/>
      <c r="AE57" s="10"/>
      <c r="AF57" s="10"/>
      <c r="AG57" s="139"/>
      <c r="AH57" s="10"/>
    </row>
    <row r="58" spans="1:34">
      <c r="A58" s="10"/>
      <c r="B58" s="139"/>
      <c r="C58" s="10"/>
      <c r="D58" s="10"/>
      <c r="E58" s="139"/>
      <c r="F58" s="139"/>
      <c r="G58" s="10"/>
      <c r="H58" s="10"/>
      <c r="I58" s="10"/>
      <c r="J58" s="10"/>
      <c r="K58" s="10"/>
      <c r="L58" s="10"/>
      <c r="M58" s="10"/>
      <c r="N58" s="10"/>
      <c r="O58" s="10"/>
      <c r="P58" s="139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39"/>
      <c r="AC58" s="10"/>
      <c r="AD58" s="10"/>
      <c r="AE58" s="10"/>
      <c r="AF58" s="10"/>
      <c r="AG58" s="139"/>
      <c r="AH58" s="10"/>
    </row>
    <row r="59" spans="1:34" ht="22.2">
      <c r="A59" s="10"/>
      <c r="B59" s="19" t="s">
        <v>540</v>
      </c>
      <c r="C59" s="10"/>
      <c r="D59" s="10"/>
      <c r="E59" s="10"/>
      <c r="F59" s="10"/>
      <c r="G59" s="21" t="s">
        <v>14</v>
      </c>
      <c r="H59" s="21" t="s">
        <v>31</v>
      </c>
      <c r="I59" s="21" t="s">
        <v>154</v>
      </c>
      <c r="J59" s="21" t="s">
        <v>283</v>
      </c>
      <c r="K59" s="21" t="s">
        <v>10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spans="1:34" ht="4.9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spans="1:34">
      <c r="A61" s="10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3"/>
      <c r="AH61" s="10"/>
    </row>
    <row r="62" spans="1:34">
      <c r="A62" s="10"/>
      <c r="B62" s="14"/>
      <c r="C62" s="43" t="s">
        <v>416</v>
      </c>
      <c r="G62" s="43" t="s">
        <v>417</v>
      </c>
      <c r="P62" s="22" t="s">
        <v>418</v>
      </c>
      <c r="Q62" s="23"/>
      <c r="R62" s="22"/>
      <c r="S62" s="23"/>
      <c r="T62" s="24">
        <v>45632</v>
      </c>
      <c r="U62" s="24">
        <f>T62+7</f>
        <v>45639</v>
      </c>
      <c r="V62" s="25" t="s">
        <v>419</v>
      </c>
      <c r="X62" s="44" t="s">
        <v>420</v>
      </c>
      <c r="AG62" s="15"/>
      <c r="AH62" s="10"/>
    </row>
    <row r="63" spans="1:34" ht="17.7" customHeight="1">
      <c r="A63" s="10"/>
      <c r="B63" s="14"/>
      <c r="P63" s="6" t="s">
        <v>421</v>
      </c>
      <c r="T63" s="6">
        <f>COUNTIFS('2. Status Detalhe Campos'!$H$7:$H$574,'1. Status Resumo'!$P63,'2. Status Detalhe Campos'!$C$7:$C$574,'1. Status Resumo'!$G$59,'2. Status Detalhe Campos'!$D$7:$D$574,"2. Campo")+COUNTIFS('2. Status Detalhe Campos'!$H$7:$H$574,'1. Status Resumo'!$P63,'2. Status Detalhe Campos'!$C$7:$C$574,'1. Status Resumo'!$H$59,'2. Status Detalhe Campos'!$D$7:$D$574,"2. Campo")</f>
        <v>10</v>
      </c>
      <c r="U63" s="6">
        <v>10</v>
      </c>
      <c r="V63" s="6">
        <f>U63-T63</f>
        <v>0</v>
      </c>
      <c r="X63" s="195" t="s">
        <v>568</v>
      </c>
      <c r="Y63" s="196"/>
      <c r="Z63" s="196"/>
      <c r="AA63" s="196"/>
      <c r="AB63" s="196"/>
      <c r="AC63" s="196"/>
      <c r="AD63" s="196"/>
      <c r="AE63" s="196"/>
      <c r="AF63" s="197"/>
      <c r="AG63" s="52"/>
      <c r="AH63" s="10"/>
    </row>
    <row r="64" spans="1:34">
      <c r="A64" s="10"/>
      <c r="B64" s="14"/>
      <c r="P64" s="6" t="s">
        <v>422</v>
      </c>
      <c r="T64" s="6">
        <f>COUNTIFS('2. Status Detalhe Campos'!$H$7:$H$574,'1. Status Resumo'!$P64,'2. Status Detalhe Campos'!$C$7:$C$574,'1. Status Resumo'!$G$59,'2. Status Detalhe Campos'!$D$7:$D$574,"2. Campo")+COUNTIFS('2. Status Detalhe Campos'!$H$7:$H$574,'1. Status Resumo'!$P64,'2. Status Detalhe Campos'!$C$7:$C$574,'1. Status Resumo'!$H$59,'2. Status Detalhe Campos'!$D$7:$D$574,"2. Campo")</f>
        <v>124</v>
      </c>
      <c r="U64" s="6">
        <v>146</v>
      </c>
      <c r="V64" s="6">
        <f t="shared" ref="V64:V71" si="3">U64-T64</f>
        <v>22</v>
      </c>
      <c r="X64" s="198"/>
      <c r="Y64" s="199"/>
      <c r="Z64" s="199"/>
      <c r="AA64" s="199"/>
      <c r="AB64" s="199"/>
      <c r="AC64" s="199"/>
      <c r="AD64" s="199"/>
      <c r="AE64" s="199"/>
      <c r="AF64" s="200"/>
      <c r="AG64" s="52"/>
      <c r="AH64" s="10"/>
    </row>
    <row r="65" spans="1:34">
      <c r="A65" s="10"/>
      <c r="B65" s="14"/>
      <c r="P65" s="6" t="s">
        <v>480</v>
      </c>
      <c r="T65" s="6">
        <f>COUNTIFS('2. Status Detalhe Campos'!$H$7:$H$574,'1. Status Resumo'!$P65,'2. Status Detalhe Campos'!$C$7:$C$574,'1. Status Resumo'!$G$59,'2. Status Detalhe Campos'!$D$7:$D$574,"2. Campo")+COUNTIFS('2. Status Detalhe Campos'!$H$7:$H$574,'1. Status Resumo'!$P65,'2. Status Detalhe Campos'!$C$7:$C$574,'1. Status Resumo'!$H$59,'2. Status Detalhe Campos'!$D$7:$D$574,"2. Campo")</f>
        <v>0</v>
      </c>
      <c r="U65" s="6">
        <f>COUNTIFS('2. Status Detalhe Campos'!$G$7:$G$574,'1. Status Resumo'!$P65,'2. Status Detalhe Campos'!$C$7:$C$574,'1. Status Resumo'!$G$59,'2. Status Detalhe Campos'!$D$7:$D$574,"2. Campo")+COUNTIFS('2. Status Detalhe Campos'!$G$7:$G$574,'1. Status Resumo'!$P65,'2. Status Detalhe Campos'!$C$7:$C$574,'1. Status Resumo'!$H$59,'2. Status Detalhe Campos'!$D$7:$D$574,"2. Campo")</f>
        <v>0</v>
      </c>
      <c r="V65" s="6">
        <f t="shared" si="3"/>
        <v>0</v>
      </c>
      <c r="X65" s="198"/>
      <c r="Y65" s="199"/>
      <c r="Z65" s="199"/>
      <c r="AA65" s="199"/>
      <c r="AB65" s="199"/>
      <c r="AC65" s="199"/>
      <c r="AD65" s="199"/>
      <c r="AE65" s="199"/>
      <c r="AF65" s="200"/>
      <c r="AG65" s="52"/>
      <c r="AH65" s="10"/>
    </row>
    <row r="66" spans="1:34">
      <c r="A66" s="10"/>
      <c r="B66" s="14"/>
      <c r="D66" s="176" t="str">
        <f>"# "&amp;U72</f>
        <v># 169</v>
      </c>
      <c r="E66" s="176"/>
      <c r="P66" s="6" t="s">
        <v>481</v>
      </c>
      <c r="T66" s="6">
        <f>COUNTIFS('2. Status Detalhe Campos'!$H$7:$H$574,'1. Status Resumo'!$P66,'2. Status Detalhe Campos'!$C$7:$C$574,'1. Status Resumo'!$G$59,'2. Status Detalhe Campos'!$D$7:$D$574,"2. Campo")+COUNTIFS('2. Status Detalhe Campos'!$H$7:$H$574,'1. Status Resumo'!$P66,'2. Status Detalhe Campos'!$C$7:$C$574,'1. Status Resumo'!$H$59,'2. Status Detalhe Campos'!$D$7:$D$574,"2. Campo")</f>
        <v>0</v>
      </c>
      <c r="U66" s="6">
        <f>COUNTIFS('2. Status Detalhe Campos'!$G$7:$G$574,'1. Status Resumo'!$P66,'2. Status Detalhe Campos'!$C$7:$C$574,'1. Status Resumo'!$G$59,'2. Status Detalhe Campos'!$D$7:$D$574,"2. Campo")+COUNTIFS('2. Status Detalhe Campos'!$G$7:$G$574,'1. Status Resumo'!$P66,'2. Status Detalhe Campos'!$C$7:$C$574,'1. Status Resumo'!$H$59,'2. Status Detalhe Campos'!$D$7:$D$574,"2. Campo")</f>
        <v>0</v>
      </c>
      <c r="V66" s="6">
        <f t="shared" ref="V66" si="4">U66-T66</f>
        <v>0</v>
      </c>
      <c r="X66" s="198"/>
      <c r="Y66" s="199"/>
      <c r="Z66" s="199"/>
      <c r="AA66" s="199"/>
      <c r="AB66" s="199"/>
      <c r="AC66" s="199"/>
      <c r="AD66" s="199"/>
      <c r="AE66" s="199"/>
      <c r="AF66" s="200"/>
      <c r="AG66" s="52"/>
      <c r="AH66" s="10"/>
    </row>
    <row r="67" spans="1:34" ht="17.7" customHeight="1">
      <c r="A67" s="10"/>
      <c r="B67" s="14"/>
      <c r="D67" s="176"/>
      <c r="E67" s="176"/>
      <c r="P67" s="6" t="s">
        <v>423</v>
      </c>
      <c r="T67" s="6">
        <f>COUNTIFS('2. Status Detalhe Campos'!$H$7:$H$574,'1. Status Resumo'!$P67,'2. Status Detalhe Campos'!$C$7:$C$574,'1. Status Resumo'!$G$59,'2. Status Detalhe Campos'!$D$7:$D$574,"2. Campo")+COUNTIFS('2. Status Detalhe Campos'!$H$7:$H$574,'1. Status Resumo'!$P67,'2. Status Detalhe Campos'!$C$7:$C$574,'1. Status Resumo'!$H$59,'2. Status Detalhe Campos'!$D$7:$D$574,"2. Campo")</f>
        <v>0</v>
      </c>
      <c r="U67" s="6">
        <f>COUNTIFS('2. Status Detalhe Campos'!$G$7:$G$574,'1. Status Resumo'!$P67,'2. Status Detalhe Campos'!$C$7:$C$574,'1. Status Resumo'!$G$59,'2. Status Detalhe Campos'!$D$7:$D$574,"2. Campo")+COUNTIFS('2. Status Detalhe Campos'!$G$7:$G$574,'1. Status Resumo'!$P67,'2. Status Detalhe Campos'!$C$7:$C$574,'1. Status Resumo'!$H$59,'2. Status Detalhe Campos'!$D$7:$D$574,"2. Campo")</f>
        <v>0</v>
      </c>
      <c r="V67" s="6">
        <f t="shared" si="3"/>
        <v>0</v>
      </c>
      <c r="X67" s="198"/>
      <c r="Y67" s="199"/>
      <c r="Z67" s="199"/>
      <c r="AA67" s="199"/>
      <c r="AB67" s="199"/>
      <c r="AC67" s="199"/>
      <c r="AD67" s="199"/>
      <c r="AE67" s="199"/>
      <c r="AF67" s="200"/>
      <c r="AG67" s="52"/>
      <c r="AH67" s="10"/>
    </row>
    <row r="68" spans="1:34" ht="17.7" customHeight="1">
      <c r="A68" s="10"/>
      <c r="B68" s="14"/>
      <c r="D68" s="176"/>
      <c r="E68" s="176"/>
      <c r="P68" s="6" t="s">
        <v>424</v>
      </c>
      <c r="T68" s="6">
        <f>COUNTIFS('2. Status Detalhe Campos'!$H$7:$H$574,'1. Status Resumo'!$P68,'2. Status Detalhe Campos'!$C$7:$C$574,'1. Status Resumo'!$G$59,'2. Status Detalhe Campos'!$D$7:$D$574,"2. Campo")+COUNTIFS('2. Status Detalhe Campos'!$H$7:$H$574,'1. Status Resumo'!$P68,'2. Status Detalhe Campos'!$C$7:$C$574,'1. Status Resumo'!$H$59,'2. Status Detalhe Campos'!$D$7:$D$574,"2. Campo")</f>
        <v>0</v>
      </c>
      <c r="U68" s="6">
        <f>COUNTIFS('2. Status Detalhe Campos'!$G$7:$G$574,'1. Status Resumo'!$P68,'2. Status Detalhe Campos'!$C$7:$C$574,'1. Status Resumo'!$G$59,'2. Status Detalhe Campos'!$D$7:$D$574,"2. Campo")+COUNTIFS('2. Status Detalhe Campos'!$G$7:$G$574,'1. Status Resumo'!$P68,'2. Status Detalhe Campos'!$C$7:$C$574,'1. Status Resumo'!$H$59,'2. Status Detalhe Campos'!$D$7:$D$574,"2. Campo")</f>
        <v>0</v>
      </c>
      <c r="V68" s="6">
        <f t="shared" si="3"/>
        <v>0</v>
      </c>
      <c r="X68" s="198"/>
      <c r="Y68" s="199"/>
      <c r="Z68" s="199"/>
      <c r="AA68" s="199"/>
      <c r="AB68" s="199"/>
      <c r="AC68" s="199"/>
      <c r="AD68" s="199"/>
      <c r="AE68" s="199"/>
      <c r="AF68" s="200"/>
      <c r="AG68" s="52"/>
      <c r="AH68" s="10"/>
    </row>
    <row r="69" spans="1:34">
      <c r="A69" s="10"/>
      <c r="B69" s="14"/>
      <c r="P69" s="6" t="s">
        <v>425</v>
      </c>
      <c r="R69" s="6" t="s">
        <v>426</v>
      </c>
      <c r="T69" s="6">
        <f>COUNTIFS('2. Status Detalhe Campos'!$H$7:$H$574,'1. Status Resumo'!$P69,'2. Status Detalhe Campos'!$C$7:$C$574,'1. Status Resumo'!$G$59,'2. Status Detalhe Campos'!$D$7:$D$574,"2. Campo")+COUNTIFS('2. Status Detalhe Campos'!$H$7:$H$574,'1. Status Resumo'!$P69,'2. Status Detalhe Campos'!$C$7:$C$574,'1. Status Resumo'!$H$59,'2. Status Detalhe Campos'!$D$7:$D$574,"2. Campo")</f>
        <v>0</v>
      </c>
      <c r="U69" s="6">
        <f>COUNTIFS('2. Status Detalhe Campos'!$G$7:$G$574,'1. Status Resumo'!$P69,'2. Status Detalhe Campos'!$C$7:$C$574,'1. Status Resumo'!$G$59,'2. Status Detalhe Campos'!$D$7:$D$574,"2. Campo")+COUNTIFS('2. Status Detalhe Campos'!$G$7:$G$574,'1. Status Resumo'!$P69,'2. Status Detalhe Campos'!$C$7:$C$574,'1. Status Resumo'!$H$59,'2. Status Detalhe Campos'!$D$7:$D$574,"2. Campo")</f>
        <v>0</v>
      </c>
      <c r="V69" s="6">
        <f t="shared" si="3"/>
        <v>0</v>
      </c>
      <c r="X69" s="198"/>
      <c r="Y69" s="199"/>
      <c r="Z69" s="199"/>
      <c r="AA69" s="199"/>
      <c r="AB69" s="199"/>
      <c r="AC69" s="199"/>
      <c r="AD69" s="199"/>
      <c r="AE69" s="199"/>
      <c r="AF69" s="200"/>
      <c r="AG69" s="52"/>
      <c r="AH69" s="10"/>
    </row>
    <row r="70" spans="1:34">
      <c r="A70" s="10"/>
      <c r="B70" s="14"/>
      <c r="P70" s="6" t="s">
        <v>427</v>
      </c>
      <c r="T70" s="6">
        <f>COUNTIFS('2. Status Detalhe Campos'!$H$7:$H$574,'1. Status Resumo'!$P70,'2. Status Detalhe Campos'!$C$7:$C$574,'1. Status Resumo'!$G$59,'2. Status Detalhe Campos'!$D$7:$D$574,"2. Campo")+COUNTIFS('2. Status Detalhe Campos'!$H$7:$H$574,'1. Status Resumo'!$P70,'2. Status Detalhe Campos'!$C$7:$C$574,'1. Status Resumo'!$H$59,'2. Status Detalhe Campos'!$D$7:$D$574,"2. Campo")</f>
        <v>35</v>
      </c>
      <c r="U70" s="6">
        <v>13</v>
      </c>
      <c r="V70" s="6">
        <f t="shared" si="3"/>
        <v>-22</v>
      </c>
      <c r="X70" s="198"/>
      <c r="Y70" s="199"/>
      <c r="Z70" s="199"/>
      <c r="AA70" s="199"/>
      <c r="AB70" s="199"/>
      <c r="AC70" s="199"/>
      <c r="AD70" s="199"/>
      <c r="AE70" s="199"/>
      <c r="AF70" s="200"/>
      <c r="AG70" s="52"/>
      <c r="AH70" s="10"/>
    </row>
    <row r="71" spans="1:34">
      <c r="A71" s="10"/>
      <c r="B71" s="14"/>
      <c r="P71" s="6" t="s">
        <v>12</v>
      </c>
      <c r="T71" s="6">
        <f>COUNTIFS('2. Status Detalhe Campos'!$H$7:$H$574,'1. Status Resumo'!$P71,'2. Status Detalhe Campos'!$C$7:$C$574,'1. Status Resumo'!$G$59,'2. Status Detalhe Campos'!$D$7:$D$574,"2. Campo")+COUNTIFS('2. Status Detalhe Campos'!$H$7:$H$574,'1. Status Resumo'!$P71,'2. Status Detalhe Campos'!$C$7:$C$574,'1. Status Resumo'!$H$59,'2. Status Detalhe Campos'!$D$7:$D$574,"2. Campo")</f>
        <v>0</v>
      </c>
      <c r="U71" s="6">
        <f>COUNTIFS('2. Status Detalhe Campos'!$G$7:$G$574,'1. Status Resumo'!$P71,'2. Status Detalhe Campos'!$C$7:$C$574,'1. Status Resumo'!$G$59,'2. Status Detalhe Campos'!$D$7:$D$574,"2. Campo")+COUNTIFS('2. Status Detalhe Campos'!$G$7:$G$574,'1. Status Resumo'!$P71,'2. Status Detalhe Campos'!$C$7:$C$574,'1. Status Resumo'!$H$59,'2. Status Detalhe Campos'!$D$7:$D$574,"2. Campo")</f>
        <v>0</v>
      </c>
      <c r="V71" s="6">
        <f t="shared" si="3"/>
        <v>0</v>
      </c>
      <c r="X71" s="198"/>
      <c r="Y71" s="199"/>
      <c r="Z71" s="199"/>
      <c r="AA71" s="199"/>
      <c r="AB71" s="199"/>
      <c r="AC71" s="199"/>
      <c r="AD71" s="199"/>
      <c r="AE71" s="199"/>
      <c r="AF71" s="200"/>
      <c r="AG71" s="52"/>
      <c r="AH71" s="10"/>
    </row>
    <row r="72" spans="1:34">
      <c r="A72" s="10"/>
      <c r="B72" s="14"/>
      <c r="T72" s="20">
        <f>SUM(T63:T71)</f>
        <v>169</v>
      </c>
      <c r="U72" s="20">
        <f>SUM(U63:U71)</f>
        <v>169</v>
      </c>
      <c r="X72" s="198"/>
      <c r="Y72" s="199"/>
      <c r="Z72" s="199"/>
      <c r="AA72" s="199"/>
      <c r="AB72" s="199"/>
      <c r="AC72" s="199"/>
      <c r="AD72" s="199"/>
      <c r="AE72" s="199"/>
      <c r="AF72" s="200"/>
      <c r="AG72" s="52"/>
      <c r="AH72" s="10"/>
    </row>
    <row r="73" spans="1:34">
      <c r="A73" s="10"/>
      <c r="B73" s="14"/>
      <c r="G73" s="22" t="s">
        <v>428</v>
      </c>
      <c r="H73" s="23"/>
      <c r="I73" s="23"/>
      <c r="J73" s="23"/>
      <c r="K73" s="23"/>
      <c r="L73" s="23"/>
      <c r="M73" s="23"/>
      <c r="P73" s="22" t="s">
        <v>429</v>
      </c>
      <c r="Q73" s="23"/>
      <c r="R73" s="23"/>
      <c r="S73" s="23"/>
      <c r="T73" s="23"/>
      <c r="U73" s="23"/>
      <c r="V73" s="23"/>
      <c r="X73" s="198"/>
      <c r="Y73" s="199"/>
      <c r="Z73" s="199"/>
      <c r="AA73" s="199"/>
      <c r="AB73" s="199"/>
      <c r="AC73" s="199"/>
      <c r="AD73" s="199"/>
      <c r="AE73" s="199"/>
      <c r="AF73" s="200"/>
      <c r="AG73" s="52"/>
      <c r="AH73" s="10"/>
    </row>
    <row r="74" spans="1:34">
      <c r="A74" s="10"/>
      <c r="B74" s="14"/>
      <c r="F74" s="48" t="s">
        <v>430</v>
      </c>
      <c r="G74" s="6" t="s">
        <v>431</v>
      </c>
      <c r="L74" s="54" t="s">
        <v>511</v>
      </c>
      <c r="O74" s="48" t="s">
        <v>430</v>
      </c>
      <c r="P74" s="6" t="s">
        <v>433</v>
      </c>
      <c r="T74" s="50" t="s">
        <v>432</v>
      </c>
      <c r="X74" s="198"/>
      <c r="Y74" s="199"/>
      <c r="Z74" s="199"/>
      <c r="AA74" s="199"/>
      <c r="AB74" s="199"/>
      <c r="AC74" s="199"/>
      <c r="AD74" s="199"/>
      <c r="AE74" s="199"/>
      <c r="AF74" s="200"/>
      <c r="AG74" s="52"/>
      <c r="AH74" s="10"/>
    </row>
    <row r="75" spans="1:34">
      <c r="A75" s="10"/>
      <c r="B75" s="14"/>
      <c r="F75" s="48" t="s">
        <v>430</v>
      </c>
      <c r="G75" s="6" t="s">
        <v>434</v>
      </c>
      <c r="L75" s="50" t="s">
        <v>432</v>
      </c>
      <c r="O75" s="48" t="s">
        <v>430</v>
      </c>
      <c r="P75" s="6" t="s">
        <v>435</v>
      </c>
      <c r="T75" s="50" t="s">
        <v>432</v>
      </c>
      <c r="X75" s="198"/>
      <c r="Y75" s="199"/>
      <c r="Z75" s="199"/>
      <c r="AA75" s="199"/>
      <c r="AB75" s="199"/>
      <c r="AC75" s="199"/>
      <c r="AD75" s="199"/>
      <c r="AE75" s="199"/>
      <c r="AF75" s="200"/>
      <c r="AG75" s="52"/>
      <c r="AH75" s="10"/>
    </row>
    <row r="76" spans="1:34">
      <c r="A76" s="10"/>
      <c r="B76" s="14"/>
      <c r="F76" s="48" t="s">
        <v>430</v>
      </c>
      <c r="G76" s="6" t="s">
        <v>436</v>
      </c>
      <c r="L76" s="50" t="s">
        <v>432</v>
      </c>
      <c r="O76" s="48" t="s">
        <v>430</v>
      </c>
      <c r="P76" s="6" t="s">
        <v>437</v>
      </c>
      <c r="T76" s="53" t="s">
        <v>438</v>
      </c>
      <c r="X76" s="198"/>
      <c r="Y76" s="199"/>
      <c r="Z76" s="199"/>
      <c r="AA76" s="199"/>
      <c r="AB76" s="199"/>
      <c r="AC76" s="199"/>
      <c r="AD76" s="199"/>
      <c r="AE76" s="199"/>
      <c r="AF76" s="200"/>
      <c r="AG76" s="52"/>
      <c r="AH76" s="10"/>
    </row>
    <row r="77" spans="1:34">
      <c r="A77" s="10"/>
      <c r="B77" s="14"/>
      <c r="F77" s="48" t="s">
        <v>430</v>
      </c>
      <c r="G77" s="6" t="s">
        <v>439</v>
      </c>
      <c r="L77" s="50" t="s">
        <v>432</v>
      </c>
      <c r="O77" s="48"/>
      <c r="T77" s="53"/>
      <c r="X77" s="198"/>
      <c r="Y77" s="199"/>
      <c r="Z77" s="199"/>
      <c r="AA77" s="199"/>
      <c r="AB77" s="199"/>
      <c r="AC77" s="199"/>
      <c r="AD77" s="199"/>
      <c r="AE77" s="199"/>
      <c r="AF77" s="200"/>
      <c r="AG77" s="52"/>
      <c r="AH77" s="10"/>
    </row>
    <row r="78" spans="1:34">
      <c r="A78" s="10"/>
      <c r="B78" s="14"/>
      <c r="F78" s="48" t="s">
        <v>430</v>
      </c>
      <c r="G78" s="6" t="s">
        <v>440</v>
      </c>
      <c r="L78" s="54" t="s">
        <v>441</v>
      </c>
      <c r="O78" s="48"/>
      <c r="T78" s="53"/>
      <c r="X78" s="198"/>
      <c r="Y78" s="199"/>
      <c r="Z78" s="199"/>
      <c r="AA78" s="199"/>
      <c r="AB78" s="199"/>
      <c r="AC78" s="199"/>
      <c r="AD78" s="199"/>
      <c r="AE78" s="199"/>
      <c r="AF78" s="200"/>
      <c r="AG78" s="52"/>
      <c r="AH78" s="10"/>
    </row>
    <row r="79" spans="1:34">
      <c r="A79" s="10"/>
      <c r="B79" s="14"/>
      <c r="F79" s="48" t="s">
        <v>430</v>
      </c>
      <c r="G79" s="6" t="s">
        <v>442</v>
      </c>
      <c r="L79" s="50" t="s">
        <v>432</v>
      </c>
      <c r="O79" s="48"/>
      <c r="T79" s="50"/>
      <c r="X79" s="198"/>
      <c r="Y79" s="199"/>
      <c r="Z79" s="199"/>
      <c r="AA79" s="199"/>
      <c r="AB79" s="199"/>
      <c r="AC79" s="199"/>
      <c r="AD79" s="199"/>
      <c r="AE79" s="199"/>
      <c r="AF79" s="200"/>
      <c r="AG79" s="52"/>
      <c r="AH79" s="10"/>
    </row>
    <row r="80" spans="1:34">
      <c r="A80" s="10"/>
      <c r="B80" s="14"/>
      <c r="O80" s="48"/>
      <c r="X80" s="201"/>
      <c r="Y80" s="202"/>
      <c r="Z80" s="202"/>
      <c r="AA80" s="202"/>
      <c r="AB80" s="202"/>
      <c r="AC80" s="202"/>
      <c r="AD80" s="202"/>
      <c r="AE80" s="202"/>
      <c r="AF80" s="203"/>
      <c r="AG80" s="52"/>
      <c r="AH80" s="10"/>
    </row>
    <row r="81" spans="1:34">
      <c r="A81" s="10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0"/>
    </row>
    <row r="82" spans="1:34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</row>
    <row r="83" spans="1:34" ht="22.2">
      <c r="A83" s="10"/>
      <c r="B83" s="19" t="s">
        <v>538</v>
      </c>
      <c r="C83" s="10"/>
      <c r="D83" s="10"/>
      <c r="E83" s="10"/>
      <c r="F83" s="10"/>
      <c r="G83" s="21" t="s">
        <v>154</v>
      </c>
      <c r="H83" s="21" t="s">
        <v>283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spans="1:34" ht="4.9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spans="1:34">
      <c r="A85" s="10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3"/>
      <c r="AH85" s="10"/>
    </row>
    <row r="86" spans="1:34">
      <c r="A86" s="10"/>
      <c r="B86" s="14"/>
      <c r="C86" s="43" t="s">
        <v>416</v>
      </c>
      <c r="G86" s="43" t="s">
        <v>417</v>
      </c>
      <c r="P86" s="22" t="s">
        <v>418</v>
      </c>
      <c r="Q86" s="23"/>
      <c r="R86" s="22"/>
      <c r="S86" s="23"/>
      <c r="T86" s="24">
        <f>T62</f>
        <v>45632</v>
      </c>
      <c r="U86" s="24">
        <f>U62</f>
        <v>45639</v>
      </c>
      <c r="V86" s="25" t="s">
        <v>419</v>
      </c>
      <c r="X86" s="44" t="s">
        <v>420</v>
      </c>
      <c r="AG86" s="15"/>
      <c r="AH86" s="10"/>
    </row>
    <row r="87" spans="1:34" ht="17.7" customHeight="1">
      <c r="A87" s="10"/>
      <c r="B87" s="14"/>
      <c r="P87" s="6" t="s">
        <v>421</v>
      </c>
      <c r="T87" s="6">
        <f>COUNTIFS('2. Status Detalhe Campos'!$H$7:$H$574,'1. Status Resumo'!$P87,'2. Status Detalhe Campos'!$C$7:$C$574,'1. Status Resumo'!$G$83,'2. Status Detalhe Campos'!$D$7:$D$574,"2. Campo")+COUNTIFS('2. Status Detalhe Campos'!$H$7:$H$574,'1. Status Resumo'!$P87,'2. Status Detalhe Campos'!$C$7:$C$574,'1. Status Resumo'!$H$83,'2. Status Detalhe Campos'!$D$7:$D$574,"2. Campo")</f>
        <v>14</v>
      </c>
      <c r="U87" s="6">
        <f>COUNTIFS('2. Status Detalhe Campos'!$G$7:$G$574,'1. Status Resumo'!$P87,'2. Status Detalhe Campos'!$C$7:$C$574,'1. Status Resumo'!$G$83,'2. Status Detalhe Campos'!$D$7:$D$574,"2. Campo")+COUNTIFS('2. Status Detalhe Campos'!$G$7:$G$574,'1. Status Resumo'!$P87,'2. Status Detalhe Campos'!$C$7:$C$574,'1. Status Resumo'!$H$83,'2. Status Detalhe Campos'!$D$7:$D$574,"2. Campo")</f>
        <v>14</v>
      </c>
      <c r="V87" s="6">
        <f>U87-T87</f>
        <v>0</v>
      </c>
      <c r="W87" s="45"/>
      <c r="X87" s="186" t="s">
        <v>567</v>
      </c>
      <c r="Y87" s="187"/>
      <c r="Z87" s="187"/>
      <c r="AA87" s="187"/>
      <c r="AB87" s="187"/>
      <c r="AC87" s="187"/>
      <c r="AD87" s="187"/>
      <c r="AE87" s="187"/>
      <c r="AF87" s="188"/>
      <c r="AG87" s="46" t="s">
        <v>443</v>
      </c>
      <c r="AH87" s="10"/>
    </row>
    <row r="88" spans="1:34">
      <c r="A88" s="10"/>
      <c r="B88" s="14"/>
      <c r="P88" s="6" t="s">
        <v>422</v>
      </c>
      <c r="T88" s="6">
        <f>COUNTIFS('2. Status Detalhe Campos'!$H$7:$H$574,'1. Status Resumo'!$P88,'2. Status Detalhe Campos'!$C$7:$C$574,'1. Status Resumo'!$G$83,'2. Status Detalhe Campos'!$D$7:$D$574,"2. Campo")+COUNTIFS('2. Status Detalhe Campos'!$H$7:$H$574,'1. Status Resumo'!$P88,'2. Status Detalhe Campos'!$C$7:$C$574,'1. Status Resumo'!$H$83,'2. Status Detalhe Campos'!$D$7:$D$574,"2. Campo")</f>
        <v>184</v>
      </c>
      <c r="U88" s="6">
        <f>COUNTIFS('2. Status Detalhe Campos'!$G$7:$G$574,'1. Status Resumo'!$P88,'2. Status Detalhe Campos'!$C$7:$C$574,'1. Status Resumo'!$G$83,'2. Status Detalhe Campos'!$D$7:$D$574,"2. Campo")+COUNTIFS('2. Status Detalhe Campos'!$G$7:$G$574,'1. Status Resumo'!$P88,'2. Status Detalhe Campos'!$C$7:$C$574,'1. Status Resumo'!$H$83,'2. Status Detalhe Campos'!$D$7:$D$574,"2. Campo")</f>
        <v>198</v>
      </c>
      <c r="V88" s="6">
        <f t="shared" ref="V88:V95" si="5">U88-T88</f>
        <v>14</v>
      </c>
      <c r="W88" s="45"/>
      <c r="X88" s="189"/>
      <c r="Y88" s="190"/>
      <c r="Z88" s="190"/>
      <c r="AA88" s="190"/>
      <c r="AB88" s="190"/>
      <c r="AC88" s="190"/>
      <c r="AD88" s="190"/>
      <c r="AE88" s="190"/>
      <c r="AF88" s="191"/>
      <c r="AG88" s="46"/>
      <c r="AH88" s="10"/>
    </row>
    <row r="89" spans="1:34">
      <c r="A89" s="10"/>
      <c r="B89" s="14"/>
      <c r="P89" s="6" t="s">
        <v>480</v>
      </c>
      <c r="T89" s="6">
        <f>COUNTIFS('2. Status Detalhe Campos'!$H$7:$H$574,'1. Status Resumo'!$P89,'2. Status Detalhe Campos'!$C$7:$C$574,'1. Status Resumo'!$G$83,'2. Status Detalhe Campos'!$D$7:$D$574,"2. Campo")+COUNTIFS('2. Status Detalhe Campos'!$H$7:$H$574,'1. Status Resumo'!$P89,'2. Status Detalhe Campos'!$C$7:$C$574,'1. Status Resumo'!$H$83,'2. Status Detalhe Campos'!$D$7:$D$574,"2. Campo")</f>
        <v>28</v>
      </c>
      <c r="U89" s="6">
        <f>COUNTIFS('2. Status Detalhe Campos'!$G$7:$G$574,'1. Status Resumo'!$P89,'2. Status Detalhe Campos'!$C$7:$C$574,'1. Status Resumo'!$G$83,'2. Status Detalhe Campos'!$D$7:$D$574,"2. Campo")+COUNTIFS('2. Status Detalhe Campos'!$G$7:$G$574,'1. Status Resumo'!$P89,'2. Status Detalhe Campos'!$C$7:$C$574,'1. Status Resumo'!$H$83,'2. Status Detalhe Campos'!$D$7:$D$574,"2. Campo")</f>
        <v>32</v>
      </c>
      <c r="V89" s="6">
        <f t="shared" si="5"/>
        <v>4</v>
      </c>
      <c r="W89" s="45"/>
      <c r="X89" s="189"/>
      <c r="Y89" s="190"/>
      <c r="Z89" s="190"/>
      <c r="AA89" s="190"/>
      <c r="AB89" s="190"/>
      <c r="AC89" s="190"/>
      <c r="AD89" s="190"/>
      <c r="AE89" s="190"/>
      <c r="AF89" s="191"/>
      <c r="AG89" s="46"/>
      <c r="AH89" s="10"/>
    </row>
    <row r="90" spans="1:34">
      <c r="A90" s="10"/>
      <c r="B90" s="14"/>
      <c r="D90" s="176" t="str">
        <f>"# "&amp;U96</f>
        <v># 245</v>
      </c>
      <c r="E90" s="176"/>
      <c r="P90" s="6" t="s">
        <v>481</v>
      </c>
      <c r="T90" s="6">
        <f>COUNTIFS('2. Status Detalhe Campos'!$H$7:$H$574,'1. Status Resumo'!$P90,'2. Status Detalhe Campos'!$C$7:$C$574,'1. Status Resumo'!$G$83,'2. Status Detalhe Campos'!$D$7:$D$574,"2. Campo")+COUNTIFS('2. Status Detalhe Campos'!$H$7:$H$574,'1. Status Resumo'!$P90,'2. Status Detalhe Campos'!$C$7:$C$574,'1. Status Resumo'!$H$83,'2. Status Detalhe Campos'!$D$7:$D$574,"2. Campo")</f>
        <v>0</v>
      </c>
      <c r="U90" s="6">
        <f>COUNTIFS('2. Status Detalhe Campos'!$G$7:$G$574,'1. Status Resumo'!$P90,'2. Status Detalhe Campos'!$C$7:$C$574,'1. Status Resumo'!$G$83,'2. Status Detalhe Campos'!$D$7:$D$574,"2. Campo")+COUNTIFS('2. Status Detalhe Campos'!$G$7:$G$574,'1. Status Resumo'!$P90,'2. Status Detalhe Campos'!$C$7:$C$574,'1. Status Resumo'!$H$83,'2. Status Detalhe Campos'!$D$7:$D$574,"2. Campo")</f>
        <v>0</v>
      </c>
      <c r="V90" s="6">
        <f t="shared" ref="V90" si="6">U90-T90</f>
        <v>0</v>
      </c>
      <c r="W90" s="45"/>
      <c r="X90" s="189"/>
      <c r="Y90" s="190"/>
      <c r="Z90" s="190"/>
      <c r="AA90" s="190"/>
      <c r="AB90" s="190"/>
      <c r="AC90" s="190"/>
      <c r="AD90" s="190"/>
      <c r="AE90" s="190"/>
      <c r="AF90" s="191"/>
      <c r="AG90" s="46"/>
      <c r="AH90" s="10"/>
    </row>
    <row r="91" spans="1:34" ht="17.7" customHeight="1">
      <c r="A91" s="10"/>
      <c r="B91" s="14"/>
      <c r="D91" s="176"/>
      <c r="E91" s="176"/>
      <c r="P91" s="6" t="s">
        <v>423</v>
      </c>
      <c r="T91" s="6">
        <f>COUNTIFS('2. Status Detalhe Campos'!$H$7:$H$574,'1. Status Resumo'!$P91,'2. Status Detalhe Campos'!$C$7:$C$574,'1. Status Resumo'!$G$83,'2. Status Detalhe Campos'!$D$7:$D$574,"2. Campo")+COUNTIFS('2. Status Detalhe Campos'!$H$7:$H$574,'1. Status Resumo'!$P91,'2. Status Detalhe Campos'!$C$7:$C$574,'1. Status Resumo'!$H$83,'2. Status Detalhe Campos'!$D$7:$D$574,"2. Campo")</f>
        <v>0</v>
      </c>
      <c r="U91" s="6">
        <f>COUNTIFS('2. Status Detalhe Campos'!$G$7:$G$574,'1. Status Resumo'!$P91,'2. Status Detalhe Campos'!$C$7:$C$574,'1. Status Resumo'!$G$83,'2. Status Detalhe Campos'!$D$7:$D$574,"2. Campo")+COUNTIFS('2. Status Detalhe Campos'!$G$7:$G$574,'1. Status Resumo'!$P91,'2. Status Detalhe Campos'!$C$7:$C$574,'1. Status Resumo'!$H$83,'2. Status Detalhe Campos'!$D$7:$D$574,"2. Campo")</f>
        <v>0</v>
      </c>
      <c r="V91" s="6">
        <f t="shared" si="5"/>
        <v>0</v>
      </c>
      <c r="W91" s="45"/>
      <c r="X91" s="189"/>
      <c r="Y91" s="190"/>
      <c r="Z91" s="190"/>
      <c r="AA91" s="190"/>
      <c r="AB91" s="190"/>
      <c r="AC91" s="190"/>
      <c r="AD91" s="190"/>
      <c r="AE91" s="190"/>
      <c r="AF91" s="191"/>
      <c r="AG91" s="46"/>
      <c r="AH91" s="10"/>
    </row>
    <row r="92" spans="1:34" ht="17.7" customHeight="1">
      <c r="A92" s="10"/>
      <c r="B92" s="14"/>
      <c r="D92" s="176"/>
      <c r="E92" s="176"/>
      <c r="P92" s="6" t="s">
        <v>424</v>
      </c>
      <c r="T92" s="6">
        <f>COUNTIFS('2. Status Detalhe Campos'!$H$7:$H$574,'1. Status Resumo'!$P92,'2. Status Detalhe Campos'!$C$7:$C$574,'1. Status Resumo'!$G$83,'2. Status Detalhe Campos'!$D$7:$D$574,"2. Campo")+COUNTIFS('2. Status Detalhe Campos'!$H$7:$H$574,'1. Status Resumo'!$P92,'2. Status Detalhe Campos'!$C$7:$C$574,'1. Status Resumo'!$H$83,'2. Status Detalhe Campos'!$D$7:$D$574,"2. Campo")</f>
        <v>1</v>
      </c>
      <c r="U92" s="6">
        <f>COUNTIFS('2. Status Detalhe Campos'!$G$7:$G$574,'1. Status Resumo'!$P92,'2. Status Detalhe Campos'!$C$7:$C$574,'1. Status Resumo'!$G$83,'2. Status Detalhe Campos'!$D$7:$D$574,"2. Campo")+COUNTIFS('2. Status Detalhe Campos'!$G$7:$G$574,'1. Status Resumo'!$P92,'2. Status Detalhe Campos'!$C$7:$C$574,'1. Status Resumo'!$H$83,'2. Status Detalhe Campos'!$D$7:$D$574,"2. Campo")</f>
        <v>1</v>
      </c>
      <c r="V92" s="6">
        <f t="shared" si="5"/>
        <v>0</v>
      </c>
      <c r="W92" s="45"/>
      <c r="X92" s="189"/>
      <c r="Y92" s="190"/>
      <c r="Z92" s="190"/>
      <c r="AA92" s="190"/>
      <c r="AB92" s="190"/>
      <c r="AC92" s="190"/>
      <c r="AD92" s="190"/>
      <c r="AE92" s="190"/>
      <c r="AF92" s="191"/>
      <c r="AG92" s="46"/>
      <c r="AH92" s="10"/>
    </row>
    <row r="93" spans="1:34" ht="17.7" customHeight="1">
      <c r="A93" s="10"/>
      <c r="B93" s="14"/>
      <c r="P93" s="6" t="s">
        <v>425</v>
      </c>
      <c r="R93" s="6" t="s">
        <v>426</v>
      </c>
      <c r="T93" s="6">
        <f>COUNTIFS('2. Status Detalhe Campos'!$H$7:$H$574,'1. Status Resumo'!$P93,'2. Status Detalhe Campos'!$C$7:$C$574,'1. Status Resumo'!$G$83,'2. Status Detalhe Campos'!$D$7:$D$574,"2. Campo")+COUNTIFS('2. Status Detalhe Campos'!$H$7:$H$574,'1. Status Resumo'!$P93,'2. Status Detalhe Campos'!$C$7:$C$574,'1. Status Resumo'!$H$83,'2. Status Detalhe Campos'!$D$7:$D$574,"2. Campo")</f>
        <v>14</v>
      </c>
      <c r="U93" s="6">
        <f>COUNTIFS('2. Status Detalhe Campos'!$G$7:$G$574,'1. Status Resumo'!$P93,'2. Status Detalhe Campos'!$C$7:$C$574,'1. Status Resumo'!$G$83,'2. Status Detalhe Campos'!$D$7:$D$574,"2. Campo")+COUNTIFS('2. Status Detalhe Campos'!$G$7:$G$574,'1. Status Resumo'!$P93,'2. Status Detalhe Campos'!$C$7:$C$574,'1. Status Resumo'!$H$83,'2. Status Detalhe Campos'!$D$7:$D$574,"2. Campo")</f>
        <v>0</v>
      </c>
      <c r="V93" s="6">
        <f t="shared" si="5"/>
        <v>-14</v>
      </c>
      <c r="W93" s="45"/>
      <c r="X93" s="189"/>
      <c r="Y93" s="190"/>
      <c r="Z93" s="190"/>
      <c r="AA93" s="190"/>
      <c r="AB93" s="190"/>
      <c r="AC93" s="190"/>
      <c r="AD93" s="190"/>
      <c r="AE93" s="190"/>
      <c r="AF93" s="191"/>
      <c r="AG93" s="46"/>
      <c r="AH93" s="10"/>
    </row>
    <row r="94" spans="1:34">
      <c r="A94" s="10"/>
      <c r="B94" s="14"/>
      <c r="P94" s="6" t="s">
        <v>427</v>
      </c>
      <c r="T94" s="6">
        <f>COUNTIFS('2. Status Detalhe Campos'!$H$7:$H$574,'1. Status Resumo'!$P94,'2. Status Detalhe Campos'!$C$7:$C$574,'1. Status Resumo'!$G$83,'2. Status Detalhe Campos'!$D$7:$D$574,"2. Campo")+COUNTIFS('2. Status Detalhe Campos'!$H$7:$H$574,'1. Status Resumo'!$P94,'2. Status Detalhe Campos'!$C$7:$C$574,'1. Status Resumo'!$H$83,'2. Status Detalhe Campos'!$D$7:$D$574,"2. Campo")</f>
        <v>4</v>
      </c>
      <c r="U94" s="6">
        <f>COUNTIFS('2. Status Detalhe Campos'!$G$7:$G$574,'1. Status Resumo'!$P94,'2. Status Detalhe Campos'!$C$7:$C$574,'1. Status Resumo'!$G$83,'2. Status Detalhe Campos'!$D$7:$D$574,"2. Campo")+COUNTIFS('2. Status Detalhe Campos'!$G$7:$G$574,'1. Status Resumo'!$P94,'2. Status Detalhe Campos'!$C$7:$C$574,'1. Status Resumo'!$H$83,'2. Status Detalhe Campos'!$D$7:$D$574,"2. Campo")</f>
        <v>0</v>
      </c>
      <c r="V94" s="6">
        <f t="shared" si="5"/>
        <v>-4</v>
      </c>
      <c r="X94" s="189"/>
      <c r="Y94" s="190"/>
      <c r="Z94" s="190"/>
      <c r="AA94" s="190"/>
      <c r="AB94" s="190"/>
      <c r="AC94" s="190"/>
      <c r="AD94" s="190"/>
      <c r="AE94" s="190"/>
      <c r="AF94" s="191"/>
      <c r="AG94" s="46"/>
      <c r="AH94" s="10"/>
    </row>
    <row r="95" spans="1:34">
      <c r="A95" s="10"/>
      <c r="B95" s="14"/>
      <c r="P95" s="6" t="s">
        <v>12</v>
      </c>
      <c r="T95" s="6">
        <f>COUNTIFS('2. Status Detalhe Campos'!$H$7:$H$574,'1. Status Resumo'!$P95,'2. Status Detalhe Campos'!$C$7:$C$574,'1. Status Resumo'!$G$83,'2. Status Detalhe Campos'!$D$7:$D$574,"2. Campo")+COUNTIFS('2. Status Detalhe Campos'!$H$7:$H$574,'1. Status Resumo'!$P95,'2. Status Detalhe Campos'!$C$7:$C$574,'1. Status Resumo'!$H$83,'2. Status Detalhe Campos'!$D$7:$D$574,"2. Campo")</f>
        <v>0</v>
      </c>
      <c r="U95" s="6">
        <f>COUNTIFS('2. Status Detalhe Campos'!$G$7:$G$574,'1. Status Resumo'!$P95,'2. Status Detalhe Campos'!$C$7:$C$574,'1. Status Resumo'!$G$83,'2. Status Detalhe Campos'!$D$7:$D$574,"2. Campo")+COUNTIFS('2. Status Detalhe Campos'!$G$7:$G$574,'1. Status Resumo'!$P95,'2. Status Detalhe Campos'!$C$7:$C$574,'1. Status Resumo'!$H$83,'2. Status Detalhe Campos'!$D$7:$D$574,"2. Campo")</f>
        <v>0</v>
      </c>
      <c r="V95" s="6">
        <f t="shared" si="5"/>
        <v>0</v>
      </c>
      <c r="X95" s="189"/>
      <c r="Y95" s="190"/>
      <c r="Z95" s="190"/>
      <c r="AA95" s="190"/>
      <c r="AB95" s="190"/>
      <c r="AC95" s="190"/>
      <c r="AD95" s="190"/>
      <c r="AE95" s="190"/>
      <c r="AF95" s="191"/>
      <c r="AG95" s="46"/>
      <c r="AH95" s="10"/>
    </row>
    <row r="96" spans="1:34">
      <c r="A96" s="10"/>
      <c r="B96" s="14"/>
      <c r="T96" s="20">
        <f>SUM(T87:T95)</f>
        <v>245</v>
      </c>
      <c r="U96" s="20">
        <f>SUM(U87:U95)</f>
        <v>245</v>
      </c>
      <c r="X96" s="189"/>
      <c r="Y96" s="190"/>
      <c r="Z96" s="190"/>
      <c r="AA96" s="190"/>
      <c r="AB96" s="190"/>
      <c r="AC96" s="190"/>
      <c r="AD96" s="190"/>
      <c r="AE96" s="190"/>
      <c r="AF96" s="191"/>
      <c r="AG96" s="46"/>
      <c r="AH96" s="10"/>
    </row>
    <row r="97" spans="1:34">
      <c r="A97" s="10"/>
      <c r="B97" s="14"/>
      <c r="X97" s="189"/>
      <c r="Y97" s="190"/>
      <c r="Z97" s="190"/>
      <c r="AA97" s="190"/>
      <c r="AB97" s="190"/>
      <c r="AC97" s="190"/>
      <c r="AD97" s="190"/>
      <c r="AE97" s="190"/>
      <c r="AF97" s="191"/>
      <c r="AG97" s="46"/>
      <c r="AH97" s="10"/>
    </row>
    <row r="98" spans="1:34">
      <c r="A98" s="10"/>
      <c r="B98" s="14"/>
      <c r="P98" s="22" t="s">
        <v>444</v>
      </c>
      <c r="Q98" s="23"/>
      <c r="R98" s="23"/>
      <c r="S98" s="23"/>
      <c r="T98" s="23"/>
      <c r="U98" s="23"/>
      <c r="V98" s="23"/>
      <c r="X98" s="189"/>
      <c r="Y98" s="190"/>
      <c r="Z98" s="190"/>
      <c r="AA98" s="190"/>
      <c r="AB98" s="190"/>
      <c r="AC98" s="190"/>
      <c r="AD98" s="190"/>
      <c r="AE98" s="190"/>
      <c r="AF98" s="191"/>
      <c r="AG98" s="46"/>
      <c r="AH98" s="10"/>
    </row>
    <row r="99" spans="1:34">
      <c r="A99" s="10"/>
      <c r="B99" s="14"/>
      <c r="O99" s="48" t="s">
        <v>430</v>
      </c>
      <c r="P99" s="6" t="s">
        <v>190</v>
      </c>
      <c r="T99" s="50" t="s">
        <v>432</v>
      </c>
      <c r="X99" s="189"/>
      <c r="Y99" s="190"/>
      <c r="Z99" s="190"/>
      <c r="AA99" s="190"/>
      <c r="AB99" s="190"/>
      <c r="AC99" s="190"/>
      <c r="AD99" s="190"/>
      <c r="AE99" s="190"/>
      <c r="AF99" s="191"/>
      <c r="AG99" s="46"/>
      <c r="AH99" s="10"/>
    </row>
    <row r="100" spans="1:34">
      <c r="A100" s="10"/>
      <c r="B100" s="14"/>
      <c r="O100" s="48" t="s">
        <v>430</v>
      </c>
      <c r="P100" s="6" t="s">
        <v>189</v>
      </c>
      <c r="T100" s="50" t="s">
        <v>432</v>
      </c>
      <c r="X100" s="189"/>
      <c r="Y100" s="190"/>
      <c r="Z100" s="190"/>
      <c r="AA100" s="190"/>
      <c r="AB100" s="190"/>
      <c r="AC100" s="190"/>
      <c r="AD100" s="190"/>
      <c r="AE100" s="190"/>
      <c r="AF100" s="191"/>
      <c r="AG100" s="46"/>
      <c r="AH100" s="10"/>
    </row>
    <row r="101" spans="1:34">
      <c r="A101" s="10"/>
      <c r="B101" s="14"/>
      <c r="O101" s="48" t="s">
        <v>430</v>
      </c>
      <c r="P101" s="6" t="s">
        <v>187</v>
      </c>
      <c r="T101" s="50" t="s">
        <v>432</v>
      </c>
      <c r="X101" s="189"/>
      <c r="Y101" s="190"/>
      <c r="Z101" s="190"/>
      <c r="AA101" s="190"/>
      <c r="AB101" s="190"/>
      <c r="AC101" s="190"/>
      <c r="AD101" s="190"/>
      <c r="AE101" s="190"/>
      <c r="AF101" s="191"/>
      <c r="AG101" s="46"/>
      <c r="AH101" s="10"/>
    </row>
    <row r="102" spans="1:34">
      <c r="A102" s="10"/>
      <c r="B102" s="14"/>
      <c r="O102" s="48" t="s">
        <v>430</v>
      </c>
      <c r="P102" s="6" t="s">
        <v>186</v>
      </c>
      <c r="T102" s="50" t="s">
        <v>432</v>
      </c>
      <c r="X102" s="189"/>
      <c r="Y102" s="190"/>
      <c r="Z102" s="190"/>
      <c r="AA102" s="190"/>
      <c r="AB102" s="190"/>
      <c r="AC102" s="190"/>
      <c r="AD102" s="190"/>
      <c r="AE102" s="190"/>
      <c r="AF102" s="191"/>
      <c r="AG102" s="46"/>
      <c r="AH102" s="10"/>
    </row>
    <row r="103" spans="1:34">
      <c r="A103" s="10"/>
      <c r="B103" s="14"/>
      <c r="O103" s="48" t="s">
        <v>430</v>
      </c>
      <c r="P103" s="6" t="s">
        <v>191</v>
      </c>
      <c r="T103" s="50" t="s">
        <v>432</v>
      </c>
      <c r="X103" s="189"/>
      <c r="Y103" s="190"/>
      <c r="Z103" s="190"/>
      <c r="AA103" s="190"/>
      <c r="AB103" s="190"/>
      <c r="AC103" s="190"/>
      <c r="AD103" s="190"/>
      <c r="AE103" s="190"/>
      <c r="AF103" s="191"/>
      <c r="AG103" s="46"/>
      <c r="AH103" s="10"/>
    </row>
    <row r="104" spans="1:34">
      <c r="A104" s="10"/>
      <c r="B104" s="14"/>
      <c r="O104" s="48" t="s">
        <v>430</v>
      </c>
      <c r="P104" s="6" t="s">
        <v>192</v>
      </c>
      <c r="T104" s="50" t="s">
        <v>432</v>
      </c>
      <c r="X104" s="189"/>
      <c r="Y104" s="190"/>
      <c r="Z104" s="190"/>
      <c r="AA104" s="190"/>
      <c r="AB104" s="190"/>
      <c r="AC104" s="190"/>
      <c r="AD104" s="190"/>
      <c r="AE104" s="190"/>
      <c r="AF104" s="191"/>
      <c r="AG104" s="46"/>
      <c r="AH104" s="10"/>
    </row>
    <row r="105" spans="1:34">
      <c r="A105" s="10"/>
      <c r="B105" s="14"/>
      <c r="O105" s="48" t="s">
        <v>430</v>
      </c>
      <c r="P105" s="6" t="s">
        <v>193</v>
      </c>
      <c r="T105" s="50" t="s">
        <v>432</v>
      </c>
      <c r="X105" s="189"/>
      <c r="Y105" s="190"/>
      <c r="Z105" s="190"/>
      <c r="AA105" s="190"/>
      <c r="AB105" s="190"/>
      <c r="AC105" s="190"/>
      <c r="AD105" s="190"/>
      <c r="AE105" s="190"/>
      <c r="AF105" s="191"/>
      <c r="AG105" s="46"/>
      <c r="AH105" s="10"/>
    </row>
    <row r="106" spans="1:34">
      <c r="A106" s="10"/>
      <c r="B106" s="14"/>
      <c r="O106" s="48" t="s">
        <v>430</v>
      </c>
      <c r="P106" s="6" t="s">
        <v>188</v>
      </c>
      <c r="T106" s="50" t="s">
        <v>432</v>
      </c>
      <c r="X106" s="189"/>
      <c r="Y106" s="190"/>
      <c r="Z106" s="190"/>
      <c r="AA106" s="190"/>
      <c r="AB106" s="190"/>
      <c r="AC106" s="190"/>
      <c r="AD106" s="190"/>
      <c r="AE106" s="190"/>
      <c r="AF106" s="191"/>
      <c r="AG106" s="46"/>
      <c r="AH106" s="10"/>
    </row>
    <row r="107" spans="1:34">
      <c r="A107" s="10"/>
      <c r="B107" s="14"/>
      <c r="O107" s="48" t="s">
        <v>430</v>
      </c>
      <c r="P107" s="6" t="s">
        <v>155</v>
      </c>
      <c r="T107" s="82" t="s">
        <v>510</v>
      </c>
      <c r="X107" s="189"/>
      <c r="Y107" s="190"/>
      <c r="Z107" s="190"/>
      <c r="AA107" s="190"/>
      <c r="AB107" s="190"/>
      <c r="AC107" s="190"/>
      <c r="AD107" s="190"/>
      <c r="AE107" s="190"/>
      <c r="AF107" s="191"/>
      <c r="AG107" s="46"/>
      <c r="AH107" s="10"/>
    </row>
    <row r="108" spans="1:34">
      <c r="A108" s="10"/>
      <c r="B108" s="14"/>
      <c r="O108" s="48" t="s">
        <v>430</v>
      </c>
      <c r="P108" s="55" t="s">
        <v>445</v>
      </c>
      <c r="T108" s="54" t="s">
        <v>446</v>
      </c>
      <c r="X108" s="189"/>
      <c r="Y108" s="190"/>
      <c r="Z108" s="190"/>
      <c r="AA108" s="190"/>
      <c r="AB108" s="190"/>
      <c r="AC108" s="190"/>
      <c r="AD108" s="190"/>
      <c r="AE108" s="190"/>
      <c r="AF108" s="191"/>
      <c r="AG108" s="46"/>
      <c r="AH108" s="10"/>
    </row>
    <row r="109" spans="1:34">
      <c r="A109" s="10"/>
      <c r="B109" s="14"/>
      <c r="P109" s="47"/>
      <c r="X109" s="189"/>
      <c r="Y109" s="190"/>
      <c r="Z109" s="190"/>
      <c r="AA109" s="190"/>
      <c r="AB109" s="190"/>
      <c r="AC109" s="190"/>
      <c r="AD109" s="190"/>
      <c r="AE109" s="190"/>
      <c r="AF109" s="191"/>
      <c r="AG109" s="46"/>
      <c r="AH109" s="10"/>
    </row>
    <row r="110" spans="1:34">
      <c r="A110" s="10"/>
      <c r="B110" s="14"/>
      <c r="P110" s="22" t="s">
        <v>447</v>
      </c>
      <c r="Q110" s="23"/>
      <c r="R110" s="23"/>
      <c r="S110" s="23"/>
      <c r="T110" s="23"/>
      <c r="U110" s="23"/>
      <c r="V110" s="23"/>
      <c r="X110" s="189"/>
      <c r="Y110" s="190"/>
      <c r="Z110" s="190"/>
      <c r="AA110" s="190"/>
      <c r="AB110" s="190"/>
      <c r="AC110" s="190"/>
      <c r="AD110" s="190"/>
      <c r="AE110" s="190"/>
      <c r="AF110" s="191"/>
      <c r="AG110" s="46"/>
      <c r="AH110" s="10"/>
    </row>
    <row r="111" spans="1:34">
      <c r="A111" s="10"/>
      <c r="B111" s="14"/>
      <c r="O111" s="48" t="s">
        <v>430</v>
      </c>
      <c r="P111" s="6" t="s">
        <v>448</v>
      </c>
      <c r="T111" s="50" t="s">
        <v>432</v>
      </c>
      <c r="X111" s="189"/>
      <c r="Y111" s="190"/>
      <c r="Z111" s="190"/>
      <c r="AA111" s="190"/>
      <c r="AB111" s="190"/>
      <c r="AC111" s="190"/>
      <c r="AD111" s="190"/>
      <c r="AE111" s="190"/>
      <c r="AF111" s="191"/>
      <c r="AG111" s="46"/>
      <c r="AH111" s="10"/>
    </row>
    <row r="112" spans="1:34">
      <c r="A112" s="10"/>
      <c r="B112" s="14"/>
      <c r="O112" s="48" t="s">
        <v>430</v>
      </c>
      <c r="P112" s="6" t="s">
        <v>284</v>
      </c>
      <c r="T112" s="50" t="s">
        <v>449</v>
      </c>
      <c r="X112" s="189"/>
      <c r="Y112" s="190"/>
      <c r="Z112" s="190"/>
      <c r="AA112" s="190"/>
      <c r="AB112" s="190"/>
      <c r="AC112" s="190"/>
      <c r="AD112" s="190"/>
      <c r="AE112" s="190"/>
      <c r="AF112" s="191"/>
      <c r="AG112" s="46"/>
      <c r="AH112" s="10"/>
    </row>
    <row r="113" spans="1:34">
      <c r="A113" s="10"/>
      <c r="B113" s="14"/>
      <c r="O113" s="48" t="s">
        <v>430</v>
      </c>
      <c r="P113" s="6" t="s">
        <v>297</v>
      </c>
      <c r="T113" s="50" t="s">
        <v>432</v>
      </c>
      <c r="X113" s="189"/>
      <c r="Y113" s="190"/>
      <c r="Z113" s="190"/>
      <c r="AA113" s="190"/>
      <c r="AB113" s="190"/>
      <c r="AC113" s="190"/>
      <c r="AD113" s="190"/>
      <c r="AE113" s="190"/>
      <c r="AF113" s="191"/>
      <c r="AG113" s="46"/>
      <c r="AH113" s="10"/>
    </row>
    <row r="114" spans="1:34">
      <c r="A114" s="10"/>
      <c r="B114" s="14"/>
      <c r="O114" s="48" t="s">
        <v>430</v>
      </c>
      <c r="P114" s="6" t="s">
        <v>303</v>
      </c>
      <c r="T114" s="216" t="s">
        <v>547</v>
      </c>
      <c r="X114" s="189"/>
      <c r="Y114" s="190"/>
      <c r="Z114" s="190"/>
      <c r="AA114" s="190"/>
      <c r="AB114" s="190"/>
      <c r="AC114" s="190"/>
      <c r="AD114" s="190"/>
      <c r="AE114" s="190"/>
      <c r="AF114" s="191"/>
      <c r="AG114" s="46"/>
      <c r="AH114" s="10"/>
    </row>
    <row r="115" spans="1:34">
      <c r="A115" s="10"/>
      <c r="B115" s="14"/>
      <c r="O115" s="48"/>
      <c r="T115" s="49"/>
      <c r="X115" s="192"/>
      <c r="Y115" s="193"/>
      <c r="Z115" s="193"/>
      <c r="AA115" s="193"/>
      <c r="AB115" s="193"/>
      <c r="AC115" s="193"/>
      <c r="AD115" s="193"/>
      <c r="AE115" s="193"/>
      <c r="AF115" s="194"/>
      <c r="AG115" s="46"/>
      <c r="AH115" s="10"/>
    </row>
    <row r="116" spans="1:34">
      <c r="A116" s="10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8"/>
      <c r="AH116" s="10"/>
    </row>
    <row r="117" spans="1:34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</row>
    <row r="118" spans="1:34" ht="22.2">
      <c r="A118" s="10"/>
      <c r="B118" s="19" t="s">
        <v>539</v>
      </c>
      <c r="C118" s="10"/>
      <c r="D118" s="10"/>
      <c r="E118" s="10"/>
      <c r="F118" s="10"/>
      <c r="G118" s="21" t="s">
        <v>10</v>
      </c>
      <c r="H118" s="2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</row>
    <row r="119" spans="1:34" ht="4.9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</row>
    <row r="120" spans="1:34">
      <c r="A120" s="10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3"/>
      <c r="AH120" s="10"/>
    </row>
    <row r="121" spans="1:34">
      <c r="A121" s="10"/>
      <c r="B121" s="14"/>
      <c r="C121" s="43" t="s">
        <v>416</v>
      </c>
      <c r="G121" s="43" t="s">
        <v>417</v>
      </c>
      <c r="P121" s="22" t="s">
        <v>418</v>
      </c>
      <c r="Q121" s="23"/>
      <c r="R121" s="22"/>
      <c r="S121" s="23"/>
      <c r="T121" s="24">
        <f>T62</f>
        <v>45632</v>
      </c>
      <c r="U121" s="24">
        <f>U62</f>
        <v>45639</v>
      </c>
      <c r="V121" s="25" t="s">
        <v>419</v>
      </c>
      <c r="X121" s="44" t="s">
        <v>420</v>
      </c>
      <c r="AG121" s="15"/>
      <c r="AH121" s="10"/>
    </row>
    <row r="122" spans="1:34" ht="18" customHeight="1">
      <c r="A122" s="10"/>
      <c r="B122" s="14"/>
      <c r="P122" s="6" t="s">
        <v>421</v>
      </c>
      <c r="T122" s="6">
        <f>COUNTIFS(Table4[Status Anterior],'1. Status Resumo'!$P122,Table4[Sub-âmbito],'1. Status Resumo'!$G$118,Table4[Tipo de teste],"2. Campo")</f>
        <v>0</v>
      </c>
      <c r="U122" s="6">
        <f>COUNTIFS(Table4[Status Atual],'1. Status Resumo'!$P122,Table4[Sub-âmbito],'1. Status Resumo'!$G$118,Table4[Tipo de teste],"2. Campo")</f>
        <v>0</v>
      </c>
      <c r="V122" s="6">
        <f>U122-T122</f>
        <v>0</v>
      </c>
      <c r="X122" s="204" t="s">
        <v>570</v>
      </c>
      <c r="Y122" s="205"/>
      <c r="Z122" s="205"/>
      <c r="AA122" s="205"/>
      <c r="AB122" s="205"/>
      <c r="AC122" s="205"/>
      <c r="AD122" s="205"/>
      <c r="AE122" s="205"/>
      <c r="AF122" s="205"/>
      <c r="AG122" s="51"/>
      <c r="AH122" s="10"/>
    </row>
    <row r="123" spans="1:34">
      <c r="A123" s="10"/>
      <c r="B123" s="14"/>
      <c r="P123" s="6" t="s">
        <v>422</v>
      </c>
      <c r="T123" s="6">
        <f>COUNTIFS(Table4[Status Anterior],'1. Status Resumo'!$P123,Table4[Sub-âmbito],'1. Status Resumo'!$G$118,Table4[Tipo de teste],"2. Campo")</f>
        <v>93</v>
      </c>
      <c r="U123" s="6">
        <f>COUNTIFS(Table4[Status Atual],'1. Status Resumo'!$P123,Table4[Sub-âmbito],'1. Status Resumo'!$G$118,Table4[Tipo de teste],"2. Campo")</f>
        <v>103</v>
      </c>
      <c r="V123" s="6">
        <f t="shared" ref="V123:V130" si="7">U123-T123</f>
        <v>10</v>
      </c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51"/>
      <c r="AH123" s="10"/>
    </row>
    <row r="124" spans="1:34">
      <c r="A124" s="10"/>
      <c r="B124" s="14"/>
      <c r="P124" s="6" t="s">
        <v>480</v>
      </c>
      <c r="T124" s="6">
        <f>COUNTIFS(Table4[Status Anterior],'1. Status Resumo'!$P124,Table4[Sub-âmbito],'1. Status Resumo'!$G$118,Table4[Tipo de teste],"2. Campo")</f>
        <v>30</v>
      </c>
      <c r="U124" s="6">
        <f>COUNTIFS(Table4[Status Atual],'1. Status Resumo'!$P124,Table4[Sub-âmbito],'1. Status Resumo'!$G$118,Table4[Tipo de teste],"2. Campo")</f>
        <v>21</v>
      </c>
      <c r="V124" s="6">
        <f t="shared" si="7"/>
        <v>-9</v>
      </c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51"/>
      <c r="AH124" s="10"/>
    </row>
    <row r="125" spans="1:34" ht="17.7" customHeight="1">
      <c r="A125" s="10"/>
      <c r="B125" s="14"/>
      <c r="D125" s="176" t="str">
        <f>"# "&amp;U131</f>
        <v># 135</v>
      </c>
      <c r="E125" s="176"/>
      <c r="P125" s="6" t="s">
        <v>481</v>
      </c>
      <c r="T125" s="6">
        <f>COUNTIFS(Table4[Status Anterior],'1. Status Resumo'!$P125,Table4[Sub-âmbito],'1. Status Resumo'!$G$118,Table4[Tipo de teste],"2. Campo")</f>
        <v>0</v>
      </c>
      <c r="U125" s="6">
        <f>COUNTIFS(Table4[Status Atual],'1. Status Resumo'!$P125,Table4[Sub-âmbito],'1. Status Resumo'!$G$118,Table4[Tipo de teste],"2. Campo")</f>
        <v>0</v>
      </c>
      <c r="V125" s="6">
        <f t="shared" ref="V125" si="8">U125-T125</f>
        <v>0</v>
      </c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51"/>
      <c r="AH125" s="10"/>
    </row>
    <row r="126" spans="1:34" ht="17.7" customHeight="1">
      <c r="A126" s="10"/>
      <c r="B126" s="14"/>
      <c r="D126" s="176"/>
      <c r="E126" s="176"/>
      <c r="P126" s="6" t="s">
        <v>423</v>
      </c>
      <c r="T126" s="6">
        <f>COUNTIFS(Table4[Status Anterior],'1. Status Resumo'!$P126,Table4[Sub-âmbito],'1. Status Resumo'!$G$118,Table4[Tipo de teste],"2. Campo")</f>
        <v>4</v>
      </c>
      <c r="U126" s="6">
        <f>COUNTIFS(Table4[Status Atual],'1. Status Resumo'!$P126,Table4[Sub-âmbito],'1. Status Resumo'!$G$118,Table4[Tipo de teste],"2. Campo")</f>
        <v>2</v>
      </c>
      <c r="V126" s="6">
        <f t="shared" si="7"/>
        <v>-2</v>
      </c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51"/>
      <c r="AH126" s="10"/>
    </row>
    <row r="127" spans="1:34" ht="17.7" customHeight="1">
      <c r="A127" s="10"/>
      <c r="B127" s="14"/>
      <c r="D127" s="176"/>
      <c r="E127" s="176"/>
      <c r="P127" s="6" t="s">
        <v>424</v>
      </c>
      <c r="T127" s="6">
        <f>COUNTIFS(Table4[Status Anterior],'1. Status Resumo'!$P127,Table4[Sub-âmbito],'1. Status Resumo'!$G$118,Table4[Tipo de teste],"2. Campo")</f>
        <v>0</v>
      </c>
      <c r="U127" s="6">
        <f>COUNTIFS(Table4[Status Atual],'1. Status Resumo'!$P127,Table4[Sub-âmbito],'1. Status Resumo'!$G$118,Table4[Tipo de teste],"2. Campo")</f>
        <v>1</v>
      </c>
      <c r="V127" s="6">
        <f t="shared" si="7"/>
        <v>1</v>
      </c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51"/>
      <c r="AH127" s="10"/>
    </row>
    <row r="128" spans="1:34">
      <c r="A128" s="10"/>
      <c r="B128" s="14"/>
      <c r="D128" s="176"/>
      <c r="E128" s="176"/>
      <c r="P128" s="6" t="s">
        <v>425</v>
      </c>
      <c r="R128" s="6" t="s">
        <v>426</v>
      </c>
      <c r="T128" s="6">
        <f>COUNTIFS(Table4[Status Anterior],'1. Status Resumo'!$P128,Table4[Sub-âmbito],'1. Status Resumo'!$G$118,Table4[Tipo de teste],"2. Campo")</f>
        <v>5</v>
      </c>
      <c r="U128" s="6">
        <f>COUNTIFS(Table4[Status Atual],'1. Status Resumo'!$P128,Table4[Sub-âmbito],'1. Status Resumo'!$G$118,Table4[Tipo de teste],"2. Campo")</f>
        <v>5</v>
      </c>
      <c r="V128" s="6">
        <f t="shared" si="7"/>
        <v>0</v>
      </c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51"/>
      <c r="AH128" s="10"/>
    </row>
    <row r="129" spans="1:34">
      <c r="A129" s="10"/>
      <c r="B129" s="14"/>
      <c r="D129" s="176"/>
      <c r="E129" s="176"/>
      <c r="P129" s="6" t="s">
        <v>427</v>
      </c>
      <c r="T129" s="6">
        <f>COUNTIFS(Table4[Status Anterior],'1. Status Resumo'!$P129,Table4[Sub-âmbito],'1. Status Resumo'!$G$118,Table4[Tipo de teste],"2. Campo")</f>
        <v>3</v>
      </c>
      <c r="U129" s="6">
        <f>COUNTIFS(Table4[Status Atual],'1. Status Resumo'!$P129,Table4[Sub-âmbito],'1. Status Resumo'!$G$118,Table4[Tipo de teste],"2. Campo")</f>
        <v>3</v>
      </c>
      <c r="V129" s="6">
        <f>U129-T129</f>
        <v>0</v>
      </c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51"/>
      <c r="AH129" s="10"/>
    </row>
    <row r="130" spans="1:34">
      <c r="A130" s="10"/>
      <c r="B130" s="14"/>
      <c r="P130" s="6" t="s">
        <v>12</v>
      </c>
      <c r="T130" s="6">
        <f>COUNTIFS(Table4[Status Anterior],'1. Status Resumo'!$P130,Table4[Sub-âmbito],'1. Status Resumo'!$G$118,Table4[Tipo de teste],"2. Campo")</f>
        <v>0</v>
      </c>
      <c r="U130" s="6">
        <f>COUNTIFS(Table4[Status Atual],'1. Status Resumo'!$P130,Table4[Sub-âmbito],'1. Status Resumo'!$G$118,Table4[Tipo de teste],"2. Campo")</f>
        <v>0</v>
      </c>
      <c r="V130" s="6">
        <f t="shared" si="7"/>
        <v>0</v>
      </c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51"/>
      <c r="AH130" s="10"/>
    </row>
    <row r="131" spans="1:34">
      <c r="A131" s="10"/>
      <c r="B131" s="14"/>
      <c r="T131" s="20">
        <f>SUM(T122:T130)</f>
        <v>135</v>
      </c>
      <c r="U131" s="20">
        <f>SUM(U122:U130)</f>
        <v>135</v>
      </c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51"/>
      <c r="AH131" s="10"/>
    </row>
    <row r="132" spans="1:34">
      <c r="A132" s="10"/>
      <c r="B132" s="14"/>
      <c r="T132" s="20"/>
      <c r="U132" s="20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51"/>
      <c r="AH132" s="10"/>
    </row>
    <row r="133" spans="1:34">
      <c r="A133" s="10"/>
      <c r="B133" s="14"/>
      <c r="P133" s="22" t="s">
        <v>428</v>
      </c>
      <c r="Q133" s="23"/>
      <c r="R133" s="23"/>
      <c r="S133" s="23"/>
      <c r="T133" s="23"/>
      <c r="U133" s="23"/>
      <c r="V133" s="23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51"/>
      <c r="AH133" s="10"/>
    </row>
    <row r="134" spans="1:34">
      <c r="A134" s="10"/>
      <c r="B134" s="14"/>
      <c r="O134" s="48" t="s">
        <v>430</v>
      </c>
      <c r="P134" s="6" t="s">
        <v>347</v>
      </c>
      <c r="T134" s="58" t="s">
        <v>483</v>
      </c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51"/>
      <c r="AH134" s="10"/>
    </row>
    <row r="135" spans="1:34">
      <c r="A135" s="10"/>
      <c r="B135" s="14"/>
      <c r="O135" s="48" t="s">
        <v>430</v>
      </c>
      <c r="P135" s="6" t="s">
        <v>304</v>
      </c>
      <c r="T135" s="58" t="s">
        <v>483</v>
      </c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51"/>
      <c r="AH135" s="10"/>
    </row>
    <row r="136" spans="1:34">
      <c r="A136" s="10"/>
      <c r="B136" s="14"/>
      <c r="O136" s="48" t="s">
        <v>430</v>
      </c>
      <c r="P136" s="6" t="s">
        <v>336</v>
      </c>
      <c r="T136" s="58" t="s">
        <v>483</v>
      </c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51"/>
      <c r="AH136" s="10"/>
    </row>
    <row r="137" spans="1:34">
      <c r="A137" s="10"/>
      <c r="B137" s="14"/>
      <c r="O137" s="48" t="s">
        <v>430</v>
      </c>
      <c r="P137" s="6" t="s">
        <v>405</v>
      </c>
      <c r="T137" s="50" t="s">
        <v>432</v>
      </c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51"/>
      <c r="AH137" s="10"/>
    </row>
    <row r="138" spans="1:34">
      <c r="A138" s="10"/>
      <c r="B138" s="14"/>
      <c r="O138" s="48" t="s">
        <v>430</v>
      </c>
      <c r="P138" s="6" t="s">
        <v>407</v>
      </c>
      <c r="T138" s="50" t="s">
        <v>432</v>
      </c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51"/>
      <c r="AH138" s="10"/>
    </row>
    <row r="139" spans="1:34">
      <c r="A139" s="10"/>
      <c r="B139" s="14"/>
      <c r="O139" s="48" t="s">
        <v>430</v>
      </c>
      <c r="P139" s="6" t="s">
        <v>494</v>
      </c>
      <c r="T139" s="58" t="s">
        <v>547</v>
      </c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51"/>
      <c r="AH139" s="10"/>
    </row>
    <row r="140" spans="1:34">
      <c r="A140" s="10"/>
      <c r="B140" s="14"/>
      <c r="O140" s="48" t="s">
        <v>430</v>
      </c>
      <c r="P140" s="6" t="s">
        <v>495</v>
      </c>
      <c r="T140" s="50" t="s">
        <v>432</v>
      </c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51"/>
      <c r="AH140" s="10"/>
    </row>
    <row r="141" spans="1:34">
      <c r="A141" s="10"/>
      <c r="B141" s="14"/>
      <c r="O141" s="48" t="s">
        <v>430</v>
      </c>
      <c r="P141" s="6" t="s">
        <v>359</v>
      </c>
      <c r="T141" s="50" t="s">
        <v>432</v>
      </c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51"/>
      <c r="AH141" s="10"/>
    </row>
    <row r="142" spans="1:34">
      <c r="A142" s="10"/>
      <c r="B142" s="14"/>
      <c r="O142" s="48"/>
      <c r="T142" s="50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51"/>
      <c r="AH142" s="10"/>
    </row>
    <row r="143" spans="1:34">
      <c r="A143" s="10"/>
      <c r="B143" s="14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51"/>
      <c r="AH143" s="10"/>
    </row>
    <row r="144" spans="1:34">
      <c r="A144" s="10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8"/>
      <c r="AH144" s="10"/>
    </row>
    <row r="145" spans="1:34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spans="1:34" ht="22.2" hidden="1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</row>
    <row r="147" spans="1:34" ht="4.95" hidden="1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spans="1:34" ht="17.7" hidden="1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spans="1:34" ht="17.7" hidden="1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spans="1:34" ht="17.7" hidden="1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</row>
    <row r="151" spans="1:34" ht="17.7" hidden="1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</row>
    <row r="152" spans="1:34" ht="17.7" hidden="1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spans="1:34" ht="17.7" hidden="1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spans="1:34" ht="17.7" hidden="1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spans="1:34" ht="17.7" hidden="1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</row>
    <row r="156" spans="1:34" ht="17.7" hidden="1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spans="1:34" ht="17.7" hidden="1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spans="1:34" ht="17.7" hidden="1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spans="1:34" ht="17.7" hidden="1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spans="1:34" ht="17.7" hidden="1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spans="1:34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</row>
    <row r="162" spans="1:34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</row>
    <row r="163" spans="1:34" ht="17.7" hidden="1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</row>
    <row r="164" spans="1:34" ht="17.7" hidden="1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spans="1:34" ht="17.7" hidden="1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</row>
    <row r="166" spans="1:34" ht="17.7" hidden="1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</row>
    <row r="167" spans="1:34" ht="17.7" hidden="1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spans="1:34" ht="17.7" hidden="1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spans="1:34" ht="17.7" hidden="1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spans="1:34" ht="17.7" hidden="1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</row>
    <row r="171" spans="1:34" ht="17.7" hidden="1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</row>
    <row r="172" spans="1:34" ht="17.7" hidden="1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</row>
    <row r="173" spans="1:34" ht="17.7" hidden="1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</row>
    <row r="174" spans="1:34" s="57" customForma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</row>
    <row r="175" spans="1:34" s="57" customFormat="1" hidden="1"/>
    <row r="176" spans="1:34" s="57" customFormat="1" hidden="1"/>
    <row r="177" s="57" customFormat="1" hidden="1"/>
    <row r="178" s="57" customFormat="1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</sheetData>
  <sortState ref="R13:R20">
    <sortCondition ref="R13:R20"/>
  </sortState>
  <mergeCells count="9">
    <mergeCell ref="D125:E129"/>
    <mergeCell ref="B8:AG11"/>
    <mergeCell ref="X87:AF115"/>
    <mergeCell ref="X63:AF80"/>
    <mergeCell ref="D90:E92"/>
    <mergeCell ref="D66:E68"/>
    <mergeCell ref="X122:AF143"/>
    <mergeCell ref="X17:AF26"/>
    <mergeCell ref="X35:AF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O574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8.69921875" defaultRowHeight="13.8"/>
  <cols>
    <col min="1" max="1" width="3.69921875" customWidth="1"/>
    <col min="2" max="2" width="8.19921875" customWidth="1"/>
    <col min="3" max="3" width="19.69921875" bestFit="1" customWidth="1"/>
    <col min="4" max="4" width="12.5" customWidth="1"/>
    <col min="5" max="5" width="35.699218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11.19921875" hidden="1" customWidth="1"/>
  </cols>
  <sheetData>
    <row r="1" spans="1:15" ht="17.399999999999999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17.399999999999999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5" ht="17.399999999999999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5" ht="4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5" ht="17.399999999999999">
      <c r="B6" s="62" t="s">
        <v>3</v>
      </c>
      <c r="C6" s="63" t="s">
        <v>4</v>
      </c>
      <c r="D6" s="63" t="s">
        <v>5</v>
      </c>
      <c r="E6" s="63" t="s">
        <v>6</v>
      </c>
      <c r="F6" s="63" t="s">
        <v>7</v>
      </c>
      <c r="G6" s="63" t="s">
        <v>450</v>
      </c>
      <c r="H6" s="63" t="s">
        <v>451</v>
      </c>
      <c r="I6" s="64" t="s">
        <v>9</v>
      </c>
      <c r="J6" s="65" t="s">
        <v>452</v>
      </c>
      <c r="K6" s="65" t="s">
        <v>453</v>
      </c>
      <c r="L6" s="66" t="s">
        <v>454</v>
      </c>
      <c r="M6" s="67" t="s">
        <v>484</v>
      </c>
      <c r="N6" s="68" t="s">
        <v>485</v>
      </c>
      <c r="O6" s="137" t="s">
        <v>541</v>
      </c>
    </row>
    <row r="7" spans="1:15" ht="16.2" customHeight="1">
      <c r="A7" s="7" t="str">
        <f>E7&amp;F7</f>
        <v>ENERGY_CERTIFICATE_EST_INPUTn.a.</v>
      </c>
      <c r="B7" s="31" t="s">
        <v>10</v>
      </c>
      <c r="C7" s="30" t="s">
        <v>14</v>
      </c>
      <c r="D7" s="26" t="s">
        <v>15</v>
      </c>
      <c r="E7" s="27" t="s">
        <v>16</v>
      </c>
      <c r="F7" s="26" t="s">
        <v>17</v>
      </c>
      <c r="G7" s="28" t="e">
        <f>VLOOKUP(A7,#REF!,7,0)</f>
        <v>#REF!</v>
      </c>
      <c r="H7" s="28" t="s">
        <v>427</v>
      </c>
      <c r="I7" s="32" t="s">
        <v>482</v>
      </c>
      <c r="J7" s="41" t="e">
        <f>IF(VLOOKUP(A7,#REF!,3,0)=0, "",VLOOKUP(A7,#REF!,3,0))</f>
        <v>#REF!</v>
      </c>
      <c r="K7" s="41" t="e">
        <f>IF(VLOOKUP(A7,#REF!,4,0)=0, "",VLOOKUP(A7,#REF!,4,0))</f>
        <v>#REF!</v>
      </c>
      <c r="L7" s="41" t="e">
        <f>IF(VLOOKUP(A7,#REF!,5,0)=0, "",VLOOKUP(A7,#REF!,5,0))</f>
        <v>#REF!</v>
      </c>
      <c r="M7" s="60"/>
      <c r="N7" s="60"/>
      <c r="O7" s="136" t="s">
        <v>11</v>
      </c>
    </row>
    <row r="8" spans="1:15" ht="16.2" customHeight="1">
      <c r="A8" s="7" t="str">
        <f t="shared" ref="A8:A71" si="0">E8&amp;F8</f>
        <v>ENERGY_CERTIFICATE_EST_INPUTPROPERTY_BANK_ID</v>
      </c>
      <c r="B8" s="31" t="s">
        <v>10</v>
      </c>
      <c r="C8" s="30" t="s">
        <v>14</v>
      </c>
      <c r="D8" s="26" t="s">
        <v>18</v>
      </c>
      <c r="E8" s="27" t="s">
        <v>16</v>
      </c>
      <c r="F8" s="26" t="s">
        <v>19</v>
      </c>
      <c r="G8" s="28" t="e">
        <f>VLOOKUP(A8,#REF!,7,0)</f>
        <v>#REF!</v>
      </c>
      <c r="H8" s="28" t="s">
        <v>427</v>
      </c>
      <c r="I8" s="32" t="s">
        <v>482</v>
      </c>
      <c r="J8" s="41" t="e">
        <f>IF(VLOOKUP(A8,#REF!,3,0)=0, "",VLOOKUP(A8,#REF!,3,0))</f>
        <v>#REF!</v>
      </c>
      <c r="K8" s="41" t="e">
        <f>IF(VLOOKUP(A8,#REF!,4,0)=0, "",VLOOKUP(A8,#REF!,4,0))</f>
        <v>#REF!</v>
      </c>
      <c r="L8" s="41" t="e">
        <f>IF(VLOOKUP(A8,#REF!,5,0)=0, "",VLOOKUP(A8,#REF!,5,0))</f>
        <v>#REF!</v>
      </c>
      <c r="M8" s="59"/>
      <c r="N8" s="59"/>
      <c r="O8" s="136" t="s">
        <v>11</v>
      </c>
    </row>
    <row r="9" spans="1:15" ht="16.2" customHeight="1">
      <c r="A9" s="7" t="str">
        <f t="shared" si="0"/>
        <v>ENERGY_CERTIFICATE_EST_INPUTENCRYPTED_KEY</v>
      </c>
      <c r="B9" s="31" t="s">
        <v>10</v>
      </c>
      <c r="C9" s="30" t="s">
        <v>14</v>
      </c>
      <c r="D9" s="26" t="s">
        <v>18</v>
      </c>
      <c r="E9" s="27" t="s">
        <v>16</v>
      </c>
      <c r="F9" s="26" t="s">
        <v>20</v>
      </c>
      <c r="G9" s="28" t="e">
        <f>VLOOKUP(A9,#REF!,7,0)</f>
        <v>#REF!</v>
      </c>
      <c r="H9" s="28" t="s">
        <v>427</v>
      </c>
      <c r="I9" s="32" t="s">
        <v>482</v>
      </c>
      <c r="J9" s="41" t="e">
        <f>IF(VLOOKUP(A9,#REF!,3,0)=0, "",VLOOKUP(A9,#REF!,3,0))</f>
        <v>#REF!</v>
      </c>
      <c r="K9" s="41" t="e">
        <f>IF(VLOOKUP(A9,#REF!,4,0)=0, "",VLOOKUP(A9,#REF!,4,0))</f>
        <v>#REF!</v>
      </c>
      <c r="L9" s="41" t="e">
        <f>IF(VLOOKUP(A9,#REF!,5,0)=0, "",VLOOKUP(A9,#REF!,5,0))</f>
        <v>#REF!</v>
      </c>
      <c r="M9" s="59"/>
      <c r="N9" s="59"/>
      <c r="O9" s="136" t="s">
        <v>11</v>
      </c>
    </row>
    <row r="10" spans="1:15" ht="16.2" customHeight="1">
      <c r="A10" s="7" t="str">
        <f t="shared" si="0"/>
        <v>ENERGY_CERTIFICATE_EST_INPUTPROPERTY_BRANCH_CODE</v>
      </c>
      <c r="B10" s="31" t="s">
        <v>10</v>
      </c>
      <c r="C10" s="30" t="s">
        <v>14</v>
      </c>
      <c r="D10" s="26" t="s">
        <v>18</v>
      </c>
      <c r="E10" s="27" t="s">
        <v>16</v>
      </c>
      <c r="F10" s="26" t="s">
        <v>21</v>
      </c>
      <c r="G10" s="28" t="e">
        <f>VLOOKUP(A10,#REF!,7,0)</f>
        <v>#REF!</v>
      </c>
      <c r="H10" s="28" t="s">
        <v>427</v>
      </c>
      <c r="I10" s="32" t="s">
        <v>482</v>
      </c>
      <c r="J10" s="41" t="e">
        <f>IF(VLOOKUP(A10,#REF!,3,0)=0, "",VLOOKUP(A10,#REF!,3,0))</f>
        <v>#REF!</v>
      </c>
      <c r="K10" s="41" t="e">
        <f>IF(VLOOKUP(A10,#REF!,4,0)=0, "",VLOOKUP(A10,#REF!,4,0))</f>
        <v>#REF!</v>
      </c>
      <c r="L10" s="41" t="e">
        <f>IF(VLOOKUP(A10,#REF!,5,0)=0, "",VLOOKUP(A10,#REF!,5,0))</f>
        <v>#REF!</v>
      </c>
      <c r="M10" s="59"/>
      <c r="N10" s="59"/>
      <c r="O10" s="136" t="s">
        <v>11</v>
      </c>
    </row>
    <row r="11" spans="1:15" ht="16.2" customHeight="1">
      <c r="A11" s="7" t="str">
        <f t="shared" si="0"/>
        <v>ENERGY_CERTIFICATE_EST_INPUTPROPERTY_CONTRACT_ID</v>
      </c>
      <c r="B11" s="31" t="s">
        <v>10</v>
      </c>
      <c r="C11" s="30" t="s">
        <v>14</v>
      </c>
      <c r="D11" s="26" t="s">
        <v>18</v>
      </c>
      <c r="E11" s="27" t="s">
        <v>16</v>
      </c>
      <c r="F11" s="26" t="s">
        <v>22</v>
      </c>
      <c r="G11" s="28" t="e">
        <f>VLOOKUP(A11,#REF!,7,0)</f>
        <v>#REF!</v>
      </c>
      <c r="H11" s="28" t="s">
        <v>427</v>
      </c>
      <c r="I11" s="32" t="s">
        <v>482</v>
      </c>
      <c r="J11" s="41" t="e">
        <f>IF(VLOOKUP(A11,#REF!,3,0)=0, "",VLOOKUP(A11,#REF!,3,0))</f>
        <v>#REF!</v>
      </c>
      <c r="K11" s="41" t="e">
        <f>IF(VLOOKUP(A11,#REF!,4,0)=0, "",VLOOKUP(A11,#REF!,4,0))</f>
        <v>#REF!</v>
      </c>
      <c r="L11" s="41" t="e">
        <f>IF(VLOOKUP(A11,#REF!,5,0)=0, "",VLOOKUP(A11,#REF!,5,0))</f>
        <v>#REF!</v>
      </c>
      <c r="M11" s="59"/>
      <c r="N11" s="59"/>
      <c r="O11" s="136" t="s">
        <v>11</v>
      </c>
    </row>
    <row r="12" spans="1:15" ht="16.2" customHeight="1">
      <c r="A12" s="7" t="str">
        <f t="shared" si="0"/>
        <v>ENERGY_CERTIFICATE_EST_INPUTPROPERTY_REFERENCE_CODE</v>
      </c>
      <c r="B12" s="31" t="s">
        <v>10</v>
      </c>
      <c r="C12" s="30" t="s">
        <v>14</v>
      </c>
      <c r="D12" s="26" t="s">
        <v>18</v>
      </c>
      <c r="E12" s="27" t="s">
        <v>16</v>
      </c>
      <c r="F12" s="26" t="s">
        <v>23</v>
      </c>
      <c r="G12" s="28" t="e">
        <f>VLOOKUP(A12,#REF!,7,0)</f>
        <v>#REF!</v>
      </c>
      <c r="H12" s="28" t="s">
        <v>427</v>
      </c>
      <c r="I12" s="32" t="s">
        <v>482</v>
      </c>
      <c r="J12" s="41" t="e">
        <f>IF(VLOOKUP(A12,#REF!,3,0)=0, "",VLOOKUP(A12,#REF!,3,0))</f>
        <v>#REF!</v>
      </c>
      <c r="K12" s="41" t="e">
        <f>IF(VLOOKUP(A12,#REF!,4,0)=0, "",VLOOKUP(A12,#REF!,4,0))</f>
        <v>#REF!</v>
      </c>
      <c r="L12" s="41" t="e">
        <f>IF(VLOOKUP(A12,#REF!,5,0)=0, "",VLOOKUP(A12,#REF!,5,0))</f>
        <v>#REF!</v>
      </c>
      <c r="M12" s="59"/>
      <c r="N12" s="59"/>
      <c r="O12" s="136" t="s">
        <v>11</v>
      </c>
    </row>
    <row r="13" spans="1:15" ht="16.2" customHeight="1">
      <c r="A13" s="7" t="str">
        <f t="shared" si="0"/>
        <v>ENERGY_CERTIFICATE_EST_INPUTDATA_EXTRACTION_DATE</v>
      </c>
      <c r="B13" s="31" t="s">
        <v>10</v>
      </c>
      <c r="C13" s="30" t="s">
        <v>14</v>
      </c>
      <c r="D13" s="26" t="s">
        <v>18</v>
      </c>
      <c r="E13" s="27" t="s">
        <v>16</v>
      </c>
      <c r="F13" s="26" t="s">
        <v>24</v>
      </c>
      <c r="G13" s="28" t="e">
        <f>VLOOKUP(A13,#REF!,7,0)</f>
        <v>#REF!</v>
      </c>
      <c r="H13" s="28" t="s">
        <v>427</v>
      </c>
      <c r="I13" s="32" t="s">
        <v>482</v>
      </c>
      <c r="J13" s="41" t="e">
        <f>IF(VLOOKUP(A13,#REF!,3,0)=0, "",VLOOKUP(A13,#REF!,3,0))</f>
        <v>#REF!</v>
      </c>
      <c r="K13" s="41" t="e">
        <f>IF(VLOOKUP(A13,#REF!,4,0)=0, "",VLOOKUP(A13,#REF!,4,0))</f>
        <v>#REF!</v>
      </c>
      <c r="L13" s="41" t="e">
        <f>IF(VLOOKUP(A13,#REF!,5,0)=0, "",VLOOKUP(A13,#REF!,5,0))</f>
        <v>#REF!</v>
      </c>
      <c r="M13" s="59"/>
      <c r="N13" s="59"/>
      <c r="O13" s="136" t="s">
        <v>11</v>
      </c>
    </row>
    <row r="14" spans="1:15" ht="16.2" customHeight="1">
      <c r="A14" s="7" t="str">
        <f t="shared" si="0"/>
        <v>ENERGY_CERTIFICATE_EST_INPUTEPC</v>
      </c>
      <c r="B14" s="31" t="s">
        <v>10</v>
      </c>
      <c r="C14" s="30" t="s">
        <v>14</v>
      </c>
      <c r="D14" s="26" t="s">
        <v>18</v>
      </c>
      <c r="E14" s="27" t="s">
        <v>16</v>
      </c>
      <c r="F14" s="26" t="s">
        <v>25</v>
      </c>
      <c r="G14" s="28" t="e">
        <f>VLOOKUP(A14,#REF!,7,0)</f>
        <v>#REF!</v>
      </c>
      <c r="H14" s="28" t="s">
        <v>427</v>
      </c>
      <c r="I14" s="32" t="s">
        <v>482</v>
      </c>
      <c r="J14" s="41" t="e">
        <f>IF(VLOOKUP(A14,#REF!,3,0)=0, "",VLOOKUP(A14,#REF!,3,0))</f>
        <v>#REF!</v>
      </c>
      <c r="K14" s="41" t="e">
        <f>IF(VLOOKUP(A14,#REF!,4,0)=0, "",VLOOKUP(A14,#REF!,4,0))</f>
        <v>#REF!</v>
      </c>
      <c r="L14" s="41" t="e">
        <f>IF(VLOOKUP(A14,#REF!,5,0)=0, "",VLOOKUP(A14,#REF!,5,0))</f>
        <v>#REF!</v>
      </c>
      <c r="M14" s="59"/>
      <c r="N14" s="59"/>
      <c r="O14" s="136" t="s">
        <v>11</v>
      </c>
    </row>
    <row r="15" spans="1:15" ht="16.2" customHeight="1">
      <c r="A15" s="7" t="str">
        <f t="shared" si="0"/>
        <v>ENERGY_CERTIFICATE_EST_INPUTDATA_PROVIDER</v>
      </c>
      <c r="B15" s="31" t="s">
        <v>10</v>
      </c>
      <c r="C15" s="30" t="s">
        <v>14</v>
      </c>
      <c r="D15" s="26" t="s">
        <v>18</v>
      </c>
      <c r="E15" s="27" t="s">
        <v>16</v>
      </c>
      <c r="F15" s="26" t="s">
        <v>26</v>
      </c>
      <c r="G15" s="28" t="e">
        <f>VLOOKUP(A15,#REF!,7,0)</f>
        <v>#REF!</v>
      </c>
      <c r="H15" s="28" t="s">
        <v>427</v>
      </c>
      <c r="I15" s="32" t="s">
        <v>482</v>
      </c>
      <c r="J15" s="41" t="e">
        <f>IF(VLOOKUP(A15,#REF!,3,0)=0, "",VLOOKUP(A15,#REF!,3,0))</f>
        <v>#REF!</v>
      </c>
      <c r="K15" s="41" t="e">
        <f>IF(VLOOKUP(A15,#REF!,4,0)=0, "",VLOOKUP(A15,#REF!,4,0))</f>
        <v>#REF!</v>
      </c>
      <c r="L15" s="41" t="e">
        <f>IF(VLOOKUP(A15,#REF!,5,0)=0, "",VLOOKUP(A15,#REF!,5,0))</f>
        <v>#REF!</v>
      </c>
      <c r="M15" s="59"/>
      <c r="N15" s="59"/>
      <c r="O15" s="136" t="s">
        <v>11</v>
      </c>
    </row>
    <row r="16" spans="1:15" ht="16.2" customHeight="1">
      <c r="A16" s="7" t="str">
        <f t="shared" si="0"/>
        <v>ENERGY_CERTIFICATE_EST_INPUTACTUAL_VALUE_IND</v>
      </c>
      <c r="B16" s="31" t="s">
        <v>10</v>
      </c>
      <c r="C16" s="30" t="s">
        <v>14</v>
      </c>
      <c r="D16" s="26" t="s">
        <v>18</v>
      </c>
      <c r="E16" s="27" t="s">
        <v>16</v>
      </c>
      <c r="F16" s="26" t="s">
        <v>27</v>
      </c>
      <c r="G16" s="28" t="e">
        <f>VLOOKUP(A16,#REF!,7,0)</f>
        <v>#REF!</v>
      </c>
      <c r="H16" s="28" t="s">
        <v>427</v>
      </c>
      <c r="I16" s="32" t="s">
        <v>482</v>
      </c>
      <c r="J16" s="41" t="e">
        <f>IF(VLOOKUP(A16,#REF!,3,0)=0, "",VLOOKUP(A16,#REF!,3,0))</f>
        <v>#REF!</v>
      </c>
      <c r="K16" s="41" t="e">
        <f>IF(VLOOKUP(A16,#REF!,4,0)=0, "",VLOOKUP(A16,#REF!,4,0))</f>
        <v>#REF!</v>
      </c>
      <c r="L16" s="41" t="e">
        <f>IF(VLOOKUP(A16,#REF!,5,0)=0, "",VLOOKUP(A16,#REF!,5,0))</f>
        <v>#REF!</v>
      </c>
      <c r="M16" s="59"/>
      <c r="N16" s="59"/>
      <c r="O16" s="136" t="s">
        <v>11</v>
      </c>
    </row>
    <row r="17" spans="1:15" ht="16.2" customHeight="1">
      <c r="A17" s="7" t="str">
        <f t="shared" si="0"/>
        <v>ENERGY_CERTIFICATE_EST_INPUTQUALITY_SCORE</v>
      </c>
      <c r="B17" s="31" t="s">
        <v>10</v>
      </c>
      <c r="C17" s="30" t="s">
        <v>14</v>
      </c>
      <c r="D17" s="26" t="s">
        <v>18</v>
      </c>
      <c r="E17" s="27" t="s">
        <v>16</v>
      </c>
      <c r="F17" s="26" t="s">
        <v>28</v>
      </c>
      <c r="G17" s="28" t="e">
        <f>VLOOKUP(A17,#REF!,7,0)</f>
        <v>#REF!</v>
      </c>
      <c r="H17" s="28" t="s">
        <v>427</v>
      </c>
      <c r="I17" s="32" t="s">
        <v>482</v>
      </c>
      <c r="J17" s="41" t="e">
        <f>IF(VLOOKUP(A17,#REF!,3,0)=0, "",VLOOKUP(A17,#REF!,3,0))</f>
        <v>#REF!</v>
      </c>
      <c r="K17" s="41" t="e">
        <f>IF(VLOOKUP(A17,#REF!,4,0)=0, "",VLOOKUP(A17,#REF!,4,0))</f>
        <v>#REF!</v>
      </c>
      <c r="L17" s="41" t="e">
        <f>IF(VLOOKUP(A17,#REF!,5,0)=0, "",VLOOKUP(A17,#REF!,5,0))</f>
        <v>#REF!</v>
      </c>
      <c r="M17" s="59"/>
      <c r="N17" s="59"/>
      <c r="O17" s="136" t="s">
        <v>11</v>
      </c>
    </row>
    <row r="18" spans="1:15" ht="16.2" customHeight="1">
      <c r="A18" s="7" t="str">
        <f t="shared" si="0"/>
        <v>ENERGY_CERTIFICATE_EST_INPUTENERGY_CONSUMPTION_VALUE_YEAR</v>
      </c>
      <c r="B18" s="31" t="s">
        <v>10</v>
      </c>
      <c r="C18" s="30" t="s">
        <v>14</v>
      </c>
      <c r="D18" s="26" t="s">
        <v>18</v>
      </c>
      <c r="E18" s="27" t="s">
        <v>16</v>
      </c>
      <c r="F18" s="26" t="s">
        <v>29</v>
      </c>
      <c r="G18" s="28" t="e">
        <f>VLOOKUP(A18,#REF!,7,0)</f>
        <v>#REF!</v>
      </c>
      <c r="H18" s="28" t="s">
        <v>427</v>
      </c>
      <c r="I18" s="32" t="s">
        <v>482</v>
      </c>
      <c r="J18" s="41" t="e">
        <f>IF(VLOOKUP(A18,#REF!,3,0)=0, "",VLOOKUP(A18,#REF!,3,0))</f>
        <v>#REF!</v>
      </c>
      <c r="K18" s="41" t="e">
        <f>IF(VLOOKUP(A18,#REF!,4,0)=0, "",VLOOKUP(A18,#REF!,4,0))</f>
        <v>#REF!</v>
      </c>
      <c r="L18" s="41" t="e">
        <f>IF(VLOOKUP(A18,#REF!,5,0)=0, "",VLOOKUP(A18,#REF!,5,0))</f>
        <v>#REF!</v>
      </c>
      <c r="M18" s="59"/>
      <c r="N18" s="59"/>
      <c r="O18" s="136" t="s">
        <v>11</v>
      </c>
    </row>
    <row r="19" spans="1:15" ht="16.2" customHeight="1">
      <c r="A19" s="7" t="str">
        <f t="shared" si="0"/>
        <v>ENERGY_CERTIFICATE_EST_INPUTCARBON_EMISSION_VALUE_YEAR</v>
      </c>
      <c r="B19" s="31" t="s">
        <v>10</v>
      </c>
      <c r="C19" s="30" t="s">
        <v>14</v>
      </c>
      <c r="D19" s="26" t="s">
        <v>18</v>
      </c>
      <c r="E19" s="27" t="s">
        <v>16</v>
      </c>
      <c r="F19" s="26" t="s">
        <v>30</v>
      </c>
      <c r="G19" s="28" t="e">
        <f>VLOOKUP(A19,#REF!,7,0)</f>
        <v>#REF!</v>
      </c>
      <c r="H19" s="28" t="s">
        <v>427</v>
      </c>
      <c r="I19" s="32" t="s">
        <v>482</v>
      </c>
      <c r="J19" s="41" t="e">
        <f>IF(VLOOKUP(A19,#REF!,3,0)=0, "",VLOOKUP(A19,#REF!,3,0))</f>
        <v>#REF!</v>
      </c>
      <c r="K19" s="41" t="e">
        <f>IF(VLOOKUP(A19,#REF!,4,0)=0, "",VLOOKUP(A19,#REF!,4,0))</f>
        <v>#REF!</v>
      </c>
      <c r="L19" s="41" t="e">
        <f>IF(VLOOKUP(A19,#REF!,5,0)=0, "",VLOOKUP(A19,#REF!,5,0))</f>
        <v>#REF!</v>
      </c>
      <c r="M19" s="59"/>
      <c r="N19" s="59"/>
      <c r="O19" s="136" t="s">
        <v>11</v>
      </c>
    </row>
    <row r="20" spans="1:15" ht="16.2" customHeight="1">
      <c r="A20" s="7" t="str">
        <f t="shared" si="0"/>
        <v>PROCESSn.a.</v>
      </c>
      <c r="B20" s="31" t="s">
        <v>10</v>
      </c>
      <c r="C20" s="30" t="s">
        <v>31</v>
      </c>
      <c r="D20" s="26" t="s">
        <v>15</v>
      </c>
      <c r="E20" s="27" t="s">
        <v>32</v>
      </c>
      <c r="F20" s="26" t="s">
        <v>17</v>
      </c>
      <c r="G20" s="28" t="e">
        <f>VLOOKUP(A20,#REF!,7,0)</f>
        <v>#REF!</v>
      </c>
      <c r="H20" s="28" t="s">
        <v>422</v>
      </c>
      <c r="I20" s="32"/>
      <c r="J20" s="41" t="e">
        <f>IF(VLOOKUP(A20,#REF!,3,0)=0, "",VLOOKUP(A20,#REF!,3,0))</f>
        <v>#REF!</v>
      </c>
      <c r="K20" s="41" t="e">
        <f>IF(VLOOKUP(A20,#REF!,4,0)=0, "",VLOOKUP(A20,#REF!,4,0))</f>
        <v>#REF!</v>
      </c>
      <c r="L20" s="41" t="e">
        <f>IF(VLOOKUP(A20,#REF!,5,0)=0, "",VLOOKUP(A20,#REF!,5,0))</f>
        <v>#REF!</v>
      </c>
      <c r="M20" s="59"/>
      <c r="N20" s="59"/>
      <c r="O20" s="136" t="s">
        <v>11</v>
      </c>
    </row>
    <row r="21" spans="1:15" ht="16.2" customHeight="1">
      <c r="A21" s="7" t="str">
        <f t="shared" si="0"/>
        <v>PROCESSPROCESS_BANK_ID</v>
      </c>
      <c r="B21" s="31" t="s">
        <v>10</v>
      </c>
      <c r="C21" s="30" t="s">
        <v>31</v>
      </c>
      <c r="D21" s="26" t="s">
        <v>18</v>
      </c>
      <c r="E21" s="27" t="s">
        <v>32</v>
      </c>
      <c r="F21" s="26" t="s">
        <v>33</v>
      </c>
      <c r="G21" s="28" t="e">
        <f>VLOOKUP(A21,#REF!,7,0)</f>
        <v>#REF!</v>
      </c>
      <c r="H21" s="28" t="s">
        <v>422</v>
      </c>
      <c r="I21" s="42" t="s">
        <v>455</v>
      </c>
      <c r="J21" s="41" t="e">
        <f>IF(VLOOKUP(A21,#REF!,3,0)=0, "",VLOOKUP(A21,#REF!,3,0))</f>
        <v>#REF!</v>
      </c>
      <c r="K21" s="41" t="e">
        <f>IF(VLOOKUP(A21,#REF!,4,0)=0, "",VLOOKUP(A21,#REF!,4,0))</f>
        <v>#REF!</v>
      </c>
      <c r="L21" s="41" t="e">
        <f>IF(VLOOKUP(A21,#REF!,5,0)=0, "",VLOOKUP(A21,#REF!,5,0))</f>
        <v>#REF!</v>
      </c>
      <c r="M21" s="59"/>
      <c r="N21" s="59"/>
      <c r="O21" s="136" t="s">
        <v>11</v>
      </c>
    </row>
    <row r="22" spans="1:15" ht="16.2" customHeight="1">
      <c r="A22" s="7" t="str">
        <f t="shared" si="0"/>
        <v>PROCESSPROCESS_BRANCH_CODE</v>
      </c>
      <c r="B22" s="31" t="s">
        <v>10</v>
      </c>
      <c r="C22" s="30" t="s">
        <v>31</v>
      </c>
      <c r="D22" s="26" t="s">
        <v>18</v>
      </c>
      <c r="E22" s="27" t="s">
        <v>32</v>
      </c>
      <c r="F22" s="26" t="s">
        <v>34</v>
      </c>
      <c r="G22" s="28" t="e">
        <f>VLOOKUP(A22,#REF!,7,0)</f>
        <v>#REF!</v>
      </c>
      <c r="H22" s="28" t="s">
        <v>422</v>
      </c>
      <c r="I22" s="42" t="s">
        <v>455</v>
      </c>
      <c r="J22" s="41" t="e">
        <f>IF(VLOOKUP(A22,#REF!,3,0)=0, "",VLOOKUP(A22,#REF!,3,0))</f>
        <v>#REF!</v>
      </c>
      <c r="K22" s="41" t="e">
        <f>IF(VLOOKUP(A22,#REF!,4,0)=0, "",VLOOKUP(A22,#REF!,4,0))</f>
        <v>#REF!</v>
      </c>
      <c r="L22" s="41" t="e">
        <f>IF(VLOOKUP(A22,#REF!,5,0)=0, "",VLOOKUP(A22,#REF!,5,0))</f>
        <v>#REF!</v>
      </c>
      <c r="M22" s="59"/>
      <c r="N22" s="59"/>
      <c r="O22" s="136" t="s">
        <v>11</v>
      </c>
    </row>
    <row r="23" spans="1:15" ht="16.2" customHeight="1">
      <c r="A23" s="7" t="str">
        <f t="shared" si="0"/>
        <v>PROCESSPROCESS_ACCOUNT_ID</v>
      </c>
      <c r="B23" s="31" t="s">
        <v>10</v>
      </c>
      <c r="C23" s="30" t="s">
        <v>31</v>
      </c>
      <c r="D23" s="26" t="s">
        <v>18</v>
      </c>
      <c r="E23" s="27" t="s">
        <v>32</v>
      </c>
      <c r="F23" s="26" t="s">
        <v>35</v>
      </c>
      <c r="G23" s="28" t="e">
        <f>VLOOKUP(A23,#REF!,7,0)</f>
        <v>#REF!</v>
      </c>
      <c r="H23" s="28" t="s">
        <v>422</v>
      </c>
      <c r="I23" s="42" t="s">
        <v>455</v>
      </c>
      <c r="J23" s="41" t="e">
        <f>IF(VLOOKUP(A23,#REF!,3,0)=0, "",VLOOKUP(A23,#REF!,3,0))</f>
        <v>#REF!</v>
      </c>
      <c r="K23" s="41" t="e">
        <f>IF(VLOOKUP(A23,#REF!,4,0)=0, "",VLOOKUP(A23,#REF!,4,0))</f>
        <v>#REF!</v>
      </c>
      <c r="L23" s="41" t="e">
        <f>IF(VLOOKUP(A23,#REF!,5,0)=0, "",VLOOKUP(A23,#REF!,5,0))</f>
        <v>#REF!</v>
      </c>
      <c r="M23" s="59"/>
      <c r="N23" s="59"/>
      <c r="O23" s="136" t="s">
        <v>11</v>
      </c>
    </row>
    <row r="24" spans="1:15" ht="16.2" customHeight="1">
      <c r="A24" s="7" t="str">
        <f t="shared" si="0"/>
        <v>PROCESScod_estd_prcs</v>
      </c>
      <c r="B24" s="31" t="s">
        <v>10</v>
      </c>
      <c r="C24" s="30" t="s">
        <v>31</v>
      </c>
      <c r="D24" s="26" t="s">
        <v>18</v>
      </c>
      <c r="E24" s="27" t="s">
        <v>32</v>
      </c>
      <c r="F24" s="26" t="s">
        <v>36</v>
      </c>
      <c r="G24" s="28" t="e">
        <f>VLOOKUP(A24,#REF!,7,0)</f>
        <v>#REF!</v>
      </c>
      <c r="H24" s="28" t="s">
        <v>421</v>
      </c>
      <c r="I24" s="32" t="s">
        <v>456</v>
      </c>
      <c r="J24" s="41" t="e">
        <f>IF(VLOOKUP(A24,#REF!,3,0)=0, "",VLOOKUP(A24,#REF!,3,0))</f>
        <v>#REF!</v>
      </c>
      <c r="K24" s="41" t="e">
        <f>IF(VLOOKUP(A24,#REF!,4,0)=0, "",VLOOKUP(A24,#REF!,4,0))</f>
        <v>#REF!</v>
      </c>
      <c r="L24" s="41" t="e">
        <f>IF(VLOOKUP(A24,#REF!,5,0)=0, "",VLOOKUP(A24,#REF!,5,0))</f>
        <v>#REF!</v>
      </c>
      <c r="M24" s="59"/>
      <c r="N24" s="59"/>
      <c r="O24" s="136" t="s">
        <v>11</v>
      </c>
    </row>
    <row r="25" spans="1:15" ht="16.2" customHeight="1">
      <c r="A25" s="7" t="str">
        <f t="shared" si="0"/>
        <v>PROCESSGUARANTEE_CODE</v>
      </c>
      <c r="B25" s="31" t="s">
        <v>10</v>
      </c>
      <c r="C25" s="30" t="s">
        <v>31</v>
      </c>
      <c r="D25" s="26" t="s">
        <v>18</v>
      </c>
      <c r="E25" s="27" t="s">
        <v>32</v>
      </c>
      <c r="F25" s="26" t="s">
        <v>37</v>
      </c>
      <c r="G25" s="28" t="e">
        <f>VLOOKUP(A25,#REF!,7,0)</f>
        <v>#REF!</v>
      </c>
      <c r="H25" s="28" t="s">
        <v>422</v>
      </c>
      <c r="I25" s="32"/>
      <c r="J25" s="41" t="e">
        <f>IF(VLOOKUP(A25,#REF!,3,0)=0, "",VLOOKUP(A25,#REF!,3,0))</f>
        <v>#REF!</v>
      </c>
      <c r="K25" s="41" t="e">
        <f>IF(VLOOKUP(A25,#REF!,4,0)=0, "",VLOOKUP(A25,#REF!,4,0))</f>
        <v>#REF!</v>
      </c>
      <c r="L25" s="41" t="e">
        <f>IF(VLOOKUP(A25,#REF!,5,0)=0, "",VLOOKUP(A25,#REF!,5,0))</f>
        <v>#REF!</v>
      </c>
      <c r="M25" s="59"/>
      <c r="N25" s="59"/>
      <c r="O25" s="136" t="s">
        <v>11</v>
      </c>
    </row>
    <row r="26" spans="1:15" ht="16.2" customHeight="1">
      <c r="A26" s="7" t="str">
        <f t="shared" si="0"/>
        <v>PROCESSCURRENCY_CODE</v>
      </c>
      <c r="B26" s="31" t="s">
        <v>10</v>
      </c>
      <c r="C26" s="30" t="s">
        <v>31</v>
      </c>
      <c r="D26" s="26" t="s">
        <v>18</v>
      </c>
      <c r="E26" s="27" t="s">
        <v>32</v>
      </c>
      <c r="F26" s="26" t="s">
        <v>38</v>
      </c>
      <c r="G26" s="28" t="e">
        <f>VLOOKUP(A26,#REF!,7,0)</f>
        <v>#REF!</v>
      </c>
      <c r="H26" s="28" t="s">
        <v>422</v>
      </c>
      <c r="I26" s="32"/>
      <c r="J26" s="41" t="e">
        <f>IF(VLOOKUP(A26,#REF!,3,0)=0, "",VLOOKUP(A26,#REF!,3,0))</f>
        <v>#REF!</v>
      </c>
      <c r="K26" s="41" t="e">
        <f>IF(VLOOKUP(A26,#REF!,4,0)=0, "",VLOOKUP(A26,#REF!,4,0))</f>
        <v>#REF!</v>
      </c>
      <c r="L26" s="41" t="e">
        <f>IF(VLOOKUP(A26,#REF!,5,0)=0, "",VLOOKUP(A26,#REF!,5,0))</f>
        <v>#REF!</v>
      </c>
      <c r="M26" s="59"/>
      <c r="N26" s="59"/>
      <c r="O26" s="136" t="s">
        <v>11</v>
      </c>
    </row>
    <row r="27" spans="1:15" ht="16.2" customHeight="1">
      <c r="A27" s="7" t="str">
        <f t="shared" si="0"/>
        <v>PROCESSPROCESS_CAMPAIGN_CODE</v>
      </c>
      <c r="B27" s="31" t="s">
        <v>10</v>
      </c>
      <c r="C27" s="30" t="s">
        <v>31</v>
      </c>
      <c r="D27" s="26" t="s">
        <v>18</v>
      </c>
      <c r="E27" s="27" t="s">
        <v>32</v>
      </c>
      <c r="F27" s="26" t="s">
        <v>39</v>
      </c>
      <c r="G27" s="28" t="e">
        <f>VLOOKUP(A27,#REF!,7,0)</f>
        <v>#REF!</v>
      </c>
      <c r="H27" s="28" t="s">
        <v>422</v>
      </c>
      <c r="I27" s="32"/>
      <c r="J27" s="41" t="e">
        <f>IF(VLOOKUP(A27,#REF!,3,0)=0, "",VLOOKUP(A27,#REF!,3,0))</f>
        <v>#REF!</v>
      </c>
      <c r="K27" s="41" t="e">
        <f>IF(VLOOKUP(A27,#REF!,4,0)=0, "",VLOOKUP(A27,#REF!,4,0))</f>
        <v>#REF!</v>
      </c>
      <c r="L27" s="41" t="e">
        <f>IF(VLOOKUP(A27,#REF!,5,0)=0, "",VLOOKUP(A27,#REF!,5,0))</f>
        <v>#REF!</v>
      </c>
      <c r="M27" s="59"/>
      <c r="N27" s="59"/>
      <c r="O27" s="136" t="s">
        <v>11</v>
      </c>
    </row>
    <row r="28" spans="1:15" ht="16.2" customHeight="1">
      <c r="A28" s="7" t="str">
        <f t="shared" si="0"/>
        <v>PROCESSPROCESS_PRODUCT_ID</v>
      </c>
      <c r="B28" s="31" t="s">
        <v>10</v>
      </c>
      <c r="C28" s="30" t="s">
        <v>31</v>
      </c>
      <c r="D28" s="26" t="s">
        <v>18</v>
      </c>
      <c r="E28" s="27" t="s">
        <v>32</v>
      </c>
      <c r="F28" s="26" t="s">
        <v>40</v>
      </c>
      <c r="G28" s="28" t="e">
        <f>VLOOKUP(A28,#REF!,7,0)</f>
        <v>#REF!</v>
      </c>
      <c r="H28" s="28" t="s">
        <v>422</v>
      </c>
      <c r="I28" s="32"/>
      <c r="J28" s="41" t="e">
        <f>IF(VLOOKUP(A28,#REF!,3,0)=0, "",VLOOKUP(A28,#REF!,3,0))</f>
        <v>#REF!</v>
      </c>
      <c r="K28" s="41" t="e">
        <f>IF(VLOOKUP(A28,#REF!,4,0)=0, "",VLOOKUP(A28,#REF!,4,0))</f>
        <v>#REF!</v>
      </c>
      <c r="L28" s="41" t="e">
        <f>IF(VLOOKUP(A28,#REF!,5,0)=0, "",VLOOKUP(A28,#REF!,5,0))</f>
        <v>#REF!</v>
      </c>
      <c r="M28" s="59"/>
      <c r="N28" s="59"/>
      <c r="O28" s="136" t="s">
        <v>11</v>
      </c>
    </row>
    <row r="29" spans="1:15" ht="16.2" customHeight="1">
      <c r="A29" s="7" t="str">
        <f t="shared" si="0"/>
        <v>PROCESSPROCESS_SUBPRODUCT_ID</v>
      </c>
      <c r="B29" s="31" t="s">
        <v>10</v>
      </c>
      <c r="C29" s="30" t="s">
        <v>31</v>
      </c>
      <c r="D29" s="26" t="s">
        <v>18</v>
      </c>
      <c r="E29" s="27" t="s">
        <v>32</v>
      </c>
      <c r="F29" s="26" t="s">
        <v>41</v>
      </c>
      <c r="G29" s="28" t="e">
        <f>VLOOKUP(A29,#REF!,7,0)</f>
        <v>#REF!</v>
      </c>
      <c r="H29" s="28" t="s">
        <v>422</v>
      </c>
      <c r="I29" s="32"/>
      <c r="J29" s="41" t="e">
        <f>IF(VLOOKUP(A29,#REF!,3,0)=0, "",VLOOKUP(A29,#REF!,3,0))</f>
        <v>#REF!</v>
      </c>
      <c r="K29" s="41" t="e">
        <f>IF(VLOOKUP(A29,#REF!,4,0)=0, "",VLOOKUP(A29,#REF!,4,0))</f>
        <v>#REF!</v>
      </c>
      <c r="L29" s="41" t="e">
        <f>IF(VLOOKUP(A29,#REF!,5,0)=0, "",VLOOKUP(A29,#REF!,5,0))</f>
        <v>#REF!</v>
      </c>
      <c r="M29" s="59"/>
      <c r="N29" s="59"/>
      <c r="O29" s="136" t="s">
        <v>11</v>
      </c>
    </row>
    <row r="30" spans="1:15" ht="16.2" customHeight="1">
      <c r="A30" s="7" t="str">
        <f t="shared" si="0"/>
        <v>PROCESSGUARANTEE_TYPE_CODE</v>
      </c>
      <c r="B30" s="31" t="s">
        <v>10</v>
      </c>
      <c r="C30" s="30" t="s">
        <v>31</v>
      </c>
      <c r="D30" s="26" t="s">
        <v>18</v>
      </c>
      <c r="E30" s="27" t="s">
        <v>32</v>
      </c>
      <c r="F30" s="26" t="s">
        <v>42</v>
      </c>
      <c r="G30" s="28" t="e">
        <f>VLOOKUP(A30,#REF!,7,0)</f>
        <v>#REF!</v>
      </c>
      <c r="H30" s="28" t="s">
        <v>422</v>
      </c>
      <c r="I30" s="32"/>
      <c r="J30" s="41" t="e">
        <f>IF(VLOOKUP(A30,#REF!,3,0)=0, "",VLOOKUP(A30,#REF!,3,0))</f>
        <v>#REF!</v>
      </c>
      <c r="K30" s="41" t="e">
        <f>IF(VLOOKUP(A30,#REF!,4,0)=0, "",VLOOKUP(A30,#REF!,4,0))</f>
        <v>#REF!</v>
      </c>
      <c r="L30" s="41" t="e">
        <f>IF(VLOOKUP(A30,#REF!,5,0)=0, "",VLOOKUP(A30,#REF!,5,0))</f>
        <v>#REF!</v>
      </c>
      <c r="M30" s="59"/>
      <c r="N30" s="59"/>
      <c r="O30" s="136" t="s">
        <v>11</v>
      </c>
    </row>
    <row r="31" spans="1:15" ht="16.2" customHeight="1">
      <c r="A31" s="7" t="str">
        <f t="shared" si="0"/>
        <v>PROCESSPROCESS_REFERENCE_CODE</v>
      </c>
      <c r="B31" s="31" t="s">
        <v>10</v>
      </c>
      <c r="C31" s="30" t="s">
        <v>31</v>
      </c>
      <c r="D31" s="26" t="s">
        <v>18</v>
      </c>
      <c r="E31" s="27" t="s">
        <v>32</v>
      </c>
      <c r="F31" s="26" t="s">
        <v>43</v>
      </c>
      <c r="G31" s="28" t="e">
        <f>VLOOKUP(A31,#REF!,7,0)</f>
        <v>#REF!</v>
      </c>
      <c r="H31" s="28" t="s">
        <v>422</v>
      </c>
      <c r="I31" s="32"/>
      <c r="J31" s="41" t="e">
        <f>IF(VLOOKUP(A31,#REF!,3,0)=0, "",VLOOKUP(A31,#REF!,3,0))</f>
        <v>#REF!</v>
      </c>
      <c r="K31" s="41" t="e">
        <f>IF(VLOOKUP(A31,#REF!,4,0)=0, "",VLOOKUP(A31,#REF!,4,0))</f>
        <v>#REF!</v>
      </c>
      <c r="L31" s="41" t="e">
        <f>IF(VLOOKUP(A31,#REF!,5,0)=0, "",VLOOKUP(A31,#REF!,5,0))</f>
        <v>#REF!</v>
      </c>
      <c r="M31" s="59"/>
      <c r="N31" s="59"/>
      <c r="O31" s="136" t="s">
        <v>11</v>
      </c>
    </row>
    <row r="32" spans="1:15" ht="16.2" customHeight="1">
      <c r="A32" s="7" t="str">
        <f t="shared" si="0"/>
        <v>PROCESSPROCESS_START_DATE</v>
      </c>
      <c r="B32" s="31" t="s">
        <v>10</v>
      </c>
      <c r="C32" s="30" t="s">
        <v>31</v>
      </c>
      <c r="D32" s="26" t="s">
        <v>18</v>
      </c>
      <c r="E32" s="27" t="s">
        <v>32</v>
      </c>
      <c r="F32" s="26" t="s">
        <v>44</v>
      </c>
      <c r="G32" s="28" t="e">
        <f>VLOOKUP(A32,#REF!,7,0)</f>
        <v>#REF!</v>
      </c>
      <c r="H32" s="28" t="s">
        <v>422</v>
      </c>
      <c r="I32" s="32"/>
      <c r="J32" s="41" t="e">
        <f>IF(VLOOKUP(A32,#REF!,3,0)=0, "",VLOOKUP(A32,#REF!,3,0))</f>
        <v>#REF!</v>
      </c>
      <c r="K32" s="41" t="e">
        <f>IF(VLOOKUP(A32,#REF!,4,0)=0, "",VLOOKUP(A32,#REF!,4,0))</f>
        <v>#REF!</v>
      </c>
      <c r="L32" s="41" t="e">
        <f>IF(VLOOKUP(A32,#REF!,5,0)=0, "",VLOOKUP(A32,#REF!,5,0))</f>
        <v>#REF!</v>
      </c>
      <c r="M32" s="59"/>
      <c r="N32" s="59"/>
      <c r="O32" s="136" t="s">
        <v>11</v>
      </c>
    </row>
    <row r="33" spans="1:15" ht="16.2" customHeight="1">
      <c r="A33" s="7" t="str">
        <f t="shared" si="0"/>
        <v>PROCESSPROCESS_DUE_DATE</v>
      </c>
      <c r="B33" s="31" t="s">
        <v>10</v>
      </c>
      <c r="C33" s="30" t="s">
        <v>31</v>
      </c>
      <c r="D33" s="26" t="s">
        <v>18</v>
      </c>
      <c r="E33" s="27" t="s">
        <v>32</v>
      </c>
      <c r="F33" s="26" t="s">
        <v>45</v>
      </c>
      <c r="G33" s="28" t="e">
        <f>VLOOKUP(A33,#REF!,7,0)</f>
        <v>#REF!</v>
      </c>
      <c r="H33" s="28" t="s">
        <v>422</v>
      </c>
      <c r="I33" s="32"/>
      <c r="J33" s="41" t="e">
        <f>IF(VLOOKUP(A33,#REF!,3,0)=0, "",VLOOKUP(A33,#REF!,3,0))</f>
        <v>#REF!</v>
      </c>
      <c r="K33" s="41" t="e">
        <f>IF(VLOOKUP(A33,#REF!,4,0)=0, "",VLOOKUP(A33,#REF!,4,0))</f>
        <v>#REF!</v>
      </c>
      <c r="L33" s="41" t="e">
        <f>IF(VLOOKUP(A33,#REF!,5,0)=0, "",VLOOKUP(A33,#REF!,5,0))</f>
        <v>#REF!</v>
      </c>
      <c r="M33" s="59"/>
      <c r="N33" s="59"/>
      <c r="O33" s="136" t="s">
        <v>11</v>
      </c>
    </row>
    <row r="34" spans="1:15" ht="16.2" customHeight="1">
      <c r="A34" s="7" t="str">
        <f t="shared" si="0"/>
        <v>PROCESSmontante_eur</v>
      </c>
      <c r="B34" s="31" t="s">
        <v>10</v>
      </c>
      <c r="C34" s="30" t="s">
        <v>31</v>
      </c>
      <c r="D34" s="26" t="s">
        <v>18</v>
      </c>
      <c r="E34" s="27" t="s">
        <v>32</v>
      </c>
      <c r="F34" s="26" t="s">
        <v>46</v>
      </c>
      <c r="G34" s="28" t="e">
        <f>VLOOKUP(A34,#REF!,7,0)</f>
        <v>#REF!</v>
      </c>
      <c r="H34" s="28" t="s">
        <v>421</v>
      </c>
      <c r="I34" s="32" t="s">
        <v>456</v>
      </c>
      <c r="J34" s="41" t="e">
        <f>IF(VLOOKUP(A34,#REF!,3,0)=0, "",VLOOKUP(A34,#REF!,3,0))</f>
        <v>#REF!</v>
      </c>
      <c r="K34" s="41" t="e">
        <f>IF(VLOOKUP(A34,#REF!,4,0)=0, "",VLOOKUP(A34,#REF!,4,0))</f>
        <v>#REF!</v>
      </c>
      <c r="L34" s="41" t="e">
        <f>IF(VLOOKUP(A34,#REF!,5,0)=0, "",VLOOKUP(A34,#REF!,5,0))</f>
        <v>#REF!</v>
      </c>
      <c r="M34" s="59"/>
      <c r="N34" s="59"/>
      <c r="O34" s="136" t="s">
        <v>11</v>
      </c>
    </row>
    <row r="35" spans="1:15" ht="16.2" customHeight="1">
      <c r="A35" s="7" t="str">
        <f t="shared" si="0"/>
        <v>PROCESSmontante_org</v>
      </c>
      <c r="B35" s="31" t="s">
        <v>10</v>
      </c>
      <c r="C35" s="30" t="s">
        <v>31</v>
      </c>
      <c r="D35" s="26" t="s">
        <v>18</v>
      </c>
      <c r="E35" s="27" t="s">
        <v>32</v>
      </c>
      <c r="F35" s="26" t="s">
        <v>47</v>
      </c>
      <c r="G35" s="28" t="e">
        <f>VLOOKUP(A35,#REF!,7,0)</f>
        <v>#REF!</v>
      </c>
      <c r="H35" s="28" t="s">
        <v>421</v>
      </c>
      <c r="I35" s="32" t="s">
        <v>456</v>
      </c>
      <c r="J35" s="41" t="e">
        <f>IF(VLOOKUP(A35,#REF!,3,0)=0, "",VLOOKUP(A35,#REF!,3,0))</f>
        <v>#REF!</v>
      </c>
      <c r="K35" s="41" t="e">
        <f>IF(VLOOKUP(A35,#REF!,4,0)=0, "",VLOOKUP(A35,#REF!,4,0))</f>
        <v>#REF!</v>
      </c>
      <c r="L35" s="41" t="e">
        <f>IF(VLOOKUP(A35,#REF!,5,0)=0, "",VLOOKUP(A35,#REF!,5,0))</f>
        <v>#REF!</v>
      </c>
      <c r="M35" s="59"/>
      <c r="N35" s="59"/>
      <c r="O35" s="136" t="s">
        <v>11</v>
      </c>
    </row>
    <row r="36" spans="1:15" ht="16.2" customHeight="1">
      <c r="A36" s="7" t="str">
        <f t="shared" si="0"/>
        <v>PROCESSorigem</v>
      </c>
      <c r="B36" s="31" t="s">
        <v>10</v>
      </c>
      <c r="C36" s="30" t="s">
        <v>31</v>
      </c>
      <c r="D36" s="26" t="s">
        <v>18</v>
      </c>
      <c r="E36" s="27" t="s">
        <v>32</v>
      </c>
      <c r="F36" s="26" t="s">
        <v>48</v>
      </c>
      <c r="G36" s="28" t="e">
        <f>VLOOKUP(A36,#REF!,7,0)</f>
        <v>#REF!</v>
      </c>
      <c r="H36" s="28" t="s">
        <v>421</v>
      </c>
      <c r="I36" s="32" t="s">
        <v>457</v>
      </c>
      <c r="J36" s="41" t="e">
        <f>IF(VLOOKUP(A36,#REF!,3,0)=0, "",VLOOKUP(A36,#REF!,3,0))</f>
        <v>#REF!</v>
      </c>
      <c r="K36" s="41" t="e">
        <f>IF(VLOOKUP(A36,#REF!,4,0)=0, "",VLOOKUP(A36,#REF!,4,0))</f>
        <v>#REF!</v>
      </c>
      <c r="L36" s="41" t="e">
        <f>IF(VLOOKUP(A36,#REF!,5,0)=0, "",VLOOKUP(A36,#REF!,5,0))</f>
        <v>#REF!</v>
      </c>
      <c r="M36" s="59"/>
      <c r="N36" s="59"/>
      <c r="O36" s="136" t="s">
        <v>11</v>
      </c>
    </row>
    <row r="37" spans="1:15" ht="16.2" customHeight="1">
      <c r="A37" s="7" t="str">
        <f t="shared" si="0"/>
        <v>PROCESSDATA_DATE_PART</v>
      </c>
      <c r="B37" s="31" t="s">
        <v>10</v>
      </c>
      <c r="C37" s="30" t="s">
        <v>31</v>
      </c>
      <c r="D37" s="26" t="s">
        <v>18</v>
      </c>
      <c r="E37" s="27" t="s">
        <v>32</v>
      </c>
      <c r="F37" s="26" t="s">
        <v>49</v>
      </c>
      <c r="G37" s="28" t="s">
        <v>422</v>
      </c>
      <c r="H37" s="28" t="s">
        <v>422</v>
      </c>
      <c r="I37" s="32"/>
      <c r="J37" s="41" t="s">
        <v>576</v>
      </c>
      <c r="K37" s="41" t="s">
        <v>576</v>
      </c>
      <c r="L37" s="41" t="s">
        <v>576</v>
      </c>
      <c r="M37" s="59"/>
      <c r="N37" s="59"/>
      <c r="O37" s="136" t="s">
        <v>11</v>
      </c>
    </row>
    <row r="38" spans="1:15" ht="16.2" customHeight="1">
      <c r="A38" s="7" t="str">
        <f t="shared" si="0"/>
        <v>RESPONSIBILITY_PROCESS_RELn.a.</v>
      </c>
      <c r="B38" s="31" t="s">
        <v>10</v>
      </c>
      <c r="C38" s="30" t="s">
        <v>31</v>
      </c>
      <c r="D38" s="26" t="s">
        <v>15</v>
      </c>
      <c r="E38" s="27" t="s">
        <v>50</v>
      </c>
      <c r="F38" s="26" t="s">
        <v>17</v>
      </c>
      <c r="G38" s="28" t="s">
        <v>422</v>
      </c>
      <c r="H38" s="28" t="s">
        <v>422</v>
      </c>
      <c r="I38" s="32"/>
      <c r="J38" s="41" t="s">
        <v>576</v>
      </c>
      <c r="K38" s="41" t="s">
        <v>576</v>
      </c>
      <c r="L38" s="41" t="s">
        <v>576</v>
      </c>
      <c r="M38" s="59"/>
      <c r="N38" s="59"/>
      <c r="O38" s="136" t="s">
        <v>11</v>
      </c>
    </row>
    <row r="39" spans="1:15" ht="16.2" customHeight="1">
      <c r="A39" s="7" t="str">
        <f t="shared" si="0"/>
        <v>RESPONSIBILITY_PROCESS_RELPROCESS_BANK_ID</v>
      </c>
      <c r="B39" s="31" t="s">
        <v>10</v>
      </c>
      <c r="C39" s="30" t="s">
        <v>31</v>
      </c>
      <c r="D39" s="26" t="s">
        <v>18</v>
      </c>
      <c r="E39" s="27" t="s">
        <v>50</v>
      </c>
      <c r="F39" s="26" t="s">
        <v>33</v>
      </c>
      <c r="G39" s="28" t="s">
        <v>422</v>
      </c>
      <c r="H39" s="28" t="s">
        <v>422</v>
      </c>
      <c r="I39" s="42" t="s">
        <v>455</v>
      </c>
      <c r="J39" s="41" t="s">
        <v>576</v>
      </c>
      <c r="K39" s="41" t="s">
        <v>576</v>
      </c>
      <c r="L39" s="41" t="s">
        <v>576</v>
      </c>
      <c r="M39" s="59"/>
      <c r="N39" s="59"/>
      <c r="O39" s="136" t="s">
        <v>11</v>
      </c>
    </row>
    <row r="40" spans="1:15" ht="16.2" customHeight="1">
      <c r="A40" s="7" t="str">
        <f t="shared" si="0"/>
        <v>RESPONSIBILITY_PROCESS_RELBANK_ID</v>
      </c>
      <c r="B40" s="31" t="s">
        <v>10</v>
      </c>
      <c r="C40" s="30" t="s">
        <v>31</v>
      </c>
      <c r="D40" s="26" t="s">
        <v>18</v>
      </c>
      <c r="E40" s="27" t="s">
        <v>50</v>
      </c>
      <c r="F40" s="26" t="s">
        <v>51</v>
      </c>
      <c r="G40" s="28" t="s">
        <v>422</v>
      </c>
      <c r="H40" s="28" t="s">
        <v>422</v>
      </c>
      <c r="I40" s="42" t="s">
        <v>455</v>
      </c>
      <c r="J40" s="41" t="s">
        <v>576</v>
      </c>
      <c r="K40" s="41" t="s">
        <v>576</v>
      </c>
      <c r="L40" s="41" t="s">
        <v>576</v>
      </c>
      <c r="M40" s="59"/>
      <c r="N40" s="59"/>
      <c r="O40" s="136" t="s">
        <v>11</v>
      </c>
    </row>
    <row r="41" spans="1:15" ht="16.2" customHeight="1">
      <c r="A41" s="7" t="str">
        <f t="shared" si="0"/>
        <v>RESPONSIBILITY_PROCESS_RELPROCESS_BRANCH_CODE</v>
      </c>
      <c r="B41" s="31" t="s">
        <v>10</v>
      </c>
      <c r="C41" s="30" t="s">
        <v>31</v>
      </c>
      <c r="D41" s="26" t="s">
        <v>18</v>
      </c>
      <c r="E41" s="27" t="s">
        <v>50</v>
      </c>
      <c r="F41" s="26" t="s">
        <v>34</v>
      </c>
      <c r="G41" s="28" t="s">
        <v>422</v>
      </c>
      <c r="H41" s="28" t="s">
        <v>422</v>
      </c>
      <c r="I41" s="42" t="s">
        <v>455</v>
      </c>
      <c r="J41" s="41" t="s">
        <v>576</v>
      </c>
      <c r="K41" s="41" t="s">
        <v>576</v>
      </c>
      <c r="L41" s="41" t="s">
        <v>576</v>
      </c>
      <c r="M41" s="59"/>
      <c r="N41" s="59"/>
      <c r="O41" s="136" t="s">
        <v>11</v>
      </c>
    </row>
    <row r="42" spans="1:15" ht="16.2" customHeight="1">
      <c r="A42" s="7" t="str">
        <f t="shared" si="0"/>
        <v>RESPONSIBILITY_PROCESS_RELBRANCH_CODE</v>
      </c>
      <c r="B42" s="31" t="s">
        <v>10</v>
      </c>
      <c r="C42" s="30" t="s">
        <v>31</v>
      </c>
      <c r="D42" s="26" t="s">
        <v>18</v>
      </c>
      <c r="E42" s="27" t="s">
        <v>50</v>
      </c>
      <c r="F42" s="26" t="s">
        <v>52</v>
      </c>
      <c r="G42" s="28" t="s">
        <v>422</v>
      </c>
      <c r="H42" s="28" t="s">
        <v>422</v>
      </c>
      <c r="I42" s="42" t="s">
        <v>455</v>
      </c>
      <c r="J42" s="41" t="s">
        <v>576</v>
      </c>
      <c r="K42" s="41" t="s">
        <v>576</v>
      </c>
      <c r="L42" s="41" t="s">
        <v>576</v>
      </c>
      <c r="M42" s="59"/>
      <c r="N42" s="59"/>
      <c r="O42" s="136" t="s">
        <v>11</v>
      </c>
    </row>
    <row r="43" spans="1:15" ht="16.2" customHeight="1">
      <c r="A43" s="7" t="str">
        <f t="shared" si="0"/>
        <v>RESPONSIBILITY_PROCESS_RELCONTRACT_ID</v>
      </c>
      <c r="B43" s="31" t="s">
        <v>10</v>
      </c>
      <c r="C43" s="30" t="s">
        <v>31</v>
      </c>
      <c r="D43" s="26" t="s">
        <v>18</v>
      </c>
      <c r="E43" s="27" t="s">
        <v>50</v>
      </c>
      <c r="F43" s="26" t="s">
        <v>53</v>
      </c>
      <c r="G43" s="28" t="s">
        <v>422</v>
      </c>
      <c r="H43" s="28" t="s">
        <v>422</v>
      </c>
      <c r="I43" s="42" t="s">
        <v>455</v>
      </c>
      <c r="J43" s="41" t="s">
        <v>576</v>
      </c>
      <c r="K43" s="41" t="s">
        <v>576</v>
      </c>
      <c r="L43" s="41" t="s">
        <v>576</v>
      </c>
      <c r="M43" s="59"/>
      <c r="N43" s="59"/>
      <c r="O43" s="136" t="s">
        <v>11</v>
      </c>
    </row>
    <row r="44" spans="1:15" ht="16.2" customHeight="1">
      <c r="A44" s="7" t="str">
        <f t="shared" si="0"/>
        <v>RESPONSIBILITY_PROCESS_RELPROCESS_ACCOUNT_ID</v>
      </c>
      <c r="B44" s="31" t="s">
        <v>10</v>
      </c>
      <c r="C44" s="30" t="s">
        <v>31</v>
      </c>
      <c r="D44" s="26" t="s">
        <v>18</v>
      </c>
      <c r="E44" s="27" t="s">
        <v>50</v>
      </c>
      <c r="F44" s="26" t="s">
        <v>35</v>
      </c>
      <c r="G44" s="28" t="s">
        <v>422</v>
      </c>
      <c r="H44" s="28" t="s">
        <v>422</v>
      </c>
      <c r="I44" s="42" t="s">
        <v>455</v>
      </c>
      <c r="J44" s="41" t="s">
        <v>576</v>
      </c>
      <c r="K44" s="41" t="s">
        <v>576</v>
      </c>
      <c r="L44" s="41" t="s">
        <v>576</v>
      </c>
      <c r="M44" s="59"/>
      <c r="N44" s="59"/>
      <c r="O44" s="136" t="s">
        <v>11</v>
      </c>
    </row>
    <row r="45" spans="1:15" ht="16.2" customHeight="1">
      <c r="A45" s="7" t="str">
        <f t="shared" si="0"/>
        <v>RESPONSIBILITY_PROCESS_RELREFERENCE_CODE</v>
      </c>
      <c r="B45" s="31" t="s">
        <v>10</v>
      </c>
      <c r="C45" s="30" t="s">
        <v>31</v>
      </c>
      <c r="D45" s="26" t="s">
        <v>18</v>
      </c>
      <c r="E45" s="27" t="s">
        <v>50</v>
      </c>
      <c r="F45" s="26" t="s">
        <v>54</v>
      </c>
      <c r="G45" s="28" t="s">
        <v>422</v>
      </c>
      <c r="H45" s="28" t="s">
        <v>422</v>
      </c>
      <c r="I45" s="42" t="s">
        <v>455</v>
      </c>
      <c r="J45" s="41" t="s">
        <v>576</v>
      </c>
      <c r="K45" s="41" t="s">
        <v>576</v>
      </c>
      <c r="L45" s="41" t="s">
        <v>576</v>
      </c>
      <c r="M45" s="59"/>
      <c r="N45" s="59"/>
      <c r="O45" s="136" t="s">
        <v>11</v>
      </c>
    </row>
    <row r="46" spans="1:15" ht="16.2" customHeight="1">
      <c r="A46" s="7" t="str">
        <f t="shared" si="0"/>
        <v>RESPONSIBILITY_PROCESS_RELPURPOSE_CODE</v>
      </c>
      <c r="B46" s="31" t="s">
        <v>10</v>
      </c>
      <c r="C46" s="30" t="s">
        <v>31</v>
      </c>
      <c r="D46" s="26" t="s">
        <v>18</v>
      </c>
      <c r="E46" s="27" t="s">
        <v>50</v>
      </c>
      <c r="F46" s="26" t="s">
        <v>55</v>
      </c>
      <c r="G46" s="28" t="s">
        <v>422</v>
      </c>
      <c r="H46" s="28" t="s">
        <v>422</v>
      </c>
      <c r="I46" s="32"/>
      <c r="J46" s="41" t="s">
        <v>576</v>
      </c>
      <c r="K46" s="41" t="s">
        <v>576</v>
      </c>
      <c r="L46" s="41" t="s">
        <v>576</v>
      </c>
      <c r="M46" s="59"/>
      <c r="N46" s="59"/>
      <c r="O46" s="136" t="s">
        <v>11</v>
      </c>
    </row>
    <row r="47" spans="1:15" ht="16.2" customHeight="1">
      <c r="A47" s="7" t="str">
        <f t="shared" si="0"/>
        <v>RESPONSIBILITY_PROCESS_RELINDIVIDUAL_OCCUPATION_CODE</v>
      </c>
      <c r="B47" s="31" t="s">
        <v>10</v>
      </c>
      <c r="C47" s="30" t="s">
        <v>31</v>
      </c>
      <c r="D47" s="26" t="s">
        <v>18</v>
      </c>
      <c r="E47" s="27" t="s">
        <v>50</v>
      </c>
      <c r="F47" s="26" t="s">
        <v>56</v>
      </c>
      <c r="G47" s="28" t="s">
        <v>422</v>
      </c>
      <c r="H47" s="28" t="s">
        <v>422</v>
      </c>
      <c r="I47" s="32"/>
      <c r="J47" s="41" t="s">
        <v>576</v>
      </c>
      <c r="K47" s="41" t="s">
        <v>576</v>
      </c>
      <c r="L47" s="41" t="s">
        <v>576</v>
      </c>
      <c r="M47" s="59"/>
      <c r="N47" s="59"/>
      <c r="O47" s="136" t="s">
        <v>11</v>
      </c>
    </row>
    <row r="48" spans="1:15" ht="16.2" customHeight="1">
      <c r="A48" s="7" t="str">
        <f t="shared" si="0"/>
        <v>RESPONSIBILITY_PROCESS_RELPRODUCT_ID</v>
      </c>
      <c r="B48" s="31" t="s">
        <v>10</v>
      </c>
      <c r="C48" s="30" t="s">
        <v>31</v>
      </c>
      <c r="D48" s="26" t="s">
        <v>18</v>
      </c>
      <c r="E48" s="27" t="s">
        <v>50</v>
      </c>
      <c r="F48" s="26" t="s">
        <v>57</v>
      </c>
      <c r="G48" s="28" t="s">
        <v>422</v>
      </c>
      <c r="H48" s="28" t="s">
        <v>422</v>
      </c>
      <c r="I48" s="32"/>
      <c r="J48" s="41" t="s">
        <v>576</v>
      </c>
      <c r="K48" s="41" t="s">
        <v>576</v>
      </c>
      <c r="L48" s="41" t="s">
        <v>576</v>
      </c>
      <c r="M48" s="59"/>
      <c r="N48" s="59"/>
      <c r="O48" s="136" t="s">
        <v>11</v>
      </c>
    </row>
    <row r="49" spans="1:15" ht="16.2" customHeight="1">
      <c r="A49" s="7" t="str">
        <f t="shared" si="0"/>
        <v>RESPONSIBILITY_PROCESS_RELcod_sit</v>
      </c>
      <c r="B49" s="31" t="s">
        <v>10</v>
      </c>
      <c r="C49" s="30" t="s">
        <v>31</v>
      </c>
      <c r="D49" s="26" t="s">
        <v>18</v>
      </c>
      <c r="E49" s="27" t="s">
        <v>50</v>
      </c>
      <c r="F49" s="26" t="s">
        <v>58</v>
      </c>
      <c r="G49" s="28" t="s">
        <v>421</v>
      </c>
      <c r="H49" s="28" t="s">
        <v>421</v>
      </c>
      <c r="I49" s="32" t="s">
        <v>456</v>
      </c>
      <c r="J49" s="41" t="s">
        <v>576</v>
      </c>
      <c r="K49" s="41" t="s">
        <v>576</v>
      </c>
      <c r="L49" s="41" t="s">
        <v>576</v>
      </c>
      <c r="M49" s="59"/>
      <c r="N49" s="59"/>
      <c r="O49" s="136" t="s">
        <v>11</v>
      </c>
    </row>
    <row r="50" spans="1:15" ht="16.2" customHeight="1">
      <c r="A50" s="7" t="str">
        <f t="shared" si="0"/>
        <v>RESPONSIBILITY_PROCESS_RELSUBPRODUCT_ID</v>
      </c>
      <c r="B50" s="31" t="s">
        <v>10</v>
      </c>
      <c r="C50" s="30" t="s">
        <v>31</v>
      </c>
      <c r="D50" s="26" t="s">
        <v>18</v>
      </c>
      <c r="E50" s="27" t="s">
        <v>50</v>
      </c>
      <c r="F50" s="26" t="s">
        <v>59</v>
      </c>
      <c r="G50" s="28" t="s">
        <v>422</v>
      </c>
      <c r="H50" s="28" t="s">
        <v>422</v>
      </c>
      <c r="I50" s="32"/>
      <c r="J50" s="41" t="s">
        <v>576</v>
      </c>
      <c r="K50" s="41" t="s">
        <v>576</v>
      </c>
      <c r="L50" s="41" t="s">
        <v>576</v>
      </c>
      <c r="M50" s="59"/>
      <c r="N50" s="59"/>
      <c r="O50" s="136" t="s">
        <v>11</v>
      </c>
    </row>
    <row r="51" spans="1:15" ht="16.2" customHeight="1">
      <c r="A51" s="7" t="str">
        <f t="shared" si="0"/>
        <v>RESPONSIBILITY_PROCESS_RELPROCESS_REFERENCE_CODE</v>
      </c>
      <c r="B51" s="31" t="s">
        <v>10</v>
      </c>
      <c r="C51" s="30" t="s">
        <v>31</v>
      </c>
      <c r="D51" s="26" t="s">
        <v>18</v>
      </c>
      <c r="E51" s="27" t="s">
        <v>50</v>
      </c>
      <c r="F51" s="26" t="s">
        <v>43</v>
      </c>
      <c r="G51" s="28" t="s">
        <v>422</v>
      </c>
      <c r="H51" s="28" t="s">
        <v>422</v>
      </c>
      <c r="I51" s="32"/>
      <c r="J51" s="41" t="s">
        <v>576</v>
      </c>
      <c r="K51" s="41" t="s">
        <v>576</v>
      </c>
      <c r="L51" s="41" t="s">
        <v>576</v>
      </c>
      <c r="M51" s="59"/>
      <c r="N51" s="59"/>
      <c r="O51" s="136" t="s">
        <v>11</v>
      </c>
    </row>
    <row r="52" spans="1:15" ht="16.2" customHeight="1">
      <c r="A52" s="7" t="str">
        <f t="shared" si="0"/>
        <v>RESPONSIBILITY_PROCESS_RELEFFECTIVE_RELATION_END_DATE</v>
      </c>
      <c r="B52" s="31" t="s">
        <v>10</v>
      </c>
      <c r="C52" s="30" t="s">
        <v>31</v>
      </c>
      <c r="D52" s="26" t="s">
        <v>18</v>
      </c>
      <c r="E52" s="27" t="s">
        <v>50</v>
      </c>
      <c r="F52" s="26" t="s">
        <v>60</v>
      </c>
      <c r="G52" s="28" t="s">
        <v>422</v>
      </c>
      <c r="H52" s="28" t="s">
        <v>422</v>
      </c>
      <c r="I52" s="32"/>
      <c r="J52" s="41" t="s">
        <v>576</v>
      </c>
      <c r="K52" s="41" t="s">
        <v>576</v>
      </c>
      <c r="L52" s="41" t="s">
        <v>576</v>
      </c>
      <c r="M52" s="59"/>
      <c r="N52" s="59"/>
      <c r="O52" s="136" t="s">
        <v>11</v>
      </c>
    </row>
    <row r="53" spans="1:15" ht="16.2" customHeight="1">
      <c r="A53" s="7" t="str">
        <f t="shared" si="0"/>
        <v>RESPONSIBILITY_PROCESS_RELPROCESS_START_DATE</v>
      </c>
      <c r="B53" s="31" t="s">
        <v>10</v>
      </c>
      <c r="C53" s="30" t="s">
        <v>31</v>
      </c>
      <c r="D53" s="26" t="s">
        <v>18</v>
      </c>
      <c r="E53" s="27" t="s">
        <v>50</v>
      </c>
      <c r="F53" s="26" t="s">
        <v>44</v>
      </c>
      <c r="G53" s="28" t="s">
        <v>422</v>
      </c>
      <c r="H53" s="28" t="s">
        <v>422</v>
      </c>
      <c r="I53" s="32"/>
      <c r="J53" s="41" t="s">
        <v>576</v>
      </c>
      <c r="K53" s="41" t="s">
        <v>576</v>
      </c>
      <c r="L53" s="41" t="s">
        <v>576</v>
      </c>
      <c r="M53" s="59"/>
      <c r="N53" s="59"/>
      <c r="O53" s="136" t="s">
        <v>11</v>
      </c>
    </row>
    <row r="54" spans="1:15" ht="16.2" customHeight="1">
      <c r="A54" s="7" t="str">
        <f t="shared" si="0"/>
        <v>RESPONSIBILITY_PROCESS_RELPROCESS_DUE_DATE</v>
      </c>
      <c r="B54" s="31" t="s">
        <v>10</v>
      </c>
      <c r="C54" s="30" t="s">
        <v>31</v>
      </c>
      <c r="D54" s="26" t="s">
        <v>18</v>
      </c>
      <c r="E54" s="27" t="s">
        <v>50</v>
      </c>
      <c r="F54" s="26" t="s">
        <v>45</v>
      </c>
      <c r="G54" s="28" t="s">
        <v>422</v>
      </c>
      <c r="H54" s="28" t="s">
        <v>422</v>
      </c>
      <c r="I54" s="32"/>
      <c r="J54" s="41" t="s">
        <v>576</v>
      </c>
      <c r="K54" s="41" t="s">
        <v>576</v>
      </c>
      <c r="L54" s="41" t="s">
        <v>576</v>
      </c>
      <c r="M54" s="59"/>
      <c r="N54" s="59"/>
      <c r="O54" s="136" t="s">
        <v>11</v>
      </c>
    </row>
    <row r="55" spans="1:15" ht="16.2" customHeight="1">
      <c r="A55" s="7" t="str">
        <f t="shared" si="0"/>
        <v>RESPONSIBILITY_PROCESS_RELidetgar</v>
      </c>
      <c r="B55" s="31" t="s">
        <v>10</v>
      </c>
      <c r="C55" s="30" t="s">
        <v>31</v>
      </c>
      <c r="D55" s="26" t="s">
        <v>18</v>
      </c>
      <c r="E55" s="27" t="s">
        <v>50</v>
      </c>
      <c r="F55" s="26" t="s">
        <v>61</v>
      </c>
      <c r="G55" s="28" t="s">
        <v>421</v>
      </c>
      <c r="H55" s="28" t="s">
        <v>421</v>
      </c>
      <c r="I55" s="32" t="s">
        <v>456</v>
      </c>
      <c r="J55" s="41" t="s">
        <v>576</v>
      </c>
      <c r="K55" s="41" t="s">
        <v>576</v>
      </c>
      <c r="L55" s="41" t="s">
        <v>576</v>
      </c>
      <c r="M55" s="59"/>
      <c r="N55" s="59"/>
      <c r="O55" s="136" t="s">
        <v>11</v>
      </c>
    </row>
    <row r="56" spans="1:15" ht="16.2" customHeight="1">
      <c r="A56" s="7" t="str">
        <f t="shared" si="0"/>
        <v>RESPONSIBILITY_PROCESS_RELnum_prop</v>
      </c>
      <c r="B56" s="31" t="s">
        <v>10</v>
      </c>
      <c r="C56" s="30" t="s">
        <v>31</v>
      </c>
      <c r="D56" s="26" t="s">
        <v>18</v>
      </c>
      <c r="E56" s="27" t="s">
        <v>50</v>
      </c>
      <c r="F56" s="26" t="s">
        <v>62</v>
      </c>
      <c r="G56" s="28" t="s">
        <v>421</v>
      </c>
      <c r="H56" s="28" t="s">
        <v>421</v>
      </c>
      <c r="I56" s="32" t="s">
        <v>456</v>
      </c>
      <c r="J56" s="41" t="s">
        <v>576</v>
      </c>
      <c r="K56" s="41" t="s">
        <v>576</v>
      </c>
      <c r="L56" s="41" t="s">
        <v>576</v>
      </c>
      <c r="M56" s="59"/>
      <c r="N56" s="59"/>
      <c r="O56" s="136" t="s">
        <v>11</v>
      </c>
    </row>
    <row r="57" spans="1:15" ht="16.2" customHeight="1">
      <c r="A57" s="7" t="str">
        <f t="shared" si="0"/>
        <v>RESPONSIBILITY_PROCESS_RELSOURCE_CODE</v>
      </c>
      <c r="B57" s="31" t="s">
        <v>10</v>
      </c>
      <c r="C57" s="30" t="s">
        <v>31</v>
      </c>
      <c r="D57" s="26" t="s">
        <v>18</v>
      </c>
      <c r="E57" s="27" t="s">
        <v>50</v>
      </c>
      <c r="F57" s="26" t="s">
        <v>63</v>
      </c>
      <c r="G57" s="28" t="s">
        <v>422</v>
      </c>
      <c r="H57" s="28" t="s">
        <v>422</v>
      </c>
      <c r="I57" s="32"/>
      <c r="J57" s="41" t="s">
        <v>576</v>
      </c>
      <c r="K57" s="41" t="s">
        <v>576</v>
      </c>
      <c r="L57" s="41" t="s">
        <v>576</v>
      </c>
      <c r="M57" s="59"/>
      <c r="N57" s="59"/>
      <c r="O57" s="136" t="s">
        <v>11</v>
      </c>
    </row>
    <row r="58" spans="1:15" ht="16.2" customHeight="1">
      <c r="A58" s="7" t="str">
        <f t="shared" si="0"/>
        <v>RESPONSIBILITY_PROCESS_RELDATA_DATE_PART</v>
      </c>
      <c r="B58" s="31" t="s">
        <v>10</v>
      </c>
      <c r="C58" s="30" t="s">
        <v>31</v>
      </c>
      <c r="D58" s="26" t="s">
        <v>18</v>
      </c>
      <c r="E58" s="27" t="s">
        <v>50</v>
      </c>
      <c r="F58" s="26" t="s">
        <v>49</v>
      </c>
      <c r="G58" s="28" t="s">
        <v>422</v>
      </c>
      <c r="H58" s="28" t="s">
        <v>422</v>
      </c>
      <c r="I58" s="32"/>
      <c r="J58" s="41" t="s">
        <v>576</v>
      </c>
      <c r="K58" s="41" t="s">
        <v>576</v>
      </c>
      <c r="L58" s="41" t="s">
        <v>576</v>
      </c>
      <c r="M58" s="59"/>
      <c r="N58" s="59"/>
      <c r="O58" s="136" t="s">
        <v>11</v>
      </c>
    </row>
    <row r="59" spans="1:15" ht="16.2" customHeight="1">
      <c r="A59" s="7" t="str">
        <f t="shared" si="0"/>
        <v>PROCESS_PROPERTY_RELn.a.</v>
      </c>
      <c r="B59" s="31" t="s">
        <v>10</v>
      </c>
      <c r="C59" s="30" t="s">
        <v>31</v>
      </c>
      <c r="D59" s="26" t="s">
        <v>15</v>
      </c>
      <c r="E59" s="27" t="s">
        <v>64</v>
      </c>
      <c r="F59" s="26" t="s">
        <v>17</v>
      </c>
      <c r="G59" s="28" t="s">
        <v>422</v>
      </c>
      <c r="H59" s="28" t="s">
        <v>422</v>
      </c>
      <c r="I59" s="32"/>
      <c r="J59" s="41" t="s">
        <v>576</v>
      </c>
      <c r="K59" s="41" t="s">
        <v>576</v>
      </c>
      <c r="L59" s="41" t="s">
        <v>576</v>
      </c>
      <c r="M59" s="59"/>
      <c r="N59" s="59"/>
      <c r="O59" s="136" t="s">
        <v>11</v>
      </c>
    </row>
    <row r="60" spans="1:15" ht="16.2" customHeight="1">
      <c r="A60" s="7" t="str">
        <f t="shared" si="0"/>
        <v>PROCESS_PROPERTY_RELPROPERTY_BANK_ID</v>
      </c>
      <c r="B60" s="31" t="s">
        <v>10</v>
      </c>
      <c r="C60" s="30" t="s">
        <v>31</v>
      </c>
      <c r="D60" s="26" t="s">
        <v>18</v>
      </c>
      <c r="E60" s="27" t="s">
        <v>64</v>
      </c>
      <c r="F60" s="26" t="s">
        <v>19</v>
      </c>
      <c r="G60" s="28" t="s">
        <v>422</v>
      </c>
      <c r="H60" s="28" t="s">
        <v>422</v>
      </c>
      <c r="I60" s="42"/>
      <c r="J60" s="41" t="s">
        <v>576</v>
      </c>
      <c r="K60" s="41" t="s">
        <v>576</v>
      </c>
      <c r="L60" s="41" t="s">
        <v>576</v>
      </c>
      <c r="M60" s="59"/>
      <c r="N60" s="59"/>
      <c r="O60" s="136" t="s">
        <v>11</v>
      </c>
    </row>
    <row r="61" spans="1:15" ht="16.2" customHeight="1">
      <c r="A61" s="7" t="str">
        <f t="shared" si="0"/>
        <v>PROCESS_PROPERTY_RELPROCESS_BANK_ID</v>
      </c>
      <c r="B61" s="31" t="s">
        <v>10</v>
      </c>
      <c r="C61" s="30" t="s">
        <v>31</v>
      </c>
      <c r="D61" s="26" t="s">
        <v>18</v>
      </c>
      <c r="E61" s="27" t="s">
        <v>64</v>
      </c>
      <c r="F61" s="26" t="s">
        <v>33</v>
      </c>
      <c r="G61" s="28" t="s">
        <v>422</v>
      </c>
      <c r="H61" s="28" t="s">
        <v>422</v>
      </c>
      <c r="I61" s="42" t="s">
        <v>455</v>
      </c>
      <c r="J61" s="41" t="s">
        <v>576</v>
      </c>
      <c r="K61" s="41" t="s">
        <v>576</v>
      </c>
      <c r="L61" s="41" t="s">
        <v>576</v>
      </c>
      <c r="M61" s="59"/>
      <c r="N61" s="59"/>
      <c r="O61" s="136" t="s">
        <v>11</v>
      </c>
    </row>
    <row r="62" spans="1:15" ht="16.2" customHeight="1">
      <c r="A62" s="7" t="str">
        <f t="shared" si="0"/>
        <v>PROCESS_PROPERTY_RELPROPERTY_BRANCH_CODE</v>
      </c>
      <c r="B62" s="31" t="s">
        <v>10</v>
      </c>
      <c r="C62" s="30" t="s">
        <v>31</v>
      </c>
      <c r="D62" s="26" t="s">
        <v>18</v>
      </c>
      <c r="E62" s="27" t="s">
        <v>64</v>
      </c>
      <c r="F62" s="26" t="s">
        <v>21</v>
      </c>
      <c r="G62" s="28" t="s">
        <v>422</v>
      </c>
      <c r="H62" s="28" t="s">
        <v>422</v>
      </c>
      <c r="I62" s="42" t="s">
        <v>455</v>
      </c>
      <c r="J62" s="41" t="s">
        <v>576</v>
      </c>
      <c r="K62" s="41" t="s">
        <v>576</v>
      </c>
      <c r="L62" s="41" t="s">
        <v>576</v>
      </c>
      <c r="M62" s="59"/>
      <c r="N62" s="59"/>
      <c r="O62" s="136" t="s">
        <v>11</v>
      </c>
    </row>
    <row r="63" spans="1:15" ht="16.2" customHeight="1">
      <c r="A63" s="7" t="str">
        <f t="shared" si="0"/>
        <v>PROCESS_PROPERTY_RELPROCESS_BRANCH_CODE</v>
      </c>
      <c r="B63" s="31" t="s">
        <v>10</v>
      </c>
      <c r="C63" s="30" t="s">
        <v>31</v>
      </c>
      <c r="D63" s="26" t="s">
        <v>18</v>
      </c>
      <c r="E63" s="27" t="s">
        <v>64</v>
      </c>
      <c r="F63" s="26" t="s">
        <v>34</v>
      </c>
      <c r="G63" s="28" t="s">
        <v>422</v>
      </c>
      <c r="H63" s="28" t="s">
        <v>422</v>
      </c>
      <c r="I63" s="42" t="s">
        <v>455</v>
      </c>
      <c r="J63" s="41" t="s">
        <v>576</v>
      </c>
      <c r="K63" s="41" t="s">
        <v>576</v>
      </c>
      <c r="L63" s="41" t="s">
        <v>576</v>
      </c>
      <c r="M63" s="59"/>
      <c r="N63" s="59"/>
      <c r="O63" s="136" t="s">
        <v>11</v>
      </c>
    </row>
    <row r="64" spans="1:15" ht="16.2" customHeight="1">
      <c r="A64" s="7" t="str">
        <f t="shared" si="0"/>
        <v>PROCESS_PROPERTY_RELPROPERTY_CONTRACT_ID</v>
      </c>
      <c r="B64" s="31" t="s">
        <v>10</v>
      </c>
      <c r="C64" s="30" t="s">
        <v>31</v>
      </c>
      <c r="D64" s="26" t="s">
        <v>18</v>
      </c>
      <c r="E64" s="27" t="s">
        <v>64</v>
      </c>
      <c r="F64" s="26" t="s">
        <v>22</v>
      </c>
      <c r="G64" s="28" t="s">
        <v>422</v>
      </c>
      <c r="H64" s="28" t="s">
        <v>422</v>
      </c>
      <c r="I64" s="42" t="s">
        <v>455</v>
      </c>
      <c r="J64" s="41" t="s">
        <v>576</v>
      </c>
      <c r="K64" s="41" t="s">
        <v>576</v>
      </c>
      <c r="L64" s="41" t="s">
        <v>576</v>
      </c>
      <c r="M64" s="59"/>
      <c r="N64" s="59"/>
      <c r="O64" s="136" t="s">
        <v>11</v>
      </c>
    </row>
    <row r="65" spans="1:15" ht="16.2" customHeight="1">
      <c r="A65" s="7" t="str">
        <f t="shared" si="0"/>
        <v>PROCESS_PROPERTY_RELPROCESS_ACCOUNT_ID</v>
      </c>
      <c r="B65" s="31" t="s">
        <v>10</v>
      </c>
      <c r="C65" s="30" t="s">
        <v>31</v>
      </c>
      <c r="D65" s="26" t="s">
        <v>18</v>
      </c>
      <c r="E65" s="27" t="s">
        <v>64</v>
      </c>
      <c r="F65" s="26" t="s">
        <v>35</v>
      </c>
      <c r="G65" s="28" t="s">
        <v>422</v>
      </c>
      <c r="H65" s="28" t="s">
        <v>422</v>
      </c>
      <c r="I65" s="42" t="s">
        <v>455</v>
      </c>
      <c r="J65" s="41" t="s">
        <v>576</v>
      </c>
      <c r="K65" s="41" t="s">
        <v>576</v>
      </c>
      <c r="L65" s="41" t="s">
        <v>576</v>
      </c>
      <c r="M65" s="59"/>
      <c r="N65" s="59"/>
      <c r="O65" s="136" t="s">
        <v>11</v>
      </c>
    </row>
    <row r="66" spans="1:15" ht="16.2" customHeight="1">
      <c r="A66" s="7" t="str">
        <f t="shared" si="0"/>
        <v>PROCESS_PROPERTY_RELPROPERTY_REFERENCE_CODE</v>
      </c>
      <c r="B66" s="31" t="s">
        <v>10</v>
      </c>
      <c r="C66" s="30" t="s">
        <v>31</v>
      </c>
      <c r="D66" s="26" t="s">
        <v>18</v>
      </c>
      <c r="E66" s="27" t="s">
        <v>64</v>
      </c>
      <c r="F66" s="26" t="s">
        <v>23</v>
      </c>
      <c r="G66" s="28" t="s">
        <v>422</v>
      </c>
      <c r="H66" s="28" t="s">
        <v>422</v>
      </c>
      <c r="I66" s="42"/>
      <c r="J66" s="41" t="s">
        <v>576</v>
      </c>
      <c r="K66" s="41" t="s">
        <v>576</v>
      </c>
      <c r="L66" s="41" t="s">
        <v>576</v>
      </c>
      <c r="M66" s="59"/>
      <c r="N66" s="59"/>
      <c r="O66" s="136" t="s">
        <v>11</v>
      </c>
    </row>
    <row r="67" spans="1:15" ht="16.2" customHeight="1">
      <c r="A67" s="7" t="str">
        <f t="shared" si="0"/>
        <v>PROCESS_PROPERTY_RELPROCESS_REFERENCE_CODE</v>
      </c>
      <c r="B67" s="31" t="s">
        <v>10</v>
      </c>
      <c r="C67" s="30" t="s">
        <v>31</v>
      </c>
      <c r="D67" s="26" t="s">
        <v>18</v>
      </c>
      <c r="E67" s="27" t="s">
        <v>64</v>
      </c>
      <c r="F67" s="26" t="s">
        <v>43</v>
      </c>
      <c r="G67" s="28" t="s">
        <v>422</v>
      </c>
      <c r="H67" s="28" t="s">
        <v>422</v>
      </c>
      <c r="I67" s="32"/>
      <c r="J67" s="41" t="s">
        <v>576</v>
      </c>
      <c r="K67" s="41" t="s">
        <v>576</v>
      </c>
      <c r="L67" s="41" t="s">
        <v>576</v>
      </c>
      <c r="M67" s="59"/>
      <c r="N67" s="59"/>
      <c r="O67" s="136" t="s">
        <v>11</v>
      </c>
    </row>
    <row r="68" spans="1:15" ht="16.2" customHeight="1">
      <c r="A68" s="7" t="str">
        <f t="shared" si="0"/>
        <v>PROCESS_PROPERTY_RELdata_assc</v>
      </c>
      <c r="B68" s="31" t="s">
        <v>10</v>
      </c>
      <c r="C68" s="30" t="s">
        <v>31</v>
      </c>
      <c r="D68" s="26" t="s">
        <v>18</v>
      </c>
      <c r="E68" s="27" t="s">
        <v>64</v>
      </c>
      <c r="F68" s="26" t="s">
        <v>65</v>
      </c>
      <c r="G68" s="28" t="s">
        <v>421</v>
      </c>
      <c r="H68" s="28" t="s">
        <v>421</v>
      </c>
      <c r="I68" s="32" t="s">
        <v>456</v>
      </c>
      <c r="J68" s="41" t="s">
        <v>576</v>
      </c>
      <c r="K68" s="41" t="s">
        <v>576</v>
      </c>
      <c r="L68" s="41" t="s">
        <v>576</v>
      </c>
      <c r="M68" s="59"/>
      <c r="N68" s="59"/>
      <c r="O68" s="136" t="s">
        <v>11</v>
      </c>
    </row>
    <row r="69" spans="1:15" ht="16.2" customHeight="1">
      <c r="A69" s="7" t="str">
        <f t="shared" si="0"/>
        <v>PROCESS_PROPERTY_RELSEIZED_PROPERTY_IND</v>
      </c>
      <c r="B69" s="31" t="s">
        <v>10</v>
      </c>
      <c r="C69" s="30" t="s">
        <v>31</v>
      </c>
      <c r="D69" s="26" t="s">
        <v>18</v>
      </c>
      <c r="E69" s="27" t="s">
        <v>64</v>
      </c>
      <c r="F69" s="26" t="s">
        <v>66</v>
      </c>
      <c r="G69" s="28" t="s">
        <v>422</v>
      </c>
      <c r="H69" s="28" t="s">
        <v>422</v>
      </c>
      <c r="I69" s="42"/>
      <c r="J69" s="41" t="s">
        <v>576</v>
      </c>
      <c r="K69" s="41" t="s">
        <v>576</v>
      </c>
      <c r="L69" s="41" t="s">
        <v>576</v>
      </c>
      <c r="M69" s="59"/>
      <c r="N69" s="59"/>
      <c r="O69" s="136" t="s">
        <v>11</v>
      </c>
    </row>
    <row r="70" spans="1:15" ht="16.2" customHeight="1">
      <c r="A70" s="7" t="str">
        <f t="shared" si="0"/>
        <v>PROCESS_PROPERTY_RELCOLLATERAL_PROPERTY_IND</v>
      </c>
      <c r="B70" s="31" t="s">
        <v>10</v>
      </c>
      <c r="C70" s="30" t="s">
        <v>31</v>
      </c>
      <c r="D70" s="26" t="s">
        <v>18</v>
      </c>
      <c r="E70" s="27" t="s">
        <v>64</v>
      </c>
      <c r="F70" s="26" t="s">
        <v>67</v>
      </c>
      <c r="G70" s="28" t="s">
        <v>422</v>
      </c>
      <c r="H70" s="28" t="s">
        <v>422</v>
      </c>
      <c r="I70" s="42"/>
      <c r="J70" s="41" t="s">
        <v>576</v>
      </c>
      <c r="K70" s="41" t="s">
        <v>576</v>
      </c>
      <c r="L70" s="41" t="s">
        <v>576</v>
      </c>
      <c r="M70" s="59"/>
      <c r="N70" s="59"/>
      <c r="O70" s="136" t="s">
        <v>11</v>
      </c>
    </row>
    <row r="71" spans="1:15" ht="16.2" customHeight="1">
      <c r="A71" s="7" t="str">
        <f t="shared" si="0"/>
        <v>PROCESS_PROPERTY_RELFINANCED_PROPERTY_IND</v>
      </c>
      <c r="B71" s="31" t="s">
        <v>10</v>
      </c>
      <c r="C71" s="30" t="s">
        <v>31</v>
      </c>
      <c r="D71" s="26" t="s">
        <v>18</v>
      </c>
      <c r="E71" s="27" t="s">
        <v>64</v>
      </c>
      <c r="F71" s="26" t="s">
        <v>68</v>
      </c>
      <c r="G71" s="28" t="s">
        <v>422</v>
      </c>
      <c r="H71" s="28" t="s">
        <v>422</v>
      </c>
      <c r="I71" s="42"/>
      <c r="J71" s="41" t="s">
        <v>576</v>
      </c>
      <c r="K71" s="41" t="s">
        <v>576</v>
      </c>
      <c r="L71" s="41" t="s">
        <v>576</v>
      </c>
      <c r="M71" s="59"/>
      <c r="N71" s="59"/>
      <c r="O71" s="136" t="s">
        <v>11</v>
      </c>
    </row>
    <row r="72" spans="1:15" ht="16.2" customHeight="1">
      <c r="A72" s="7" t="str">
        <f t="shared" ref="A72:A136" si="1">E72&amp;F72</f>
        <v>PROCESS_PROPERTY_RELOWNED_PROPERTY_IND</v>
      </c>
      <c r="B72" s="31" t="s">
        <v>10</v>
      </c>
      <c r="C72" s="30" t="s">
        <v>31</v>
      </c>
      <c r="D72" s="26" t="s">
        <v>18</v>
      </c>
      <c r="E72" s="27" t="s">
        <v>64</v>
      </c>
      <c r="F72" s="26" t="s">
        <v>69</v>
      </c>
      <c r="G72" s="28" t="s">
        <v>422</v>
      </c>
      <c r="H72" s="28" t="s">
        <v>422</v>
      </c>
      <c r="I72" s="42"/>
      <c r="J72" s="41" t="s">
        <v>576</v>
      </c>
      <c r="K72" s="41" t="s">
        <v>576</v>
      </c>
      <c r="L72" s="41" t="s">
        <v>576</v>
      </c>
      <c r="M72" s="59"/>
      <c r="N72" s="59"/>
      <c r="O72" s="136" t="s">
        <v>11</v>
      </c>
    </row>
    <row r="73" spans="1:15" ht="16.2" customHeight="1">
      <c r="A73" s="7" t="str">
        <f t="shared" si="1"/>
        <v>PROCESS_PROPERTY_RELSOURCE_CODE</v>
      </c>
      <c r="B73" s="31" t="s">
        <v>10</v>
      </c>
      <c r="C73" s="30" t="s">
        <v>31</v>
      </c>
      <c r="D73" s="26" t="s">
        <v>18</v>
      </c>
      <c r="E73" s="27" t="s">
        <v>64</v>
      </c>
      <c r="F73" s="26" t="s">
        <v>63</v>
      </c>
      <c r="G73" s="28" t="s">
        <v>422</v>
      </c>
      <c r="H73" s="28" t="s">
        <v>422</v>
      </c>
      <c r="I73" s="42"/>
      <c r="J73" s="41" t="s">
        <v>576</v>
      </c>
      <c r="K73" s="41" t="s">
        <v>576</v>
      </c>
      <c r="L73" s="41" t="s">
        <v>576</v>
      </c>
      <c r="M73" s="59"/>
      <c r="N73" s="59"/>
      <c r="O73" s="136" t="s">
        <v>11</v>
      </c>
    </row>
    <row r="74" spans="1:15" ht="16.2" customHeight="1">
      <c r="A74" s="7" t="str">
        <f t="shared" si="1"/>
        <v>PROCESS_PROPERTY_RELDATA_DATE_PART</v>
      </c>
      <c r="B74" s="31" t="s">
        <v>10</v>
      </c>
      <c r="C74" s="30" t="s">
        <v>31</v>
      </c>
      <c r="D74" s="26" t="s">
        <v>18</v>
      </c>
      <c r="E74" s="27" t="s">
        <v>64</v>
      </c>
      <c r="F74" s="26" t="s">
        <v>49</v>
      </c>
      <c r="G74" s="28" t="s">
        <v>422</v>
      </c>
      <c r="H74" s="28" t="s">
        <v>422</v>
      </c>
      <c r="I74" s="42"/>
      <c r="J74" s="41" t="s">
        <v>576</v>
      </c>
      <c r="K74" s="41" t="s">
        <v>576</v>
      </c>
      <c r="L74" s="41" t="s">
        <v>576</v>
      </c>
      <c r="M74" s="59"/>
      <c r="N74" s="59"/>
      <c r="O74" s="136" t="s">
        <v>11</v>
      </c>
    </row>
    <row r="75" spans="1:15" ht="16.2" customHeight="1">
      <c r="A75" s="7" t="str">
        <f t="shared" si="1"/>
        <v>PROPERTYn.a.</v>
      </c>
      <c r="B75" s="31" t="s">
        <v>10</v>
      </c>
      <c r="C75" s="30" t="s">
        <v>31</v>
      </c>
      <c r="D75" s="26" t="s">
        <v>15</v>
      </c>
      <c r="E75" s="27" t="s">
        <v>70</v>
      </c>
      <c r="F75" s="26" t="s">
        <v>17</v>
      </c>
      <c r="G75" s="28" t="s">
        <v>422</v>
      </c>
      <c r="H75" s="28" t="s">
        <v>422</v>
      </c>
      <c r="I75" s="32"/>
      <c r="J75" s="41" t="s">
        <v>576</v>
      </c>
      <c r="K75" s="41" t="s">
        <v>576</v>
      </c>
      <c r="L75" s="41" t="s">
        <v>576</v>
      </c>
      <c r="M75" s="59"/>
      <c r="N75" s="59"/>
      <c r="O75" s="136" t="s">
        <v>11</v>
      </c>
    </row>
    <row r="76" spans="1:15" ht="16.2" customHeight="1">
      <c r="A76" s="7" t="str">
        <f t="shared" si="1"/>
        <v>PROPERTYCONSTRUCTION_YEAR</v>
      </c>
      <c r="B76" s="31" t="s">
        <v>10</v>
      </c>
      <c r="C76" s="30" t="s">
        <v>31</v>
      </c>
      <c r="D76" s="26" t="s">
        <v>18</v>
      </c>
      <c r="E76" s="27" t="s">
        <v>70</v>
      </c>
      <c r="F76" s="26" t="s">
        <v>71</v>
      </c>
      <c r="G76" s="28" t="s">
        <v>422</v>
      </c>
      <c r="H76" s="28" t="s">
        <v>422</v>
      </c>
      <c r="I76" s="32"/>
      <c r="J76" s="41" t="s">
        <v>576</v>
      </c>
      <c r="K76" s="41" t="s">
        <v>576</v>
      </c>
      <c r="L76" s="41" t="s">
        <v>576</v>
      </c>
      <c r="M76" s="59"/>
      <c r="N76" s="59"/>
      <c r="O76" s="136" t="s">
        <v>11</v>
      </c>
    </row>
    <row r="77" spans="1:15" ht="16.2" customHeight="1">
      <c r="A77" s="7" t="str">
        <f t="shared" si="1"/>
        <v>PROPERTYNET_FLOOR_AREA</v>
      </c>
      <c r="B77" s="31" t="s">
        <v>10</v>
      </c>
      <c r="C77" s="30" t="s">
        <v>31</v>
      </c>
      <c r="D77" s="26" t="s">
        <v>18</v>
      </c>
      <c r="E77" s="27" t="s">
        <v>70</v>
      </c>
      <c r="F77" s="26" t="s">
        <v>72</v>
      </c>
      <c r="G77" s="28" t="s">
        <v>422</v>
      </c>
      <c r="H77" s="28" t="s">
        <v>422</v>
      </c>
      <c r="I77" s="32"/>
      <c r="J77" s="41" t="s">
        <v>576</v>
      </c>
      <c r="K77" s="41" t="s">
        <v>576</v>
      </c>
      <c r="L77" s="41" t="s">
        <v>576</v>
      </c>
      <c r="M77" s="59"/>
      <c r="N77" s="59"/>
      <c r="O77" s="136" t="s">
        <v>11</v>
      </c>
    </row>
    <row r="78" spans="1:15" ht="16.2" customHeight="1">
      <c r="A78" s="7" t="str">
        <f t="shared" si="1"/>
        <v>PROPERTYPROPERTY_BANK_ID</v>
      </c>
      <c r="B78" s="31" t="s">
        <v>10</v>
      </c>
      <c r="C78" s="30" t="s">
        <v>31</v>
      </c>
      <c r="D78" s="26" t="s">
        <v>18</v>
      </c>
      <c r="E78" s="27" t="s">
        <v>70</v>
      </c>
      <c r="F78" s="26" t="s">
        <v>19</v>
      </c>
      <c r="G78" s="28" t="s">
        <v>422</v>
      </c>
      <c r="H78" s="28" t="s">
        <v>422</v>
      </c>
      <c r="I78" s="42"/>
      <c r="J78" s="41" t="s">
        <v>576</v>
      </c>
      <c r="K78" s="41" t="s">
        <v>576</v>
      </c>
      <c r="L78" s="41" t="s">
        <v>576</v>
      </c>
      <c r="M78" s="59"/>
      <c r="N78" s="59"/>
      <c r="O78" s="136" t="s">
        <v>11</v>
      </c>
    </row>
    <row r="79" spans="1:15" ht="16.2" customHeight="1">
      <c r="A79" s="7" t="str">
        <f t="shared" si="1"/>
        <v>PROPERTYPROPERTY_BRANCH_CODE</v>
      </c>
      <c r="B79" s="31" t="s">
        <v>10</v>
      </c>
      <c r="C79" s="30" t="s">
        <v>31</v>
      </c>
      <c r="D79" s="26" t="s">
        <v>18</v>
      </c>
      <c r="E79" s="27" t="s">
        <v>70</v>
      </c>
      <c r="F79" s="26" t="s">
        <v>21</v>
      </c>
      <c r="G79" s="28" t="s">
        <v>422</v>
      </c>
      <c r="H79" s="28" t="s">
        <v>422</v>
      </c>
      <c r="I79" s="42"/>
      <c r="J79" s="41" t="s">
        <v>576</v>
      </c>
      <c r="K79" s="41" t="s">
        <v>576</v>
      </c>
      <c r="L79" s="41" t="s">
        <v>576</v>
      </c>
      <c r="M79" s="59"/>
      <c r="N79" s="59"/>
      <c r="O79" s="136" t="s">
        <v>11</v>
      </c>
    </row>
    <row r="80" spans="1:15" ht="16.2" customHeight="1">
      <c r="A80" s="7" t="str">
        <f t="shared" si="1"/>
        <v>PROPERTYPROPERTY_CONTRACT_ID</v>
      </c>
      <c r="B80" s="31" t="s">
        <v>10</v>
      </c>
      <c r="C80" s="30" t="s">
        <v>31</v>
      </c>
      <c r="D80" s="26" t="s">
        <v>18</v>
      </c>
      <c r="E80" s="27" t="s">
        <v>70</v>
      </c>
      <c r="F80" s="26" t="s">
        <v>22</v>
      </c>
      <c r="G80" s="28" t="s">
        <v>422</v>
      </c>
      <c r="H80" s="28" t="s">
        <v>422</v>
      </c>
      <c r="I80" s="42"/>
      <c r="J80" s="41" t="s">
        <v>576</v>
      </c>
      <c r="K80" s="41" t="s">
        <v>576</v>
      </c>
      <c r="L80" s="41" t="s">
        <v>576</v>
      </c>
      <c r="M80" s="59"/>
      <c r="N80" s="59"/>
      <c r="O80" s="136" t="s">
        <v>11</v>
      </c>
    </row>
    <row r="81" spans="1:15" ht="16.2" customHeight="1">
      <c r="A81" s="7" t="str">
        <f t="shared" si="1"/>
        <v>PROPERTYPROPERTY_REFERENCE_CODE</v>
      </c>
      <c r="B81" s="31" t="s">
        <v>10</v>
      </c>
      <c r="C81" s="30" t="s">
        <v>31</v>
      </c>
      <c r="D81" s="26" t="s">
        <v>18</v>
      </c>
      <c r="E81" s="27" t="s">
        <v>70</v>
      </c>
      <c r="F81" s="26" t="s">
        <v>23</v>
      </c>
      <c r="G81" s="28" t="s">
        <v>422</v>
      </c>
      <c r="H81" s="28" t="s">
        <v>422</v>
      </c>
      <c r="I81" s="42"/>
      <c r="J81" s="41" t="s">
        <v>576</v>
      </c>
      <c r="K81" s="41" t="s">
        <v>576</v>
      </c>
      <c r="L81" s="41" t="s">
        <v>576</v>
      </c>
      <c r="M81" s="59"/>
      <c r="N81" s="59"/>
      <c r="O81" s="136" t="s">
        <v>11</v>
      </c>
    </row>
    <row r="82" spans="1:15" ht="16.2" customHeight="1">
      <c r="A82" s="7" t="str">
        <f t="shared" si="1"/>
        <v>PROPERTYCADASTRAL_REGISTER_CODE</v>
      </c>
      <c r="B82" s="31" t="s">
        <v>10</v>
      </c>
      <c r="C82" s="30" t="s">
        <v>31</v>
      </c>
      <c r="D82" s="26" t="s">
        <v>18</v>
      </c>
      <c r="E82" s="27" t="s">
        <v>70</v>
      </c>
      <c r="F82" s="26" t="s">
        <v>73</v>
      </c>
      <c r="G82" s="28" t="s">
        <v>422</v>
      </c>
      <c r="H82" s="28" t="s">
        <v>422</v>
      </c>
      <c r="I82" s="42"/>
      <c r="J82" s="41" t="s">
        <v>576</v>
      </c>
      <c r="K82" s="41" t="s">
        <v>576</v>
      </c>
      <c r="L82" s="41" t="s">
        <v>576</v>
      </c>
      <c r="M82" s="59"/>
      <c r="N82" s="59"/>
      <c r="O82" s="136" t="s">
        <v>11</v>
      </c>
    </row>
    <row r="83" spans="1:15" ht="16.2" customHeight="1">
      <c r="A83" s="7" t="str">
        <f t="shared" si="1"/>
        <v>PROPERTYAPPRAISAL_CODE</v>
      </c>
      <c r="B83" s="31" t="s">
        <v>10</v>
      </c>
      <c r="C83" s="30" t="s">
        <v>31</v>
      </c>
      <c r="D83" s="26" t="s">
        <v>18</v>
      </c>
      <c r="E83" s="27" t="s">
        <v>70</v>
      </c>
      <c r="F83" s="26" t="s">
        <v>74</v>
      </c>
      <c r="G83" s="28" t="s">
        <v>422</v>
      </c>
      <c r="H83" s="28" t="s">
        <v>422</v>
      </c>
      <c r="I83" s="42"/>
      <c r="J83" s="41" t="s">
        <v>576</v>
      </c>
      <c r="K83" s="41" t="s">
        <v>576</v>
      </c>
      <c r="L83" s="41" t="s">
        <v>576</v>
      </c>
      <c r="M83" s="59"/>
      <c r="N83" s="59"/>
      <c r="O83" s="136" t="s">
        <v>11</v>
      </c>
    </row>
    <row r="84" spans="1:15" ht="16.2" customHeight="1">
      <c r="A84" s="7" t="str">
        <f t="shared" si="1"/>
        <v>PROPERTYcod_bem</v>
      </c>
      <c r="B84" s="31" t="s">
        <v>10</v>
      </c>
      <c r="C84" s="30" t="s">
        <v>31</v>
      </c>
      <c r="D84" s="26" t="s">
        <v>18</v>
      </c>
      <c r="E84" s="27" t="s">
        <v>70</v>
      </c>
      <c r="F84" s="26" t="s">
        <v>75</v>
      </c>
      <c r="G84" s="28" t="s">
        <v>421</v>
      </c>
      <c r="H84" s="28" t="s">
        <v>421</v>
      </c>
      <c r="I84" s="32" t="s">
        <v>456</v>
      </c>
      <c r="J84" s="41" t="s">
        <v>576</v>
      </c>
      <c r="K84" s="41" t="s">
        <v>576</v>
      </c>
      <c r="L84" s="41" t="s">
        <v>576</v>
      </c>
      <c r="M84" s="59"/>
      <c r="N84" s="59"/>
      <c r="O84" s="136" t="s">
        <v>11</v>
      </c>
    </row>
    <row r="85" spans="1:15" ht="16.2" customHeight="1">
      <c r="A85" s="7" t="str">
        <f t="shared" si="1"/>
        <v>PROPERTYDISTRICT_MUNICIP_PARISH_CODE</v>
      </c>
      <c r="B85" s="31" t="s">
        <v>10</v>
      </c>
      <c r="C85" s="30" t="s">
        <v>31</v>
      </c>
      <c r="D85" s="26" t="s">
        <v>18</v>
      </c>
      <c r="E85" s="27" t="s">
        <v>70</v>
      </c>
      <c r="F85" s="26" t="s">
        <v>76</v>
      </c>
      <c r="G85" s="28" t="s">
        <v>422</v>
      </c>
      <c r="H85" s="28" t="s">
        <v>422</v>
      </c>
      <c r="I85" s="42"/>
      <c r="J85" s="41" t="s">
        <v>576</v>
      </c>
      <c r="K85" s="41" t="s">
        <v>576</v>
      </c>
      <c r="L85" s="41" t="s">
        <v>576</v>
      </c>
      <c r="M85" s="59"/>
      <c r="N85" s="59"/>
      <c r="O85" s="136" t="s">
        <v>11</v>
      </c>
    </row>
    <row r="86" spans="1:15" ht="16.2" customHeight="1">
      <c r="A86" s="7" t="str">
        <f t="shared" si="1"/>
        <v>PROPERTYPROPERTY_PURPOSE_CODE</v>
      </c>
      <c r="B86" s="31" t="s">
        <v>10</v>
      </c>
      <c r="C86" s="30" t="s">
        <v>31</v>
      </c>
      <c r="D86" s="26" t="s">
        <v>18</v>
      </c>
      <c r="E86" s="27" t="s">
        <v>70</v>
      </c>
      <c r="F86" s="26" t="s">
        <v>77</v>
      </c>
      <c r="G86" s="28" t="s">
        <v>422</v>
      </c>
      <c r="H86" s="28" t="s">
        <v>422</v>
      </c>
      <c r="I86" s="42"/>
      <c r="J86" s="41" t="s">
        <v>576</v>
      </c>
      <c r="K86" s="41" t="s">
        <v>576</v>
      </c>
      <c r="L86" s="41" t="s">
        <v>576</v>
      </c>
      <c r="M86" s="59"/>
      <c r="N86" s="59"/>
      <c r="O86" s="136" t="s">
        <v>11</v>
      </c>
    </row>
    <row r="87" spans="1:15" ht="16.2" customHeight="1">
      <c r="A87" s="7" t="str">
        <f t="shared" si="1"/>
        <v>PROPERTYPROPERTY_LIFETIME_CODE</v>
      </c>
      <c r="B87" s="31" t="s">
        <v>10</v>
      </c>
      <c r="C87" s="30" t="s">
        <v>31</v>
      </c>
      <c r="D87" s="26" t="s">
        <v>18</v>
      </c>
      <c r="E87" s="27" t="s">
        <v>70</v>
      </c>
      <c r="F87" s="26" t="s">
        <v>78</v>
      </c>
      <c r="G87" s="28" t="s">
        <v>422</v>
      </c>
      <c r="H87" s="28" t="s">
        <v>422</v>
      </c>
      <c r="I87" s="42"/>
      <c r="J87" s="41" t="s">
        <v>576</v>
      </c>
      <c r="K87" s="41" t="s">
        <v>576</v>
      </c>
      <c r="L87" s="41" t="s">
        <v>576</v>
      </c>
      <c r="M87" s="59"/>
      <c r="N87" s="59"/>
      <c r="O87" s="136" t="s">
        <v>11</v>
      </c>
    </row>
    <row r="88" spans="1:15" ht="16.2" customHeight="1">
      <c r="A88" s="7" t="str">
        <f t="shared" si="1"/>
        <v>PROPERTYADDRESS_CODE</v>
      </c>
      <c r="B88" s="31" t="s">
        <v>10</v>
      </c>
      <c r="C88" s="30" t="s">
        <v>31</v>
      </c>
      <c r="D88" s="26" t="s">
        <v>18</v>
      </c>
      <c r="E88" s="27" t="s">
        <v>70</v>
      </c>
      <c r="F88" s="26" t="s">
        <v>79</v>
      </c>
      <c r="G88" s="28" t="s">
        <v>422</v>
      </c>
      <c r="H88" s="28" t="s">
        <v>422</v>
      </c>
      <c r="I88" s="42"/>
      <c r="J88" s="41" t="s">
        <v>576</v>
      </c>
      <c r="K88" s="41" t="s">
        <v>576</v>
      </c>
      <c r="L88" s="41" t="s">
        <v>576</v>
      </c>
      <c r="M88" s="59"/>
      <c r="N88" s="59"/>
      <c r="O88" s="136" t="s">
        <v>11</v>
      </c>
    </row>
    <row r="89" spans="1:15" ht="16.2" customHeight="1">
      <c r="A89" s="7" t="str">
        <f t="shared" si="1"/>
        <v>PROPERTYCOUNTRY_CODE</v>
      </c>
      <c r="B89" s="31" t="s">
        <v>10</v>
      </c>
      <c r="C89" s="30" t="s">
        <v>31</v>
      </c>
      <c r="D89" s="26" t="s">
        <v>18</v>
      </c>
      <c r="E89" s="27" t="s">
        <v>70</v>
      </c>
      <c r="F89" s="26" t="s">
        <v>80</v>
      </c>
      <c r="G89" s="28" t="s">
        <v>422</v>
      </c>
      <c r="H89" s="28" t="s">
        <v>422</v>
      </c>
      <c r="I89" s="42"/>
      <c r="J89" s="41" t="s">
        <v>576</v>
      </c>
      <c r="K89" s="41" t="s">
        <v>576</v>
      </c>
      <c r="L89" s="41" t="s">
        <v>576</v>
      </c>
      <c r="M89" s="59"/>
      <c r="N89" s="59"/>
      <c r="O89" s="136" t="s">
        <v>11</v>
      </c>
    </row>
    <row r="90" spans="1:15" ht="16.2" customHeight="1">
      <c r="A90" s="7" t="str">
        <f t="shared" si="1"/>
        <v>PROPERTYPOSTAL_CODE</v>
      </c>
      <c r="B90" s="31" t="s">
        <v>10</v>
      </c>
      <c r="C90" s="30" t="s">
        <v>31</v>
      </c>
      <c r="D90" s="26" t="s">
        <v>18</v>
      </c>
      <c r="E90" s="27" t="s">
        <v>70</v>
      </c>
      <c r="F90" s="26" t="s">
        <v>81</v>
      </c>
      <c r="G90" s="28" t="s">
        <v>422</v>
      </c>
      <c r="H90" s="28" t="s">
        <v>422</v>
      </c>
      <c r="I90" s="42"/>
      <c r="J90" s="41" t="s">
        <v>576</v>
      </c>
      <c r="K90" s="41" t="s">
        <v>576</v>
      </c>
      <c r="L90" s="41" t="s">
        <v>576</v>
      </c>
      <c r="M90" s="59"/>
      <c r="N90" s="59"/>
      <c r="O90" s="136" t="s">
        <v>11</v>
      </c>
    </row>
    <row r="91" spans="1:15" ht="16.2" customHeight="1">
      <c r="A91" s="7" t="str">
        <f t="shared" si="1"/>
        <v>PROPERTYPROPERTY_TYPE_CODE</v>
      </c>
      <c r="B91" s="31" t="s">
        <v>10</v>
      </c>
      <c r="C91" s="30" t="s">
        <v>31</v>
      </c>
      <c r="D91" s="26" t="s">
        <v>18</v>
      </c>
      <c r="E91" s="27" t="s">
        <v>70</v>
      </c>
      <c r="F91" s="26" t="s">
        <v>82</v>
      </c>
      <c r="G91" s="28" t="s">
        <v>422</v>
      </c>
      <c r="H91" s="28" t="s">
        <v>422</v>
      </c>
      <c r="I91" s="42"/>
      <c r="J91" s="41" t="s">
        <v>576</v>
      </c>
      <c r="K91" s="41" t="s">
        <v>576</v>
      </c>
      <c r="L91" s="41" t="s">
        <v>576</v>
      </c>
      <c r="M91" s="59"/>
      <c r="N91" s="59"/>
      <c r="O91" s="136" t="s">
        <v>11</v>
      </c>
    </row>
    <row r="92" spans="1:15" ht="16.2" customHeight="1">
      <c r="A92" s="7" t="str">
        <f t="shared" si="1"/>
        <v>PROPERTYLAST_APPRAISAL_DATE</v>
      </c>
      <c r="B92" s="31" t="s">
        <v>10</v>
      </c>
      <c r="C92" s="30" t="s">
        <v>31</v>
      </c>
      <c r="D92" s="26" t="s">
        <v>18</v>
      </c>
      <c r="E92" s="27" t="s">
        <v>70</v>
      </c>
      <c r="F92" s="26" t="s">
        <v>83</v>
      </c>
      <c r="G92" s="28" t="s">
        <v>422</v>
      </c>
      <c r="H92" s="28" t="s">
        <v>422</v>
      </c>
      <c r="I92" s="42"/>
      <c r="J92" s="41" t="s">
        <v>576</v>
      </c>
      <c r="K92" s="41" t="s">
        <v>576</v>
      </c>
      <c r="L92" s="41" t="s">
        <v>576</v>
      </c>
      <c r="M92" s="59"/>
      <c r="N92" s="59"/>
      <c r="O92" s="136" t="s">
        <v>11</v>
      </c>
    </row>
    <row r="93" spans="1:15" ht="16.2" customHeight="1">
      <c r="A93" s="7" t="str">
        <f t="shared" si="1"/>
        <v>PROPERTYUSAGE_PERMIT_START_DATE</v>
      </c>
      <c r="B93" s="31" t="s">
        <v>10</v>
      </c>
      <c r="C93" s="30" t="s">
        <v>31</v>
      </c>
      <c r="D93" s="26" t="s">
        <v>18</v>
      </c>
      <c r="E93" s="27" t="s">
        <v>70</v>
      </c>
      <c r="F93" s="26" t="s">
        <v>84</v>
      </c>
      <c r="G93" s="28" t="s">
        <v>422</v>
      </c>
      <c r="H93" s="28" t="s">
        <v>422</v>
      </c>
      <c r="I93" s="42"/>
      <c r="J93" s="41" t="s">
        <v>576</v>
      </c>
      <c r="K93" s="41" t="s">
        <v>576</v>
      </c>
      <c r="L93" s="41" t="s">
        <v>576</v>
      </c>
      <c r="M93" s="59"/>
      <c r="N93" s="59"/>
      <c r="O93" s="136" t="s">
        <v>11</v>
      </c>
    </row>
    <row r="94" spans="1:15" ht="16.2" customHeight="1">
      <c r="A94" s="7" t="str">
        <f t="shared" si="1"/>
        <v>PROPERTYCONSERVATORY_REG_FILE_ID</v>
      </c>
      <c r="B94" s="31" t="s">
        <v>10</v>
      </c>
      <c r="C94" s="30" t="s">
        <v>31</v>
      </c>
      <c r="D94" s="26" t="s">
        <v>18</v>
      </c>
      <c r="E94" s="27" t="s">
        <v>70</v>
      </c>
      <c r="F94" s="26" t="s">
        <v>85</v>
      </c>
      <c r="G94" s="28" t="s">
        <v>422</v>
      </c>
      <c r="H94" s="28" t="s">
        <v>422</v>
      </c>
      <c r="I94" s="42"/>
      <c r="J94" s="41" t="s">
        <v>576</v>
      </c>
      <c r="K94" s="41" t="s">
        <v>576</v>
      </c>
      <c r="L94" s="41" t="s">
        <v>576</v>
      </c>
      <c r="M94" s="59"/>
      <c r="N94" s="59"/>
      <c r="O94" s="136" t="s">
        <v>11</v>
      </c>
    </row>
    <row r="95" spans="1:15" ht="16.2" customHeight="1">
      <c r="A95" s="7" t="str">
        <f t="shared" si="1"/>
        <v>PROPERTYFLOOR_NUMBER</v>
      </c>
      <c r="B95" s="31" t="s">
        <v>10</v>
      </c>
      <c r="C95" s="30" t="s">
        <v>31</v>
      </c>
      <c r="D95" s="26" t="s">
        <v>18</v>
      </c>
      <c r="E95" s="27" t="s">
        <v>70</v>
      </c>
      <c r="F95" s="26" t="s">
        <v>86</v>
      </c>
      <c r="G95" s="28" t="s">
        <v>422</v>
      </c>
      <c r="H95" s="28" t="s">
        <v>422</v>
      </c>
      <c r="I95" s="42"/>
      <c r="J95" s="41" t="s">
        <v>576</v>
      </c>
      <c r="K95" s="41" t="s">
        <v>576</v>
      </c>
      <c r="L95" s="41" t="s">
        <v>576</v>
      </c>
      <c r="M95" s="59"/>
      <c r="N95" s="59"/>
      <c r="O95" s="136" t="s">
        <v>11</v>
      </c>
    </row>
    <row r="96" spans="1:15" ht="16.2" customHeight="1">
      <c r="A96" s="7" t="str">
        <f t="shared" si="1"/>
        <v>PROPERTYLOCALITY</v>
      </c>
      <c r="B96" s="31" t="s">
        <v>10</v>
      </c>
      <c r="C96" s="30" t="s">
        <v>31</v>
      </c>
      <c r="D96" s="26" t="s">
        <v>18</v>
      </c>
      <c r="E96" s="27" t="s">
        <v>70</v>
      </c>
      <c r="F96" s="26" t="s">
        <v>87</v>
      </c>
      <c r="G96" s="28" t="s">
        <v>422</v>
      </c>
      <c r="H96" s="28" t="s">
        <v>422</v>
      </c>
      <c r="I96" s="42"/>
      <c r="J96" s="41" t="s">
        <v>576</v>
      </c>
      <c r="K96" s="41" t="s">
        <v>576</v>
      </c>
      <c r="L96" s="41" t="s">
        <v>576</v>
      </c>
      <c r="M96" s="59"/>
      <c r="N96" s="59"/>
      <c r="O96" s="136" t="s">
        <v>11</v>
      </c>
    </row>
    <row r="97" spans="1:15" ht="16.2" customHeight="1">
      <c r="A97" s="7" t="str">
        <f t="shared" si="1"/>
        <v>PROPERTYPROPERTY_LOT</v>
      </c>
      <c r="B97" s="31" t="s">
        <v>10</v>
      </c>
      <c r="C97" s="30" t="s">
        <v>31</v>
      </c>
      <c r="D97" s="26" t="s">
        <v>18</v>
      </c>
      <c r="E97" s="27" t="s">
        <v>70</v>
      </c>
      <c r="F97" s="26" t="s">
        <v>88</v>
      </c>
      <c r="G97" s="28" t="s">
        <v>422</v>
      </c>
      <c r="H97" s="28" t="s">
        <v>422</v>
      </c>
      <c r="I97" s="42"/>
      <c r="J97" s="41" t="s">
        <v>576</v>
      </c>
      <c r="K97" s="41" t="s">
        <v>576</v>
      </c>
      <c r="L97" s="41" t="s">
        <v>576</v>
      </c>
      <c r="M97" s="59"/>
      <c r="N97" s="59"/>
      <c r="O97" s="136" t="s">
        <v>11</v>
      </c>
    </row>
    <row r="98" spans="1:15" ht="16.2" customHeight="1">
      <c r="A98" s="7" t="str">
        <f t="shared" si="1"/>
        <v>PROPERTYLAST_APPRAISAL_AMOUNT</v>
      </c>
      <c r="B98" s="31" t="s">
        <v>10</v>
      </c>
      <c r="C98" s="30" t="s">
        <v>31</v>
      </c>
      <c r="D98" s="26" t="s">
        <v>18</v>
      </c>
      <c r="E98" s="27" t="s">
        <v>70</v>
      </c>
      <c r="F98" s="26" t="s">
        <v>89</v>
      </c>
      <c r="G98" s="28" t="s">
        <v>422</v>
      </c>
      <c r="H98" s="28" t="s">
        <v>422</v>
      </c>
      <c r="I98" s="42"/>
      <c r="J98" s="41" t="s">
        <v>576</v>
      </c>
      <c r="K98" s="41" t="s">
        <v>576</v>
      </c>
      <c r="L98" s="41" t="s">
        <v>576</v>
      </c>
      <c r="M98" s="59"/>
      <c r="N98" s="59"/>
      <c r="O98" s="136" t="s">
        <v>11</v>
      </c>
    </row>
    <row r="99" spans="1:15" ht="16.2" customHeight="1">
      <c r="A99" s="7" t="str">
        <f t="shared" si="1"/>
        <v>PROPERTYNET_APPRAISAL_AMOUNT</v>
      </c>
      <c r="B99" s="31" t="s">
        <v>10</v>
      </c>
      <c r="C99" s="30" t="s">
        <v>31</v>
      </c>
      <c r="D99" s="26" t="s">
        <v>18</v>
      </c>
      <c r="E99" s="27" t="s">
        <v>70</v>
      </c>
      <c r="F99" s="26" t="s">
        <v>90</v>
      </c>
      <c r="G99" s="28" t="s">
        <v>422</v>
      </c>
      <c r="H99" s="28" t="s">
        <v>422</v>
      </c>
      <c r="I99" s="42"/>
      <c r="J99" s="41" t="s">
        <v>576</v>
      </c>
      <c r="K99" s="41" t="s">
        <v>576</v>
      </c>
      <c r="L99" s="41" t="s">
        <v>576</v>
      </c>
      <c r="M99" s="59"/>
      <c r="N99" s="59"/>
      <c r="O99" s="136" t="s">
        <v>11</v>
      </c>
    </row>
    <row r="100" spans="1:15" ht="16.2" customHeight="1">
      <c r="A100" s="7" t="str">
        <f t="shared" si="1"/>
        <v>PROPERTYCOLLATERAL_FAST_SALE_AMOUNT</v>
      </c>
      <c r="B100" s="31" t="s">
        <v>10</v>
      </c>
      <c r="C100" s="30" t="s">
        <v>31</v>
      </c>
      <c r="D100" s="26" t="s">
        <v>18</v>
      </c>
      <c r="E100" s="27" t="s">
        <v>70</v>
      </c>
      <c r="F100" s="26" t="s">
        <v>91</v>
      </c>
      <c r="G100" s="28" t="s">
        <v>422</v>
      </c>
      <c r="H100" s="28" t="s">
        <v>422</v>
      </c>
      <c r="I100" s="42"/>
      <c r="J100" s="41" t="s">
        <v>576</v>
      </c>
      <c r="K100" s="41" t="s">
        <v>576</v>
      </c>
      <c r="L100" s="41" t="s">
        <v>576</v>
      </c>
      <c r="M100" s="59"/>
      <c r="N100" s="59"/>
      <c r="O100" s="136" t="s">
        <v>11</v>
      </c>
    </row>
    <row r="101" spans="1:15" ht="16.2" customHeight="1">
      <c r="A101" s="7" t="str">
        <f t="shared" si="1"/>
        <v>PROPERTYADDRESS</v>
      </c>
      <c r="B101" s="31" t="s">
        <v>10</v>
      </c>
      <c r="C101" s="30" t="s">
        <v>31</v>
      </c>
      <c r="D101" s="26" t="s">
        <v>18</v>
      </c>
      <c r="E101" s="27" t="s">
        <v>70</v>
      </c>
      <c r="F101" s="26" t="s">
        <v>92</v>
      </c>
      <c r="G101" s="28" t="s">
        <v>422</v>
      </c>
      <c r="H101" s="28" t="s">
        <v>422</v>
      </c>
      <c r="I101" s="42"/>
      <c r="J101" s="41" t="s">
        <v>576</v>
      </c>
      <c r="K101" s="41" t="s">
        <v>576</v>
      </c>
      <c r="L101" s="41" t="s">
        <v>576</v>
      </c>
      <c r="M101" s="59"/>
      <c r="N101" s="59"/>
      <c r="O101" s="136" t="s">
        <v>11</v>
      </c>
    </row>
    <row r="102" spans="1:15" ht="16.2" customHeight="1">
      <c r="A102" s="7" t="str">
        <f t="shared" si="1"/>
        <v>PROPERTYPROPERTY_NUMBER</v>
      </c>
      <c r="B102" s="31" t="s">
        <v>10</v>
      </c>
      <c r="C102" s="30" t="s">
        <v>31</v>
      </c>
      <c r="D102" s="26" t="s">
        <v>18</v>
      </c>
      <c r="E102" s="27" t="s">
        <v>70</v>
      </c>
      <c r="F102" s="26" t="s">
        <v>93</v>
      </c>
      <c r="G102" s="28" t="s">
        <v>422</v>
      </c>
      <c r="H102" s="28" t="s">
        <v>422</v>
      </c>
      <c r="I102" s="42"/>
      <c r="J102" s="41" t="s">
        <v>576</v>
      </c>
      <c r="K102" s="41" t="s">
        <v>576</v>
      </c>
      <c r="L102" s="41" t="s">
        <v>576</v>
      </c>
      <c r="M102" s="59"/>
      <c r="N102" s="59"/>
      <c r="O102" s="136" t="s">
        <v>11</v>
      </c>
    </row>
    <row r="103" spans="1:15" ht="16.2" customHeight="1">
      <c r="A103" s="7" t="str">
        <f t="shared" si="1"/>
        <v>PROPERTYOrigem</v>
      </c>
      <c r="B103" s="31" t="s">
        <v>10</v>
      </c>
      <c r="C103" s="30" t="s">
        <v>31</v>
      </c>
      <c r="D103" s="26" t="s">
        <v>18</v>
      </c>
      <c r="E103" s="27" t="s">
        <v>70</v>
      </c>
      <c r="F103" s="26" t="s">
        <v>94</v>
      </c>
      <c r="G103" s="28" t="s">
        <v>421</v>
      </c>
      <c r="H103" s="28" t="s">
        <v>421</v>
      </c>
      <c r="I103" s="32" t="s">
        <v>457</v>
      </c>
      <c r="J103" s="41" t="s">
        <v>576</v>
      </c>
      <c r="K103" s="41" t="s">
        <v>576</v>
      </c>
      <c r="L103" s="41" t="s">
        <v>576</v>
      </c>
      <c r="M103" s="59"/>
      <c r="N103" s="59"/>
      <c r="O103" s="136" t="s">
        <v>11</v>
      </c>
    </row>
    <row r="104" spans="1:15" ht="16.2" customHeight="1">
      <c r="A104" s="7" t="str">
        <f t="shared" si="1"/>
        <v>PROPERTYCURRENT_CONSTRUCTION_PCT</v>
      </c>
      <c r="B104" s="31" t="s">
        <v>10</v>
      </c>
      <c r="C104" s="30" t="s">
        <v>31</v>
      </c>
      <c r="D104" s="26" t="s">
        <v>18</v>
      </c>
      <c r="E104" s="27" t="s">
        <v>70</v>
      </c>
      <c r="F104" s="26" t="s">
        <v>95</v>
      </c>
      <c r="G104" s="28" t="s">
        <v>422</v>
      </c>
      <c r="H104" s="28" t="s">
        <v>422</v>
      </c>
      <c r="I104" s="32" t="s">
        <v>458</v>
      </c>
      <c r="J104" s="41">
        <v>45491</v>
      </c>
      <c r="K104" s="41">
        <v>45495</v>
      </c>
      <c r="L104" s="41">
        <v>45495</v>
      </c>
      <c r="M104" s="59"/>
      <c r="N104" s="59"/>
      <c r="O104" s="136" t="s">
        <v>11</v>
      </c>
    </row>
    <row r="105" spans="1:15" ht="16.2" customHeight="1">
      <c r="A105" s="7" t="str">
        <f t="shared" si="1"/>
        <v>PROPERTYCONSTRUCTION_COMPLETED_PCT</v>
      </c>
      <c r="B105" s="31" t="s">
        <v>10</v>
      </c>
      <c r="C105" s="30" t="s">
        <v>31</v>
      </c>
      <c r="D105" s="26" t="s">
        <v>18</v>
      </c>
      <c r="E105" s="27" t="s">
        <v>70</v>
      </c>
      <c r="F105" s="26" t="s">
        <v>96</v>
      </c>
      <c r="G105" s="28" t="s">
        <v>422</v>
      </c>
      <c r="H105" s="28" t="s">
        <v>422</v>
      </c>
      <c r="I105" s="32" t="s">
        <v>458</v>
      </c>
      <c r="J105" s="41">
        <v>45491</v>
      </c>
      <c r="K105" s="41">
        <v>45495</v>
      </c>
      <c r="L105" s="41">
        <v>45495</v>
      </c>
      <c r="M105" s="59"/>
      <c r="N105" s="59"/>
      <c r="O105" s="136" t="s">
        <v>11</v>
      </c>
    </row>
    <row r="106" spans="1:15" ht="16.2" customHeight="1">
      <c r="A106" s="7" t="str">
        <f t="shared" si="1"/>
        <v>PROPERTYDATA_DATE_PART</v>
      </c>
      <c r="B106" s="31" t="s">
        <v>10</v>
      </c>
      <c r="C106" s="30" t="s">
        <v>31</v>
      </c>
      <c r="D106" s="26" t="s">
        <v>18</v>
      </c>
      <c r="E106" s="27" t="s">
        <v>70</v>
      </c>
      <c r="F106" s="26" t="s">
        <v>49</v>
      </c>
      <c r="G106" s="28" t="s">
        <v>422</v>
      </c>
      <c r="H106" s="28" t="s">
        <v>422</v>
      </c>
      <c r="I106" s="42"/>
      <c r="J106" s="41" t="s">
        <v>576</v>
      </c>
      <c r="K106" s="41" t="s">
        <v>576</v>
      </c>
      <c r="L106" s="41" t="s">
        <v>576</v>
      </c>
      <c r="M106" s="59"/>
      <c r="N106" s="59"/>
      <c r="O106" s="136" t="s">
        <v>11</v>
      </c>
    </row>
    <row r="107" spans="1:15" ht="16.2" customHeight="1">
      <c r="A107" s="7" t="str">
        <f t="shared" si="1"/>
        <v>PROPERTYCGARANT_BEM</v>
      </c>
      <c r="B107" s="31" t="s">
        <v>10</v>
      </c>
      <c r="C107" s="30" t="s">
        <v>31</v>
      </c>
      <c r="D107" s="26" t="s">
        <v>18</v>
      </c>
      <c r="E107" s="27" t="s">
        <v>70</v>
      </c>
      <c r="F107" s="26" t="s">
        <v>491</v>
      </c>
      <c r="G107" s="28" t="s">
        <v>427</v>
      </c>
      <c r="H107" s="28" t="s">
        <v>427</v>
      </c>
      <c r="I107" s="42"/>
      <c r="J107" s="41" t="s">
        <v>576</v>
      </c>
      <c r="K107" s="41" t="s">
        <v>576</v>
      </c>
      <c r="L107" s="41" t="s">
        <v>576</v>
      </c>
      <c r="M107" s="59"/>
      <c r="N107" s="59"/>
      <c r="O107" s="136" t="s">
        <v>11</v>
      </c>
    </row>
    <row r="108" spans="1:15" ht="16.2" customHeight="1">
      <c r="A108" s="7" t="str">
        <f t="shared" si="1"/>
        <v>PROPERTYURBANIZATION</v>
      </c>
      <c r="B108" s="31" t="s">
        <v>10</v>
      </c>
      <c r="C108" s="30" t="s">
        <v>31</v>
      </c>
      <c r="D108" s="26" t="s">
        <v>18</v>
      </c>
      <c r="E108" s="27" t="s">
        <v>70</v>
      </c>
      <c r="F108" s="26" t="s">
        <v>97</v>
      </c>
      <c r="G108" s="28" t="s">
        <v>422</v>
      </c>
      <c r="H108" s="28" t="s">
        <v>422</v>
      </c>
      <c r="I108" s="42"/>
      <c r="J108" s="41" t="s">
        <v>576</v>
      </c>
      <c r="K108" s="41" t="s">
        <v>576</v>
      </c>
      <c r="L108" s="41" t="s">
        <v>576</v>
      </c>
      <c r="M108" s="59"/>
      <c r="N108" s="59"/>
      <c r="O108" s="136" t="s">
        <v>11</v>
      </c>
    </row>
    <row r="109" spans="1:15" ht="16.2" customHeight="1">
      <c r="A109" s="7" t="str">
        <f t="shared" si="1"/>
        <v>PROPERTY_ENERGY_CERTIFICATEn.a.</v>
      </c>
      <c r="B109" s="31" t="s">
        <v>10</v>
      </c>
      <c r="C109" s="30" t="s">
        <v>31</v>
      </c>
      <c r="D109" s="26" t="s">
        <v>15</v>
      </c>
      <c r="E109" s="27" t="s">
        <v>98</v>
      </c>
      <c r="F109" s="26" t="s">
        <v>17</v>
      </c>
      <c r="G109" s="28" t="s">
        <v>422</v>
      </c>
      <c r="H109" s="28" t="s">
        <v>422</v>
      </c>
      <c r="I109" s="32"/>
      <c r="J109" s="41" t="s">
        <v>576</v>
      </c>
      <c r="K109" s="41" t="s">
        <v>576</v>
      </c>
      <c r="L109" s="41" t="s">
        <v>576</v>
      </c>
      <c r="M109" s="59"/>
      <c r="N109" s="59"/>
      <c r="O109" s="136" t="s">
        <v>11</v>
      </c>
    </row>
    <row r="110" spans="1:15" ht="16.2" customHeight="1">
      <c r="A110" s="7" t="str">
        <f t="shared" si="1"/>
        <v>PROPERTY_ENERGY_CERTIFICATEPROPERTY_BANK_ID</v>
      </c>
      <c r="B110" s="31" t="s">
        <v>10</v>
      </c>
      <c r="C110" s="30" t="s">
        <v>31</v>
      </c>
      <c r="D110" s="26" t="s">
        <v>18</v>
      </c>
      <c r="E110" s="27" t="s">
        <v>98</v>
      </c>
      <c r="F110" s="26" t="s">
        <v>19</v>
      </c>
      <c r="G110" s="28" t="s">
        <v>422</v>
      </c>
      <c r="H110" s="28" t="s">
        <v>422</v>
      </c>
      <c r="I110" s="32"/>
      <c r="J110" s="41" t="s">
        <v>576</v>
      </c>
      <c r="K110" s="41" t="s">
        <v>576</v>
      </c>
      <c r="L110" s="41" t="s">
        <v>576</v>
      </c>
      <c r="M110" s="59"/>
      <c r="N110" s="59"/>
      <c r="O110" s="136" t="s">
        <v>11</v>
      </c>
    </row>
    <row r="111" spans="1:15" ht="16.2" customHeight="1">
      <c r="A111" s="7" t="str">
        <f t="shared" si="1"/>
        <v>PROPERTY_ENERGY_CERTIFICATEPROPERTY_BRANCH_CODE</v>
      </c>
      <c r="B111" s="31" t="s">
        <v>10</v>
      </c>
      <c r="C111" s="30" t="s">
        <v>31</v>
      </c>
      <c r="D111" s="26" t="s">
        <v>18</v>
      </c>
      <c r="E111" s="27" t="s">
        <v>98</v>
      </c>
      <c r="F111" s="26" t="s">
        <v>21</v>
      </c>
      <c r="G111" s="28" t="s">
        <v>422</v>
      </c>
      <c r="H111" s="28" t="s">
        <v>422</v>
      </c>
      <c r="I111" s="32"/>
      <c r="J111" s="41" t="s">
        <v>576</v>
      </c>
      <c r="K111" s="41" t="s">
        <v>576</v>
      </c>
      <c r="L111" s="41" t="s">
        <v>576</v>
      </c>
      <c r="M111" s="59"/>
      <c r="N111" s="59"/>
      <c r="O111" s="136" t="s">
        <v>11</v>
      </c>
    </row>
    <row r="112" spans="1:15" ht="16.2" customHeight="1">
      <c r="A112" s="7" t="str">
        <f t="shared" si="1"/>
        <v>PROPERTY_ENERGY_CERTIFICATEPROPERTY_CONTRACT_ID</v>
      </c>
      <c r="B112" s="31" t="s">
        <v>10</v>
      </c>
      <c r="C112" s="30" t="s">
        <v>31</v>
      </c>
      <c r="D112" s="26" t="s">
        <v>18</v>
      </c>
      <c r="E112" s="27" t="s">
        <v>98</v>
      </c>
      <c r="F112" s="26" t="s">
        <v>22</v>
      </c>
      <c r="G112" s="28" t="s">
        <v>422</v>
      </c>
      <c r="H112" s="28" t="s">
        <v>422</v>
      </c>
      <c r="I112" s="32"/>
      <c r="J112" s="41" t="s">
        <v>576</v>
      </c>
      <c r="K112" s="41" t="s">
        <v>576</v>
      </c>
      <c r="L112" s="41" t="s">
        <v>576</v>
      </c>
      <c r="M112" s="59"/>
      <c r="N112" s="59"/>
      <c r="O112" s="136" t="s">
        <v>11</v>
      </c>
    </row>
    <row r="113" spans="1:15" ht="16.2" customHeight="1">
      <c r="A113" s="7" t="str">
        <f t="shared" si="1"/>
        <v>PROPERTY_ENERGY_CERTIFICATEPROPERTY_REFERENCE_CODE</v>
      </c>
      <c r="B113" s="31" t="s">
        <v>10</v>
      </c>
      <c r="C113" s="30" t="s">
        <v>31</v>
      </c>
      <c r="D113" s="26" t="s">
        <v>18</v>
      </c>
      <c r="E113" s="27" t="s">
        <v>98</v>
      </c>
      <c r="F113" s="26" t="s">
        <v>23</v>
      </c>
      <c r="G113" s="28" t="s">
        <v>422</v>
      </c>
      <c r="H113" s="28" t="s">
        <v>422</v>
      </c>
      <c r="I113" s="32"/>
      <c r="J113" s="41" t="s">
        <v>576</v>
      </c>
      <c r="K113" s="41" t="s">
        <v>576</v>
      </c>
      <c r="L113" s="41" t="s">
        <v>576</v>
      </c>
      <c r="M113" s="59"/>
      <c r="N113" s="59"/>
      <c r="O113" s="136" t="s">
        <v>11</v>
      </c>
    </row>
    <row r="114" spans="1:15" ht="16.2" customHeight="1">
      <c r="A114" s="7" t="str">
        <f t="shared" si="1"/>
        <v>PROPERTY_ENERGY_CERTIFICATELAND_REGISTRY_OFFICE_CODE</v>
      </c>
      <c r="B114" s="31" t="s">
        <v>10</v>
      </c>
      <c r="C114" s="30" t="s">
        <v>31</v>
      </c>
      <c r="D114" s="26" t="s">
        <v>18</v>
      </c>
      <c r="E114" s="27" t="s">
        <v>98</v>
      </c>
      <c r="F114" s="26" t="s">
        <v>99</v>
      </c>
      <c r="G114" s="28" t="s">
        <v>422</v>
      </c>
      <c r="H114" s="28" t="s">
        <v>427</v>
      </c>
      <c r="I114" s="32"/>
      <c r="J114" s="41" t="s">
        <v>576</v>
      </c>
      <c r="K114" s="41" t="s">
        <v>576</v>
      </c>
      <c r="L114" s="41">
        <v>45639</v>
      </c>
      <c r="M114" s="59"/>
      <c r="N114" s="59"/>
      <c r="O114" s="136" t="s">
        <v>11</v>
      </c>
    </row>
    <row r="115" spans="1:15" ht="16.2" customHeight="1">
      <c r="A115" s="7" t="str">
        <f t="shared" si="1"/>
        <v>PROPERTY_ENERGY_CERTIFICATEPROPERTY_IDENTIFICATION_CODE</v>
      </c>
      <c r="B115" s="31" t="s">
        <v>10</v>
      </c>
      <c r="C115" s="30" t="s">
        <v>31</v>
      </c>
      <c r="D115" s="26" t="s">
        <v>18</v>
      </c>
      <c r="E115" s="27" t="s">
        <v>98</v>
      </c>
      <c r="F115" s="26" t="s">
        <v>100</v>
      </c>
      <c r="G115" s="28" t="s">
        <v>422</v>
      </c>
      <c r="H115" s="28" t="s">
        <v>427</v>
      </c>
      <c r="I115" s="32"/>
      <c r="J115" s="41" t="s">
        <v>576</v>
      </c>
      <c r="K115" s="41" t="s">
        <v>576</v>
      </c>
      <c r="L115" s="41">
        <v>45639</v>
      </c>
      <c r="M115" s="59"/>
      <c r="N115" s="59"/>
      <c r="O115" s="136" t="s">
        <v>11</v>
      </c>
    </row>
    <row r="116" spans="1:15" ht="16.2" customHeight="1">
      <c r="A116" s="7" t="str">
        <f t="shared" si="1"/>
        <v>PROPERTY_ENERGY_CERTIFICATEENERGY_CERTIFICATION_SYSTEM_CODE</v>
      </c>
      <c r="B116" s="31" t="s">
        <v>10</v>
      </c>
      <c r="C116" s="30" t="s">
        <v>31</v>
      </c>
      <c r="D116" s="26" t="s">
        <v>18</v>
      </c>
      <c r="E116" s="27" t="s">
        <v>98</v>
      </c>
      <c r="F116" s="26" t="s">
        <v>101</v>
      </c>
      <c r="G116" s="28" t="s">
        <v>422</v>
      </c>
      <c r="H116" s="28" t="s">
        <v>427</v>
      </c>
      <c r="I116" s="32"/>
      <c r="J116" s="41" t="s">
        <v>576</v>
      </c>
      <c r="K116" s="41" t="s">
        <v>576</v>
      </c>
      <c r="L116" s="41">
        <v>45639</v>
      </c>
      <c r="M116" s="59"/>
      <c r="N116" s="59"/>
      <c r="O116" s="136" t="s">
        <v>11</v>
      </c>
    </row>
    <row r="117" spans="1:15" ht="16.2" customHeight="1">
      <c r="A117" s="7" t="str">
        <f t="shared" si="1"/>
        <v>PROPERTY_ENERGY_CERTIFICATEEPC_ISSUING_DATE</v>
      </c>
      <c r="B117" s="31" t="s">
        <v>10</v>
      </c>
      <c r="C117" s="30" t="s">
        <v>31</v>
      </c>
      <c r="D117" s="26" t="s">
        <v>18</v>
      </c>
      <c r="E117" s="27" t="s">
        <v>98</v>
      </c>
      <c r="F117" s="26" t="s">
        <v>102</v>
      </c>
      <c r="G117" s="28" t="s">
        <v>422</v>
      </c>
      <c r="H117" s="28" t="s">
        <v>427</v>
      </c>
      <c r="I117" s="32"/>
      <c r="J117" s="41" t="s">
        <v>576</v>
      </c>
      <c r="K117" s="41" t="s">
        <v>576</v>
      </c>
      <c r="L117" s="41">
        <v>45639</v>
      </c>
      <c r="M117" s="59"/>
      <c r="N117" s="59"/>
      <c r="O117" s="136" t="s">
        <v>11</v>
      </c>
    </row>
    <row r="118" spans="1:15" ht="16.2" customHeight="1">
      <c r="A118" s="7" t="str">
        <f t="shared" si="1"/>
        <v>PROPERTY_ENERGY_CERTIFICATEEPC_EXPIRATION_DATE</v>
      </c>
      <c r="B118" s="31" t="s">
        <v>10</v>
      </c>
      <c r="C118" s="30" t="s">
        <v>31</v>
      </c>
      <c r="D118" s="26" t="s">
        <v>18</v>
      </c>
      <c r="E118" s="27" t="s">
        <v>98</v>
      </c>
      <c r="F118" s="26" t="s">
        <v>103</v>
      </c>
      <c r="G118" s="28" t="s">
        <v>422</v>
      </c>
      <c r="H118" s="28" t="s">
        <v>427</v>
      </c>
      <c r="I118" s="32"/>
      <c r="J118" s="41" t="s">
        <v>576</v>
      </c>
      <c r="K118" s="41" t="s">
        <v>576</v>
      </c>
      <c r="L118" s="41">
        <v>45639</v>
      </c>
      <c r="M118" s="59"/>
      <c r="N118" s="59"/>
      <c r="O118" s="136" t="s">
        <v>11</v>
      </c>
    </row>
    <row r="119" spans="1:15" ht="16.2" customHeight="1">
      <c r="A119" s="7" t="str">
        <f t="shared" si="1"/>
        <v>PROPERTY_ENERGY_CERTIFICATEEPC</v>
      </c>
      <c r="B119" s="31" t="s">
        <v>10</v>
      </c>
      <c r="C119" s="30" t="s">
        <v>31</v>
      </c>
      <c r="D119" s="26" t="s">
        <v>18</v>
      </c>
      <c r="E119" s="27" t="s">
        <v>98</v>
      </c>
      <c r="F119" s="26" t="s">
        <v>25</v>
      </c>
      <c r="G119" s="28" t="s">
        <v>422</v>
      </c>
      <c r="H119" s="28" t="s">
        <v>427</v>
      </c>
      <c r="I119" s="32"/>
      <c r="J119" s="41" t="s">
        <v>576</v>
      </c>
      <c r="K119" s="41" t="s">
        <v>576</v>
      </c>
      <c r="L119" s="41">
        <v>45639</v>
      </c>
      <c r="M119" s="59"/>
      <c r="N119" s="59"/>
      <c r="O119" s="136" t="s">
        <v>11</v>
      </c>
    </row>
    <row r="120" spans="1:15" ht="16.2" customHeight="1">
      <c r="A120" s="7" t="str">
        <f t="shared" si="1"/>
        <v>PROPERTY_ENERGY_CERTIFICATEENERGY_CONSUMPTION_TYPE_S_IND</v>
      </c>
      <c r="B120" s="31" t="s">
        <v>10</v>
      </c>
      <c r="C120" s="30" t="s">
        <v>31</v>
      </c>
      <c r="D120" s="26" t="s">
        <v>18</v>
      </c>
      <c r="E120" s="27" t="s">
        <v>98</v>
      </c>
      <c r="F120" s="26" t="s">
        <v>104</v>
      </c>
      <c r="G120" s="28" t="s">
        <v>422</v>
      </c>
      <c r="H120" s="28" t="s">
        <v>422</v>
      </c>
      <c r="I120" s="32"/>
      <c r="J120" s="41" t="s">
        <v>576</v>
      </c>
      <c r="K120" s="41" t="s">
        <v>576</v>
      </c>
      <c r="L120" s="41" t="s">
        <v>576</v>
      </c>
      <c r="M120" s="59"/>
      <c r="N120" s="59"/>
      <c r="O120" s="136" t="s">
        <v>11</v>
      </c>
    </row>
    <row r="121" spans="1:15" ht="16.2" customHeight="1">
      <c r="A121" s="7" t="str">
        <f t="shared" si="1"/>
        <v>PROPERTY_ENERGY_CERTIFICATEENERGY_CONSUMPTION_TYPE_T_IND</v>
      </c>
      <c r="B121" s="31" t="s">
        <v>10</v>
      </c>
      <c r="C121" s="30" t="s">
        <v>31</v>
      </c>
      <c r="D121" s="26" t="s">
        <v>18</v>
      </c>
      <c r="E121" s="27" t="s">
        <v>98</v>
      </c>
      <c r="F121" s="26" t="s">
        <v>105</v>
      </c>
      <c r="G121" s="28" t="s">
        <v>422</v>
      </c>
      <c r="H121" s="28" t="s">
        <v>422</v>
      </c>
      <c r="I121" s="32"/>
      <c r="J121" s="41" t="s">
        <v>576</v>
      </c>
      <c r="K121" s="41" t="s">
        <v>576</v>
      </c>
      <c r="L121" s="41" t="s">
        <v>576</v>
      </c>
      <c r="M121" s="59"/>
      <c r="N121" s="59"/>
      <c r="O121" s="136" t="s">
        <v>11</v>
      </c>
    </row>
    <row r="122" spans="1:15" ht="16.2" customHeight="1">
      <c r="A122" s="7" t="str">
        <f t="shared" si="1"/>
        <v>PROPERTY_ENERGY_CERTIFICATEENERGY_EFFICIENCY_IND</v>
      </c>
      <c r="B122" s="31" t="s">
        <v>10</v>
      </c>
      <c r="C122" s="30" t="s">
        <v>31</v>
      </c>
      <c r="D122" s="26" t="s">
        <v>18</v>
      </c>
      <c r="E122" s="27" t="s">
        <v>98</v>
      </c>
      <c r="F122" s="26" t="s">
        <v>106</v>
      </c>
      <c r="G122" s="28" t="s">
        <v>422</v>
      </c>
      <c r="H122" s="28" t="s">
        <v>427</v>
      </c>
      <c r="I122" s="32"/>
      <c r="J122" s="41" t="s">
        <v>576</v>
      </c>
      <c r="K122" s="41" t="s">
        <v>576</v>
      </c>
      <c r="L122" s="41">
        <v>45639</v>
      </c>
      <c r="M122" s="59"/>
      <c r="N122" s="59"/>
      <c r="O122" s="136" t="s">
        <v>11</v>
      </c>
    </row>
    <row r="123" spans="1:15" ht="16.2" customHeight="1">
      <c r="A123" s="7" t="str">
        <f t="shared" si="1"/>
        <v>PROPERTY_ENERGY_CERTIFICATEREN_ENERGY_EFFICIENCY_IND</v>
      </c>
      <c r="B123" s="31" t="s">
        <v>10</v>
      </c>
      <c r="C123" s="30" t="s">
        <v>31</v>
      </c>
      <c r="D123" s="26" t="s">
        <v>18</v>
      </c>
      <c r="E123" s="27" t="s">
        <v>98</v>
      </c>
      <c r="F123" s="26" t="s">
        <v>107</v>
      </c>
      <c r="G123" s="28" t="s">
        <v>422</v>
      </c>
      <c r="H123" s="28" t="s">
        <v>422</v>
      </c>
      <c r="I123" s="32"/>
      <c r="J123" s="41" t="s">
        <v>576</v>
      </c>
      <c r="K123" s="41" t="s">
        <v>576</v>
      </c>
      <c r="L123" s="41" t="s">
        <v>576</v>
      </c>
      <c r="M123" s="59"/>
      <c r="N123" s="59"/>
      <c r="O123" s="136" t="s">
        <v>11</v>
      </c>
    </row>
    <row r="124" spans="1:15" ht="16.2" customHeight="1">
      <c r="A124" s="7" t="str">
        <f t="shared" si="1"/>
        <v>PROPERTY_ENERGY_CERTIFICATENZEB_IND</v>
      </c>
      <c r="B124" s="31" t="s">
        <v>10</v>
      </c>
      <c r="C124" s="30" t="s">
        <v>31</v>
      </c>
      <c r="D124" s="26" t="s">
        <v>18</v>
      </c>
      <c r="E124" s="27" t="s">
        <v>98</v>
      </c>
      <c r="F124" s="26" t="s">
        <v>108</v>
      </c>
      <c r="G124" s="28" t="s">
        <v>422</v>
      </c>
      <c r="H124" s="28" t="s">
        <v>427</v>
      </c>
      <c r="I124" s="32"/>
      <c r="J124" s="41" t="s">
        <v>576</v>
      </c>
      <c r="K124" s="41" t="s">
        <v>576</v>
      </c>
      <c r="L124" s="41">
        <v>45639</v>
      </c>
      <c r="M124" s="59"/>
      <c r="N124" s="59"/>
      <c r="O124" s="136" t="s">
        <v>11</v>
      </c>
    </row>
    <row r="125" spans="1:15" ht="16.2" customHeight="1">
      <c r="A125" s="7" t="str">
        <f t="shared" si="1"/>
        <v>PROPERTY_ENERGY_CERTIFICATEACTUAL_VALUE_IND</v>
      </c>
      <c r="B125" s="31" t="s">
        <v>10</v>
      </c>
      <c r="C125" s="30" t="s">
        <v>31</v>
      </c>
      <c r="D125" s="26" t="s">
        <v>18</v>
      </c>
      <c r="E125" s="27" t="s">
        <v>98</v>
      </c>
      <c r="F125" s="26" t="s">
        <v>27</v>
      </c>
      <c r="G125" s="28" t="s">
        <v>422</v>
      </c>
      <c r="H125" s="28" t="s">
        <v>427</v>
      </c>
      <c r="I125" s="32"/>
      <c r="J125" s="41" t="s">
        <v>576</v>
      </c>
      <c r="K125" s="41" t="s">
        <v>576</v>
      </c>
      <c r="L125" s="41">
        <v>45639</v>
      </c>
      <c r="M125" s="59"/>
      <c r="N125" s="59"/>
      <c r="O125" s="136" t="s">
        <v>11</v>
      </c>
    </row>
    <row r="126" spans="1:15" ht="16.2" customHeight="1">
      <c r="A126" s="7" t="str">
        <f t="shared" si="1"/>
        <v>PROPERTY_ENERGY_CERTIFICATEEP_SCORE</v>
      </c>
      <c r="B126" s="31" t="s">
        <v>10</v>
      </c>
      <c r="C126" s="30" t="s">
        <v>31</v>
      </c>
      <c r="D126" s="26" t="s">
        <v>18</v>
      </c>
      <c r="E126" s="27" t="s">
        <v>98</v>
      </c>
      <c r="F126" s="26" t="s">
        <v>109</v>
      </c>
      <c r="G126" s="28" t="s">
        <v>422</v>
      </c>
      <c r="H126" s="28" t="s">
        <v>422</v>
      </c>
      <c r="I126" s="32"/>
      <c r="J126" s="41" t="s">
        <v>576</v>
      </c>
      <c r="K126" s="41" t="s">
        <v>576</v>
      </c>
      <c r="L126" s="41" t="s">
        <v>576</v>
      </c>
      <c r="M126" s="59"/>
      <c r="N126" s="59"/>
      <c r="O126" s="136" t="s">
        <v>11</v>
      </c>
    </row>
    <row r="127" spans="1:15" ht="16.2" customHeight="1">
      <c r="A127" s="7" t="str">
        <f t="shared" si="1"/>
        <v>PROPERTY_ENERGY_CERTIFICATESOURCE_CODE</v>
      </c>
      <c r="B127" s="31" t="s">
        <v>10</v>
      </c>
      <c r="C127" s="30" t="s">
        <v>31</v>
      </c>
      <c r="D127" s="26" t="s">
        <v>18</v>
      </c>
      <c r="E127" s="27" t="s">
        <v>98</v>
      </c>
      <c r="F127" s="26" t="s">
        <v>63</v>
      </c>
      <c r="G127" s="28" t="s">
        <v>422</v>
      </c>
      <c r="H127" s="28" t="s">
        <v>427</v>
      </c>
      <c r="I127" s="32"/>
      <c r="J127" s="41" t="s">
        <v>576</v>
      </c>
      <c r="K127" s="41" t="s">
        <v>576</v>
      </c>
      <c r="L127" s="41">
        <v>45639</v>
      </c>
      <c r="M127" s="59"/>
      <c r="N127" s="59"/>
      <c r="O127" s="136" t="s">
        <v>11</v>
      </c>
    </row>
    <row r="128" spans="1:15" ht="16.2" customHeight="1">
      <c r="A128" s="7" t="str">
        <f t="shared" si="1"/>
        <v>PROPERTY_ENERGY_CERTIFICATEDATA_DATE_PART</v>
      </c>
      <c r="B128" s="31" t="s">
        <v>10</v>
      </c>
      <c r="C128" s="30" t="s">
        <v>31</v>
      </c>
      <c r="D128" s="26" t="s">
        <v>18</v>
      </c>
      <c r="E128" s="27" t="s">
        <v>98</v>
      </c>
      <c r="F128" s="26" t="s">
        <v>49</v>
      </c>
      <c r="G128" s="28" t="s">
        <v>422</v>
      </c>
      <c r="H128" s="28" t="s">
        <v>422</v>
      </c>
      <c r="I128" s="32"/>
      <c r="J128" s="41" t="s">
        <v>576</v>
      </c>
      <c r="K128" s="41" t="s">
        <v>576</v>
      </c>
      <c r="L128" s="41" t="s">
        <v>576</v>
      </c>
      <c r="M128" s="59"/>
      <c r="N128" s="59"/>
      <c r="O128" s="136" t="s">
        <v>11</v>
      </c>
    </row>
    <row r="129" spans="1:15" ht="16.2" customHeight="1">
      <c r="A129" s="7" t="str">
        <f t="shared" si="1"/>
        <v>PROPERTY_ENERGY_CERTIFICATECERTIFICATE_TYPE</v>
      </c>
      <c r="B129" s="31" t="s">
        <v>10</v>
      </c>
      <c r="C129" s="30" t="s">
        <v>31</v>
      </c>
      <c r="D129" s="26" t="s">
        <v>18</v>
      </c>
      <c r="E129" s="27" t="s">
        <v>98</v>
      </c>
      <c r="F129" s="26" t="s">
        <v>110</v>
      </c>
      <c r="G129" s="28" t="s">
        <v>422</v>
      </c>
      <c r="H129" s="28" t="s">
        <v>427</v>
      </c>
      <c r="I129" s="32"/>
      <c r="J129" s="41" t="s">
        <v>576</v>
      </c>
      <c r="K129" s="41" t="s">
        <v>576</v>
      </c>
      <c r="L129" s="41">
        <v>45639</v>
      </c>
      <c r="M129" s="59"/>
      <c r="N129" s="59"/>
      <c r="O129" s="136" t="s">
        <v>11</v>
      </c>
    </row>
    <row r="130" spans="1:15" ht="16.2" customHeight="1">
      <c r="A130" s="7" t="str">
        <f t="shared" si="1"/>
        <v>PROPERTY_ENERGY_CERTIFICATEBUILDING_DOMEST_HOTWATER_VALUE</v>
      </c>
      <c r="B130" s="31" t="s">
        <v>10</v>
      </c>
      <c r="C130" s="30" t="s">
        <v>31</v>
      </c>
      <c r="D130" s="26" t="s">
        <v>18</v>
      </c>
      <c r="E130" s="27" t="s">
        <v>98</v>
      </c>
      <c r="F130" s="26" t="s">
        <v>111</v>
      </c>
      <c r="G130" s="28" t="s">
        <v>422</v>
      </c>
      <c r="H130" s="28" t="s">
        <v>422</v>
      </c>
      <c r="I130" s="32"/>
      <c r="J130" s="41" t="s">
        <v>576</v>
      </c>
      <c r="K130" s="41" t="s">
        <v>576</v>
      </c>
      <c r="L130" s="41" t="s">
        <v>576</v>
      </c>
      <c r="M130" s="59"/>
      <c r="N130" s="59"/>
      <c r="O130" s="136" t="s">
        <v>11</v>
      </c>
    </row>
    <row r="131" spans="1:15" ht="16.2" customHeight="1">
      <c r="A131" s="7" t="str">
        <f t="shared" si="1"/>
        <v>PROPERTY_ENERGY_CERTIFICATERENEWABLE_DOMEST_HOTWATER_VALUE</v>
      </c>
      <c r="B131" s="31" t="s">
        <v>10</v>
      </c>
      <c r="C131" s="30" t="s">
        <v>31</v>
      </c>
      <c r="D131" s="26" t="s">
        <v>18</v>
      </c>
      <c r="E131" s="27" t="s">
        <v>98</v>
      </c>
      <c r="F131" s="26" t="s">
        <v>112</v>
      </c>
      <c r="G131" s="28" t="s">
        <v>422</v>
      </c>
      <c r="H131" s="28" t="s">
        <v>422</v>
      </c>
      <c r="I131" s="32"/>
      <c r="J131" s="41" t="s">
        <v>576</v>
      </c>
      <c r="K131" s="41" t="s">
        <v>576</v>
      </c>
      <c r="L131" s="41" t="s">
        <v>576</v>
      </c>
      <c r="M131" s="59"/>
      <c r="N131" s="59"/>
      <c r="O131" s="136" t="s">
        <v>11</v>
      </c>
    </row>
    <row r="132" spans="1:15" ht="16.2" customHeight="1">
      <c r="A132" s="7" t="str">
        <f t="shared" si="1"/>
        <v>PROPERTY_ENERGY_CERTIFICATEDOMEST_HOTWATER_REF_VALUE</v>
      </c>
      <c r="B132" s="31" t="s">
        <v>10</v>
      </c>
      <c r="C132" s="30" t="s">
        <v>31</v>
      </c>
      <c r="D132" s="26" t="s">
        <v>18</v>
      </c>
      <c r="E132" s="27" t="s">
        <v>98</v>
      </c>
      <c r="F132" s="26" t="s">
        <v>113</v>
      </c>
      <c r="G132" s="28" t="s">
        <v>422</v>
      </c>
      <c r="H132" s="28" t="s">
        <v>422</v>
      </c>
      <c r="I132" s="32"/>
      <c r="J132" s="41" t="s">
        <v>576</v>
      </c>
      <c r="K132" s="41" t="s">
        <v>576</v>
      </c>
      <c r="L132" s="41" t="s">
        <v>576</v>
      </c>
      <c r="M132" s="59"/>
      <c r="N132" s="59"/>
      <c r="O132" s="136" t="s">
        <v>11</v>
      </c>
    </row>
    <row r="133" spans="1:15" ht="16.2" customHeight="1">
      <c r="A133" s="7" t="str">
        <f t="shared" si="1"/>
        <v>PROPERTY_ENERGY_CERTIFICATEHEIGHT</v>
      </c>
      <c r="B133" s="31" t="s">
        <v>10</v>
      </c>
      <c r="C133" s="30" t="s">
        <v>31</v>
      </c>
      <c r="D133" s="26" t="s">
        <v>18</v>
      </c>
      <c r="E133" s="27" t="s">
        <v>98</v>
      </c>
      <c r="F133" s="26" t="s">
        <v>114</v>
      </c>
      <c r="G133" s="28" t="s">
        <v>422</v>
      </c>
      <c r="H133" s="28" t="s">
        <v>422</v>
      </c>
      <c r="I133" s="32"/>
      <c r="J133" s="41" t="s">
        <v>576</v>
      </c>
      <c r="K133" s="41" t="s">
        <v>576</v>
      </c>
      <c r="L133" s="41" t="s">
        <v>576</v>
      </c>
      <c r="M133" s="59"/>
      <c r="N133" s="59"/>
      <c r="O133" s="136" t="s">
        <v>11</v>
      </c>
    </row>
    <row r="134" spans="1:15" ht="16.2" customHeight="1">
      <c r="A134" s="7" t="str">
        <f t="shared" si="1"/>
        <v>PROPERTY_ENERGY_CERTIFICATEBUILDING_SPACE_HEATING_VALUE</v>
      </c>
      <c r="B134" s="31" t="s">
        <v>10</v>
      </c>
      <c r="C134" s="30" t="s">
        <v>31</v>
      </c>
      <c r="D134" s="26" t="s">
        <v>18</v>
      </c>
      <c r="E134" s="27" t="s">
        <v>98</v>
      </c>
      <c r="F134" s="26" t="s">
        <v>115</v>
      </c>
      <c r="G134" s="28" t="s">
        <v>422</v>
      </c>
      <c r="H134" s="28" t="s">
        <v>422</v>
      </c>
      <c r="I134" s="32"/>
      <c r="J134" s="41" t="s">
        <v>576</v>
      </c>
      <c r="K134" s="41" t="s">
        <v>576</v>
      </c>
      <c r="L134" s="41" t="s">
        <v>576</v>
      </c>
      <c r="M134" s="59"/>
      <c r="N134" s="59"/>
      <c r="O134" s="136" t="s">
        <v>11</v>
      </c>
    </row>
    <row r="135" spans="1:15" ht="16.2" customHeight="1">
      <c r="A135" s="7" t="str">
        <f t="shared" si="1"/>
        <v>PROPERTY_ENERGY_CERTIFICATESPACE_HEATING_REF_VALUE</v>
      </c>
      <c r="B135" s="31" t="s">
        <v>10</v>
      </c>
      <c r="C135" s="30" t="s">
        <v>31</v>
      </c>
      <c r="D135" s="26" t="s">
        <v>18</v>
      </c>
      <c r="E135" s="27" t="s">
        <v>98</v>
      </c>
      <c r="F135" s="26" t="s">
        <v>116</v>
      </c>
      <c r="G135" s="28" t="s">
        <v>422</v>
      </c>
      <c r="H135" s="28" t="s">
        <v>422</v>
      </c>
      <c r="I135" s="32"/>
      <c r="J135" s="41" t="s">
        <v>576</v>
      </c>
      <c r="K135" s="41" t="s">
        <v>576</v>
      </c>
      <c r="L135" s="41" t="s">
        <v>576</v>
      </c>
      <c r="M135" s="59"/>
      <c r="N135" s="59"/>
      <c r="O135" s="136" t="s">
        <v>11</v>
      </c>
    </row>
    <row r="136" spans="1:15" ht="16.2" customHeight="1">
      <c r="A136" s="7" t="str">
        <f t="shared" si="1"/>
        <v>PROPERTY_ENERGY_CERTIFICATERENEWABLE_SPACE_HEATING_VALUE</v>
      </c>
      <c r="B136" s="31" t="s">
        <v>10</v>
      </c>
      <c r="C136" s="30" t="s">
        <v>31</v>
      </c>
      <c r="D136" s="26" t="s">
        <v>18</v>
      </c>
      <c r="E136" s="27" t="s">
        <v>98</v>
      </c>
      <c r="F136" s="26" t="s">
        <v>117</v>
      </c>
      <c r="G136" s="28" t="s">
        <v>422</v>
      </c>
      <c r="H136" s="28" t="s">
        <v>422</v>
      </c>
      <c r="I136" s="32"/>
      <c r="J136" s="41" t="s">
        <v>576</v>
      </c>
      <c r="K136" s="41" t="s">
        <v>576</v>
      </c>
      <c r="L136" s="41" t="s">
        <v>576</v>
      </c>
      <c r="M136" s="59"/>
      <c r="N136" s="59"/>
      <c r="O136" s="136" t="s">
        <v>11</v>
      </c>
    </row>
    <row r="137" spans="1:15" ht="16.2" customHeight="1">
      <c r="A137" s="7" t="str">
        <f t="shared" ref="A137:A207" si="2">E137&amp;F137</f>
        <v>PROPERTY_ENERGY_CERTIFICATEBUILDING_SPACE_COOLING_VALUE</v>
      </c>
      <c r="B137" s="31" t="s">
        <v>10</v>
      </c>
      <c r="C137" s="30" t="s">
        <v>31</v>
      </c>
      <c r="D137" s="26" t="s">
        <v>18</v>
      </c>
      <c r="E137" s="27" t="s">
        <v>98</v>
      </c>
      <c r="F137" s="26" t="s">
        <v>118</v>
      </c>
      <c r="G137" s="28" t="s">
        <v>422</v>
      </c>
      <c r="H137" s="28" t="s">
        <v>422</v>
      </c>
      <c r="I137" s="32"/>
      <c r="J137" s="41" t="s">
        <v>576</v>
      </c>
      <c r="K137" s="41" t="s">
        <v>576</v>
      </c>
      <c r="L137" s="41" t="s">
        <v>576</v>
      </c>
      <c r="M137" s="59"/>
      <c r="N137" s="59"/>
      <c r="O137" s="136" t="s">
        <v>11</v>
      </c>
    </row>
    <row r="138" spans="1:15" ht="16.2" customHeight="1">
      <c r="A138" s="7" t="str">
        <f t="shared" si="2"/>
        <v>PROPERTY_ENERGY_CERTIFICATERENEWABLE_SPACE_COOLING_VALUE</v>
      </c>
      <c r="B138" s="31" t="s">
        <v>10</v>
      </c>
      <c r="C138" s="30" t="s">
        <v>31</v>
      </c>
      <c r="D138" s="26" t="s">
        <v>18</v>
      </c>
      <c r="E138" s="27" t="s">
        <v>98</v>
      </c>
      <c r="F138" s="26" t="s">
        <v>119</v>
      </c>
      <c r="G138" s="28" t="s">
        <v>422</v>
      </c>
      <c r="H138" s="28" t="s">
        <v>422</v>
      </c>
      <c r="I138" s="32"/>
      <c r="J138" s="41" t="s">
        <v>576</v>
      </c>
      <c r="K138" s="41" t="s">
        <v>576</v>
      </c>
      <c r="L138" s="41" t="s">
        <v>576</v>
      </c>
      <c r="M138" s="59"/>
      <c r="N138" s="59"/>
      <c r="O138" s="136" t="s">
        <v>11</v>
      </c>
    </row>
    <row r="139" spans="1:15" ht="16.2" customHeight="1">
      <c r="A139" s="7" t="str">
        <f t="shared" si="2"/>
        <v>PROPERTY_ENERGY_CERTIFICATESPACE_COOLING_REF_VALUE</v>
      </c>
      <c r="B139" s="31" t="s">
        <v>10</v>
      </c>
      <c r="C139" s="30" t="s">
        <v>31</v>
      </c>
      <c r="D139" s="26" t="s">
        <v>18</v>
      </c>
      <c r="E139" s="27" t="s">
        <v>98</v>
      </c>
      <c r="F139" s="26" t="s">
        <v>120</v>
      </c>
      <c r="G139" s="28" t="s">
        <v>422</v>
      </c>
      <c r="H139" s="28" t="s">
        <v>422</v>
      </c>
      <c r="I139" s="32"/>
      <c r="J139" s="41" t="s">
        <v>576</v>
      </c>
      <c r="K139" s="41" t="s">
        <v>576</v>
      </c>
      <c r="L139" s="41" t="s">
        <v>576</v>
      </c>
      <c r="M139" s="59"/>
      <c r="N139" s="59"/>
      <c r="O139" s="136" t="s">
        <v>11</v>
      </c>
    </row>
    <row r="140" spans="1:15" ht="16.2" customHeight="1">
      <c r="A140" s="7" t="str">
        <f t="shared" si="2"/>
        <v>PROPERTY_ENERGY_CERTIFICATEENERGY_CLASS_AFTER_MEASUREMENT</v>
      </c>
      <c r="B140" s="31" t="s">
        <v>10</v>
      </c>
      <c r="C140" s="30" t="s">
        <v>31</v>
      </c>
      <c r="D140" s="26" t="s">
        <v>18</v>
      </c>
      <c r="E140" s="27" t="s">
        <v>98</v>
      </c>
      <c r="F140" s="26" t="s">
        <v>121</v>
      </c>
      <c r="G140" s="28" t="s">
        <v>422</v>
      </c>
      <c r="H140" s="28" t="s">
        <v>422</v>
      </c>
      <c r="I140" s="32"/>
      <c r="J140" s="41" t="s">
        <v>576</v>
      </c>
      <c r="K140" s="41" t="s">
        <v>576</v>
      </c>
      <c r="L140" s="41" t="s">
        <v>576</v>
      </c>
      <c r="M140" s="59"/>
      <c r="N140" s="59"/>
      <c r="O140" s="136" t="s">
        <v>11</v>
      </c>
    </row>
    <row r="141" spans="1:15" ht="16.2" customHeight="1">
      <c r="A141" s="7" t="str">
        <f t="shared" si="2"/>
        <v>PROPERTY_ENERGY_CERTIFICATEENERGY_CONSUMPTION_VALUE_YEAR</v>
      </c>
      <c r="B141" s="31" t="s">
        <v>10</v>
      </c>
      <c r="C141" s="30" t="s">
        <v>31</v>
      </c>
      <c r="D141" s="26" t="s">
        <v>18</v>
      </c>
      <c r="E141" s="27" t="s">
        <v>98</v>
      </c>
      <c r="F141" s="26" t="s">
        <v>29</v>
      </c>
      <c r="G141" s="28" t="s">
        <v>422</v>
      </c>
      <c r="H141" s="28" t="s">
        <v>427</v>
      </c>
      <c r="I141" s="32"/>
      <c r="J141" s="41" t="s">
        <v>576</v>
      </c>
      <c r="K141" s="41" t="s">
        <v>576</v>
      </c>
      <c r="L141" s="41">
        <v>45639</v>
      </c>
      <c r="M141" s="59"/>
      <c r="N141" s="59"/>
      <c r="O141" s="136" t="s">
        <v>11</v>
      </c>
    </row>
    <row r="142" spans="1:15" ht="16.2" customHeight="1">
      <c r="A142" s="7" t="str">
        <f t="shared" si="2"/>
        <v>PROPERTY_ENERGY_CERTIFICATETHERMAL_BEHAVIOUR_ROOF</v>
      </c>
      <c r="B142" s="31" t="s">
        <v>10</v>
      </c>
      <c r="C142" s="30" t="s">
        <v>31</v>
      </c>
      <c r="D142" s="26" t="s">
        <v>18</v>
      </c>
      <c r="E142" s="27" t="s">
        <v>98</v>
      </c>
      <c r="F142" s="26" t="s">
        <v>122</v>
      </c>
      <c r="G142" s="28" t="s">
        <v>422</v>
      </c>
      <c r="H142" s="28" t="s">
        <v>422</v>
      </c>
      <c r="I142" s="32"/>
      <c r="J142" s="41" t="s">
        <v>576</v>
      </c>
      <c r="K142" s="41" t="s">
        <v>576</v>
      </c>
      <c r="L142" s="41" t="s">
        <v>576</v>
      </c>
      <c r="M142" s="59"/>
      <c r="N142" s="59"/>
      <c r="O142" s="136" t="s">
        <v>11</v>
      </c>
    </row>
    <row r="143" spans="1:15" ht="16.2" customHeight="1">
      <c r="A143" s="7" t="str">
        <f t="shared" si="2"/>
        <v>PROPERTY_ENERGY_CERTIFICATETHERMAL_BEHAVIOUR_WINDOWS</v>
      </c>
      <c r="B143" s="31" t="s">
        <v>10</v>
      </c>
      <c r="C143" s="30" t="s">
        <v>31</v>
      </c>
      <c r="D143" s="26" t="s">
        <v>18</v>
      </c>
      <c r="E143" s="27" t="s">
        <v>98</v>
      </c>
      <c r="F143" s="26" t="s">
        <v>123</v>
      </c>
      <c r="G143" s="28" t="s">
        <v>422</v>
      </c>
      <c r="H143" s="28" t="s">
        <v>422</v>
      </c>
      <c r="I143" s="32"/>
      <c r="J143" s="41" t="s">
        <v>576</v>
      </c>
      <c r="K143" s="41" t="s">
        <v>576</v>
      </c>
      <c r="L143" s="41" t="s">
        <v>576</v>
      </c>
      <c r="M143" s="59"/>
      <c r="N143" s="59"/>
      <c r="O143" s="136" t="s">
        <v>11</v>
      </c>
    </row>
    <row r="144" spans="1:15" ht="16.2" customHeight="1">
      <c r="A144" s="7" t="str">
        <f t="shared" si="2"/>
        <v>PROPERTY_ENERGY_CERTIFICATETHERMAL_BEHAVIOUR_WALL</v>
      </c>
      <c r="B144" s="31" t="s">
        <v>10</v>
      </c>
      <c r="C144" s="30" t="s">
        <v>31</v>
      </c>
      <c r="D144" s="26" t="s">
        <v>18</v>
      </c>
      <c r="E144" s="27" t="s">
        <v>98</v>
      </c>
      <c r="F144" s="26" t="s">
        <v>124</v>
      </c>
      <c r="G144" s="28" t="s">
        <v>422</v>
      </c>
      <c r="H144" s="28" t="s">
        <v>422</v>
      </c>
      <c r="I144" s="32"/>
      <c r="J144" s="41" t="s">
        <v>576</v>
      </c>
      <c r="K144" s="41" t="s">
        <v>576</v>
      </c>
      <c r="L144" s="41" t="s">
        <v>576</v>
      </c>
      <c r="M144" s="59"/>
      <c r="N144" s="59"/>
      <c r="O144" s="136" t="s">
        <v>11</v>
      </c>
    </row>
    <row r="145" spans="1:15" ht="16.2" customHeight="1">
      <c r="A145" s="7" t="str">
        <f t="shared" si="2"/>
        <v>PROPERTY_ENERGY_CERTIFICATETHERMAL_BEHAVIOUR_FLOORS</v>
      </c>
      <c r="B145" s="31" t="s">
        <v>10</v>
      </c>
      <c r="C145" s="30" t="s">
        <v>31</v>
      </c>
      <c r="D145" s="26" t="s">
        <v>18</v>
      </c>
      <c r="E145" s="27" t="s">
        <v>98</v>
      </c>
      <c r="F145" s="26" t="s">
        <v>125</v>
      </c>
      <c r="G145" s="28" t="s">
        <v>422</v>
      </c>
      <c r="H145" s="28" t="s">
        <v>422</v>
      </c>
      <c r="I145" s="32"/>
      <c r="J145" s="41" t="s">
        <v>576</v>
      </c>
      <c r="K145" s="41" t="s">
        <v>576</v>
      </c>
      <c r="L145" s="41" t="s">
        <v>576</v>
      </c>
      <c r="M145" s="59"/>
      <c r="N145" s="59"/>
      <c r="O145" s="136" t="s">
        <v>11</v>
      </c>
    </row>
    <row r="146" spans="1:15" ht="16.2" customHeight="1">
      <c r="A146" s="7" t="str">
        <f t="shared" si="2"/>
        <v>PROPERTY_ENERGY_CERTIFICATETHERMAL_BEHAVIOUR_TECH_SYS_VENT</v>
      </c>
      <c r="B146" s="31" t="s">
        <v>10</v>
      </c>
      <c r="C146" s="30" t="s">
        <v>31</v>
      </c>
      <c r="D146" s="26" t="s">
        <v>18</v>
      </c>
      <c r="E146" s="27" t="s">
        <v>98</v>
      </c>
      <c r="F146" s="26" t="s">
        <v>126</v>
      </c>
      <c r="G146" s="28" t="s">
        <v>422</v>
      </c>
      <c r="H146" s="28" t="s">
        <v>422</v>
      </c>
      <c r="I146" s="32"/>
      <c r="J146" s="41" t="s">
        <v>576</v>
      </c>
      <c r="K146" s="41" t="s">
        <v>576</v>
      </c>
      <c r="L146" s="41" t="s">
        <v>576</v>
      </c>
      <c r="M146" s="59"/>
      <c r="N146" s="59"/>
      <c r="O146" s="136" t="s">
        <v>11</v>
      </c>
    </row>
    <row r="147" spans="1:15" ht="16.2" customHeight="1">
      <c r="A147" s="7" t="str">
        <f t="shared" si="2"/>
        <v>PROPERTY_ENERGY_CERTIFICATETOTAL_INVSTMNT_ESTMTD_VALUE</v>
      </c>
      <c r="B147" s="31" t="s">
        <v>10</v>
      </c>
      <c r="C147" s="30" t="s">
        <v>31</v>
      </c>
      <c r="D147" s="26" t="s">
        <v>18</v>
      </c>
      <c r="E147" s="27" t="s">
        <v>98</v>
      </c>
      <c r="F147" s="26" t="s">
        <v>127</v>
      </c>
      <c r="G147" s="28" t="s">
        <v>422</v>
      </c>
      <c r="H147" s="28" t="s">
        <v>422</v>
      </c>
      <c r="I147" s="32"/>
      <c r="J147" s="41" t="s">
        <v>576</v>
      </c>
      <c r="K147" s="41" t="s">
        <v>576</v>
      </c>
      <c r="L147" s="41" t="s">
        <v>576</v>
      </c>
      <c r="M147" s="59"/>
      <c r="N147" s="59"/>
      <c r="O147" s="136" t="s">
        <v>11</v>
      </c>
    </row>
    <row r="148" spans="1:15" ht="16.2" customHeight="1">
      <c r="A148" s="7" t="str">
        <f t="shared" si="2"/>
        <v>PROPERTY_ENERGY_CERTIFICATEDURATION_SUMMER</v>
      </c>
      <c r="B148" s="31" t="s">
        <v>10</v>
      </c>
      <c r="C148" s="30" t="s">
        <v>31</v>
      </c>
      <c r="D148" s="26" t="s">
        <v>18</v>
      </c>
      <c r="E148" s="27" t="s">
        <v>98</v>
      </c>
      <c r="F148" s="26" t="s">
        <v>128</v>
      </c>
      <c r="G148" s="28" t="s">
        <v>422</v>
      </c>
      <c r="H148" s="28" t="s">
        <v>422</v>
      </c>
      <c r="I148" s="32"/>
      <c r="J148" s="41" t="s">
        <v>576</v>
      </c>
      <c r="K148" s="41" t="s">
        <v>576</v>
      </c>
      <c r="L148" s="41" t="s">
        <v>576</v>
      </c>
      <c r="M148" s="59"/>
      <c r="N148" s="59"/>
      <c r="O148" s="136" t="s">
        <v>11</v>
      </c>
    </row>
    <row r="149" spans="1:15" ht="16.2" customHeight="1">
      <c r="A149" s="7" t="str">
        <f t="shared" si="2"/>
        <v>PROPERTY_ENERGY_CERTIFICATEDURATION_WINTER</v>
      </c>
      <c r="B149" s="31" t="s">
        <v>10</v>
      </c>
      <c r="C149" s="30" t="s">
        <v>31</v>
      </c>
      <c r="D149" s="26" t="s">
        <v>18</v>
      </c>
      <c r="E149" s="27" t="s">
        <v>98</v>
      </c>
      <c r="F149" s="26" t="s">
        <v>129</v>
      </c>
      <c r="G149" s="28" t="s">
        <v>422</v>
      </c>
      <c r="H149" s="28" t="s">
        <v>422</v>
      </c>
      <c r="I149" s="32"/>
      <c r="J149" s="41" t="s">
        <v>576</v>
      </c>
      <c r="K149" s="41" t="s">
        <v>576</v>
      </c>
      <c r="L149" s="41" t="s">
        <v>576</v>
      </c>
      <c r="M149" s="59"/>
      <c r="N149" s="59"/>
      <c r="O149" s="136" t="s">
        <v>11</v>
      </c>
    </row>
    <row r="150" spans="1:15" ht="16.2" customHeight="1">
      <c r="A150" s="7" t="str">
        <f t="shared" si="2"/>
        <v>PROPERTY_ENERGY_CERTIFICATECARBON_EMISSION_VALUE_YEAR</v>
      </c>
      <c r="B150" s="31" t="s">
        <v>10</v>
      </c>
      <c r="C150" s="30" t="s">
        <v>31</v>
      </c>
      <c r="D150" s="26" t="s">
        <v>18</v>
      </c>
      <c r="E150" s="27" t="s">
        <v>98</v>
      </c>
      <c r="F150" s="26" t="s">
        <v>30</v>
      </c>
      <c r="G150" s="28" t="s">
        <v>422</v>
      </c>
      <c r="H150" s="28" t="s">
        <v>427</v>
      </c>
      <c r="I150" s="32"/>
      <c r="J150" s="41" t="s">
        <v>576</v>
      </c>
      <c r="K150" s="41" t="s">
        <v>576</v>
      </c>
      <c r="L150" s="41">
        <v>45639</v>
      </c>
      <c r="M150" s="59"/>
      <c r="N150" s="59"/>
      <c r="O150" s="136" t="s">
        <v>11</v>
      </c>
    </row>
    <row r="151" spans="1:15" ht="16.2" customHeight="1">
      <c r="A151" s="7" t="str">
        <f t="shared" si="2"/>
        <v>PROPERTY_ENERGY_CERTIFICATECARBON_EMISSION_VALUE</v>
      </c>
      <c r="B151" s="31" t="s">
        <v>10</v>
      </c>
      <c r="C151" s="30" t="s">
        <v>31</v>
      </c>
      <c r="D151" s="26" t="s">
        <v>18</v>
      </c>
      <c r="E151" s="27" t="s">
        <v>98</v>
      </c>
      <c r="F151" s="26" t="s">
        <v>130</v>
      </c>
      <c r="G151" s="28" t="s">
        <v>422</v>
      </c>
      <c r="H151" s="28" t="s">
        <v>422</v>
      </c>
      <c r="I151" s="32"/>
      <c r="J151" s="41" t="s">
        <v>576</v>
      </c>
      <c r="K151" s="41" t="s">
        <v>576</v>
      </c>
      <c r="L151" s="41" t="s">
        <v>576</v>
      </c>
      <c r="M151" s="59"/>
      <c r="N151" s="59"/>
      <c r="O151" s="136" t="s">
        <v>11</v>
      </c>
    </row>
    <row r="152" spans="1:15" ht="16.2" customHeight="1">
      <c r="A152" s="7" t="str">
        <f t="shared" si="2"/>
        <v>PROPERTY_ENERGY_CERTIFICATEUSEFUL_ENERGY_FANS_REQ_VALUE</v>
      </c>
      <c r="B152" s="31" t="s">
        <v>10</v>
      </c>
      <c r="C152" s="30" t="s">
        <v>31</v>
      </c>
      <c r="D152" s="26" t="s">
        <v>18</v>
      </c>
      <c r="E152" s="27" t="s">
        <v>98</v>
      </c>
      <c r="F152" s="26" t="s">
        <v>131</v>
      </c>
      <c r="G152" s="28" t="s">
        <v>422</v>
      </c>
      <c r="H152" s="28" t="s">
        <v>422</v>
      </c>
      <c r="I152" s="32"/>
      <c r="J152" s="41" t="s">
        <v>576</v>
      </c>
      <c r="K152" s="41" t="s">
        <v>576</v>
      </c>
      <c r="L152" s="41" t="s">
        <v>576</v>
      </c>
      <c r="M152" s="59"/>
      <c r="N152" s="59"/>
      <c r="O152" s="136" t="s">
        <v>11</v>
      </c>
    </row>
    <row r="153" spans="1:15" ht="16.2" customHeight="1">
      <c r="A153" s="7" t="str">
        <f t="shared" si="2"/>
        <v>PROPERTY_ENERGY_CERTIFICATEREN_ENERGY_PRODUCED_OTHER_VALUE</v>
      </c>
      <c r="B153" s="31" t="s">
        <v>10</v>
      </c>
      <c r="C153" s="30" t="s">
        <v>31</v>
      </c>
      <c r="D153" s="26" t="s">
        <v>18</v>
      </c>
      <c r="E153" s="27" t="s">
        <v>98</v>
      </c>
      <c r="F153" s="26" t="s">
        <v>132</v>
      </c>
      <c r="G153" s="28" t="s">
        <v>422</v>
      </c>
      <c r="H153" s="28" t="s">
        <v>422</v>
      </c>
      <c r="I153" s="32"/>
      <c r="J153" s="41" t="s">
        <v>576</v>
      </c>
      <c r="K153" s="41" t="s">
        <v>576</v>
      </c>
      <c r="L153" s="41" t="s">
        <v>576</v>
      </c>
      <c r="M153" s="59"/>
      <c r="N153" s="59"/>
      <c r="O153" s="136" t="s">
        <v>11</v>
      </c>
    </row>
    <row r="154" spans="1:15" ht="16.2" customHeight="1">
      <c r="A154" s="7" t="str">
        <f t="shared" si="2"/>
        <v>PROPERTY_ENERGY_CERTIFICATEREN_ENERGY_PRODUCED_REG_VALUE</v>
      </c>
      <c r="B154" s="31" t="s">
        <v>10</v>
      </c>
      <c r="C154" s="30" t="s">
        <v>31</v>
      </c>
      <c r="D154" s="26" t="s">
        <v>18</v>
      </c>
      <c r="E154" s="27" t="s">
        <v>98</v>
      </c>
      <c r="F154" s="26" t="s">
        <v>133</v>
      </c>
      <c r="G154" s="28" t="s">
        <v>422</v>
      </c>
      <c r="H154" s="28" t="s">
        <v>422</v>
      </c>
      <c r="I154" s="32"/>
      <c r="J154" s="41" t="s">
        <v>576</v>
      </c>
      <c r="K154" s="41" t="s">
        <v>576</v>
      </c>
      <c r="L154" s="41" t="s">
        <v>576</v>
      </c>
      <c r="M154" s="59"/>
      <c r="N154" s="59"/>
      <c r="O154" s="136" t="s">
        <v>11</v>
      </c>
    </row>
    <row r="155" spans="1:15" ht="16.2" customHeight="1">
      <c r="A155" s="7" t="str">
        <f t="shared" si="2"/>
        <v>PROPERTY_ENERGY_CERTIFICATEREN_ENERGY_PRODUCED_VALUE</v>
      </c>
      <c r="B155" s="31" t="s">
        <v>10</v>
      </c>
      <c r="C155" s="30" t="s">
        <v>31</v>
      </c>
      <c r="D155" s="26" t="s">
        <v>18</v>
      </c>
      <c r="E155" s="27" t="s">
        <v>98</v>
      </c>
      <c r="F155" s="26" t="s">
        <v>134</v>
      </c>
      <c r="G155" s="28" t="s">
        <v>422</v>
      </c>
      <c r="H155" s="28" t="s">
        <v>427</v>
      </c>
      <c r="I155" s="32"/>
      <c r="J155" s="41" t="s">
        <v>576</v>
      </c>
      <c r="K155" s="41" t="s">
        <v>576</v>
      </c>
      <c r="L155" s="41">
        <v>45639</v>
      </c>
      <c r="M155" s="59"/>
      <c r="N155" s="59"/>
      <c r="O155" s="136" t="s">
        <v>11</v>
      </c>
    </row>
    <row r="156" spans="1:15" ht="16.2" customHeight="1">
      <c r="A156" s="7" t="str">
        <f t="shared" si="2"/>
        <v>PROPERTY_ENERGY_CERTIFICATEUSEFUL_ENERGY_DOM_HOTWATER_VALUE</v>
      </c>
      <c r="B156" s="31" t="s">
        <v>10</v>
      </c>
      <c r="C156" s="30" t="s">
        <v>31</v>
      </c>
      <c r="D156" s="26" t="s">
        <v>18</v>
      </c>
      <c r="E156" s="27" t="s">
        <v>98</v>
      </c>
      <c r="F156" s="26" t="s">
        <v>135</v>
      </c>
      <c r="G156" s="28" t="s">
        <v>422</v>
      </c>
      <c r="H156" s="28" t="s">
        <v>422</v>
      </c>
      <c r="I156" s="32"/>
      <c r="J156" s="41" t="s">
        <v>576</v>
      </c>
      <c r="K156" s="41" t="s">
        <v>576</v>
      </c>
      <c r="L156" s="41" t="s">
        <v>576</v>
      </c>
      <c r="M156" s="59"/>
      <c r="N156" s="59"/>
      <c r="O156" s="136" t="s">
        <v>11</v>
      </c>
    </row>
    <row r="157" spans="1:15" ht="16.2" customHeight="1">
      <c r="A157" s="7" t="str">
        <f t="shared" si="2"/>
        <v>PROPERTY_ENERGY_CERTIFICATEUSEFUL_ENERGY_COOLING_VALUE</v>
      </c>
      <c r="B157" s="31" t="s">
        <v>10</v>
      </c>
      <c r="C157" s="30" t="s">
        <v>31</v>
      </c>
      <c r="D157" s="26" t="s">
        <v>18</v>
      </c>
      <c r="E157" s="27" t="s">
        <v>98</v>
      </c>
      <c r="F157" s="26" t="s">
        <v>136</v>
      </c>
      <c r="G157" s="28" t="s">
        <v>422</v>
      </c>
      <c r="H157" s="28" t="s">
        <v>422</v>
      </c>
      <c r="I157" s="32"/>
      <c r="J157" s="41" t="s">
        <v>576</v>
      </c>
      <c r="K157" s="41" t="s">
        <v>576</v>
      </c>
      <c r="L157" s="41" t="s">
        <v>576</v>
      </c>
      <c r="M157" s="59"/>
      <c r="N157" s="59"/>
      <c r="O157" s="136" t="s">
        <v>11</v>
      </c>
    </row>
    <row r="158" spans="1:15" ht="16.2" customHeight="1">
      <c r="A158" s="7" t="str">
        <f t="shared" si="2"/>
        <v>PROPERTY_ENERGY_CERTIFICATETEMPERATURE_DAY_VALUE</v>
      </c>
      <c r="B158" s="31" t="s">
        <v>10</v>
      </c>
      <c r="C158" s="30" t="s">
        <v>31</v>
      </c>
      <c r="D158" s="26" t="s">
        <v>18</v>
      </c>
      <c r="E158" s="27" t="s">
        <v>98</v>
      </c>
      <c r="F158" s="26" t="s">
        <v>137</v>
      </c>
      <c r="G158" s="28" t="s">
        <v>422</v>
      </c>
      <c r="H158" s="28" t="s">
        <v>422</v>
      </c>
      <c r="I158" s="32"/>
      <c r="J158" s="41" t="s">
        <v>576</v>
      </c>
      <c r="K158" s="41" t="s">
        <v>576</v>
      </c>
      <c r="L158" s="41" t="s">
        <v>576</v>
      </c>
      <c r="M158" s="59"/>
      <c r="N158" s="59"/>
      <c r="O158" s="136" t="s">
        <v>11</v>
      </c>
    </row>
    <row r="159" spans="1:15" ht="16.2" customHeight="1">
      <c r="A159" s="7" t="str">
        <f t="shared" si="2"/>
        <v>PROPERTY_ENERGY_CERTIFICATEPRIMARY_ENERGY_REQ_VALUE</v>
      </c>
      <c r="B159" s="31" t="s">
        <v>10</v>
      </c>
      <c r="C159" s="30" t="s">
        <v>31</v>
      </c>
      <c r="D159" s="26" t="s">
        <v>18</v>
      </c>
      <c r="E159" s="27" t="s">
        <v>98</v>
      </c>
      <c r="F159" s="26" t="s">
        <v>138</v>
      </c>
      <c r="G159" s="28" t="s">
        <v>422</v>
      </c>
      <c r="H159" s="28" t="s">
        <v>427</v>
      </c>
      <c r="I159" s="32"/>
      <c r="J159" s="41" t="s">
        <v>576</v>
      </c>
      <c r="K159" s="41" t="s">
        <v>576</v>
      </c>
      <c r="L159" s="41">
        <v>45639</v>
      </c>
      <c r="M159" s="59"/>
      <c r="N159" s="59"/>
      <c r="O159" s="136" t="s">
        <v>11</v>
      </c>
    </row>
    <row r="160" spans="1:15" ht="16.2" customHeight="1">
      <c r="A160" s="7" t="str">
        <f t="shared" si="2"/>
        <v>PROPERTY_ENERGY_CERTIFICATEUSEFUL_ENERGY_HEATING_REQ_VALUE</v>
      </c>
      <c r="B160" s="31" t="s">
        <v>10</v>
      </c>
      <c r="C160" s="30" t="s">
        <v>31</v>
      </c>
      <c r="D160" s="26" t="s">
        <v>18</v>
      </c>
      <c r="E160" s="27" t="s">
        <v>98</v>
      </c>
      <c r="F160" s="26" t="s">
        <v>139</v>
      </c>
      <c r="G160" s="28" t="s">
        <v>422</v>
      </c>
      <c r="H160" s="28" t="s">
        <v>422</v>
      </c>
      <c r="I160" s="32"/>
      <c r="J160" s="41" t="s">
        <v>576</v>
      </c>
      <c r="K160" s="41" t="s">
        <v>576</v>
      </c>
      <c r="L160" s="41" t="s">
        <v>576</v>
      </c>
      <c r="M160" s="59"/>
      <c r="N160" s="59"/>
      <c r="O160" s="136" t="s">
        <v>11</v>
      </c>
    </row>
    <row r="161" spans="1:15" ht="16.2" customHeight="1">
      <c r="A161" s="7" t="str">
        <f t="shared" si="2"/>
        <v>PROPERTY_ENERGY_CERTIFICATEPNL_WINTER_WALLS_DOORS_VALUE</v>
      </c>
      <c r="B161" s="31" t="s">
        <v>10</v>
      </c>
      <c r="C161" s="30" t="s">
        <v>31</v>
      </c>
      <c r="D161" s="26" t="s">
        <v>18</v>
      </c>
      <c r="E161" s="27" t="s">
        <v>98</v>
      </c>
      <c r="F161" s="26" t="s">
        <v>140</v>
      </c>
      <c r="G161" s="28" t="s">
        <v>422</v>
      </c>
      <c r="H161" s="28" t="s">
        <v>422</v>
      </c>
      <c r="I161" s="32"/>
      <c r="J161" s="41" t="s">
        <v>576</v>
      </c>
      <c r="K161" s="41" t="s">
        <v>576</v>
      </c>
      <c r="L161" s="41" t="s">
        <v>576</v>
      </c>
      <c r="M161" s="59"/>
      <c r="N161" s="59"/>
      <c r="O161" s="136" t="s">
        <v>11</v>
      </c>
    </row>
    <row r="162" spans="1:15" ht="16.2" customHeight="1">
      <c r="A162" s="7" t="str">
        <f t="shared" si="2"/>
        <v>PROPERTY_ENERGY_CERTIFICATEPNL_WINTER_FLOORS_VALUE</v>
      </c>
      <c r="B162" s="31" t="s">
        <v>10</v>
      </c>
      <c r="C162" s="30" t="s">
        <v>31</v>
      </c>
      <c r="D162" s="26" t="s">
        <v>18</v>
      </c>
      <c r="E162" s="27" t="s">
        <v>98</v>
      </c>
      <c r="F162" s="26" t="s">
        <v>141</v>
      </c>
      <c r="G162" s="28" t="s">
        <v>422</v>
      </c>
      <c r="H162" s="28" t="s">
        <v>422</v>
      </c>
      <c r="I162" s="32"/>
      <c r="J162" s="41" t="s">
        <v>576</v>
      </c>
      <c r="K162" s="41" t="s">
        <v>576</v>
      </c>
      <c r="L162" s="41" t="s">
        <v>576</v>
      </c>
      <c r="M162" s="59"/>
      <c r="N162" s="59"/>
      <c r="O162" s="136" t="s">
        <v>11</v>
      </c>
    </row>
    <row r="163" spans="1:15" ht="16.2" customHeight="1">
      <c r="A163" s="7" t="str">
        <f t="shared" si="2"/>
        <v>PROPERTY_ENERGY_CERTIFICATEPNL_WINTER_ROOF_VALUE</v>
      </c>
      <c r="B163" s="31" t="s">
        <v>10</v>
      </c>
      <c r="C163" s="30" t="s">
        <v>31</v>
      </c>
      <c r="D163" s="26" t="s">
        <v>18</v>
      </c>
      <c r="E163" s="27" t="s">
        <v>98</v>
      </c>
      <c r="F163" s="26" t="s">
        <v>142</v>
      </c>
      <c r="G163" s="28" t="s">
        <v>422</v>
      </c>
      <c r="H163" s="28" t="s">
        <v>422</v>
      </c>
      <c r="I163" s="32"/>
      <c r="J163" s="41" t="s">
        <v>576</v>
      </c>
      <c r="K163" s="41" t="s">
        <v>576</v>
      </c>
      <c r="L163" s="41" t="s">
        <v>576</v>
      </c>
      <c r="M163" s="59"/>
      <c r="N163" s="59"/>
      <c r="O163" s="136" t="s">
        <v>11</v>
      </c>
    </row>
    <row r="164" spans="1:15" ht="16.2" customHeight="1">
      <c r="A164" s="7" t="str">
        <f t="shared" si="2"/>
        <v>PROPERTY_ENERGY_CERTIFICATEPNL_WINTER_WINDOWS_VALUE</v>
      </c>
      <c r="B164" s="31" t="s">
        <v>10</v>
      </c>
      <c r="C164" s="30" t="s">
        <v>31</v>
      </c>
      <c r="D164" s="26" t="s">
        <v>18</v>
      </c>
      <c r="E164" s="27" t="s">
        <v>98</v>
      </c>
      <c r="F164" s="26" t="s">
        <v>143</v>
      </c>
      <c r="G164" s="28" t="s">
        <v>422</v>
      </c>
      <c r="H164" s="28" t="s">
        <v>422</v>
      </c>
      <c r="I164" s="32"/>
      <c r="J164" s="41" t="s">
        <v>576</v>
      </c>
      <c r="K164" s="41" t="s">
        <v>576</v>
      </c>
      <c r="L164" s="41" t="s">
        <v>576</v>
      </c>
      <c r="M164" s="59"/>
      <c r="N164" s="59"/>
      <c r="O164" s="136" t="s">
        <v>11</v>
      </c>
    </row>
    <row r="165" spans="1:15" ht="16.2" customHeight="1">
      <c r="A165" s="7" t="str">
        <f t="shared" si="2"/>
        <v>PROPERTY_ENERGY_CERTIFICATEPNL_WINTER_REF_VALUE</v>
      </c>
      <c r="B165" s="31" t="s">
        <v>10</v>
      </c>
      <c r="C165" s="30" t="s">
        <v>31</v>
      </c>
      <c r="D165" s="26" t="s">
        <v>18</v>
      </c>
      <c r="E165" s="27" t="s">
        <v>98</v>
      </c>
      <c r="F165" s="26" t="s">
        <v>144</v>
      </c>
      <c r="G165" s="28" t="s">
        <v>422</v>
      </c>
      <c r="H165" s="28" t="s">
        <v>422</v>
      </c>
      <c r="I165" s="32"/>
      <c r="J165" s="41" t="s">
        <v>576</v>
      </c>
      <c r="K165" s="41" t="s">
        <v>576</v>
      </c>
      <c r="L165" s="41" t="s">
        <v>576</v>
      </c>
      <c r="M165" s="59"/>
      <c r="N165" s="59"/>
      <c r="O165" s="136" t="s">
        <v>11</v>
      </c>
    </row>
    <row r="166" spans="1:15" ht="16.2" customHeight="1">
      <c r="A166" s="7" t="str">
        <f t="shared" si="2"/>
        <v>PROPERTY_ENERGY_CERTIFICATEPNL_WINTER_FANS_VALUE</v>
      </c>
      <c r="B166" s="31" t="s">
        <v>10</v>
      </c>
      <c r="C166" s="30" t="s">
        <v>31</v>
      </c>
      <c r="D166" s="26" t="s">
        <v>18</v>
      </c>
      <c r="E166" s="27" t="s">
        <v>98</v>
      </c>
      <c r="F166" s="26" t="s">
        <v>145</v>
      </c>
      <c r="G166" s="28" t="s">
        <v>422</v>
      </c>
      <c r="H166" s="28" t="s">
        <v>422</v>
      </c>
      <c r="I166" s="32"/>
      <c r="J166" s="41" t="s">
        <v>576</v>
      </c>
      <c r="K166" s="41" t="s">
        <v>576</v>
      </c>
      <c r="L166" s="41" t="s">
        <v>576</v>
      </c>
      <c r="M166" s="59"/>
      <c r="N166" s="59"/>
      <c r="O166" s="136" t="s">
        <v>11</v>
      </c>
    </row>
    <row r="167" spans="1:15" ht="16.2" customHeight="1">
      <c r="A167" s="7" t="str">
        <f t="shared" si="2"/>
        <v>PROPERTY_ENERGY_CERTIFICATEPNL_SUMMER_ROOF_VALUE</v>
      </c>
      <c r="B167" s="31" t="s">
        <v>10</v>
      </c>
      <c r="C167" s="30" t="s">
        <v>31</v>
      </c>
      <c r="D167" s="26" t="s">
        <v>18</v>
      </c>
      <c r="E167" s="27" t="s">
        <v>98</v>
      </c>
      <c r="F167" s="26" t="s">
        <v>146</v>
      </c>
      <c r="G167" s="28" t="s">
        <v>422</v>
      </c>
      <c r="H167" s="28" t="s">
        <v>422</v>
      </c>
      <c r="I167" s="32"/>
      <c r="J167" s="41" t="s">
        <v>576</v>
      </c>
      <c r="K167" s="41" t="s">
        <v>576</v>
      </c>
      <c r="L167" s="41" t="s">
        <v>576</v>
      </c>
      <c r="M167" s="59"/>
      <c r="N167" s="59"/>
      <c r="O167" s="136" t="s">
        <v>11</v>
      </c>
    </row>
    <row r="168" spans="1:15" ht="16.2" customHeight="1">
      <c r="A168" s="7" t="str">
        <f t="shared" si="2"/>
        <v>PROPERTY_ENERGY_CERTIFICATEPNL_SUMMER_WINDOWS_VALUE</v>
      </c>
      <c r="B168" s="31" t="s">
        <v>10</v>
      </c>
      <c r="C168" s="30" t="s">
        <v>31</v>
      </c>
      <c r="D168" s="26" t="s">
        <v>18</v>
      </c>
      <c r="E168" s="27" t="s">
        <v>98</v>
      </c>
      <c r="F168" s="26" t="s">
        <v>147</v>
      </c>
      <c r="G168" s="28" t="s">
        <v>422</v>
      </c>
      <c r="H168" s="28" t="s">
        <v>422</v>
      </c>
      <c r="I168" s="32"/>
      <c r="J168" s="41" t="s">
        <v>576</v>
      </c>
      <c r="K168" s="41" t="s">
        <v>576</v>
      </c>
      <c r="L168" s="41" t="s">
        <v>576</v>
      </c>
      <c r="M168" s="59"/>
      <c r="N168" s="59"/>
      <c r="O168" s="136" t="s">
        <v>11</v>
      </c>
    </row>
    <row r="169" spans="1:15" ht="16.2" customHeight="1">
      <c r="A169" s="7" t="str">
        <f t="shared" si="2"/>
        <v>PROPERTY_ENERGY_CERTIFICATEPNL_SUMMER_WALLS_DOORS_VALUE</v>
      </c>
      <c r="B169" s="31" t="s">
        <v>10</v>
      </c>
      <c r="C169" s="30" t="s">
        <v>31</v>
      </c>
      <c r="D169" s="26" t="s">
        <v>18</v>
      </c>
      <c r="E169" s="27" t="s">
        <v>98</v>
      </c>
      <c r="F169" s="26" t="s">
        <v>148</v>
      </c>
      <c r="G169" s="28" t="s">
        <v>422</v>
      </c>
      <c r="H169" s="28" t="s">
        <v>422</v>
      </c>
      <c r="I169" s="32"/>
      <c r="J169" s="41" t="s">
        <v>576</v>
      </c>
      <c r="K169" s="41" t="s">
        <v>576</v>
      </c>
      <c r="L169" s="41" t="s">
        <v>576</v>
      </c>
      <c r="M169" s="59"/>
      <c r="N169" s="59"/>
      <c r="O169" s="136" t="s">
        <v>11</v>
      </c>
    </row>
    <row r="170" spans="1:15" ht="16.2" customHeight="1">
      <c r="A170" s="7" t="str">
        <f t="shared" si="2"/>
        <v>PROPERTY_ENERGY_CERTIFICATEPNL_SUMMER_REF_VALUE</v>
      </c>
      <c r="B170" s="31" t="s">
        <v>10</v>
      </c>
      <c r="C170" s="30" t="s">
        <v>31</v>
      </c>
      <c r="D170" s="26" t="s">
        <v>18</v>
      </c>
      <c r="E170" s="27" t="s">
        <v>98</v>
      </c>
      <c r="F170" s="26" t="s">
        <v>149</v>
      </c>
      <c r="G170" s="28" t="s">
        <v>422</v>
      </c>
      <c r="H170" s="28" t="s">
        <v>422</v>
      </c>
      <c r="I170" s="32"/>
      <c r="J170" s="41" t="s">
        <v>576</v>
      </c>
      <c r="K170" s="41" t="s">
        <v>576</v>
      </c>
      <c r="L170" s="41" t="s">
        <v>576</v>
      </c>
      <c r="M170" s="59"/>
      <c r="N170" s="59"/>
      <c r="O170" s="136" t="s">
        <v>11</v>
      </c>
    </row>
    <row r="171" spans="1:15" ht="16.2" customHeight="1">
      <c r="A171" s="7" t="str">
        <f t="shared" si="2"/>
        <v>PROPERTY_ENERGY_CERTIFICATEINVOICE_RED_ANNUAL_ESTMTD_VALUE</v>
      </c>
      <c r="B171" s="31" t="s">
        <v>10</v>
      </c>
      <c r="C171" s="30" t="s">
        <v>31</v>
      </c>
      <c r="D171" s="26" t="s">
        <v>18</v>
      </c>
      <c r="E171" s="27" t="s">
        <v>98</v>
      </c>
      <c r="F171" s="26" t="s">
        <v>150</v>
      </c>
      <c r="G171" s="28" t="s">
        <v>422</v>
      </c>
      <c r="H171" s="28" t="s">
        <v>422</v>
      </c>
      <c r="I171" s="32"/>
      <c r="J171" s="41" t="s">
        <v>576</v>
      </c>
      <c r="K171" s="41" t="s">
        <v>576</v>
      </c>
      <c r="L171" s="41" t="s">
        <v>576</v>
      </c>
      <c r="M171" s="59"/>
      <c r="N171" s="59"/>
      <c r="O171" s="136" t="s">
        <v>11</v>
      </c>
    </row>
    <row r="172" spans="1:15" ht="16.2" customHeight="1">
      <c r="A172" s="7" t="str">
        <f t="shared" si="2"/>
        <v>PROPERTY_ENERGY_CERTIFICATETEMPERATURE_OUTDOOR_AVG_VALUE</v>
      </c>
      <c r="B172" s="31" t="s">
        <v>10</v>
      </c>
      <c r="C172" s="30" t="s">
        <v>31</v>
      </c>
      <c r="D172" s="26" t="s">
        <v>18</v>
      </c>
      <c r="E172" s="27" t="s">
        <v>98</v>
      </c>
      <c r="F172" s="26" t="s">
        <v>151</v>
      </c>
      <c r="G172" s="28" t="s">
        <v>422</v>
      </c>
      <c r="H172" s="28" t="s">
        <v>422</v>
      </c>
      <c r="I172" s="32"/>
      <c r="J172" s="41" t="s">
        <v>576</v>
      </c>
      <c r="K172" s="41" t="s">
        <v>576</v>
      </c>
      <c r="L172" s="41" t="s">
        <v>576</v>
      </c>
      <c r="M172" s="59"/>
      <c r="N172" s="59"/>
      <c r="O172" s="136" t="s">
        <v>11</v>
      </c>
    </row>
    <row r="173" spans="1:15" ht="16.2" customHeight="1">
      <c r="A173" s="7" t="str">
        <f t="shared" si="2"/>
        <v>PROPERTY_ENERGY_CERTIFICATECLIMATE_ZONE_WINTER</v>
      </c>
      <c r="B173" s="31" t="s">
        <v>10</v>
      </c>
      <c r="C173" s="30" t="s">
        <v>31</v>
      </c>
      <c r="D173" s="26" t="s">
        <v>18</v>
      </c>
      <c r="E173" s="27" t="s">
        <v>98</v>
      </c>
      <c r="F173" s="26" t="s">
        <v>152</v>
      </c>
      <c r="G173" s="28" t="s">
        <v>422</v>
      </c>
      <c r="H173" s="28" t="s">
        <v>422</v>
      </c>
      <c r="I173" s="32"/>
      <c r="J173" s="41" t="s">
        <v>576</v>
      </c>
      <c r="K173" s="41" t="s">
        <v>576</v>
      </c>
      <c r="L173" s="41" t="s">
        <v>576</v>
      </c>
      <c r="M173" s="59"/>
      <c r="N173" s="59"/>
      <c r="O173" s="136" t="s">
        <v>11</v>
      </c>
    </row>
    <row r="174" spans="1:15" ht="16.2" customHeight="1">
      <c r="A174" s="7" t="str">
        <f t="shared" si="2"/>
        <v>PROPERTY_ENERGY_CERTIFICATENET_FLOOR_AREA</v>
      </c>
      <c r="B174" s="31" t="s">
        <v>10</v>
      </c>
      <c r="C174" s="30" t="s">
        <v>31</v>
      </c>
      <c r="D174" s="26" t="s">
        <v>18</v>
      </c>
      <c r="E174" s="27" t="s">
        <v>98</v>
      </c>
      <c r="F174" s="26" t="s">
        <v>72</v>
      </c>
      <c r="G174" s="28" t="s">
        <v>422</v>
      </c>
      <c r="H174" s="28" t="s">
        <v>427</v>
      </c>
      <c r="I174" s="32"/>
      <c r="J174" s="41" t="s">
        <v>576</v>
      </c>
      <c r="K174" s="41" t="s">
        <v>576</v>
      </c>
      <c r="L174" s="41">
        <v>45639</v>
      </c>
      <c r="M174" s="59"/>
      <c r="N174" s="59"/>
      <c r="O174" s="136" t="s">
        <v>11</v>
      </c>
    </row>
    <row r="175" spans="1:15" ht="16.2" customHeight="1">
      <c r="A175" s="7" t="str">
        <f t="shared" si="2"/>
        <v>PROPERTY_ENERGY_CERTIFICATECADASTRAL_REGISTER_CODE</v>
      </c>
      <c r="B175" s="31" t="s">
        <v>10</v>
      </c>
      <c r="C175" s="30" t="s">
        <v>31</v>
      </c>
      <c r="D175" s="26" t="s">
        <v>18</v>
      </c>
      <c r="E175" s="27" t="s">
        <v>98</v>
      </c>
      <c r="F175" s="26" t="s">
        <v>73</v>
      </c>
      <c r="G175" s="28" t="s">
        <v>422</v>
      </c>
      <c r="H175" s="28" t="s">
        <v>427</v>
      </c>
      <c r="I175" s="32"/>
      <c r="J175" s="41" t="s">
        <v>576</v>
      </c>
      <c r="K175" s="41" t="s">
        <v>576</v>
      </c>
      <c r="L175" s="41">
        <v>45639</v>
      </c>
      <c r="M175" s="59"/>
      <c r="N175" s="59"/>
      <c r="O175" s="136" t="s">
        <v>11</v>
      </c>
    </row>
    <row r="176" spans="1:15" ht="16.2" customHeight="1">
      <c r="A176" s="7" t="str">
        <f t="shared" si="2"/>
        <v>PROPERTY_ENERGY_CERTIFICATEDISTRICT_MUNICIP_PARISH_CODE</v>
      </c>
      <c r="B176" s="31" t="s">
        <v>10</v>
      </c>
      <c r="C176" s="30" t="s">
        <v>31</v>
      </c>
      <c r="D176" s="26" t="s">
        <v>18</v>
      </c>
      <c r="E176" s="27" t="s">
        <v>98</v>
      </c>
      <c r="F176" s="26" t="s">
        <v>76</v>
      </c>
      <c r="G176" s="28" t="s">
        <v>422</v>
      </c>
      <c r="H176" s="28" t="s">
        <v>427</v>
      </c>
      <c r="I176" s="32"/>
      <c r="J176" s="41" t="s">
        <v>576</v>
      </c>
      <c r="K176" s="41" t="s">
        <v>576</v>
      </c>
      <c r="L176" s="41">
        <v>45639</v>
      </c>
      <c r="M176" s="59"/>
      <c r="N176" s="59"/>
      <c r="O176" s="136" t="s">
        <v>11</v>
      </c>
    </row>
    <row r="177" spans="1:15" ht="16.2" customHeight="1">
      <c r="A177" s="7" t="str">
        <f t="shared" si="2"/>
        <v>PROPERTY_ENERGY_CERTIFICATEPROPERTY_PURPOSE_CODE</v>
      </c>
      <c r="B177" s="31" t="s">
        <v>10</v>
      </c>
      <c r="C177" s="30" t="s">
        <v>31</v>
      </c>
      <c r="D177" s="26" t="s">
        <v>18</v>
      </c>
      <c r="E177" s="27" t="s">
        <v>98</v>
      </c>
      <c r="F177" s="26" t="s">
        <v>77</v>
      </c>
      <c r="G177" s="28" t="s">
        <v>422</v>
      </c>
      <c r="H177" s="28" t="s">
        <v>427</v>
      </c>
      <c r="I177" s="32"/>
      <c r="J177" s="41" t="s">
        <v>576</v>
      </c>
      <c r="K177" s="41" t="s">
        <v>576</v>
      </c>
      <c r="L177" s="41">
        <v>45639</v>
      </c>
      <c r="M177" s="59"/>
      <c r="N177" s="59"/>
      <c r="O177" s="136" t="s">
        <v>11</v>
      </c>
    </row>
    <row r="178" spans="1:15" ht="16.2" customHeight="1">
      <c r="A178" s="7" t="str">
        <f t="shared" si="2"/>
        <v>PROPERTY_ENERGY_CERTIFICATEADDRESS_CODE</v>
      </c>
      <c r="B178" s="31" t="s">
        <v>10</v>
      </c>
      <c r="C178" s="30" t="s">
        <v>31</v>
      </c>
      <c r="D178" s="26" t="s">
        <v>18</v>
      </c>
      <c r="E178" s="27" t="s">
        <v>98</v>
      </c>
      <c r="F178" s="26" t="s">
        <v>79</v>
      </c>
      <c r="G178" s="28" t="s">
        <v>422</v>
      </c>
      <c r="H178" s="28" t="s">
        <v>427</v>
      </c>
      <c r="I178" s="32"/>
      <c r="J178" s="41" t="s">
        <v>576</v>
      </c>
      <c r="K178" s="41" t="s">
        <v>576</v>
      </c>
      <c r="L178" s="41">
        <v>45639</v>
      </c>
      <c r="M178" s="59"/>
      <c r="N178" s="59"/>
      <c r="O178" s="136" t="s">
        <v>11</v>
      </c>
    </row>
    <row r="179" spans="1:15" ht="16.2" customHeight="1">
      <c r="A179" s="7" t="str">
        <f t="shared" si="2"/>
        <v>PROPERTY_ENERGY_CERTIFICATEFLOOR_NUMBER</v>
      </c>
      <c r="B179" s="31" t="s">
        <v>10</v>
      </c>
      <c r="C179" s="30" t="s">
        <v>31</v>
      </c>
      <c r="D179" s="26" t="s">
        <v>18</v>
      </c>
      <c r="E179" s="27" t="s">
        <v>98</v>
      </c>
      <c r="F179" s="26" t="s">
        <v>86</v>
      </c>
      <c r="G179" s="28" t="s">
        <v>422</v>
      </c>
      <c r="H179" s="28" t="s">
        <v>427</v>
      </c>
      <c r="I179" s="32"/>
      <c r="J179" s="41" t="s">
        <v>576</v>
      </c>
      <c r="K179" s="41" t="s">
        <v>576</v>
      </c>
      <c r="L179" s="41">
        <v>45639</v>
      </c>
      <c r="M179" s="59"/>
      <c r="N179" s="59"/>
      <c r="O179" s="136" t="s">
        <v>11</v>
      </c>
    </row>
    <row r="180" spans="1:15" ht="16.2" customHeight="1">
      <c r="A180" s="7" t="str">
        <f t="shared" si="2"/>
        <v>PROPERTY_ENERGY_CERTIFICATELOCALITY</v>
      </c>
      <c r="B180" s="31" t="s">
        <v>10</v>
      </c>
      <c r="C180" s="30" t="s">
        <v>31</v>
      </c>
      <c r="D180" s="26" t="s">
        <v>18</v>
      </c>
      <c r="E180" s="27" t="s">
        <v>98</v>
      </c>
      <c r="F180" s="26" t="s">
        <v>87</v>
      </c>
      <c r="G180" s="28" t="s">
        <v>422</v>
      </c>
      <c r="H180" s="28" t="s">
        <v>427</v>
      </c>
      <c r="I180" s="32"/>
      <c r="J180" s="41" t="s">
        <v>576</v>
      </c>
      <c r="K180" s="41" t="s">
        <v>576</v>
      </c>
      <c r="L180" s="41">
        <v>45639</v>
      </c>
      <c r="M180" s="59"/>
      <c r="N180" s="59"/>
      <c r="O180" s="136" t="s">
        <v>11</v>
      </c>
    </row>
    <row r="181" spans="1:15" ht="16.2" customHeight="1">
      <c r="A181" s="7" t="str">
        <f t="shared" si="2"/>
        <v>PROPERTY_ENERGY_CERTIFICATECLIMATE_ZONE_SUMMER</v>
      </c>
      <c r="B181" s="31" t="s">
        <v>10</v>
      </c>
      <c r="C181" s="30" t="s">
        <v>31</v>
      </c>
      <c r="D181" s="26" t="s">
        <v>18</v>
      </c>
      <c r="E181" s="27" t="s">
        <v>98</v>
      </c>
      <c r="F181" s="26" t="s">
        <v>153</v>
      </c>
      <c r="G181" s="28" t="s">
        <v>422</v>
      </c>
      <c r="H181" s="28" t="s">
        <v>422</v>
      </c>
      <c r="I181" s="32"/>
      <c r="J181" s="41" t="s">
        <v>576</v>
      </c>
      <c r="K181" s="41" t="s">
        <v>576</v>
      </c>
      <c r="L181" s="41" t="s">
        <v>576</v>
      </c>
      <c r="M181" s="59"/>
      <c r="N181" s="59"/>
      <c r="O181" s="136" t="s">
        <v>11</v>
      </c>
    </row>
    <row r="182" spans="1:15" ht="16.2" customHeight="1">
      <c r="A182" s="7" t="str">
        <f t="shared" si="2"/>
        <v>modesg_param_sfcs_taxon_europeian.a.</v>
      </c>
      <c r="B182" s="31" t="s">
        <v>10</v>
      </c>
      <c r="C182" s="30" t="s">
        <v>154</v>
      </c>
      <c r="D182" s="26" t="s">
        <v>15</v>
      </c>
      <c r="E182" s="27" t="s">
        <v>155</v>
      </c>
      <c r="F182" s="26" t="s">
        <v>17</v>
      </c>
      <c r="G182" s="28" t="s">
        <v>422</v>
      </c>
      <c r="H182" s="28" t="s">
        <v>422</v>
      </c>
      <c r="I182" s="32"/>
      <c r="J182" s="41">
        <v>45563</v>
      </c>
      <c r="K182" s="41">
        <v>45603</v>
      </c>
      <c r="L182" s="41">
        <v>45604</v>
      </c>
      <c r="M182" s="59"/>
      <c r="N182" s="59"/>
      <c r="O182" s="135" t="s">
        <v>13</v>
      </c>
    </row>
    <row r="183" spans="1:15" ht="16.2" customHeight="1">
      <c r="A183" s="7" t="str">
        <f t="shared" si="2"/>
        <v>modesg_param_sfcs_taxon_europeiacbalcao</v>
      </c>
      <c r="B183" s="31" t="s">
        <v>10</v>
      </c>
      <c r="C183" s="30" t="s">
        <v>154</v>
      </c>
      <c r="D183" s="26" t="s">
        <v>18</v>
      </c>
      <c r="E183" s="27" t="s">
        <v>155</v>
      </c>
      <c r="F183" s="26" t="s">
        <v>156</v>
      </c>
      <c r="G183" s="28" t="s">
        <v>422</v>
      </c>
      <c r="H183" s="28" t="s">
        <v>422</v>
      </c>
      <c r="I183" s="42"/>
      <c r="J183" s="41" t="s">
        <v>576</v>
      </c>
      <c r="K183" s="41">
        <v>45603</v>
      </c>
      <c r="L183" s="41" t="s">
        <v>576</v>
      </c>
      <c r="M183" s="59"/>
      <c r="N183" s="59"/>
      <c r="O183" s="135" t="s">
        <v>13</v>
      </c>
    </row>
    <row r="184" spans="1:15" ht="16.2" customHeight="1">
      <c r="A184" s="7" t="str">
        <f t="shared" si="2"/>
        <v>modesg_param_sfcs_taxon_europeiacempresa</v>
      </c>
      <c r="B184" s="31" t="s">
        <v>10</v>
      </c>
      <c r="C184" s="30" t="s">
        <v>154</v>
      </c>
      <c r="D184" s="26" t="s">
        <v>18</v>
      </c>
      <c r="E184" s="27" t="s">
        <v>155</v>
      </c>
      <c r="F184" s="26" t="s">
        <v>157</v>
      </c>
      <c r="G184" s="28" t="s">
        <v>422</v>
      </c>
      <c r="H184" s="28" t="s">
        <v>422</v>
      </c>
      <c r="I184" s="42"/>
      <c r="J184" s="41" t="s">
        <v>576</v>
      </c>
      <c r="K184" s="41">
        <v>45603</v>
      </c>
      <c r="L184" s="41" t="s">
        <v>576</v>
      </c>
      <c r="M184" s="59"/>
      <c r="N184" s="59"/>
      <c r="O184" s="135" t="s">
        <v>13</v>
      </c>
    </row>
    <row r="185" spans="1:15" ht="16.2" customHeight="1">
      <c r="A185" s="7" t="str">
        <f t="shared" si="2"/>
        <v>modesg_param_sfcs_taxon_europeiackmetamis</v>
      </c>
      <c r="B185" s="31" t="s">
        <v>10</v>
      </c>
      <c r="C185" s="30" t="s">
        <v>154</v>
      </c>
      <c r="D185" s="26" t="s">
        <v>18</v>
      </c>
      <c r="E185" s="27" t="s">
        <v>155</v>
      </c>
      <c r="F185" s="26" t="s">
        <v>158</v>
      </c>
      <c r="G185" s="28" t="s">
        <v>422</v>
      </c>
      <c r="H185" s="28" t="s">
        <v>422</v>
      </c>
      <c r="I185" s="42"/>
      <c r="J185" s="41" t="s">
        <v>576</v>
      </c>
      <c r="K185" s="41">
        <v>45603</v>
      </c>
      <c r="L185" s="41" t="s">
        <v>576</v>
      </c>
      <c r="M185" s="59"/>
      <c r="N185" s="59"/>
      <c r="O185" s="135" t="s">
        <v>13</v>
      </c>
    </row>
    <row r="186" spans="1:15" ht="16.2" customHeight="1">
      <c r="A186" s="7" t="str">
        <f t="shared" si="2"/>
        <v>modesg_param_sfcs_taxon_europeiackprodmi</v>
      </c>
      <c r="B186" s="31" t="s">
        <v>10</v>
      </c>
      <c r="C186" s="30" t="s">
        <v>154</v>
      </c>
      <c r="D186" s="26" t="s">
        <v>18</v>
      </c>
      <c r="E186" s="27" t="s">
        <v>155</v>
      </c>
      <c r="F186" s="26" t="s">
        <v>159</v>
      </c>
      <c r="G186" s="28" t="s">
        <v>422</v>
      </c>
      <c r="H186" s="28" t="s">
        <v>422</v>
      </c>
      <c r="I186" s="42"/>
      <c r="J186" s="41" t="s">
        <v>576</v>
      </c>
      <c r="K186" s="41">
        <v>45603</v>
      </c>
      <c r="L186" s="41" t="s">
        <v>576</v>
      </c>
      <c r="M186" s="59"/>
      <c r="N186" s="59"/>
      <c r="O186" s="135" t="s">
        <v>13</v>
      </c>
    </row>
    <row r="187" spans="1:15" ht="16.2" customHeight="1">
      <c r="A187" s="7" t="str">
        <f t="shared" si="2"/>
        <v>modesg_param_sfcs_taxon_europeiacmetanseg</v>
      </c>
      <c r="B187" s="31" t="s">
        <v>10</v>
      </c>
      <c r="C187" s="30" t="s">
        <v>154</v>
      </c>
      <c r="D187" s="26" t="s">
        <v>18</v>
      </c>
      <c r="E187" s="27" t="s">
        <v>155</v>
      </c>
      <c r="F187" s="26" t="s">
        <v>160</v>
      </c>
      <c r="G187" s="28" t="s">
        <v>422</v>
      </c>
      <c r="H187" s="28" t="s">
        <v>422</v>
      </c>
      <c r="I187" s="42"/>
      <c r="J187" s="41" t="s">
        <v>576</v>
      </c>
      <c r="K187" s="41">
        <v>45603</v>
      </c>
      <c r="L187" s="41" t="s">
        <v>576</v>
      </c>
      <c r="M187" s="59"/>
      <c r="N187" s="59"/>
      <c r="O187" s="135" t="s">
        <v>13</v>
      </c>
    </row>
    <row r="188" spans="1:15" ht="16.2" customHeight="1">
      <c r="A188" s="7" t="str">
        <f t="shared" si="2"/>
        <v>modesg_param_sfcs_taxon_europeiacnsm_co2</v>
      </c>
      <c r="B188" s="31" t="s">
        <v>10</v>
      </c>
      <c r="C188" s="30" t="s">
        <v>154</v>
      </c>
      <c r="D188" s="26" t="s">
        <v>18</v>
      </c>
      <c r="E188" s="27" t="s">
        <v>155</v>
      </c>
      <c r="F188" s="26" t="s">
        <v>161</v>
      </c>
      <c r="G188" s="28" t="s">
        <v>422</v>
      </c>
      <c r="H188" s="28" t="s">
        <v>422</v>
      </c>
      <c r="I188" s="42"/>
      <c r="J188" s="41" t="s">
        <v>576</v>
      </c>
      <c r="K188" s="41">
        <v>45603</v>
      </c>
      <c r="L188" s="41" t="s">
        <v>576</v>
      </c>
      <c r="M188" s="59"/>
      <c r="N188" s="59"/>
      <c r="O188" s="135" t="s">
        <v>13</v>
      </c>
    </row>
    <row r="189" spans="1:15" ht="16.2" customHeight="1">
      <c r="A189" s="7" t="str">
        <f t="shared" si="2"/>
        <v>modesg_param_sfcs_taxon_europeiacnumecta</v>
      </c>
      <c r="B189" s="31" t="s">
        <v>10</v>
      </c>
      <c r="C189" s="30" t="s">
        <v>154</v>
      </c>
      <c r="D189" s="26" t="s">
        <v>18</v>
      </c>
      <c r="E189" s="27" t="s">
        <v>155</v>
      </c>
      <c r="F189" s="26" t="s">
        <v>162</v>
      </c>
      <c r="G189" s="28" t="s">
        <v>422</v>
      </c>
      <c r="H189" s="28" t="s">
        <v>422</v>
      </c>
      <c r="I189" s="42"/>
      <c r="J189" s="41" t="s">
        <v>576</v>
      </c>
      <c r="K189" s="41">
        <v>45603</v>
      </c>
      <c r="L189" s="41" t="s">
        <v>576</v>
      </c>
      <c r="M189" s="59"/>
      <c r="N189" s="59"/>
      <c r="O189" s="135" t="s">
        <v>13</v>
      </c>
    </row>
    <row r="190" spans="1:15" ht="16.2" customHeight="1">
      <c r="A190" s="7" t="str">
        <f t="shared" si="2"/>
        <v>modesg_param_sfcs_taxon_europeiacod_lease</v>
      </c>
      <c r="B190" s="31" t="s">
        <v>10</v>
      </c>
      <c r="C190" s="30" t="s">
        <v>154</v>
      </c>
      <c r="D190" s="26" t="s">
        <v>18</v>
      </c>
      <c r="E190" s="27" t="s">
        <v>155</v>
      </c>
      <c r="F190" s="26" t="s">
        <v>163</v>
      </c>
      <c r="G190" s="28" t="s">
        <v>422</v>
      </c>
      <c r="H190" s="28" t="s">
        <v>422</v>
      </c>
      <c r="I190" s="42"/>
      <c r="J190" s="41" t="s">
        <v>576</v>
      </c>
      <c r="K190" s="41">
        <v>45603</v>
      </c>
      <c r="L190" s="41" t="s">
        <v>576</v>
      </c>
      <c r="M190" s="59"/>
      <c r="N190" s="59"/>
      <c r="O190" s="135" t="s">
        <v>13</v>
      </c>
    </row>
    <row r="191" spans="1:15" ht="16.2" customHeight="1">
      <c r="A191" s="7" t="str">
        <f t="shared" si="2"/>
        <v>modesg_param_sfcs_taxon_europeiacod_regra</v>
      </c>
      <c r="B191" s="31" t="s">
        <v>10</v>
      </c>
      <c r="C191" s="30" t="s">
        <v>154</v>
      </c>
      <c r="D191" s="26" t="s">
        <v>18</v>
      </c>
      <c r="E191" s="27" t="s">
        <v>155</v>
      </c>
      <c r="F191" s="26" t="s">
        <v>164</v>
      </c>
      <c r="G191" s="28" t="s">
        <v>422</v>
      </c>
      <c r="H191" s="28" t="s">
        <v>422</v>
      </c>
      <c r="I191" s="32"/>
      <c r="J191" s="41">
        <v>45563</v>
      </c>
      <c r="K191" s="41">
        <v>45603</v>
      </c>
      <c r="L191" s="41">
        <v>45604</v>
      </c>
      <c r="M191" s="59"/>
      <c r="N191" s="59"/>
      <c r="O191" s="135" t="s">
        <v>13</v>
      </c>
    </row>
    <row r="192" spans="1:15" ht="16.2" customHeight="1">
      <c r="A192" s="7" t="str">
        <f t="shared" si="2"/>
        <v>modesg_param_sfcs_taxon_europeiacomite</v>
      </c>
      <c r="B192" s="31" t="s">
        <v>10</v>
      </c>
      <c r="C192" s="30" t="s">
        <v>154</v>
      </c>
      <c r="D192" s="26" t="s">
        <v>18</v>
      </c>
      <c r="E192" s="27" t="s">
        <v>155</v>
      </c>
      <c r="F192" s="26" t="s">
        <v>165</v>
      </c>
      <c r="G192" s="28" t="s">
        <v>422</v>
      </c>
      <c r="H192" s="28" t="s">
        <v>422</v>
      </c>
      <c r="I192" s="32"/>
      <c r="J192" s="41">
        <v>45563</v>
      </c>
      <c r="K192" s="41">
        <v>45603</v>
      </c>
      <c r="L192" s="41">
        <v>45604</v>
      </c>
      <c r="M192" s="59"/>
      <c r="N192" s="59"/>
      <c r="O192" s="135" t="s">
        <v>13</v>
      </c>
    </row>
    <row r="193" spans="1:15" ht="16.2" customHeight="1">
      <c r="A193" s="7" t="str">
        <f t="shared" si="2"/>
        <v>modesg_param_sfcs_taxon_europeiadata_aprvc</v>
      </c>
      <c r="B193" s="31" t="s">
        <v>10</v>
      </c>
      <c r="C193" s="30" t="s">
        <v>154</v>
      </c>
      <c r="D193" s="26" t="s">
        <v>18</v>
      </c>
      <c r="E193" s="27" t="s">
        <v>155</v>
      </c>
      <c r="F193" s="26" t="s">
        <v>166</v>
      </c>
      <c r="G193" s="28" t="s">
        <v>422</v>
      </c>
      <c r="H193" s="28" t="s">
        <v>422</v>
      </c>
      <c r="I193" s="32"/>
      <c r="J193" s="41">
        <v>45563</v>
      </c>
      <c r="K193" s="41">
        <v>45603</v>
      </c>
      <c r="L193" s="41">
        <v>45604</v>
      </c>
      <c r="M193" s="59"/>
      <c r="N193" s="59"/>
      <c r="O193" s="135" t="s">
        <v>13</v>
      </c>
    </row>
    <row r="194" spans="1:15" ht="16.2" customHeight="1">
      <c r="A194" s="7" t="str">
        <f t="shared" si="2"/>
        <v>modesg_param_sfcs_taxon_europeiadata_final</v>
      </c>
      <c r="B194" s="31" t="s">
        <v>10</v>
      </c>
      <c r="C194" s="30" t="s">
        <v>154</v>
      </c>
      <c r="D194" s="26" t="s">
        <v>18</v>
      </c>
      <c r="E194" s="27" t="s">
        <v>155</v>
      </c>
      <c r="F194" s="26" t="s">
        <v>167</v>
      </c>
      <c r="G194" s="28" t="s">
        <v>422</v>
      </c>
      <c r="H194" s="28" t="s">
        <v>422</v>
      </c>
      <c r="I194" s="32"/>
      <c r="J194" s="41">
        <v>45561</v>
      </c>
      <c r="K194" s="41">
        <v>45603</v>
      </c>
      <c r="L194" s="41">
        <v>45604</v>
      </c>
      <c r="M194" s="59"/>
      <c r="N194" s="59"/>
      <c r="O194" s="135" t="s">
        <v>13</v>
      </c>
    </row>
    <row r="195" spans="1:15" ht="16.2" customHeight="1">
      <c r="A195" s="7" t="str">
        <f t="shared" si="2"/>
        <v>modesg_param_sfcs_taxon_europeiadata_inicial</v>
      </c>
      <c r="B195" s="31" t="s">
        <v>10</v>
      </c>
      <c r="C195" s="30" t="s">
        <v>154</v>
      </c>
      <c r="D195" s="26" t="s">
        <v>18</v>
      </c>
      <c r="E195" s="27" t="s">
        <v>155</v>
      </c>
      <c r="F195" s="26" t="s">
        <v>168</v>
      </c>
      <c r="G195" s="28" t="s">
        <v>422</v>
      </c>
      <c r="H195" s="28" t="s">
        <v>422</v>
      </c>
      <c r="I195" s="32"/>
      <c r="J195" s="41">
        <v>45561</v>
      </c>
      <c r="K195" s="41">
        <v>45603</v>
      </c>
      <c r="L195" s="41">
        <v>45604</v>
      </c>
      <c r="M195" s="59"/>
      <c r="N195" s="59"/>
      <c r="O195" s="135" t="s">
        <v>13</v>
      </c>
    </row>
    <row r="196" spans="1:15" ht="16.2" customHeight="1">
      <c r="A196" s="7" t="str">
        <f t="shared" si="2"/>
        <v>modesg_param_sfcs_taxon_europeiadominio</v>
      </c>
      <c r="B196" s="31" t="s">
        <v>10</v>
      </c>
      <c r="C196" s="30" t="s">
        <v>154</v>
      </c>
      <c r="D196" s="26" t="s">
        <v>18</v>
      </c>
      <c r="E196" s="27" t="s">
        <v>155</v>
      </c>
      <c r="F196" s="26" t="s">
        <v>169</v>
      </c>
      <c r="G196" s="28" t="s">
        <v>422</v>
      </c>
      <c r="H196" s="28" t="s">
        <v>422</v>
      </c>
      <c r="I196" s="42"/>
      <c r="J196" s="41" t="s">
        <v>576</v>
      </c>
      <c r="K196" s="41">
        <v>45603</v>
      </c>
      <c r="L196" s="41" t="s">
        <v>576</v>
      </c>
      <c r="M196" s="59"/>
      <c r="N196" s="59"/>
      <c r="O196" s="135" t="s">
        <v>13</v>
      </c>
    </row>
    <row r="197" spans="1:15" ht="16.2" customHeight="1">
      <c r="A197" s="7" t="str">
        <f t="shared" si="2"/>
        <v>modesg_param_sfcs_taxon_europeiadscrc</v>
      </c>
      <c r="B197" s="31" t="s">
        <v>10</v>
      </c>
      <c r="C197" s="30" t="s">
        <v>154</v>
      </c>
      <c r="D197" s="26" t="s">
        <v>18</v>
      </c>
      <c r="E197" s="27" t="s">
        <v>155</v>
      </c>
      <c r="F197" s="26" t="s">
        <v>170</v>
      </c>
      <c r="G197" s="28" t="s">
        <v>422</v>
      </c>
      <c r="H197" s="28" t="s">
        <v>422</v>
      </c>
      <c r="I197" s="42"/>
      <c r="J197" s="41" t="s">
        <v>576</v>
      </c>
      <c r="K197" s="41">
        <v>45603</v>
      </c>
      <c r="L197" s="41" t="s">
        <v>576</v>
      </c>
      <c r="M197" s="59"/>
      <c r="N197" s="59"/>
      <c r="O197" s="135" t="s">
        <v>13</v>
      </c>
    </row>
    <row r="198" spans="1:15" ht="16.2" customHeight="1">
      <c r="A198" s="7" t="str">
        <f t="shared" si="2"/>
        <v>modesg_param_sfcs_taxon_europeiaepc</v>
      </c>
      <c r="B198" s="31" t="s">
        <v>10</v>
      </c>
      <c r="C198" s="30" t="s">
        <v>154</v>
      </c>
      <c r="D198" s="26" t="s">
        <v>18</v>
      </c>
      <c r="E198" s="27" t="s">
        <v>155</v>
      </c>
      <c r="F198" s="26" t="s">
        <v>171</v>
      </c>
      <c r="G198" s="28" t="s">
        <v>422</v>
      </c>
      <c r="H198" s="28" t="s">
        <v>422</v>
      </c>
      <c r="I198" s="42"/>
      <c r="J198" s="41" t="s">
        <v>576</v>
      </c>
      <c r="K198" s="41">
        <v>45603</v>
      </c>
      <c r="L198" s="41" t="s">
        <v>576</v>
      </c>
      <c r="M198" s="59"/>
      <c r="N198" s="59"/>
      <c r="O198" s="135" t="s">
        <v>13</v>
      </c>
    </row>
    <row r="199" spans="1:15" ht="16.2" customHeight="1">
      <c r="A199" s="7" t="str">
        <f t="shared" si="2"/>
        <v>modesg_param_sfcs_taxon_europeiaflag_project_finance</v>
      </c>
      <c r="B199" s="31" t="s">
        <v>10</v>
      </c>
      <c r="C199" s="30" t="s">
        <v>154</v>
      </c>
      <c r="D199" s="26" t="s">
        <v>18</v>
      </c>
      <c r="E199" s="27" t="s">
        <v>155</v>
      </c>
      <c r="F199" s="26" t="s">
        <v>172</v>
      </c>
      <c r="G199" s="28" t="s">
        <v>422</v>
      </c>
      <c r="H199" s="28" t="s">
        <v>422</v>
      </c>
      <c r="I199" s="33" t="s">
        <v>459</v>
      </c>
      <c r="J199" s="41">
        <v>45563</v>
      </c>
      <c r="K199" s="41">
        <v>45603</v>
      </c>
      <c r="L199" s="41">
        <v>45604</v>
      </c>
      <c r="M199" s="59"/>
      <c r="N199" s="59"/>
      <c r="O199" s="135" t="s">
        <v>13</v>
      </c>
    </row>
    <row r="200" spans="1:15" ht="16.2" customHeight="1">
      <c r="A200" s="7" t="str">
        <f t="shared" si="2"/>
        <v>modesg_param_sfcs_taxon_europeiacfinalidad</v>
      </c>
      <c r="B200" s="31" t="s">
        <v>10</v>
      </c>
      <c r="C200" s="30" t="s">
        <v>154</v>
      </c>
      <c r="D200" s="26" t="s">
        <v>18</v>
      </c>
      <c r="E200" s="27" t="s">
        <v>155</v>
      </c>
      <c r="F200" s="26" t="s">
        <v>173</v>
      </c>
      <c r="G200" s="28" t="s">
        <v>422</v>
      </c>
      <c r="H200" s="28" t="s">
        <v>422</v>
      </c>
      <c r="I200" s="33" t="s">
        <v>459</v>
      </c>
      <c r="J200" s="41">
        <v>45563</v>
      </c>
      <c r="K200" s="41">
        <v>45603</v>
      </c>
      <c r="L200" s="41">
        <v>45604</v>
      </c>
      <c r="M200" s="59"/>
      <c r="N200" s="59"/>
      <c r="O200" s="135" t="s">
        <v>13</v>
      </c>
    </row>
    <row r="201" spans="1:15" ht="16.2" customHeight="1">
      <c r="A201" s="7" t="str">
        <f t="shared" si="2"/>
        <v>modesg_param_sfcs_taxon_europeiatipo_combust</v>
      </c>
      <c r="B201" s="31" t="s">
        <v>10</v>
      </c>
      <c r="C201" s="30" t="s">
        <v>154</v>
      </c>
      <c r="D201" s="26" t="s">
        <v>18</v>
      </c>
      <c r="E201" s="27" t="s">
        <v>155</v>
      </c>
      <c r="F201" s="26" t="s">
        <v>174</v>
      </c>
      <c r="G201" s="28" t="s">
        <v>422</v>
      </c>
      <c r="H201" s="28" t="s">
        <v>422</v>
      </c>
      <c r="I201" s="33" t="s">
        <v>460</v>
      </c>
      <c r="J201" s="41">
        <v>45563</v>
      </c>
      <c r="K201" s="41">
        <v>45603</v>
      </c>
      <c r="L201" s="41">
        <v>45604</v>
      </c>
      <c r="M201" s="59"/>
      <c r="N201" s="59"/>
      <c r="O201" s="135" t="s">
        <v>13</v>
      </c>
    </row>
    <row r="202" spans="1:15" ht="16.2" customHeight="1">
      <c r="A202" s="7" t="str">
        <f t="shared" si="2"/>
        <v>modesg_param_sfcs_taxon_europeiamontante_pndrc</v>
      </c>
      <c r="B202" s="31" t="s">
        <v>10</v>
      </c>
      <c r="C202" s="30" t="s">
        <v>154</v>
      </c>
      <c r="D202" s="26" t="s">
        <v>18</v>
      </c>
      <c r="E202" s="27" t="s">
        <v>155</v>
      </c>
      <c r="F202" s="26" t="s">
        <v>175</v>
      </c>
      <c r="G202" s="28" t="s">
        <v>422</v>
      </c>
      <c r="H202" s="28" t="s">
        <v>422</v>
      </c>
      <c r="I202" s="32"/>
      <c r="J202" s="41">
        <v>45563</v>
      </c>
      <c r="K202" s="41">
        <v>45603</v>
      </c>
      <c r="L202" s="41">
        <v>45604</v>
      </c>
      <c r="M202" s="59"/>
      <c r="N202" s="59"/>
      <c r="O202" s="135" t="s">
        <v>13</v>
      </c>
    </row>
    <row r="203" spans="1:15" ht="16.2" customHeight="1">
      <c r="A203" s="7" t="str">
        <f t="shared" si="2"/>
        <v>modesg_param_sfcs_taxon_europeianome_ctgr_sfcs</v>
      </c>
      <c r="B203" s="31" t="s">
        <v>10</v>
      </c>
      <c r="C203" s="30" t="s">
        <v>154</v>
      </c>
      <c r="D203" s="26" t="s">
        <v>18</v>
      </c>
      <c r="E203" s="27" t="s">
        <v>155</v>
      </c>
      <c r="F203" s="26" t="s">
        <v>176</v>
      </c>
      <c r="G203" s="28" t="s">
        <v>424</v>
      </c>
      <c r="H203" s="28" t="s">
        <v>424</v>
      </c>
      <c r="I203" s="32" t="s">
        <v>461</v>
      </c>
      <c r="J203" s="41">
        <v>45563</v>
      </c>
      <c r="K203" s="41">
        <v>45603</v>
      </c>
      <c r="L203" s="41">
        <v>45604</v>
      </c>
      <c r="M203" s="59"/>
      <c r="N203" s="59"/>
      <c r="O203" s="135" t="s">
        <v>13</v>
      </c>
    </row>
    <row r="204" spans="1:15" ht="16.2" customHeight="1">
      <c r="A204" s="7" t="str">
        <f t="shared" si="2"/>
        <v>modesg_param_sfcs_taxon_europeianome_general_specific_purpose</v>
      </c>
      <c r="B204" s="31" t="s">
        <v>10</v>
      </c>
      <c r="C204" s="30" t="s">
        <v>154</v>
      </c>
      <c r="D204" s="26" t="s">
        <v>18</v>
      </c>
      <c r="E204" s="27" t="s">
        <v>155</v>
      </c>
      <c r="F204" s="26" t="s">
        <v>177</v>
      </c>
      <c r="G204" s="28" t="s">
        <v>422</v>
      </c>
      <c r="H204" s="28" t="s">
        <v>422</v>
      </c>
      <c r="I204" s="42"/>
      <c r="J204" s="41">
        <v>45563</v>
      </c>
      <c r="K204" s="41">
        <v>45603</v>
      </c>
      <c r="L204" s="41">
        <v>45604</v>
      </c>
      <c r="M204" s="59"/>
      <c r="N204" s="59"/>
      <c r="O204" s="135" t="s">
        <v>13</v>
      </c>
    </row>
    <row r="205" spans="1:15" ht="16.2" customHeight="1">
      <c r="A205" s="7" t="str">
        <f t="shared" si="2"/>
        <v>modesg_param_sfcs_taxon_europeianome_purpose_esg</v>
      </c>
      <c r="B205" s="31" t="s">
        <v>10</v>
      </c>
      <c r="C205" s="30" t="s">
        <v>154</v>
      </c>
      <c r="D205" s="26" t="s">
        <v>18</v>
      </c>
      <c r="E205" s="27" t="s">
        <v>155</v>
      </c>
      <c r="F205" s="26" t="s">
        <v>178</v>
      </c>
      <c r="G205" s="28" t="s">
        <v>422</v>
      </c>
      <c r="H205" s="28" t="s">
        <v>422</v>
      </c>
      <c r="I205" s="42"/>
      <c r="J205" s="41">
        <v>45563</v>
      </c>
      <c r="K205" s="41">
        <v>45603</v>
      </c>
      <c r="L205" s="41">
        <v>45604</v>
      </c>
      <c r="M205" s="59"/>
      <c r="N205" s="59"/>
      <c r="O205" s="135" t="s">
        <v>13</v>
      </c>
    </row>
    <row r="206" spans="1:15" ht="16.2" customHeight="1">
      <c r="A206" s="7" t="str">
        <f t="shared" si="2"/>
        <v>modesg_param_sfcs_taxon_europeianome_specific_eligible</v>
      </c>
      <c r="B206" s="31" t="s">
        <v>10</v>
      </c>
      <c r="C206" s="30" t="s">
        <v>154</v>
      </c>
      <c r="D206" s="26" t="s">
        <v>18</v>
      </c>
      <c r="E206" s="27" t="s">
        <v>155</v>
      </c>
      <c r="F206" s="26" t="s">
        <v>179</v>
      </c>
      <c r="G206" s="28" t="s">
        <v>422</v>
      </c>
      <c r="H206" s="28" t="s">
        <v>422</v>
      </c>
      <c r="I206" s="42"/>
      <c r="J206" s="41">
        <v>45563</v>
      </c>
      <c r="K206" s="41">
        <v>45603</v>
      </c>
      <c r="L206" s="41">
        <v>45604</v>
      </c>
      <c r="M206" s="59"/>
      <c r="N206" s="59"/>
      <c r="O206" s="135" t="s">
        <v>13</v>
      </c>
    </row>
    <row r="207" spans="1:15" ht="16.2" customHeight="1">
      <c r="A207" s="7" t="str">
        <f t="shared" si="2"/>
        <v>modesg_param_sfcs_taxon_europeianome_specific_sustainable</v>
      </c>
      <c r="B207" s="31" t="s">
        <v>10</v>
      </c>
      <c r="C207" s="30" t="s">
        <v>154</v>
      </c>
      <c r="D207" s="26" t="s">
        <v>18</v>
      </c>
      <c r="E207" s="27" t="s">
        <v>155</v>
      </c>
      <c r="F207" s="26" t="s">
        <v>180</v>
      </c>
      <c r="G207" s="28" t="s">
        <v>422</v>
      </c>
      <c r="H207" s="28" t="s">
        <v>422</v>
      </c>
      <c r="I207" s="42"/>
      <c r="J207" s="41">
        <v>45563</v>
      </c>
      <c r="K207" s="41">
        <v>45603</v>
      </c>
      <c r="L207" s="41">
        <v>45604</v>
      </c>
      <c r="M207" s="59"/>
      <c r="N207" s="59"/>
      <c r="O207" s="135" t="s">
        <v>13</v>
      </c>
    </row>
    <row r="208" spans="1:15" ht="16.2" customHeight="1">
      <c r="A208" s="7" t="str">
        <f t="shared" ref="A208:A210" si="3">E208&amp;F208</f>
        <v>modesg_param_sfcs_taxon_europeiaref_date</v>
      </c>
      <c r="B208" s="31" t="s">
        <v>10</v>
      </c>
      <c r="C208" s="30" t="s">
        <v>154</v>
      </c>
      <c r="D208" s="26" t="s">
        <v>18</v>
      </c>
      <c r="E208" s="27" t="s">
        <v>155</v>
      </c>
      <c r="F208" s="26" t="s">
        <v>181</v>
      </c>
      <c r="G208" s="28" t="s">
        <v>422</v>
      </c>
      <c r="H208" s="28" t="s">
        <v>422</v>
      </c>
      <c r="I208" s="42"/>
      <c r="J208" s="41" t="s">
        <v>576</v>
      </c>
      <c r="K208" s="41">
        <v>45603</v>
      </c>
      <c r="L208" s="41" t="s">
        <v>576</v>
      </c>
      <c r="M208" s="59"/>
      <c r="N208" s="59"/>
      <c r="O208" s="135" t="s">
        <v>13</v>
      </c>
    </row>
    <row r="209" spans="1:15" ht="16.2" customHeight="1">
      <c r="A209" s="7" t="str">
        <f t="shared" si="3"/>
        <v>modesg_param_sfcs_taxon_europeiazcliente</v>
      </c>
      <c r="B209" s="31" t="s">
        <v>10</v>
      </c>
      <c r="C209" s="30" t="s">
        <v>154</v>
      </c>
      <c r="D209" s="26" t="s">
        <v>18</v>
      </c>
      <c r="E209" s="27" t="s">
        <v>155</v>
      </c>
      <c r="F209" s="26" t="s">
        <v>182</v>
      </c>
      <c r="G209" s="28" t="s">
        <v>422</v>
      </c>
      <c r="H209" s="28" t="s">
        <v>422</v>
      </c>
      <c r="I209" s="42"/>
      <c r="J209" s="41">
        <v>45563</v>
      </c>
      <c r="K209" s="41">
        <v>45603</v>
      </c>
      <c r="L209" s="41">
        <v>45604</v>
      </c>
      <c r="M209" s="59"/>
      <c r="N209" s="59"/>
      <c r="O209" s="135" t="s">
        <v>13</v>
      </c>
    </row>
    <row r="210" spans="1:15" ht="16.2" customHeight="1">
      <c r="A210" s="7" t="str">
        <f t="shared" si="3"/>
        <v>modesg_param_sfcs_taxon_europeiazdeposit</v>
      </c>
      <c r="B210" s="31" t="s">
        <v>10</v>
      </c>
      <c r="C210" s="30" t="s">
        <v>154</v>
      </c>
      <c r="D210" s="26" t="s">
        <v>18</v>
      </c>
      <c r="E210" s="27" t="s">
        <v>155</v>
      </c>
      <c r="F210" s="26" t="s">
        <v>183</v>
      </c>
      <c r="G210" s="28" t="s">
        <v>422</v>
      </c>
      <c r="H210" s="28" t="s">
        <v>422</v>
      </c>
      <c r="I210" s="42"/>
      <c r="J210" s="41">
        <v>45563</v>
      </c>
      <c r="K210" s="41">
        <v>45603</v>
      </c>
      <c r="L210" s="41">
        <v>45604</v>
      </c>
      <c r="M210" s="59"/>
      <c r="N210" s="59"/>
      <c r="O210" s="135" t="s">
        <v>13</v>
      </c>
    </row>
    <row r="211" spans="1:15" ht="16.2" customHeight="1">
      <c r="A211" s="7" t="str">
        <f t="shared" ref="A211:A212" si="4">E211&amp;F211</f>
        <v>modesg_param_sfcs_taxon_europeiaordem</v>
      </c>
      <c r="B211" s="31" t="s">
        <v>10</v>
      </c>
      <c r="C211" s="30" t="s">
        <v>154</v>
      </c>
      <c r="D211" s="26" t="s">
        <v>18</v>
      </c>
      <c r="E211" s="27" t="s">
        <v>155</v>
      </c>
      <c r="F211" s="26" t="s">
        <v>184</v>
      </c>
      <c r="G211" s="28" t="s">
        <v>421</v>
      </c>
      <c r="H211" s="28" t="s">
        <v>421</v>
      </c>
      <c r="I211" s="42" t="s">
        <v>462</v>
      </c>
      <c r="J211" s="41">
        <v>45561</v>
      </c>
      <c r="K211" s="41" t="s">
        <v>576</v>
      </c>
      <c r="L211" s="41" t="s">
        <v>576</v>
      </c>
      <c r="M211" s="59"/>
      <c r="N211" s="59"/>
      <c r="O211" s="135" t="s">
        <v>13</v>
      </c>
    </row>
    <row r="212" spans="1:15" ht="16.2" customHeight="1">
      <c r="A212" s="7" t="str">
        <f t="shared" si="4"/>
        <v>modesg_param_sfcs_taxon_europeianivel_mrc</v>
      </c>
      <c r="B212" s="31" t="s">
        <v>10</v>
      </c>
      <c r="C212" s="30" t="s">
        <v>154</v>
      </c>
      <c r="D212" s="26" t="s">
        <v>18</v>
      </c>
      <c r="E212" s="27" t="s">
        <v>155</v>
      </c>
      <c r="F212" s="26" t="s">
        <v>185</v>
      </c>
      <c r="G212" s="28" t="s">
        <v>421</v>
      </c>
      <c r="H212" s="28" t="s">
        <v>421</v>
      </c>
      <c r="I212" s="42" t="s">
        <v>462</v>
      </c>
      <c r="J212" s="41">
        <v>45561</v>
      </c>
      <c r="K212" s="41" t="s">
        <v>576</v>
      </c>
      <c r="L212" s="41" t="s">
        <v>576</v>
      </c>
      <c r="M212" s="59"/>
      <c r="N212" s="59"/>
      <c r="O212" s="135" t="s">
        <v>13</v>
      </c>
    </row>
    <row r="213" spans="1:15" ht="16.2" customHeight="1">
      <c r="A213" s="7" t="str">
        <f t="shared" ref="A213:A244" si="5">E213&amp;F213</f>
        <v>modesg_inp_emss_vclsn.a.</v>
      </c>
      <c r="B213" s="31" t="s">
        <v>10</v>
      </c>
      <c r="C213" s="30" t="s">
        <v>154</v>
      </c>
      <c r="D213" s="26" t="s">
        <v>15</v>
      </c>
      <c r="E213" s="27" t="s">
        <v>186</v>
      </c>
      <c r="F213" s="26" t="s">
        <v>17</v>
      </c>
      <c r="G213" s="28" t="s">
        <v>422</v>
      </c>
      <c r="H213" s="28" t="s">
        <v>422</v>
      </c>
      <c r="I213" s="32"/>
      <c r="J213" s="41">
        <v>45471</v>
      </c>
      <c r="K213" s="41">
        <v>45603</v>
      </c>
      <c r="L213" s="41">
        <v>45534</v>
      </c>
      <c r="M213" s="59"/>
      <c r="N213" s="59"/>
      <c r="O213" s="135" t="s">
        <v>13</v>
      </c>
    </row>
    <row r="214" spans="1:15" ht="16.2" customHeight="1">
      <c r="A214" s="7" t="str">
        <f t="shared" si="5"/>
        <v>modesg_inp_km_medios_emss_vclsn.a.</v>
      </c>
      <c r="B214" s="31" t="s">
        <v>10</v>
      </c>
      <c r="C214" s="30" t="s">
        <v>154</v>
      </c>
      <c r="D214" s="26" t="s">
        <v>15</v>
      </c>
      <c r="E214" s="27" t="s">
        <v>187</v>
      </c>
      <c r="F214" s="26" t="s">
        <v>17</v>
      </c>
      <c r="G214" s="28" t="s">
        <v>422</v>
      </c>
      <c r="H214" s="28" t="s">
        <v>422</v>
      </c>
      <c r="I214" s="32"/>
      <c r="J214" s="41" t="s">
        <v>576</v>
      </c>
      <c r="K214" s="41">
        <v>45603</v>
      </c>
      <c r="L214" s="41">
        <v>45534</v>
      </c>
      <c r="M214" s="59"/>
      <c r="N214" s="59"/>
      <c r="O214" s="135" t="s">
        <v>13</v>
      </c>
    </row>
    <row r="215" spans="1:15" ht="16.2" customHeight="1">
      <c r="A215" s="7" t="str">
        <f t="shared" si="5"/>
        <v>modesg_inp_empr_excl_parisn.a.</v>
      </c>
      <c r="B215" s="31" t="s">
        <v>10</v>
      </c>
      <c r="C215" s="30" t="s">
        <v>154</v>
      </c>
      <c r="D215" s="26" t="s">
        <v>15</v>
      </c>
      <c r="E215" s="27" t="s">
        <v>188</v>
      </c>
      <c r="F215" s="26" t="s">
        <v>17</v>
      </c>
      <c r="G215" s="28" t="s">
        <v>422</v>
      </c>
      <c r="H215" s="28" t="s">
        <v>422</v>
      </c>
      <c r="I215" s="42"/>
      <c r="J215" s="41" t="s">
        <v>576</v>
      </c>
      <c r="K215" s="41">
        <v>45603</v>
      </c>
      <c r="L215" s="41" t="s">
        <v>576</v>
      </c>
      <c r="M215" s="59"/>
      <c r="N215" s="59"/>
      <c r="O215" s="135" t="s">
        <v>13</v>
      </c>
    </row>
    <row r="216" spans="1:15" ht="16.2" customHeight="1">
      <c r="A216" s="7" t="str">
        <f t="shared" si="5"/>
        <v>modesg_inp_nfrd_alinhamento_taxn.a.</v>
      </c>
      <c r="B216" s="31" t="s">
        <v>10</v>
      </c>
      <c r="C216" s="30" t="s">
        <v>154</v>
      </c>
      <c r="D216" s="26" t="s">
        <v>15</v>
      </c>
      <c r="E216" s="27" t="s">
        <v>189</v>
      </c>
      <c r="F216" s="26" t="s">
        <v>17</v>
      </c>
      <c r="G216" s="28" t="s">
        <v>422</v>
      </c>
      <c r="H216" s="28" t="s">
        <v>422</v>
      </c>
      <c r="I216" s="32"/>
      <c r="J216" s="41" t="s">
        <v>576</v>
      </c>
      <c r="K216" s="41">
        <v>45603</v>
      </c>
      <c r="L216" s="41">
        <v>45534</v>
      </c>
      <c r="M216" s="59"/>
      <c r="N216" s="59"/>
      <c r="O216" s="135" t="s">
        <v>13</v>
      </c>
    </row>
    <row r="217" spans="1:15" ht="16.2" customHeight="1">
      <c r="A217" s="7" t="str">
        <f t="shared" si="5"/>
        <v>modesg_inp_risco_fisicon.a.</v>
      </c>
      <c r="B217" s="31" t="s">
        <v>10</v>
      </c>
      <c r="C217" s="30" t="s">
        <v>154</v>
      </c>
      <c r="D217" s="26" t="s">
        <v>15</v>
      </c>
      <c r="E217" s="27" t="s">
        <v>190</v>
      </c>
      <c r="F217" s="26" t="s">
        <v>17</v>
      </c>
      <c r="G217" s="28" t="s">
        <v>422</v>
      </c>
      <c r="H217" s="28" t="s">
        <v>422</v>
      </c>
      <c r="I217" s="42"/>
      <c r="J217" s="41" t="s">
        <v>576</v>
      </c>
      <c r="K217" s="41">
        <v>45603</v>
      </c>
      <c r="L217" s="41" t="s">
        <v>576</v>
      </c>
      <c r="M217" s="59"/>
      <c r="N217" s="59"/>
      <c r="O217" s="135" t="s">
        <v>13</v>
      </c>
    </row>
    <row r="218" spans="1:15" ht="16.2" customHeight="1">
      <c r="A218" s="7" t="str">
        <f t="shared" si="5"/>
        <v>modesg_inp_emss_scibn.a.</v>
      </c>
      <c r="B218" s="31" t="s">
        <v>10</v>
      </c>
      <c r="C218" s="30" t="s">
        <v>154</v>
      </c>
      <c r="D218" s="26" t="s">
        <v>15</v>
      </c>
      <c r="E218" s="27" t="s">
        <v>191</v>
      </c>
      <c r="F218" s="26" t="s">
        <v>17</v>
      </c>
      <c r="G218" s="28" t="s">
        <v>422</v>
      </c>
      <c r="H218" s="28" t="s">
        <v>422</v>
      </c>
      <c r="I218" s="42"/>
      <c r="J218" s="41" t="s">
        <v>576</v>
      </c>
      <c r="K218" s="41">
        <v>45603</v>
      </c>
      <c r="L218" s="41" t="s">
        <v>576</v>
      </c>
      <c r="M218" s="59"/>
      <c r="N218" s="59"/>
      <c r="O218" s="135" t="s">
        <v>13</v>
      </c>
    </row>
    <row r="219" spans="1:15" ht="16.2" customHeight="1">
      <c r="A219" s="7" t="str">
        <f t="shared" si="5"/>
        <v>modesg_inp_emss_nacen.a.</v>
      </c>
      <c r="B219" s="31" t="s">
        <v>10</v>
      </c>
      <c r="C219" s="30" t="s">
        <v>154</v>
      </c>
      <c r="D219" s="26" t="s">
        <v>15</v>
      </c>
      <c r="E219" s="27" t="s">
        <v>192</v>
      </c>
      <c r="F219" s="26" t="s">
        <v>17</v>
      </c>
      <c r="G219" s="28" t="s">
        <v>422</v>
      </c>
      <c r="H219" s="28" t="s">
        <v>422</v>
      </c>
      <c r="I219" s="32"/>
      <c r="J219" s="41" t="s">
        <v>576</v>
      </c>
      <c r="K219" s="41">
        <v>45603</v>
      </c>
      <c r="L219" s="41" t="s">
        <v>576</v>
      </c>
      <c r="M219" s="59"/>
      <c r="N219" s="59"/>
      <c r="O219" s="135" t="s">
        <v>13</v>
      </c>
    </row>
    <row r="220" spans="1:15" ht="16.2" customHeight="1">
      <c r="A220" s="7" t="str">
        <f t="shared" si="5"/>
        <v>modesg_inp_emss_bens_imoveisn.a.</v>
      </c>
      <c r="B220" s="31" t="s">
        <v>10</v>
      </c>
      <c r="C220" s="30" t="s">
        <v>154</v>
      </c>
      <c r="D220" s="26" t="s">
        <v>15</v>
      </c>
      <c r="E220" s="27" t="s">
        <v>193</v>
      </c>
      <c r="F220" s="26" t="s">
        <v>17</v>
      </c>
      <c r="G220" s="28" t="s">
        <v>422</v>
      </c>
      <c r="H220" s="28" t="s">
        <v>422</v>
      </c>
      <c r="I220" s="32"/>
      <c r="J220" s="41" t="s">
        <v>576</v>
      </c>
      <c r="K220" s="41">
        <v>45603</v>
      </c>
      <c r="L220" s="41">
        <v>45534</v>
      </c>
      <c r="M220" s="59"/>
      <c r="N220" s="59"/>
      <c r="O220" s="135" t="s">
        <v>13</v>
      </c>
    </row>
    <row r="221" spans="1:15" ht="16.2" customHeight="1">
      <c r="A221" s="7" t="str">
        <f t="shared" si="5"/>
        <v>modesg_inp_emss_vclsref_date</v>
      </c>
      <c r="B221" s="31" t="s">
        <v>10</v>
      </c>
      <c r="C221" s="30" t="s">
        <v>154</v>
      </c>
      <c r="D221" s="26" t="s">
        <v>18</v>
      </c>
      <c r="E221" s="27" t="s">
        <v>186</v>
      </c>
      <c r="F221" s="26" t="s">
        <v>181</v>
      </c>
      <c r="G221" s="28" t="s">
        <v>422</v>
      </c>
      <c r="H221" s="28" t="s">
        <v>422</v>
      </c>
      <c r="I221" s="32"/>
      <c r="J221" s="41" t="s">
        <v>576</v>
      </c>
      <c r="K221" s="41">
        <v>45603</v>
      </c>
      <c r="L221" s="41">
        <v>45534</v>
      </c>
      <c r="M221" s="59"/>
      <c r="N221" s="59"/>
      <c r="O221" s="135" t="s">
        <v>13</v>
      </c>
    </row>
    <row r="222" spans="1:15" ht="16.2" customHeight="1">
      <c r="A222" s="7" t="str">
        <f t="shared" si="5"/>
        <v>modesg_inp_emss_vclsnome_regiao</v>
      </c>
      <c r="B222" s="31" t="s">
        <v>10</v>
      </c>
      <c r="C222" s="30" t="s">
        <v>154</v>
      </c>
      <c r="D222" s="26" t="s">
        <v>18</v>
      </c>
      <c r="E222" s="27" t="s">
        <v>186</v>
      </c>
      <c r="F222" s="26" t="s">
        <v>194</v>
      </c>
      <c r="G222" s="28" t="s">
        <v>422</v>
      </c>
      <c r="H222" s="28" t="s">
        <v>422</v>
      </c>
      <c r="I222" s="32"/>
      <c r="J222" s="41" t="s">
        <v>576</v>
      </c>
      <c r="K222" s="41">
        <v>45603</v>
      </c>
      <c r="L222" s="41">
        <v>45534</v>
      </c>
      <c r="M222" s="59"/>
      <c r="N222" s="59"/>
      <c r="O222" s="135" t="s">
        <v>13</v>
      </c>
    </row>
    <row r="223" spans="1:15" ht="16.2" customHeight="1">
      <c r="A223" s="7" t="str">
        <f t="shared" si="5"/>
        <v>modesg_inp_emss_vclsnome_pais</v>
      </c>
      <c r="B223" s="31" t="s">
        <v>10</v>
      </c>
      <c r="C223" s="30" t="s">
        <v>154</v>
      </c>
      <c r="D223" s="26" t="s">
        <v>18</v>
      </c>
      <c r="E223" s="27" t="s">
        <v>186</v>
      </c>
      <c r="F223" s="26" t="s">
        <v>195</v>
      </c>
      <c r="G223" s="28" t="s">
        <v>422</v>
      </c>
      <c r="H223" s="28" t="s">
        <v>422</v>
      </c>
      <c r="I223" s="32"/>
      <c r="J223" s="41" t="s">
        <v>576</v>
      </c>
      <c r="K223" s="41">
        <v>45603</v>
      </c>
      <c r="L223" s="41">
        <v>45534</v>
      </c>
      <c r="M223" s="59"/>
      <c r="N223" s="59"/>
      <c r="O223" s="135" t="s">
        <v>13</v>
      </c>
    </row>
    <row r="224" spans="1:15" ht="16.2" customHeight="1">
      <c r="A224" s="7" t="str">
        <f t="shared" si="5"/>
        <v>modesg_inp_emss_vclsnome_estado</v>
      </c>
      <c r="B224" s="31" t="s">
        <v>10</v>
      </c>
      <c r="C224" s="30" t="s">
        <v>154</v>
      </c>
      <c r="D224" s="26" t="s">
        <v>18</v>
      </c>
      <c r="E224" s="27" t="s">
        <v>186</v>
      </c>
      <c r="F224" s="26" t="s">
        <v>196</v>
      </c>
      <c r="G224" s="28" t="s">
        <v>422</v>
      </c>
      <c r="H224" s="28" t="s">
        <v>422</v>
      </c>
      <c r="I224" s="32"/>
      <c r="J224" s="41" t="s">
        <v>576</v>
      </c>
      <c r="K224" s="41">
        <v>45603</v>
      </c>
      <c r="L224" s="41">
        <v>45534</v>
      </c>
      <c r="M224" s="59"/>
      <c r="N224" s="59"/>
      <c r="O224" s="135" t="s">
        <v>13</v>
      </c>
    </row>
    <row r="225" spans="1:15" ht="16.2" customHeight="1">
      <c r="A225" s="7" t="str">
        <f t="shared" si="5"/>
        <v>modesg_inp_emss_vclstipo_veiculo</v>
      </c>
      <c r="B225" s="31" t="s">
        <v>10</v>
      </c>
      <c r="C225" s="30" t="s">
        <v>154</v>
      </c>
      <c r="D225" s="26" t="s">
        <v>18</v>
      </c>
      <c r="E225" s="27" t="s">
        <v>186</v>
      </c>
      <c r="F225" s="26" t="s">
        <v>197</v>
      </c>
      <c r="G225" s="28" t="s">
        <v>422</v>
      </c>
      <c r="H225" s="28" t="s">
        <v>422</v>
      </c>
      <c r="I225" s="32"/>
      <c r="J225" s="41" t="s">
        <v>576</v>
      </c>
      <c r="K225" s="41">
        <v>45603</v>
      </c>
      <c r="L225" s="41">
        <v>45534</v>
      </c>
      <c r="M225" s="59"/>
      <c r="N225" s="59"/>
      <c r="O225" s="135" t="s">
        <v>13</v>
      </c>
    </row>
    <row r="226" spans="1:15" ht="16.2" customHeight="1">
      <c r="A226" s="7" t="str">
        <f t="shared" si="5"/>
        <v>modesg_inp_emss_vclstipo_motor</v>
      </c>
      <c r="B226" s="31" t="s">
        <v>10</v>
      </c>
      <c r="C226" s="30" t="s">
        <v>154</v>
      </c>
      <c r="D226" s="26" t="s">
        <v>18</v>
      </c>
      <c r="E226" s="27" t="s">
        <v>186</v>
      </c>
      <c r="F226" s="26" t="s">
        <v>198</v>
      </c>
      <c r="G226" s="28" t="s">
        <v>422</v>
      </c>
      <c r="H226" s="28" t="s">
        <v>422</v>
      </c>
      <c r="I226" s="32"/>
      <c r="J226" s="41" t="s">
        <v>576</v>
      </c>
      <c r="K226" s="41">
        <v>45603</v>
      </c>
      <c r="L226" s="41">
        <v>45534</v>
      </c>
      <c r="M226" s="59"/>
      <c r="N226" s="59"/>
      <c r="O226" s="135" t="s">
        <v>13</v>
      </c>
    </row>
    <row r="227" spans="1:15" ht="16.2" customHeight="1">
      <c r="A227" s="7" t="str">
        <f t="shared" si="5"/>
        <v>modesg_inp_emss_vclsmarca</v>
      </c>
      <c r="B227" s="31" t="s">
        <v>10</v>
      </c>
      <c r="C227" s="30" t="s">
        <v>154</v>
      </c>
      <c r="D227" s="26" t="s">
        <v>18</v>
      </c>
      <c r="E227" s="27" t="s">
        <v>186</v>
      </c>
      <c r="F227" s="26" t="s">
        <v>199</v>
      </c>
      <c r="G227" s="28" t="s">
        <v>422</v>
      </c>
      <c r="H227" s="28" t="s">
        <v>422</v>
      </c>
      <c r="I227" s="32"/>
      <c r="J227" s="41" t="s">
        <v>576</v>
      </c>
      <c r="K227" s="41">
        <v>45603</v>
      </c>
      <c r="L227" s="41">
        <v>45534</v>
      </c>
      <c r="M227" s="59"/>
      <c r="N227" s="59"/>
      <c r="O227" s="135" t="s">
        <v>13</v>
      </c>
    </row>
    <row r="228" spans="1:15" ht="16.2" customHeight="1">
      <c r="A228" s="7" t="str">
        <f t="shared" si="5"/>
        <v>modesg_inp_emss_vclsmodelo</v>
      </c>
      <c r="B228" s="31" t="s">
        <v>10</v>
      </c>
      <c r="C228" s="30" t="s">
        <v>154</v>
      </c>
      <c r="D228" s="26" t="s">
        <v>18</v>
      </c>
      <c r="E228" s="27" t="s">
        <v>186</v>
      </c>
      <c r="F228" s="26" t="s">
        <v>200</v>
      </c>
      <c r="G228" s="28" t="s">
        <v>422</v>
      </c>
      <c r="H228" s="28" t="s">
        <v>422</v>
      </c>
      <c r="I228" s="32"/>
      <c r="J228" s="41" t="s">
        <v>576</v>
      </c>
      <c r="K228" s="41">
        <v>45603</v>
      </c>
      <c r="L228" s="41">
        <v>45534</v>
      </c>
      <c r="M228" s="59"/>
      <c r="N228" s="59"/>
      <c r="O228" s="135" t="s">
        <v>13</v>
      </c>
    </row>
    <row r="229" spans="1:15" ht="16.2" customHeight="1">
      <c r="A229" s="7" t="str">
        <f t="shared" si="5"/>
        <v>modesg_inp_emss_vclssubgrupo</v>
      </c>
      <c r="B229" s="31" t="s">
        <v>10</v>
      </c>
      <c r="C229" s="30" t="s">
        <v>154</v>
      </c>
      <c r="D229" s="26" t="s">
        <v>18</v>
      </c>
      <c r="E229" s="27" t="s">
        <v>186</v>
      </c>
      <c r="F229" s="26" t="s">
        <v>201</v>
      </c>
      <c r="G229" s="28" t="s">
        <v>422</v>
      </c>
      <c r="H229" s="28" t="s">
        <v>422</v>
      </c>
      <c r="I229" s="33" t="s">
        <v>463</v>
      </c>
      <c r="J229" s="41" t="s">
        <v>576</v>
      </c>
      <c r="K229" s="41">
        <v>45603</v>
      </c>
      <c r="L229" s="41">
        <v>45534</v>
      </c>
      <c r="M229" s="59"/>
      <c r="N229" s="59"/>
      <c r="O229" s="135" t="s">
        <v>13</v>
      </c>
    </row>
    <row r="230" spans="1:15" ht="16.2" customHeight="1">
      <c r="A230" s="7" t="str">
        <f t="shared" si="5"/>
        <v>modesg_inp_emss_vclsnome_unidade_funcional</v>
      </c>
      <c r="B230" s="31" t="s">
        <v>10</v>
      </c>
      <c r="C230" s="30" t="s">
        <v>154</v>
      </c>
      <c r="D230" s="26" t="s">
        <v>18</v>
      </c>
      <c r="E230" s="27" t="s">
        <v>186</v>
      </c>
      <c r="F230" s="26" t="s">
        <v>202</v>
      </c>
      <c r="G230" s="28" t="s">
        <v>422</v>
      </c>
      <c r="H230" s="28" t="s">
        <v>422</v>
      </c>
      <c r="I230" s="32"/>
      <c r="J230" s="41" t="s">
        <v>576</v>
      </c>
      <c r="K230" s="41">
        <v>45603</v>
      </c>
      <c r="L230" s="41">
        <v>45534</v>
      </c>
      <c r="M230" s="59"/>
      <c r="N230" s="59"/>
      <c r="O230" s="135" t="s">
        <v>13</v>
      </c>
    </row>
    <row r="231" spans="1:15" ht="16.2" customHeight="1">
      <c r="A231" s="7" t="str">
        <f t="shared" si="5"/>
        <v>modesg_inp_emss_vclsunidade_funcional</v>
      </c>
      <c r="B231" s="31" t="s">
        <v>10</v>
      </c>
      <c r="C231" s="30" t="s">
        <v>154</v>
      </c>
      <c r="D231" s="26" t="s">
        <v>18</v>
      </c>
      <c r="E231" s="27" t="s">
        <v>186</v>
      </c>
      <c r="F231" s="26" t="s">
        <v>203</v>
      </c>
      <c r="G231" s="28" t="s">
        <v>422</v>
      </c>
      <c r="H231" s="28" t="s">
        <v>422</v>
      </c>
      <c r="I231" s="32"/>
      <c r="J231" s="41" t="s">
        <v>576</v>
      </c>
      <c r="K231" s="41">
        <v>45603</v>
      </c>
      <c r="L231" s="41">
        <v>45534</v>
      </c>
      <c r="M231" s="59"/>
      <c r="N231" s="59"/>
      <c r="O231" s="135" t="s">
        <v>13</v>
      </c>
    </row>
    <row r="232" spans="1:15" ht="16.2" customHeight="1">
      <c r="A232" s="7" t="str">
        <f t="shared" si="5"/>
        <v>modesg_inp_emss_vclsnome_fator_emissao</v>
      </c>
      <c r="B232" s="31" t="s">
        <v>10</v>
      </c>
      <c r="C232" s="30" t="s">
        <v>154</v>
      </c>
      <c r="D232" s="26" t="s">
        <v>18</v>
      </c>
      <c r="E232" s="27" t="s">
        <v>186</v>
      </c>
      <c r="F232" s="26" t="s">
        <v>204</v>
      </c>
      <c r="G232" s="28" t="s">
        <v>422</v>
      </c>
      <c r="H232" s="28" t="s">
        <v>422</v>
      </c>
      <c r="I232" s="32"/>
      <c r="J232" s="41" t="s">
        <v>576</v>
      </c>
      <c r="K232" s="41">
        <v>45603</v>
      </c>
      <c r="L232" s="41">
        <v>45534</v>
      </c>
      <c r="M232" s="59"/>
      <c r="N232" s="59"/>
      <c r="O232" s="135" t="s">
        <v>13</v>
      </c>
    </row>
    <row r="233" spans="1:15" ht="16.2" customHeight="1">
      <c r="A233" s="7" t="str">
        <f t="shared" si="5"/>
        <v>modesg_inp_emss_vclsunidade_fator_de_emissao</v>
      </c>
      <c r="B233" s="31" t="s">
        <v>10</v>
      </c>
      <c r="C233" s="30" t="s">
        <v>154</v>
      </c>
      <c r="D233" s="26" t="s">
        <v>18</v>
      </c>
      <c r="E233" s="27" t="s">
        <v>186</v>
      </c>
      <c r="F233" s="26" t="s">
        <v>205</v>
      </c>
      <c r="G233" s="28" t="s">
        <v>422</v>
      </c>
      <c r="H233" s="28" t="s">
        <v>422</v>
      </c>
      <c r="I233" s="32"/>
      <c r="J233" s="41" t="s">
        <v>576</v>
      </c>
      <c r="K233" s="41">
        <v>45603</v>
      </c>
      <c r="L233" s="41">
        <v>45534</v>
      </c>
      <c r="M233" s="59"/>
      <c r="N233" s="59"/>
      <c r="O233" s="135" t="s">
        <v>13</v>
      </c>
    </row>
    <row r="234" spans="1:15" ht="16.2" customHeight="1">
      <c r="A234" s="7" t="str">
        <f t="shared" si="5"/>
        <v>modesg_inp_emss_vclsscore_qualidade</v>
      </c>
      <c r="B234" s="31" t="s">
        <v>10</v>
      </c>
      <c r="C234" s="30" t="s">
        <v>154</v>
      </c>
      <c r="D234" s="26" t="s">
        <v>18</v>
      </c>
      <c r="E234" s="27" t="s">
        <v>186</v>
      </c>
      <c r="F234" s="26" t="s">
        <v>206</v>
      </c>
      <c r="G234" s="28" t="s">
        <v>422</v>
      </c>
      <c r="H234" s="28" t="s">
        <v>422</v>
      </c>
      <c r="I234" s="32"/>
      <c r="J234" s="41" t="s">
        <v>576</v>
      </c>
      <c r="K234" s="41">
        <v>45603</v>
      </c>
      <c r="L234" s="41">
        <v>45534</v>
      </c>
      <c r="M234" s="59"/>
      <c r="N234" s="59"/>
      <c r="O234" s="135" t="s">
        <v>13</v>
      </c>
    </row>
    <row r="235" spans="1:15" ht="16.2" customHeight="1">
      <c r="A235" s="7" t="str">
        <f t="shared" si="5"/>
        <v>modesg_inp_emss_vclsscp1_ftr_emss</v>
      </c>
      <c r="B235" s="31" t="s">
        <v>10</v>
      </c>
      <c r="C235" s="30" t="s">
        <v>154</v>
      </c>
      <c r="D235" s="26" t="s">
        <v>18</v>
      </c>
      <c r="E235" s="27" t="s">
        <v>186</v>
      </c>
      <c r="F235" s="26" t="s">
        <v>207</v>
      </c>
      <c r="G235" s="28" t="s">
        <v>422</v>
      </c>
      <c r="H235" s="28" t="s">
        <v>422</v>
      </c>
      <c r="I235" s="32"/>
      <c r="J235" s="41" t="s">
        <v>576</v>
      </c>
      <c r="K235" s="41">
        <v>45603</v>
      </c>
      <c r="L235" s="41">
        <v>45534</v>
      </c>
      <c r="M235" s="59"/>
      <c r="N235" s="59"/>
      <c r="O235" s="135" t="s">
        <v>13</v>
      </c>
    </row>
    <row r="236" spans="1:15" ht="16.2" customHeight="1">
      <c r="A236" s="7" t="str">
        <f t="shared" si="5"/>
        <v>modesg_inp_emss_vclsscp2_ftr_emss</v>
      </c>
      <c r="B236" s="31" t="s">
        <v>10</v>
      </c>
      <c r="C236" s="30" t="s">
        <v>154</v>
      </c>
      <c r="D236" s="26" t="s">
        <v>18</v>
      </c>
      <c r="E236" s="27" t="s">
        <v>186</v>
      </c>
      <c r="F236" s="26" t="s">
        <v>208</v>
      </c>
      <c r="G236" s="28" t="s">
        <v>422</v>
      </c>
      <c r="H236" s="28" t="s">
        <v>422</v>
      </c>
      <c r="I236" s="32"/>
      <c r="J236" s="41" t="s">
        <v>576</v>
      </c>
      <c r="K236" s="41">
        <v>45603</v>
      </c>
      <c r="L236" s="41">
        <v>45534</v>
      </c>
      <c r="M236" s="59"/>
      <c r="N236" s="59"/>
      <c r="O236" s="135" t="s">
        <v>13</v>
      </c>
    </row>
    <row r="237" spans="1:15" ht="16.2" customHeight="1">
      <c r="A237" s="7" t="str">
        <f t="shared" si="5"/>
        <v>modesg_inp_emss_vclsscp3_ftr_emss</v>
      </c>
      <c r="B237" s="31" t="s">
        <v>10</v>
      </c>
      <c r="C237" s="30" t="s">
        <v>154</v>
      </c>
      <c r="D237" s="26" t="s">
        <v>18</v>
      </c>
      <c r="E237" s="27" t="s">
        <v>186</v>
      </c>
      <c r="F237" s="26" t="s">
        <v>209</v>
      </c>
      <c r="G237" s="28" t="s">
        <v>422</v>
      </c>
      <c r="H237" s="28" t="s">
        <v>422</v>
      </c>
      <c r="I237" s="32"/>
      <c r="J237" s="41" t="s">
        <v>576</v>
      </c>
      <c r="K237" s="41">
        <v>45603</v>
      </c>
      <c r="L237" s="41">
        <v>45534</v>
      </c>
      <c r="M237" s="59"/>
      <c r="N237" s="59"/>
      <c r="O237" s="135" t="s">
        <v>13</v>
      </c>
    </row>
    <row r="238" spans="1:15" ht="16.2" customHeight="1">
      <c r="A238" s="7" t="str">
        <f t="shared" si="5"/>
        <v>modesg_inp_km_medios_emss_vclsref_date</v>
      </c>
      <c r="B238" s="31" t="s">
        <v>10</v>
      </c>
      <c r="C238" s="30" t="s">
        <v>154</v>
      </c>
      <c r="D238" s="26" t="s">
        <v>18</v>
      </c>
      <c r="E238" s="27" t="s">
        <v>187</v>
      </c>
      <c r="F238" s="26" t="s">
        <v>181</v>
      </c>
      <c r="G238" s="28" t="s">
        <v>422</v>
      </c>
      <c r="H238" s="28" t="s">
        <v>422</v>
      </c>
      <c r="I238" s="32"/>
      <c r="J238" s="41" t="s">
        <v>576</v>
      </c>
      <c r="K238" s="41">
        <v>45603</v>
      </c>
      <c r="L238" s="41">
        <v>45534</v>
      </c>
      <c r="M238" s="59"/>
      <c r="N238" s="59"/>
      <c r="O238" s="135" t="s">
        <v>13</v>
      </c>
    </row>
    <row r="239" spans="1:15" ht="16.2" customHeight="1">
      <c r="A239" s="7" t="str">
        <f t="shared" si="5"/>
        <v>modesg_inp_km_medios_emss_vclsnome_pais</v>
      </c>
      <c r="B239" s="31" t="s">
        <v>10</v>
      </c>
      <c r="C239" s="30" t="s">
        <v>154</v>
      </c>
      <c r="D239" s="26" t="s">
        <v>18</v>
      </c>
      <c r="E239" s="27" t="s">
        <v>187</v>
      </c>
      <c r="F239" s="26" t="s">
        <v>195</v>
      </c>
      <c r="G239" s="28" t="s">
        <v>422</v>
      </c>
      <c r="H239" s="28" t="s">
        <v>422</v>
      </c>
      <c r="I239" s="32"/>
      <c r="J239" s="41" t="s">
        <v>576</v>
      </c>
      <c r="K239" s="41">
        <v>45603</v>
      </c>
      <c r="L239" s="41">
        <v>45534</v>
      </c>
      <c r="M239" s="59"/>
      <c r="N239" s="59"/>
      <c r="O239" s="135" t="s">
        <v>13</v>
      </c>
    </row>
    <row r="240" spans="1:15" ht="16.2" customHeight="1">
      <c r="A240" s="7" t="str">
        <f t="shared" si="5"/>
        <v>modesg_inp_km_medios_emss_vclstipo_vcl</v>
      </c>
      <c r="B240" s="31" t="s">
        <v>10</v>
      </c>
      <c r="C240" s="30" t="s">
        <v>154</v>
      </c>
      <c r="D240" s="26" t="s">
        <v>18</v>
      </c>
      <c r="E240" s="27" t="s">
        <v>187</v>
      </c>
      <c r="F240" s="26" t="s">
        <v>210</v>
      </c>
      <c r="G240" s="28" t="s">
        <v>422</v>
      </c>
      <c r="H240" s="28" t="s">
        <v>422</v>
      </c>
      <c r="I240" s="32"/>
      <c r="J240" s="41" t="s">
        <v>576</v>
      </c>
      <c r="K240" s="41">
        <v>45603</v>
      </c>
      <c r="L240" s="41">
        <v>45534</v>
      </c>
      <c r="M240" s="59"/>
      <c r="N240" s="59"/>
      <c r="O240" s="135" t="s">
        <v>13</v>
      </c>
    </row>
    <row r="241" spans="1:15" ht="16.2" customHeight="1">
      <c r="A241" s="7" t="str">
        <f t="shared" si="5"/>
        <v>modesg_inp_km_medios_emss_vclstipo_motor</v>
      </c>
      <c r="B241" s="31" t="s">
        <v>10</v>
      </c>
      <c r="C241" s="30" t="s">
        <v>154</v>
      </c>
      <c r="D241" s="26" t="s">
        <v>18</v>
      </c>
      <c r="E241" s="27" t="s">
        <v>187</v>
      </c>
      <c r="F241" s="26" t="s">
        <v>198</v>
      </c>
      <c r="G241" s="28" t="s">
        <v>422</v>
      </c>
      <c r="H241" s="28" t="s">
        <v>422</v>
      </c>
      <c r="I241" s="32"/>
      <c r="J241" s="41" t="s">
        <v>576</v>
      </c>
      <c r="K241" s="41">
        <v>45603</v>
      </c>
      <c r="L241" s="41">
        <v>45534</v>
      </c>
      <c r="M241" s="59"/>
      <c r="N241" s="59"/>
      <c r="O241" s="135" t="s">
        <v>13</v>
      </c>
    </row>
    <row r="242" spans="1:15" ht="16.2" customHeight="1">
      <c r="A242" s="7" t="str">
        <f t="shared" si="5"/>
        <v>modesg_inp_km_medios_emss_vclssubgrupo</v>
      </c>
      <c r="B242" s="31" t="s">
        <v>10</v>
      </c>
      <c r="C242" s="30" t="s">
        <v>154</v>
      </c>
      <c r="D242" s="26" t="s">
        <v>18</v>
      </c>
      <c r="E242" s="27" t="s">
        <v>187</v>
      </c>
      <c r="F242" s="26" t="s">
        <v>201</v>
      </c>
      <c r="G242" s="28" t="s">
        <v>422</v>
      </c>
      <c r="H242" s="28" t="s">
        <v>422</v>
      </c>
      <c r="I242" s="33" t="s">
        <v>463</v>
      </c>
      <c r="J242" s="41" t="s">
        <v>576</v>
      </c>
      <c r="K242" s="41">
        <v>45603</v>
      </c>
      <c r="L242" s="41">
        <v>45534</v>
      </c>
      <c r="M242" s="59"/>
      <c r="N242" s="59"/>
      <c r="O242" s="135" t="s">
        <v>13</v>
      </c>
    </row>
    <row r="243" spans="1:15" ht="16.2" customHeight="1">
      <c r="A243" s="7" t="str">
        <f t="shared" si="5"/>
        <v>modesg_inp_km_medios_emss_vclsmedia_km</v>
      </c>
      <c r="B243" s="31" t="s">
        <v>10</v>
      </c>
      <c r="C243" s="30" t="s">
        <v>154</v>
      </c>
      <c r="D243" s="26" t="s">
        <v>18</v>
      </c>
      <c r="E243" s="27" t="s">
        <v>187</v>
      </c>
      <c r="F243" s="26" t="s">
        <v>211</v>
      </c>
      <c r="G243" s="28" t="s">
        <v>422</v>
      </c>
      <c r="H243" s="28" t="s">
        <v>422</v>
      </c>
      <c r="I243" s="32"/>
      <c r="J243" s="41" t="s">
        <v>576</v>
      </c>
      <c r="K243" s="41">
        <v>45603</v>
      </c>
      <c r="L243" s="41">
        <v>45534</v>
      </c>
      <c r="M243" s="59"/>
      <c r="N243" s="59"/>
      <c r="O243" s="135" t="s">
        <v>13</v>
      </c>
    </row>
    <row r="244" spans="1:15" ht="16.2" customHeight="1">
      <c r="A244" s="7" t="str">
        <f t="shared" si="5"/>
        <v>modesg_inp_empr_excl_parisref_date</v>
      </c>
      <c r="B244" s="31" t="s">
        <v>10</v>
      </c>
      <c r="C244" s="30" t="s">
        <v>154</v>
      </c>
      <c r="D244" s="26" t="s">
        <v>18</v>
      </c>
      <c r="E244" s="27" t="s">
        <v>188</v>
      </c>
      <c r="F244" s="26" t="s">
        <v>181</v>
      </c>
      <c r="G244" s="28" t="s">
        <v>422</v>
      </c>
      <c r="H244" s="28" t="s">
        <v>422</v>
      </c>
      <c r="I244" s="42"/>
      <c r="J244" s="41" t="s">
        <v>576</v>
      </c>
      <c r="K244" s="41">
        <v>45603</v>
      </c>
      <c r="L244" s="41" t="s">
        <v>576</v>
      </c>
      <c r="M244" s="59"/>
      <c r="N244" s="59"/>
      <c r="O244" s="135" t="s">
        <v>13</v>
      </c>
    </row>
    <row r="245" spans="1:15" ht="16.2" customHeight="1">
      <c r="A245" s="7" t="str">
        <f t="shared" ref="A245:A274" si="6">E245&amp;F245</f>
        <v>modesg_inp_empr_excl_parisisin</v>
      </c>
      <c r="B245" s="31" t="s">
        <v>10</v>
      </c>
      <c r="C245" s="30" t="s">
        <v>154</v>
      </c>
      <c r="D245" s="26" t="s">
        <v>18</v>
      </c>
      <c r="E245" s="27" t="s">
        <v>188</v>
      </c>
      <c r="F245" s="26" t="s">
        <v>212</v>
      </c>
      <c r="G245" s="28" t="s">
        <v>422</v>
      </c>
      <c r="H245" s="28" t="s">
        <v>422</v>
      </c>
      <c r="I245" s="42"/>
      <c r="J245" s="41" t="s">
        <v>576</v>
      </c>
      <c r="K245" s="41">
        <v>45603</v>
      </c>
      <c r="L245" s="41" t="s">
        <v>576</v>
      </c>
      <c r="M245" s="59"/>
      <c r="N245" s="59"/>
      <c r="O245" s="135" t="s">
        <v>13</v>
      </c>
    </row>
    <row r="246" spans="1:15" ht="16.2" customHeight="1">
      <c r="A246" s="7" t="str">
        <f t="shared" si="6"/>
        <v>modesg_inp_empr_excl_parisclei</v>
      </c>
      <c r="B246" s="31" t="s">
        <v>10</v>
      </c>
      <c r="C246" s="30" t="s">
        <v>154</v>
      </c>
      <c r="D246" s="26" t="s">
        <v>18</v>
      </c>
      <c r="E246" s="27" t="s">
        <v>188</v>
      </c>
      <c r="F246" s="26" t="s">
        <v>213</v>
      </c>
      <c r="G246" s="28" t="s">
        <v>422</v>
      </c>
      <c r="H246" s="28" t="s">
        <v>422</v>
      </c>
      <c r="I246" s="42"/>
      <c r="J246" s="41" t="s">
        <v>576</v>
      </c>
      <c r="K246" s="41">
        <v>45603</v>
      </c>
      <c r="L246" s="41" t="s">
        <v>576</v>
      </c>
      <c r="M246" s="59"/>
      <c r="N246" s="59"/>
      <c r="O246" s="135" t="s">
        <v>13</v>
      </c>
    </row>
    <row r="247" spans="1:15" ht="16.2" customHeight="1">
      <c r="A247" s="7" t="str">
        <f t="shared" si="6"/>
        <v>modesg_inp_empr_excl_parisccli_kgl</v>
      </c>
      <c r="B247" s="31" t="s">
        <v>10</v>
      </c>
      <c r="C247" s="30" t="s">
        <v>154</v>
      </c>
      <c r="D247" s="26" t="s">
        <v>18</v>
      </c>
      <c r="E247" s="27" t="s">
        <v>188</v>
      </c>
      <c r="F247" s="26" t="s">
        <v>214</v>
      </c>
      <c r="G247" s="28" t="s">
        <v>422</v>
      </c>
      <c r="H247" s="28" t="s">
        <v>422</v>
      </c>
      <c r="I247" s="42"/>
      <c r="J247" s="41" t="s">
        <v>576</v>
      </c>
      <c r="K247" s="41">
        <v>45603</v>
      </c>
      <c r="L247" s="41" t="s">
        <v>576</v>
      </c>
      <c r="M247" s="59"/>
      <c r="N247" s="59"/>
      <c r="O247" s="135" t="s">
        <v>13</v>
      </c>
    </row>
    <row r="248" spans="1:15" ht="16.2" customHeight="1">
      <c r="A248" s="7" t="str">
        <f t="shared" si="6"/>
        <v>modesg_inp_empr_excl_parisnome_entidade</v>
      </c>
      <c r="B248" s="31" t="s">
        <v>10</v>
      </c>
      <c r="C248" s="30" t="s">
        <v>154</v>
      </c>
      <c r="D248" s="26" t="s">
        <v>18</v>
      </c>
      <c r="E248" s="27" t="s">
        <v>188</v>
      </c>
      <c r="F248" s="26" t="s">
        <v>215</v>
      </c>
      <c r="G248" s="28" t="s">
        <v>422</v>
      </c>
      <c r="H248" s="28" t="s">
        <v>422</v>
      </c>
      <c r="I248" s="42"/>
      <c r="J248" s="41" t="s">
        <v>576</v>
      </c>
      <c r="K248" s="41">
        <v>45603</v>
      </c>
      <c r="L248" s="41" t="s">
        <v>576</v>
      </c>
      <c r="M248" s="59"/>
      <c r="N248" s="59"/>
      <c r="O248" s="135" t="s">
        <v>13</v>
      </c>
    </row>
    <row r="249" spans="1:15" ht="16.2" customHeight="1">
      <c r="A249" s="7" t="str">
        <f t="shared" si="6"/>
        <v>modesg_inp_empr_excl_parisflg_scib</v>
      </c>
      <c r="B249" s="31" t="s">
        <v>10</v>
      </c>
      <c r="C249" s="30" t="s">
        <v>154</v>
      </c>
      <c r="D249" s="26" t="s">
        <v>18</v>
      </c>
      <c r="E249" s="27" t="s">
        <v>188</v>
      </c>
      <c r="F249" s="26" t="s">
        <v>216</v>
      </c>
      <c r="G249" s="28" t="s">
        <v>422</v>
      </c>
      <c r="H249" s="28" t="s">
        <v>422</v>
      </c>
      <c r="I249" s="42"/>
      <c r="J249" s="41" t="s">
        <v>576</v>
      </c>
      <c r="K249" s="41">
        <v>45603</v>
      </c>
      <c r="L249" s="41" t="s">
        <v>576</v>
      </c>
      <c r="M249" s="59"/>
      <c r="N249" s="59"/>
      <c r="O249" s="135" t="s">
        <v>13</v>
      </c>
    </row>
    <row r="250" spans="1:15" ht="16.2" customHeight="1">
      <c r="A250" s="7" t="str">
        <f t="shared" si="6"/>
        <v>modesg_inp_empr_excl_parisnome_pais</v>
      </c>
      <c r="B250" s="31" t="s">
        <v>10</v>
      </c>
      <c r="C250" s="30" t="s">
        <v>154</v>
      </c>
      <c r="D250" s="26" t="s">
        <v>18</v>
      </c>
      <c r="E250" s="27" t="s">
        <v>188</v>
      </c>
      <c r="F250" s="26" t="s">
        <v>195</v>
      </c>
      <c r="G250" s="28" t="s">
        <v>422</v>
      </c>
      <c r="H250" s="28" t="s">
        <v>422</v>
      </c>
      <c r="I250" s="42"/>
      <c r="J250" s="41" t="s">
        <v>576</v>
      </c>
      <c r="K250" s="41">
        <v>45603</v>
      </c>
      <c r="L250" s="41" t="s">
        <v>576</v>
      </c>
      <c r="M250" s="59"/>
      <c r="N250" s="59"/>
      <c r="O250" s="135" t="s">
        <v>13</v>
      </c>
    </row>
    <row r="251" spans="1:15" ht="16.2" customHeight="1">
      <c r="A251" s="7" t="str">
        <f t="shared" si="6"/>
        <v>modesg_inp_nfrd_alinhamento_taxref_date</v>
      </c>
      <c r="B251" s="31" t="s">
        <v>10</v>
      </c>
      <c r="C251" s="30" t="s">
        <v>154</v>
      </c>
      <c r="D251" s="26" t="s">
        <v>18</v>
      </c>
      <c r="E251" s="27" t="s">
        <v>189</v>
      </c>
      <c r="F251" s="26" t="s">
        <v>181</v>
      </c>
      <c r="G251" s="28" t="s">
        <v>422</v>
      </c>
      <c r="H251" s="28" t="s">
        <v>422</v>
      </c>
      <c r="I251" s="32"/>
      <c r="J251" s="41" t="s">
        <v>576</v>
      </c>
      <c r="K251" s="41">
        <v>45603</v>
      </c>
      <c r="L251" s="41">
        <v>45534</v>
      </c>
      <c r="M251" s="59"/>
      <c r="N251" s="59"/>
      <c r="O251" s="135" t="s">
        <v>13</v>
      </c>
    </row>
    <row r="252" spans="1:15" ht="16.2" customHeight="1">
      <c r="A252" s="7" t="str">
        <f t="shared" si="6"/>
        <v>modesg_inp_nfrd_alinhamento_taxccli_kgl</v>
      </c>
      <c r="B252" s="31" t="s">
        <v>10</v>
      </c>
      <c r="C252" s="30" t="s">
        <v>154</v>
      </c>
      <c r="D252" s="26" t="s">
        <v>18</v>
      </c>
      <c r="E252" s="27" t="s">
        <v>189</v>
      </c>
      <c r="F252" s="26" t="s">
        <v>214</v>
      </c>
      <c r="G252" s="28" t="s">
        <v>422</v>
      </c>
      <c r="H252" s="28" t="s">
        <v>422</v>
      </c>
      <c r="I252" s="32"/>
      <c r="J252" s="41" t="s">
        <v>576</v>
      </c>
      <c r="K252" s="41">
        <v>45603</v>
      </c>
      <c r="L252" s="41">
        <v>45534</v>
      </c>
      <c r="M252" s="59"/>
      <c r="N252" s="59"/>
      <c r="O252" s="135" t="s">
        <v>13</v>
      </c>
    </row>
    <row r="253" spans="1:15" ht="16.2" customHeight="1">
      <c r="A253" s="7" t="str">
        <f t="shared" si="6"/>
        <v>modesg_inp_nfrd_alinhamento_taxclei</v>
      </c>
      <c r="B253" s="31" t="s">
        <v>10</v>
      </c>
      <c r="C253" s="30" t="s">
        <v>154</v>
      </c>
      <c r="D253" s="26" t="s">
        <v>18</v>
      </c>
      <c r="E253" s="27" t="s">
        <v>189</v>
      </c>
      <c r="F253" s="26" t="s">
        <v>213</v>
      </c>
      <c r="G253" s="28" t="s">
        <v>422</v>
      </c>
      <c r="H253" s="28" t="s">
        <v>422</v>
      </c>
      <c r="I253" s="32"/>
      <c r="J253" s="41" t="s">
        <v>576</v>
      </c>
      <c r="K253" s="41">
        <v>45603</v>
      </c>
      <c r="L253" s="41">
        <v>45534</v>
      </c>
      <c r="M253" s="59"/>
      <c r="N253" s="59"/>
      <c r="O253" s="135" t="s">
        <v>13</v>
      </c>
    </row>
    <row r="254" spans="1:15" ht="16.2" customHeight="1">
      <c r="A254" s="7" t="str">
        <f t="shared" si="6"/>
        <v>modesg_inp_nfrd_alinhamento_taxperm_id</v>
      </c>
      <c r="B254" s="31" t="s">
        <v>10</v>
      </c>
      <c r="C254" s="30" t="s">
        <v>154</v>
      </c>
      <c r="D254" s="26" t="s">
        <v>18</v>
      </c>
      <c r="E254" s="27" t="s">
        <v>189</v>
      </c>
      <c r="F254" s="26" t="s">
        <v>217</v>
      </c>
      <c r="G254" s="28" t="s">
        <v>422</v>
      </c>
      <c r="H254" s="28" t="s">
        <v>422</v>
      </c>
      <c r="I254" s="32"/>
      <c r="J254" s="41" t="s">
        <v>576</v>
      </c>
      <c r="K254" s="41">
        <v>45603</v>
      </c>
      <c r="L254" s="41">
        <v>45534</v>
      </c>
      <c r="M254" s="59"/>
      <c r="N254" s="59"/>
      <c r="O254" s="135" t="s">
        <v>13</v>
      </c>
    </row>
    <row r="255" spans="1:15" ht="16.2" customHeight="1">
      <c r="A255" s="7" t="str">
        <f t="shared" si="6"/>
        <v>modesg_inp_nfrd_alinhamento_taxnome_entidade</v>
      </c>
      <c r="B255" s="31" t="s">
        <v>10</v>
      </c>
      <c r="C255" s="30" t="s">
        <v>154</v>
      </c>
      <c r="D255" s="26" t="s">
        <v>18</v>
      </c>
      <c r="E255" s="27" t="s">
        <v>189</v>
      </c>
      <c r="F255" s="26" t="s">
        <v>215</v>
      </c>
      <c r="G255" s="28" t="s">
        <v>422</v>
      </c>
      <c r="H255" s="28" t="s">
        <v>422</v>
      </c>
      <c r="I255" s="32"/>
      <c r="J255" s="41" t="s">
        <v>576</v>
      </c>
      <c r="K255" s="41">
        <v>45603</v>
      </c>
      <c r="L255" s="41">
        <v>45534</v>
      </c>
      <c r="M255" s="59"/>
      <c r="N255" s="59"/>
      <c r="O255" s="135" t="s">
        <v>13</v>
      </c>
    </row>
    <row r="256" spans="1:15" ht="16.2" customHeight="1">
      <c r="A256" s="7" t="str">
        <f t="shared" si="6"/>
        <v>modesg_inp_nfrd_alinhamento_taxnome_pais</v>
      </c>
      <c r="B256" s="31" t="s">
        <v>10</v>
      </c>
      <c r="C256" s="30" t="s">
        <v>154</v>
      </c>
      <c r="D256" s="26" t="s">
        <v>18</v>
      </c>
      <c r="E256" s="27" t="s">
        <v>189</v>
      </c>
      <c r="F256" s="26" t="s">
        <v>195</v>
      </c>
      <c r="G256" s="28" t="s">
        <v>422</v>
      </c>
      <c r="H256" s="28" t="s">
        <v>422</v>
      </c>
      <c r="I256" s="33" t="s">
        <v>463</v>
      </c>
      <c r="J256" s="41" t="s">
        <v>576</v>
      </c>
      <c r="K256" s="41">
        <v>45603</v>
      </c>
      <c r="L256" s="41">
        <v>45534</v>
      </c>
      <c r="M256" s="59"/>
      <c r="N256" s="59"/>
      <c r="O256" s="135" t="s">
        <v>13</v>
      </c>
    </row>
    <row r="257" spans="1:15" ht="16.2" customHeight="1">
      <c r="A257" s="7" t="str">
        <f t="shared" si="6"/>
        <v>modesg_inp_nfrd_alinhamento_taxflg_nfrd</v>
      </c>
      <c r="B257" s="31" t="s">
        <v>10</v>
      </c>
      <c r="C257" s="30" t="s">
        <v>154</v>
      </c>
      <c r="D257" s="26" t="s">
        <v>18</v>
      </c>
      <c r="E257" s="27" t="s">
        <v>189</v>
      </c>
      <c r="F257" s="26" t="s">
        <v>218</v>
      </c>
      <c r="G257" s="28" t="s">
        <v>422</v>
      </c>
      <c r="H257" s="28" t="s">
        <v>422</v>
      </c>
      <c r="I257" s="32"/>
      <c r="J257" s="41" t="s">
        <v>576</v>
      </c>
      <c r="K257" s="41">
        <v>45603</v>
      </c>
      <c r="L257" s="41">
        <v>45534</v>
      </c>
      <c r="M257" s="59"/>
      <c r="N257" s="59"/>
      <c r="O257" s="135" t="s">
        <v>13</v>
      </c>
    </row>
    <row r="258" spans="1:15" ht="16.2" customHeight="1">
      <c r="A258" s="7" t="str">
        <f t="shared" si="6"/>
        <v>modesg_inp_nfrd_alinhamento_taxcca_trnvr_ttl_elgbl</v>
      </c>
      <c r="B258" s="31" t="s">
        <v>10</v>
      </c>
      <c r="C258" s="30" t="s">
        <v>154</v>
      </c>
      <c r="D258" s="26" t="s">
        <v>18</v>
      </c>
      <c r="E258" s="27" t="s">
        <v>189</v>
      </c>
      <c r="F258" s="26" t="s">
        <v>219</v>
      </c>
      <c r="G258" s="28" t="s">
        <v>422</v>
      </c>
      <c r="H258" s="28" t="s">
        <v>422</v>
      </c>
      <c r="I258" s="32"/>
      <c r="J258" s="41" t="s">
        <v>576</v>
      </c>
      <c r="K258" s="41">
        <v>45603</v>
      </c>
      <c r="L258" s="41">
        <v>45534</v>
      </c>
      <c r="M258" s="59"/>
      <c r="N258" s="59"/>
      <c r="O258" s="135" t="s">
        <v>13</v>
      </c>
    </row>
    <row r="259" spans="1:15" ht="16.2" customHeight="1">
      <c r="A259" s="7" t="str">
        <f t="shared" si="6"/>
        <v>modesg_inp_nfrd_alinhamento_taxcca_trnvr_enblng_alignd</v>
      </c>
      <c r="B259" s="31" t="s">
        <v>10</v>
      </c>
      <c r="C259" s="30" t="s">
        <v>154</v>
      </c>
      <c r="D259" s="26" t="s">
        <v>18</v>
      </c>
      <c r="E259" s="27" t="s">
        <v>189</v>
      </c>
      <c r="F259" s="26" t="s">
        <v>220</v>
      </c>
      <c r="G259" s="28" t="s">
        <v>422</v>
      </c>
      <c r="H259" s="28" t="s">
        <v>422</v>
      </c>
      <c r="I259" s="32"/>
      <c r="J259" s="41" t="s">
        <v>576</v>
      </c>
      <c r="K259" s="41">
        <v>45603</v>
      </c>
      <c r="L259" s="41">
        <v>45534</v>
      </c>
      <c r="M259" s="59"/>
      <c r="N259" s="59"/>
      <c r="O259" s="135" t="s">
        <v>13</v>
      </c>
    </row>
    <row r="260" spans="1:15" ht="16.2" customHeight="1">
      <c r="A260" s="7" t="str">
        <f t="shared" si="6"/>
        <v>modesg_inp_nfrd_alinhamento_taxcca_turnover_own_prfrmnce_algnd</v>
      </c>
      <c r="B260" s="31" t="s">
        <v>10</v>
      </c>
      <c r="C260" s="30" t="s">
        <v>154</v>
      </c>
      <c r="D260" s="26" t="s">
        <v>18</v>
      </c>
      <c r="E260" s="27" t="s">
        <v>189</v>
      </c>
      <c r="F260" s="26" t="s">
        <v>221</v>
      </c>
      <c r="G260" s="28" t="s">
        <v>422</v>
      </c>
      <c r="H260" s="28" t="s">
        <v>422</v>
      </c>
      <c r="I260" s="32"/>
      <c r="J260" s="41" t="s">
        <v>576</v>
      </c>
      <c r="K260" s="41">
        <v>45603</v>
      </c>
      <c r="L260" s="41">
        <v>45534</v>
      </c>
      <c r="M260" s="59"/>
      <c r="N260" s="59"/>
      <c r="O260" s="135" t="s">
        <v>13</v>
      </c>
    </row>
    <row r="261" spans="1:15" ht="16.2" customHeight="1">
      <c r="A261" s="7" t="str">
        <f t="shared" si="6"/>
        <v>modesg_inp_nfrd_alinhamento_taxcca_capex_ttl_elgbl</v>
      </c>
      <c r="B261" s="31" t="s">
        <v>10</v>
      </c>
      <c r="C261" s="30" t="s">
        <v>154</v>
      </c>
      <c r="D261" s="26" t="s">
        <v>18</v>
      </c>
      <c r="E261" s="27" t="s">
        <v>189</v>
      </c>
      <c r="F261" s="26" t="s">
        <v>222</v>
      </c>
      <c r="G261" s="28" t="s">
        <v>422</v>
      </c>
      <c r="H261" s="28" t="s">
        <v>422</v>
      </c>
      <c r="I261" s="32"/>
      <c r="J261" s="41" t="s">
        <v>576</v>
      </c>
      <c r="K261" s="41">
        <v>45603</v>
      </c>
      <c r="L261" s="41">
        <v>45534</v>
      </c>
      <c r="M261" s="59"/>
      <c r="N261" s="59"/>
      <c r="O261" s="135" t="s">
        <v>13</v>
      </c>
    </row>
    <row r="262" spans="1:15" ht="16.2" customHeight="1">
      <c r="A262" s="7" t="str">
        <f t="shared" si="6"/>
        <v>modesg_inp_nfrd_alinhamento_taxcca_capex_enblng_algnd</v>
      </c>
      <c r="B262" s="31" t="s">
        <v>10</v>
      </c>
      <c r="C262" s="30" t="s">
        <v>154</v>
      </c>
      <c r="D262" s="26" t="s">
        <v>18</v>
      </c>
      <c r="E262" s="27" t="s">
        <v>189</v>
      </c>
      <c r="F262" s="26" t="s">
        <v>223</v>
      </c>
      <c r="G262" s="28" t="s">
        <v>422</v>
      </c>
      <c r="H262" s="28" t="s">
        <v>422</v>
      </c>
      <c r="I262" s="32"/>
      <c r="J262" s="41" t="s">
        <v>576</v>
      </c>
      <c r="K262" s="41">
        <v>45603</v>
      </c>
      <c r="L262" s="41">
        <v>45534</v>
      </c>
      <c r="M262" s="59"/>
      <c r="N262" s="59"/>
      <c r="O262" s="135" t="s">
        <v>13</v>
      </c>
    </row>
    <row r="263" spans="1:15" ht="16.2" customHeight="1">
      <c r="A263" s="7" t="str">
        <f t="shared" si="6"/>
        <v>modesg_inp_nfrd_alinhamento_taxcca_capex_own_prfrmnce_algnd</v>
      </c>
      <c r="B263" s="31" t="s">
        <v>10</v>
      </c>
      <c r="C263" s="30" t="s">
        <v>154</v>
      </c>
      <c r="D263" s="26" t="s">
        <v>18</v>
      </c>
      <c r="E263" s="27" t="s">
        <v>189</v>
      </c>
      <c r="F263" s="26" t="s">
        <v>224</v>
      </c>
      <c r="G263" s="28" t="s">
        <v>422</v>
      </c>
      <c r="H263" s="28" t="s">
        <v>422</v>
      </c>
      <c r="I263" s="32"/>
      <c r="J263" s="41" t="s">
        <v>576</v>
      </c>
      <c r="K263" s="41">
        <v>45603</v>
      </c>
      <c r="L263" s="41">
        <v>45534</v>
      </c>
      <c r="M263" s="59"/>
      <c r="N263" s="59"/>
      <c r="O263" s="135" t="s">
        <v>13</v>
      </c>
    </row>
    <row r="264" spans="1:15" ht="16.2" customHeight="1">
      <c r="A264" s="7" t="str">
        <f t="shared" si="6"/>
        <v>modesg_inp_nfrd_alinhamento_taxccm_trnvr_ttl_elgbl</v>
      </c>
      <c r="B264" s="31" t="s">
        <v>10</v>
      </c>
      <c r="C264" s="30" t="s">
        <v>154</v>
      </c>
      <c r="D264" s="26" t="s">
        <v>18</v>
      </c>
      <c r="E264" s="27" t="s">
        <v>189</v>
      </c>
      <c r="F264" s="26" t="s">
        <v>225</v>
      </c>
      <c r="G264" s="28" t="s">
        <v>422</v>
      </c>
      <c r="H264" s="28" t="s">
        <v>422</v>
      </c>
      <c r="I264" s="32"/>
      <c r="J264" s="41" t="s">
        <v>576</v>
      </c>
      <c r="K264" s="41">
        <v>45603</v>
      </c>
      <c r="L264" s="41">
        <v>45534</v>
      </c>
      <c r="M264" s="59"/>
      <c r="N264" s="59"/>
      <c r="O264" s="135" t="s">
        <v>13</v>
      </c>
    </row>
    <row r="265" spans="1:15" ht="16.2" customHeight="1">
      <c r="A265" s="7" t="str">
        <f t="shared" si="6"/>
        <v>modesg_inp_nfrd_alinhamento_taxccm_trnvr_enblng_algnd</v>
      </c>
      <c r="B265" s="31" t="s">
        <v>10</v>
      </c>
      <c r="C265" s="30" t="s">
        <v>154</v>
      </c>
      <c r="D265" s="26" t="s">
        <v>18</v>
      </c>
      <c r="E265" s="27" t="s">
        <v>189</v>
      </c>
      <c r="F265" s="26" t="s">
        <v>226</v>
      </c>
      <c r="G265" s="28" t="s">
        <v>422</v>
      </c>
      <c r="H265" s="28" t="s">
        <v>422</v>
      </c>
      <c r="I265" s="32"/>
      <c r="J265" s="41" t="s">
        <v>576</v>
      </c>
      <c r="K265" s="41">
        <v>45603</v>
      </c>
      <c r="L265" s="41">
        <v>45534</v>
      </c>
      <c r="M265" s="59"/>
      <c r="N265" s="59"/>
      <c r="O265" s="135" t="s">
        <v>13</v>
      </c>
    </row>
    <row r="266" spans="1:15" ht="16.2" customHeight="1">
      <c r="A266" s="7" t="str">
        <f t="shared" si="6"/>
        <v>modesg_inp_nfrd_alinhamento_taxccm_trnvr_trnstn_alignd</v>
      </c>
      <c r="B266" s="31" t="s">
        <v>10</v>
      </c>
      <c r="C266" s="30" t="s">
        <v>154</v>
      </c>
      <c r="D266" s="26" t="s">
        <v>18</v>
      </c>
      <c r="E266" s="27" t="s">
        <v>189</v>
      </c>
      <c r="F266" s="26" t="s">
        <v>227</v>
      </c>
      <c r="G266" s="28" t="s">
        <v>422</v>
      </c>
      <c r="H266" s="28" t="s">
        <v>422</v>
      </c>
      <c r="I266" s="32"/>
      <c r="J266" s="41" t="s">
        <v>576</v>
      </c>
      <c r="K266" s="41">
        <v>45603</v>
      </c>
      <c r="L266" s="41">
        <v>45534</v>
      </c>
      <c r="M266" s="59"/>
      <c r="N266" s="59"/>
      <c r="O266" s="135" t="s">
        <v>13</v>
      </c>
    </row>
    <row r="267" spans="1:15" ht="16.2" customHeight="1">
      <c r="A267" s="7" t="str">
        <f t="shared" si="6"/>
        <v>modesg_inp_nfrd_alinhamento_taxccm_trnvr_own_prfrmnce_algnd</v>
      </c>
      <c r="B267" s="31" t="s">
        <v>10</v>
      </c>
      <c r="C267" s="30" t="s">
        <v>154</v>
      </c>
      <c r="D267" s="26" t="s">
        <v>18</v>
      </c>
      <c r="E267" s="27" t="s">
        <v>189</v>
      </c>
      <c r="F267" s="26" t="s">
        <v>228</v>
      </c>
      <c r="G267" s="28" t="s">
        <v>422</v>
      </c>
      <c r="H267" s="28" t="s">
        <v>422</v>
      </c>
      <c r="I267" s="32"/>
      <c r="J267" s="41" t="s">
        <v>576</v>
      </c>
      <c r="K267" s="41">
        <v>45603</v>
      </c>
      <c r="L267" s="41">
        <v>45534</v>
      </c>
      <c r="M267" s="59"/>
      <c r="N267" s="59"/>
      <c r="O267" s="135" t="s">
        <v>13</v>
      </c>
    </row>
    <row r="268" spans="1:15" ht="16.2" customHeight="1">
      <c r="A268" s="7" t="str">
        <f t="shared" si="6"/>
        <v>modesg_inp_nfrd_alinhamento_taxccm_capex_ttl_elgbl</v>
      </c>
      <c r="B268" s="31" t="s">
        <v>10</v>
      </c>
      <c r="C268" s="30" t="s">
        <v>154</v>
      </c>
      <c r="D268" s="26" t="s">
        <v>18</v>
      </c>
      <c r="E268" s="27" t="s">
        <v>189</v>
      </c>
      <c r="F268" s="26" t="s">
        <v>229</v>
      </c>
      <c r="G268" s="28" t="s">
        <v>422</v>
      </c>
      <c r="H268" s="28" t="s">
        <v>422</v>
      </c>
      <c r="I268" s="32"/>
      <c r="J268" s="41" t="s">
        <v>576</v>
      </c>
      <c r="K268" s="41">
        <v>45603</v>
      </c>
      <c r="L268" s="41">
        <v>45534</v>
      </c>
      <c r="M268" s="59"/>
      <c r="N268" s="59"/>
      <c r="O268" s="135" t="s">
        <v>13</v>
      </c>
    </row>
    <row r="269" spans="1:15" ht="16.2" customHeight="1">
      <c r="A269" s="7" t="str">
        <f t="shared" si="6"/>
        <v>modesg_inp_nfrd_alinhamento_taxccm_capex_enblng_algnd</v>
      </c>
      <c r="B269" s="31" t="s">
        <v>10</v>
      </c>
      <c r="C269" s="30" t="s">
        <v>154</v>
      </c>
      <c r="D269" s="26" t="s">
        <v>18</v>
      </c>
      <c r="E269" s="27" t="s">
        <v>189</v>
      </c>
      <c r="F269" s="26" t="s">
        <v>230</v>
      </c>
      <c r="G269" s="28" t="s">
        <v>422</v>
      </c>
      <c r="H269" s="28" t="s">
        <v>422</v>
      </c>
      <c r="I269" s="32"/>
      <c r="J269" s="41" t="s">
        <v>576</v>
      </c>
      <c r="K269" s="41">
        <v>45603</v>
      </c>
      <c r="L269" s="41">
        <v>45534</v>
      </c>
      <c r="M269" s="59"/>
      <c r="N269" s="59"/>
      <c r="O269" s="135" t="s">
        <v>13</v>
      </c>
    </row>
    <row r="270" spans="1:15" ht="16.2" customHeight="1">
      <c r="A270" s="7" t="str">
        <f t="shared" si="6"/>
        <v>modesg_inp_nfrd_alinhamento_taxccm_capex_trnstn_algnd</v>
      </c>
      <c r="B270" s="31" t="s">
        <v>10</v>
      </c>
      <c r="C270" s="30" t="s">
        <v>154</v>
      </c>
      <c r="D270" s="26" t="s">
        <v>18</v>
      </c>
      <c r="E270" s="27" t="s">
        <v>189</v>
      </c>
      <c r="F270" s="26" t="s">
        <v>231</v>
      </c>
      <c r="G270" s="28" t="s">
        <v>422</v>
      </c>
      <c r="H270" s="28" t="s">
        <v>422</v>
      </c>
      <c r="I270" s="32"/>
      <c r="J270" s="41" t="s">
        <v>576</v>
      </c>
      <c r="K270" s="41">
        <v>45603</v>
      </c>
      <c r="L270" s="41">
        <v>45534</v>
      </c>
      <c r="M270" s="59"/>
      <c r="N270" s="59"/>
      <c r="O270" s="135" t="s">
        <v>13</v>
      </c>
    </row>
    <row r="271" spans="1:15" ht="16.2" customHeight="1">
      <c r="A271" s="7" t="str">
        <f t="shared" si="6"/>
        <v>modesg_inp_nfrd_alinhamento_taxccm_capex_own_prfrmnce_algnd</v>
      </c>
      <c r="B271" s="31" t="s">
        <v>10</v>
      </c>
      <c r="C271" s="30" t="s">
        <v>154</v>
      </c>
      <c r="D271" s="26" t="s">
        <v>18</v>
      </c>
      <c r="E271" s="27" t="s">
        <v>189</v>
      </c>
      <c r="F271" s="26" t="s">
        <v>232</v>
      </c>
      <c r="G271" s="28" t="s">
        <v>422</v>
      </c>
      <c r="H271" s="28" t="s">
        <v>422</v>
      </c>
      <c r="I271" s="32"/>
      <c r="J271" s="41" t="s">
        <v>576</v>
      </c>
      <c r="K271" s="41">
        <v>45603</v>
      </c>
      <c r="L271" s="41">
        <v>45534</v>
      </c>
      <c r="M271" s="59"/>
      <c r="N271" s="59"/>
      <c r="O271" s="135" t="s">
        <v>13</v>
      </c>
    </row>
    <row r="272" spans="1:15" ht="16.2" customHeight="1">
      <c r="A272" s="7" t="str">
        <f t="shared" si="6"/>
        <v>modesg_inp_nfrd_alinhamento_taxppc_trnvr_ttl_elgbl</v>
      </c>
      <c r="B272" s="31" t="s">
        <v>10</v>
      </c>
      <c r="C272" s="30" t="s">
        <v>154</v>
      </c>
      <c r="D272" s="26" t="s">
        <v>18</v>
      </c>
      <c r="E272" s="27" t="s">
        <v>189</v>
      </c>
      <c r="F272" s="26" t="s">
        <v>233</v>
      </c>
      <c r="G272" s="28" t="s">
        <v>422</v>
      </c>
      <c r="H272" s="28" t="s">
        <v>422</v>
      </c>
      <c r="I272" s="33" t="s">
        <v>463</v>
      </c>
      <c r="J272" s="41" t="s">
        <v>576</v>
      </c>
      <c r="K272" s="41">
        <v>45603</v>
      </c>
      <c r="L272" s="41">
        <v>45534</v>
      </c>
      <c r="M272" s="59"/>
      <c r="N272" s="59"/>
      <c r="O272" s="135" t="s">
        <v>13</v>
      </c>
    </row>
    <row r="273" spans="1:15" ht="16.2" customHeight="1">
      <c r="A273" s="7" t="str">
        <f t="shared" si="6"/>
        <v>modesg_inp_nfrd_alinhamento_taxppc_turnover_own_prfrmnce_algnd</v>
      </c>
      <c r="B273" s="31" t="s">
        <v>10</v>
      </c>
      <c r="C273" s="30" t="s">
        <v>154</v>
      </c>
      <c r="D273" s="26" t="s">
        <v>18</v>
      </c>
      <c r="E273" s="27" t="s">
        <v>189</v>
      </c>
      <c r="F273" s="26" t="s">
        <v>234</v>
      </c>
      <c r="G273" s="28" t="s">
        <v>422</v>
      </c>
      <c r="H273" s="28" t="s">
        <v>422</v>
      </c>
      <c r="I273" s="33" t="s">
        <v>463</v>
      </c>
      <c r="J273" s="41" t="s">
        <v>576</v>
      </c>
      <c r="K273" s="41">
        <v>45603</v>
      </c>
      <c r="L273" s="41">
        <v>45534</v>
      </c>
      <c r="M273" s="59"/>
      <c r="N273" s="59"/>
      <c r="O273" s="135" t="s">
        <v>13</v>
      </c>
    </row>
    <row r="274" spans="1:15" ht="16.2" customHeight="1">
      <c r="A274" s="7" t="str">
        <f t="shared" si="6"/>
        <v>modesg_inp_nfrd_alinhamento_taxppc_capex_ttl_elgbl</v>
      </c>
      <c r="B274" s="31" t="s">
        <v>10</v>
      </c>
      <c r="C274" s="30" t="s">
        <v>154</v>
      </c>
      <c r="D274" s="26" t="s">
        <v>18</v>
      </c>
      <c r="E274" s="27" t="s">
        <v>189</v>
      </c>
      <c r="F274" s="26" t="s">
        <v>235</v>
      </c>
      <c r="G274" s="28" t="s">
        <v>422</v>
      </c>
      <c r="H274" s="28" t="s">
        <v>422</v>
      </c>
      <c r="I274" s="33" t="s">
        <v>463</v>
      </c>
      <c r="J274" s="41" t="s">
        <v>576</v>
      </c>
      <c r="K274" s="41">
        <v>45603</v>
      </c>
      <c r="L274" s="41">
        <v>45534</v>
      </c>
      <c r="M274" s="59"/>
      <c r="N274" s="59"/>
      <c r="O274" s="135" t="s">
        <v>13</v>
      </c>
    </row>
    <row r="275" spans="1:15" ht="16.2" customHeight="1">
      <c r="A275" s="7" t="str">
        <f t="shared" ref="A275:A338" si="7">E275&amp;F275</f>
        <v>modesg_inp_nfrd_alinhamento_taxppc_capex_own_prfrmnce_algnd</v>
      </c>
      <c r="B275" s="31" t="s">
        <v>10</v>
      </c>
      <c r="C275" s="30" t="s">
        <v>154</v>
      </c>
      <c r="D275" s="26" t="s">
        <v>18</v>
      </c>
      <c r="E275" s="27" t="s">
        <v>189</v>
      </c>
      <c r="F275" s="26" t="s">
        <v>236</v>
      </c>
      <c r="G275" s="28" t="s">
        <v>422</v>
      </c>
      <c r="H275" s="28" t="s">
        <v>422</v>
      </c>
      <c r="I275" s="33" t="s">
        <v>463</v>
      </c>
      <c r="J275" s="41" t="s">
        <v>576</v>
      </c>
      <c r="K275" s="41">
        <v>45603</v>
      </c>
      <c r="L275" s="41">
        <v>45534</v>
      </c>
      <c r="M275" s="59"/>
      <c r="N275" s="59"/>
      <c r="O275" s="135" t="s">
        <v>13</v>
      </c>
    </row>
    <row r="276" spans="1:15" ht="16.2" customHeight="1">
      <c r="A276" s="7" t="str">
        <f t="shared" si="7"/>
        <v>modesg_inp_nfrd_alinhamento_taxbio_trnvr_ttl_elgbl</v>
      </c>
      <c r="B276" s="31" t="s">
        <v>10</v>
      </c>
      <c r="C276" s="30" t="s">
        <v>154</v>
      </c>
      <c r="D276" s="26" t="s">
        <v>18</v>
      </c>
      <c r="E276" s="27" t="s">
        <v>189</v>
      </c>
      <c r="F276" s="26" t="s">
        <v>237</v>
      </c>
      <c r="G276" s="28" t="s">
        <v>422</v>
      </c>
      <c r="H276" s="28" t="s">
        <v>422</v>
      </c>
      <c r="I276" s="33" t="s">
        <v>463</v>
      </c>
      <c r="J276" s="41" t="s">
        <v>576</v>
      </c>
      <c r="K276" s="41">
        <v>45603</v>
      </c>
      <c r="L276" s="41">
        <v>45534</v>
      </c>
      <c r="M276" s="59"/>
      <c r="N276" s="59"/>
      <c r="O276" s="135" t="s">
        <v>13</v>
      </c>
    </row>
    <row r="277" spans="1:15" ht="16.2" customHeight="1">
      <c r="A277" s="7" t="str">
        <f t="shared" si="7"/>
        <v>modesg_inp_nfrd_alinhamento_taxbio_turnover_own_prfrmnce_algnd</v>
      </c>
      <c r="B277" s="31" t="s">
        <v>10</v>
      </c>
      <c r="C277" s="30" t="s">
        <v>154</v>
      </c>
      <c r="D277" s="26" t="s">
        <v>18</v>
      </c>
      <c r="E277" s="27" t="s">
        <v>189</v>
      </c>
      <c r="F277" s="26" t="s">
        <v>238</v>
      </c>
      <c r="G277" s="28" t="s">
        <v>422</v>
      </c>
      <c r="H277" s="28" t="s">
        <v>422</v>
      </c>
      <c r="I277" s="33" t="s">
        <v>463</v>
      </c>
      <c r="J277" s="41" t="s">
        <v>576</v>
      </c>
      <c r="K277" s="41">
        <v>45603</v>
      </c>
      <c r="L277" s="41">
        <v>45534</v>
      </c>
      <c r="M277" s="59"/>
      <c r="N277" s="59"/>
      <c r="O277" s="135" t="s">
        <v>13</v>
      </c>
    </row>
    <row r="278" spans="1:15" ht="16.2" customHeight="1">
      <c r="A278" s="7" t="str">
        <f t="shared" si="7"/>
        <v>modesg_inp_nfrd_alinhamento_taxbio_capex_ttl_elgbl</v>
      </c>
      <c r="B278" s="31" t="s">
        <v>10</v>
      </c>
      <c r="C278" s="30" t="s">
        <v>154</v>
      </c>
      <c r="D278" s="26" t="s">
        <v>18</v>
      </c>
      <c r="E278" s="27" t="s">
        <v>189</v>
      </c>
      <c r="F278" s="26" t="s">
        <v>239</v>
      </c>
      <c r="G278" s="28" t="s">
        <v>422</v>
      </c>
      <c r="H278" s="28" t="s">
        <v>422</v>
      </c>
      <c r="I278" s="33" t="s">
        <v>463</v>
      </c>
      <c r="J278" s="41" t="s">
        <v>576</v>
      </c>
      <c r="K278" s="41">
        <v>45603</v>
      </c>
      <c r="L278" s="41">
        <v>45534</v>
      </c>
      <c r="M278" s="59"/>
      <c r="N278" s="59"/>
      <c r="O278" s="135" t="s">
        <v>13</v>
      </c>
    </row>
    <row r="279" spans="1:15" ht="16.2" customHeight="1">
      <c r="A279" s="7" t="str">
        <f t="shared" si="7"/>
        <v>modesg_inp_nfrd_alinhamento_taxbio_capex_own_prfrmnce_algnd</v>
      </c>
      <c r="B279" s="31" t="s">
        <v>10</v>
      </c>
      <c r="C279" s="30" t="s">
        <v>154</v>
      </c>
      <c r="D279" s="26" t="s">
        <v>18</v>
      </c>
      <c r="E279" s="27" t="s">
        <v>189</v>
      </c>
      <c r="F279" s="26" t="s">
        <v>240</v>
      </c>
      <c r="G279" s="28" t="s">
        <v>422</v>
      </c>
      <c r="H279" s="28" t="s">
        <v>422</v>
      </c>
      <c r="I279" s="33" t="s">
        <v>463</v>
      </c>
      <c r="J279" s="41" t="s">
        <v>576</v>
      </c>
      <c r="K279" s="41">
        <v>45603</v>
      </c>
      <c r="L279" s="41">
        <v>45534</v>
      </c>
      <c r="M279" s="59"/>
      <c r="N279" s="59"/>
      <c r="O279" s="135" t="s">
        <v>13</v>
      </c>
    </row>
    <row r="280" spans="1:15" ht="16.2" customHeight="1">
      <c r="A280" s="7" t="str">
        <f t="shared" si="7"/>
        <v>modesg_inp_nfrd_alinhamento_taxwtr_trnvr_ttl_elgbl</v>
      </c>
      <c r="B280" s="31" t="s">
        <v>10</v>
      </c>
      <c r="C280" s="30" t="s">
        <v>154</v>
      </c>
      <c r="D280" s="26" t="s">
        <v>18</v>
      </c>
      <c r="E280" s="27" t="s">
        <v>189</v>
      </c>
      <c r="F280" s="26" t="s">
        <v>241</v>
      </c>
      <c r="G280" s="28" t="s">
        <v>422</v>
      </c>
      <c r="H280" s="28" t="s">
        <v>422</v>
      </c>
      <c r="I280" s="33" t="s">
        <v>463</v>
      </c>
      <c r="J280" s="41" t="s">
        <v>576</v>
      </c>
      <c r="K280" s="41">
        <v>45603</v>
      </c>
      <c r="L280" s="41">
        <v>45534</v>
      </c>
      <c r="M280" s="59"/>
      <c r="N280" s="59"/>
      <c r="O280" s="135" t="s">
        <v>13</v>
      </c>
    </row>
    <row r="281" spans="1:15" ht="16.2" customHeight="1">
      <c r="A281" s="7" t="str">
        <f t="shared" si="7"/>
        <v>modesg_inp_nfrd_alinhamento_taxwtr_trnvr_enblng_alignd</v>
      </c>
      <c r="B281" s="31" t="s">
        <v>10</v>
      </c>
      <c r="C281" s="30" t="s">
        <v>154</v>
      </c>
      <c r="D281" s="26" t="s">
        <v>18</v>
      </c>
      <c r="E281" s="27" t="s">
        <v>189</v>
      </c>
      <c r="F281" s="26" t="s">
        <v>242</v>
      </c>
      <c r="G281" s="28" t="s">
        <v>422</v>
      </c>
      <c r="H281" s="28" t="s">
        <v>422</v>
      </c>
      <c r="I281" s="33" t="s">
        <v>463</v>
      </c>
      <c r="J281" s="41" t="s">
        <v>576</v>
      </c>
      <c r="K281" s="41">
        <v>45603</v>
      </c>
      <c r="L281" s="41">
        <v>45534</v>
      </c>
      <c r="M281" s="59"/>
      <c r="N281" s="59"/>
      <c r="O281" s="135" t="s">
        <v>13</v>
      </c>
    </row>
    <row r="282" spans="1:15" ht="16.2" customHeight="1">
      <c r="A282" s="7" t="str">
        <f t="shared" si="7"/>
        <v>modesg_inp_nfrd_alinhamento_taxwtr_turnover_own_prfrmnce_algnd</v>
      </c>
      <c r="B282" s="31" t="s">
        <v>10</v>
      </c>
      <c r="C282" s="30" t="s">
        <v>154</v>
      </c>
      <c r="D282" s="26" t="s">
        <v>18</v>
      </c>
      <c r="E282" s="27" t="s">
        <v>189</v>
      </c>
      <c r="F282" s="26" t="s">
        <v>243</v>
      </c>
      <c r="G282" s="28" t="s">
        <v>422</v>
      </c>
      <c r="H282" s="28" t="s">
        <v>422</v>
      </c>
      <c r="I282" s="33" t="s">
        <v>463</v>
      </c>
      <c r="J282" s="41" t="s">
        <v>576</v>
      </c>
      <c r="K282" s="41">
        <v>45603</v>
      </c>
      <c r="L282" s="41">
        <v>45534</v>
      </c>
      <c r="M282" s="59"/>
      <c r="N282" s="59"/>
      <c r="O282" s="135" t="s">
        <v>13</v>
      </c>
    </row>
    <row r="283" spans="1:15" ht="16.2" customHeight="1">
      <c r="A283" s="7" t="str">
        <f t="shared" si="7"/>
        <v>modesg_inp_nfrd_alinhamento_taxwtr_capex_ttl_elgbl</v>
      </c>
      <c r="B283" s="31" t="s">
        <v>10</v>
      </c>
      <c r="C283" s="30" t="s">
        <v>154</v>
      </c>
      <c r="D283" s="26" t="s">
        <v>18</v>
      </c>
      <c r="E283" s="27" t="s">
        <v>189</v>
      </c>
      <c r="F283" s="26" t="s">
        <v>244</v>
      </c>
      <c r="G283" s="28" t="s">
        <v>422</v>
      </c>
      <c r="H283" s="28" t="s">
        <v>422</v>
      </c>
      <c r="I283" s="33" t="s">
        <v>463</v>
      </c>
      <c r="J283" s="41" t="s">
        <v>576</v>
      </c>
      <c r="K283" s="41">
        <v>45603</v>
      </c>
      <c r="L283" s="41">
        <v>45534</v>
      </c>
      <c r="M283" s="59"/>
      <c r="N283" s="59"/>
      <c r="O283" s="135" t="s">
        <v>13</v>
      </c>
    </row>
    <row r="284" spans="1:15" ht="16.2" customHeight="1">
      <c r="A284" s="7" t="str">
        <f t="shared" si="7"/>
        <v>modesg_inp_nfrd_alinhamento_taxwtr_capex_enblng_algnd</v>
      </c>
      <c r="B284" s="31" t="s">
        <v>10</v>
      </c>
      <c r="C284" s="30" t="s">
        <v>154</v>
      </c>
      <c r="D284" s="26" t="s">
        <v>18</v>
      </c>
      <c r="E284" s="27" t="s">
        <v>189</v>
      </c>
      <c r="F284" s="26" t="s">
        <v>245</v>
      </c>
      <c r="G284" s="28" t="s">
        <v>422</v>
      </c>
      <c r="H284" s="28" t="s">
        <v>422</v>
      </c>
      <c r="I284" s="33" t="s">
        <v>463</v>
      </c>
      <c r="J284" s="41" t="s">
        <v>576</v>
      </c>
      <c r="K284" s="41">
        <v>45603</v>
      </c>
      <c r="L284" s="41">
        <v>45534</v>
      </c>
      <c r="M284" s="59"/>
      <c r="N284" s="59"/>
      <c r="O284" s="135" t="s">
        <v>13</v>
      </c>
    </row>
    <row r="285" spans="1:15" ht="16.2" customHeight="1">
      <c r="A285" s="7" t="str">
        <f t="shared" si="7"/>
        <v>modesg_inp_nfrd_alinhamento_taxwtr_capex_own_prfrmnce_algnd</v>
      </c>
      <c r="B285" s="31" t="s">
        <v>10</v>
      </c>
      <c r="C285" s="30" t="s">
        <v>154</v>
      </c>
      <c r="D285" s="26" t="s">
        <v>18</v>
      </c>
      <c r="E285" s="27" t="s">
        <v>189</v>
      </c>
      <c r="F285" s="26" t="s">
        <v>246</v>
      </c>
      <c r="G285" s="28" t="s">
        <v>422</v>
      </c>
      <c r="H285" s="28" t="s">
        <v>422</v>
      </c>
      <c r="I285" s="33" t="s">
        <v>463</v>
      </c>
      <c r="J285" s="41" t="s">
        <v>576</v>
      </c>
      <c r="K285" s="41">
        <v>45603</v>
      </c>
      <c r="L285" s="41">
        <v>45534</v>
      </c>
      <c r="M285" s="59"/>
      <c r="N285" s="59"/>
      <c r="O285" s="135" t="s">
        <v>13</v>
      </c>
    </row>
    <row r="286" spans="1:15" ht="16.2" customHeight="1">
      <c r="A286" s="7" t="str">
        <f t="shared" si="7"/>
        <v>modesg_inp_nfrd_alinhamento_taxce_trnvr_ttl_elgbl</v>
      </c>
      <c r="B286" s="31" t="s">
        <v>10</v>
      </c>
      <c r="C286" s="30" t="s">
        <v>154</v>
      </c>
      <c r="D286" s="26" t="s">
        <v>18</v>
      </c>
      <c r="E286" s="27" t="s">
        <v>189</v>
      </c>
      <c r="F286" s="26" t="s">
        <v>247</v>
      </c>
      <c r="G286" s="28" t="s">
        <v>422</v>
      </c>
      <c r="H286" s="28" t="s">
        <v>422</v>
      </c>
      <c r="I286" s="33" t="s">
        <v>463</v>
      </c>
      <c r="J286" s="41" t="s">
        <v>576</v>
      </c>
      <c r="K286" s="41">
        <v>45603</v>
      </c>
      <c r="L286" s="41">
        <v>45534</v>
      </c>
      <c r="M286" s="59"/>
      <c r="N286" s="59"/>
      <c r="O286" s="135" t="s">
        <v>13</v>
      </c>
    </row>
    <row r="287" spans="1:15" ht="16.2" customHeight="1">
      <c r="A287" s="7" t="str">
        <f t="shared" si="7"/>
        <v>modesg_inp_nfrd_alinhamento_taxce_trnvr_enblng_alignd</v>
      </c>
      <c r="B287" s="31" t="s">
        <v>10</v>
      </c>
      <c r="C287" s="30" t="s">
        <v>154</v>
      </c>
      <c r="D287" s="26" t="s">
        <v>18</v>
      </c>
      <c r="E287" s="27" t="s">
        <v>189</v>
      </c>
      <c r="F287" s="26" t="s">
        <v>248</v>
      </c>
      <c r="G287" s="28" t="s">
        <v>422</v>
      </c>
      <c r="H287" s="28" t="s">
        <v>422</v>
      </c>
      <c r="I287" s="33" t="s">
        <v>463</v>
      </c>
      <c r="J287" s="41" t="s">
        <v>576</v>
      </c>
      <c r="K287" s="41">
        <v>45603</v>
      </c>
      <c r="L287" s="41">
        <v>45534</v>
      </c>
      <c r="M287" s="59"/>
      <c r="N287" s="59"/>
      <c r="O287" s="135" t="s">
        <v>13</v>
      </c>
    </row>
    <row r="288" spans="1:15" ht="16.2" customHeight="1">
      <c r="A288" s="7" t="str">
        <f t="shared" si="7"/>
        <v>modesg_inp_nfrd_alinhamento_taxce_turnover_own_prfrmnce_algnd</v>
      </c>
      <c r="B288" s="31" t="s">
        <v>10</v>
      </c>
      <c r="C288" s="30" t="s">
        <v>154</v>
      </c>
      <c r="D288" s="26" t="s">
        <v>18</v>
      </c>
      <c r="E288" s="27" t="s">
        <v>189</v>
      </c>
      <c r="F288" s="26" t="s">
        <v>249</v>
      </c>
      <c r="G288" s="28" t="s">
        <v>422</v>
      </c>
      <c r="H288" s="28" t="s">
        <v>422</v>
      </c>
      <c r="I288" s="33" t="s">
        <v>463</v>
      </c>
      <c r="J288" s="41" t="s">
        <v>576</v>
      </c>
      <c r="K288" s="41">
        <v>45603</v>
      </c>
      <c r="L288" s="41">
        <v>45534</v>
      </c>
      <c r="M288" s="59"/>
      <c r="N288" s="59"/>
      <c r="O288" s="135" t="s">
        <v>13</v>
      </c>
    </row>
    <row r="289" spans="1:15" ht="16.2" customHeight="1">
      <c r="A289" s="7" t="str">
        <f t="shared" si="7"/>
        <v>modesg_inp_nfrd_alinhamento_taxce_capex_ttl_elgbl</v>
      </c>
      <c r="B289" s="31" t="s">
        <v>10</v>
      </c>
      <c r="C289" s="30" t="s">
        <v>154</v>
      </c>
      <c r="D289" s="26" t="s">
        <v>18</v>
      </c>
      <c r="E289" s="27" t="s">
        <v>189</v>
      </c>
      <c r="F289" s="26" t="s">
        <v>250</v>
      </c>
      <c r="G289" s="28" t="s">
        <v>422</v>
      </c>
      <c r="H289" s="28" t="s">
        <v>422</v>
      </c>
      <c r="I289" s="33" t="s">
        <v>463</v>
      </c>
      <c r="J289" s="41" t="s">
        <v>576</v>
      </c>
      <c r="K289" s="41">
        <v>45603</v>
      </c>
      <c r="L289" s="41">
        <v>45534</v>
      </c>
      <c r="M289" s="59"/>
      <c r="N289" s="59"/>
      <c r="O289" s="135" t="s">
        <v>13</v>
      </c>
    </row>
    <row r="290" spans="1:15" ht="16.2" customHeight="1">
      <c r="A290" s="7" t="str">
        <f t="shared" si="7"/>
        <v>modesg_inp_nfrd_alinhamento_taxce_capex_enblng_algnd</v>
      </c>
      <c r="B290" s="31" t="s">
        <v>10</v>
      </c>
      <c r="C290" s="30" t="s">
        <v>154</v>
      </c>
      <c r="D290" s="26" t="s">
        <v>18</v>
      </c>
      <c r="E290" s="27" t="s">
        <v>189</v>
      </c>
      <c r="F290" s="26" t="s">
        <v>251</v>
      </c>
      <c r="G290" s="28" t="s">
        <v>422</v>
      </c>
      <c r="H290" s="28" t="s">
        <v>422</v>
      </c>
      <c r="I290" s="33" t="s">
        <v>463</v>
      </c>
      <c r="J290" s="41" t="s">
        <v>576</v>
      </c>
      <c r="K290" s="41">
        <v>45603</v>
      </c>
      <c r="L290" s="41">
        <v>45534</v>
      </c>
      <c r="M290" s="59"/>
      <c r="N290" s="59"/>
      <c r="O290" s="135" t="s">
        <v>13</v>
      </c>
    </row>
    <row r="291" spans="1:15" ht="16.2" customHeight="1">
      <c r="A291" s="7" t="str">
        <f t="shared" si="7"/>
        <v>modesg_inp_nfrd_alinhamento_taxce_capex_own_prfrmnce_algnd</v>
      </c>
      <c r="B291" s="31" t="s">
        <v>10</v>
      </c>
      <c r="C291" s="30" t="s">
        <v>154</v>
      </c>
      <c r="D291" s="26" t="s">
        <v>18</v>
      </c>
      <c r="E291" s="27" t="s">
        <v>189</v>
      </c>
      <c r="F291" s="26" t="s">
        <v>252</v>
      </c>
      <c r="G291" s="28" t="s">
        <v>422</v>
      </c>
      <c r="H291" s="28" t="s">
        <v>422</v>
      </c>
      <c r="I291" s="33" t="s">
        <v>463</v>
      </c>
      <c r="J291" s="41" t="s">
        <v>576</v>
      </c>
      <c r="K291" s="41">
        <v>45603</v>
      </c>
      <c r="L291" s="41">
        <v>45534</v>
      </c>
      <c r="M291" s="59"/>
      <c r="N291" s="59"/>
      <c r="O291" s="135" t="s">
        <v>13</v>
      </c>
    </row>
    <row r="292" spans="1:15" ht="16.2" customHeight="1">
      <c r="A292" s="7" t="str">
        <f t="shared" si="7"/>
        <v>modesg_inp_risco_fisicoref_date</v>
      </c>
      <c r="B292" s="31" t="s">
        <v>10</v>
      </c>
      <c r="C292" s="30" t="s">
        <v>154</v>
      </c>
      <c r="D292" s="26" t="s">
        <v>18</v>
      </c>
      <c r="E292" s="27" t="s">
        <v>190</v>
      </c>
      <c r="F292" s="26" t="s">
        <v>181</v>
      </c>
      <c r="G292" s="28" t="s">
        <v>422</v>
      </c>
      <c r="H292" s="28" t="s">
        <v>422</v>
      </c>
      <c r="I292" s="42"/>
      <c r="J292" s="41" t="s">
        <v>576</v>
      </c>
      <c r="K292" s="41">
        <v>45603</v>
      </c>
      <c r="L292" s="41" t="s">
        <v>576</v>
      </c>
      <c r="M292" s="59"/>
      <c r="N292" s="59"/>
      <c r="O292" s="135" t="s">
        <v>13</v>
      </c>
    </row>
    <row r="293" spans="1:15" ht="16.2" customHeight="1">
      <c r="A293" s="7" t="str">
        <f t="shared" si="7"/>
        <v>modesg_inp_risco_fisicocod_pais</v>
      </c>
      <c r="B293" s="31" t="s">
        <v>10</v>
      </c>
      <c r="C293" s="30" t="s">
        <v>154</v>
      </c>
      <c r="D293" s="26" t="s">
        <v>18</v>
      </c>
      <c r="E293" s="27" t="s">
        <v>190</v>
      </c>
      <c r="F293" s="26" t="s">
        <v>253</v>
      </c>
      <c r="G293" s="28" t="s">
        <v>422</v>
      </c>
      <c r="H293" s="28" t="s">
        <v>422</v>
      </c>
      <c r="I293" s="42"/>
      <c r="J293" s="41" t="s">
        <v>576</v>
      </c>
      <c r="K293" s="41">
        <v>45603</v>
      </c>
      <c r="L293" s="41" t="s">
        <v>576</v>
      </c>
      <c r="M293" s="59"/>
      <c r="N293" s="59"/>
      <c r="O293" s="135" t="s">
        <v>13</v>
      </c>
    </row>
    <row r="294" spans="1:15" ht="16.2" customHeight="1">
      <c r="A294" s="7" t="str">
        <f t="shared" si="7"/>
        <v>modesg_inp_risco_fisicocod_nutiii</v>
      </c>
      <c r="B294" s="31" t="s">
        <v>10</v>
      </c>
      <c r="C294" s="30" t="s">
        <v>154</v>
      </c>
      <c r="D294" s="26" t="s">
        <v>18</v>
      </c>
      <c r="E294" s="27" t="s">
        <v>190</v>
      </c>
      <c r="F294" s="26" t="s">
        <v>254</v>
      </c>
      <c r="G294" s="28" t="s">
        <v>422</v>
      </c>
      <c r="H294" s="28" t="s">
        <v>422</v>
      </c>
      <c r="I294" s="42"/>
      <c r="J294" s="41" t="s">
        <v>576</v>
      </c>
      <c r="K294" s="41">
        <v>45603</v>
      </c>
      <c r="L294" s="41" t="s">
        <v>576</v>
      </c>
      <c r="M294" s="59"/>
      <c r="N294" s="59"/>
      <c r="O294" s="135" t="s">
        <v>13</v>
      </c>
    </row>
    <row r="295" spans="1:15" ht="16.2" customHeight="1">
      <c r="A295" s="7" t="str">
        <f t="shared" si="7"/>
        <v>modesg_inp_risco_fisicocod_nace_esg</v>
      </c>
      <c r="B295" s="31" t="s">
        <v>10</v>
      </c>
      <c r="C295" s="30" t="s">
        <v>154</v>
      </c>
      <c r="D295" s="26" t="s">
        <v>18</v>
      </c>
      <c r="E295" s="27" t="s">
        <v>190</v>
      </c>
      <c r="F295" s="26" t="s">
        <v>255</v>
      </c>
      <c r="G295" s="28" t="s">
        <v>422</v>
      </c>
      <c r="H295" s="28" t="s">
        <v>422</v>
      </c>
      <c r="I295" s="42"/>
      <c r="J295" s="41" t="s">
        <v>576</v>
      </c>
      <c r="K295" s="41">
        <v>45603</v>
      </c>
      <c r="L295" s="41" t="s">
        <v>576</v>
      </c>
      <c r="M295" s="59"/>
      <c r="N295" s="59"/>
      <c r="O295" s="135" t="s">
        <v>13</v>
      </c>
    </row>
    <row r="296" spans="1:15" ht="16.2" customHeight="1">
      <c r="A296" s="7" t="str">
        <f t="shared" si="7"/>
        <v>modesg_inp_risco_fisicoflg_rsc_fsc_agd</v>
      </c>
      <c r="B296" s="31" t="s">
        <v>10</v>
      </c>
      <c r="C296" s="30" t="s">
        <v>154</v>
      </c>
      <c r="D296" s="26" t="s">
        <v>18</v>
      </c>
      <c r="E296" s="27" t="s">
        <v>190</v>
      </c>
      <c r="F296" s="26" t="s">
        <v>256</v>
      </c>
      <c r="G296" s="28" t="s">
        <v>422</v>
      </c>
      <c r="H296" s="28" t="s">
        <v>422</v>
      </c>
      <c r="I296" s="42"/>
      <c r="J296" s="41" t="s">
        <v>576</v>
      </c>
      <c r="K296" s="41">
        <v>45603</v>
      </c>
      <c r="L296" s="41" t="s">
        <v>576</v>
      </c>
      <c r="M296" s="59"/>
      <c r="N296" s="59"/>
      <c r="O296" s="135" t="s">
        <v>13</v>
      </c>
    </row>
    <row r="297" spans="1:15" ht="16.2" customHeight="1">
      <c r="A297" s="7" t="str">
        <f t="shared" si="7"/>
        <v>modesg_inp_risco_fisicoflg_rsc_fsc_crnc</v>
      </c>
      <c r="B297" s="31" t="s">
        <v>10</v>
      </c>
      <c r="C297" s="30" t="s">
        <v>154</v>
      </c>
      <c r="D297" s="26" t="s">
        <v>18</v>
      </c>
      <c r="E297" s="27" t="s">
        <v>190</v>
      </c>
      <c r="F297" s="26" t="s">
        <v>257</v>
      </c>
      <c r="G297" s="28" t="s">
        <v>422</v>
      </c>
      <c r="H297" s="28" t="s">
        <v>422</v>
      </c>
      <c r="I297" s="42"/>
      <c r="J297" s="41" t="s">
        <v>576</v>
      </c>
      <c r="K297" s="41">
        <v>45603</v>
      </c>
      <c r="L297" s="41" t="s">
        <v>576</v>
      </c>
      <c r="M297" s="59"/>
      <c r="N297" s="59"/>
      <c r="O297" s="135" t="s">
        <v>13</v>
      </c>
    </row>
    <row r="298" spans="1:15" ht="16.2" customHeight="1">
      <c r="A298" s="7" t="str">
        <f t="shared" si="7"/>
        <v>modesg_inp_emss_scibref_date</v>
      </c>
      <c r="B298" s="31" t="s">
        <v>10</v>
      </c>
      <c r="C298" s="30" t="s">
        <v>154</v>
      </c>
      <c r="D298" s="26" t="s">
        <v>18</v>
      </c>
      <c r="E298" s="27" t="s">
        <v>191</v>
      </c>
      <c r="F298" s="26" t="s">
        <v>181</v>
      </c>
      <c r="G298" s="28" t="s">
        <v>422</v>
      </c>
      <c r="H298" s="28" t="s">
        <v>422</v>
      </c>
      <c r="I298" s="42"/>
      <c r="J298" s="41" t="s">
        <v>576</v>
      </c>
      <c r="K298" s="41">
        <v>45603</v>
      </c>
      <c r="L298" s="41" t="s">
        <v>576</v>
      </c>
      <c r="M298" s="59"/>
      <c r="N298" s="59"/>
      <c r="O298" s="135" t="s">
        <v>13</v>
      </c>
    </row>
    <row r="299" spans="1:15" ht="16.2" customHeight="1">
      <c r="A299" s="7" t="str">
        <f t="shared" si="7"/>
        <v>modesg_inp_emss_scibccli_kgl</v>
      </c>
      <c r="B299" s="31" t="s">
        <v>10</v>
      </c>
      <c r="C299" s="30" t="s">
        <v>154</v>
      </c>
      <c r="D299" s="26" t="s">
        <v>18</v>
      </c>
      <c r="E299" s="27" t="s">
        <v>191</v>
      </c>
      <c r="F299" s="26" t="s">
        <v>214</v>
      </c>
      <c r="G299" s="28" t="s">
        <v>422</v>
      </c>
      <c r="H299" s="28" t="s">
        <v>422</v>
      </c>
      <c r="I299" s="42"/>
      <c r="J299" s="41" t="s">
        <v>576</v>
      </c>
      <c r="K299" s="41">
        <v>45603</v>
      </c>
      <c r="L299" s="41" t="s">
        <v>576</v>
      </c>
      <c r="M299" s="59"/>
      <c r="N299" s="59"/>
      <c r="O299" s="135" t="s">
        <v>13</v>
      </c>
    </row>
    <row r="300" spans="1:15" ht="16.2" customHeight="1">
      <c r="A300" s="7" t="str">
        <f t="shared" si="7"/>
        <v>modesg_inp_emss_scibnome_grupo</v>
      </c>
      <c r="B300" s="31" t="s">
        <v>10</v>
      </c>
      <c r="C300" s="30" t="s">
        <v>154</v>
      </c>
      <c r="D300" s="26" t="s">
        <v>18</v>
      </c>
      <c r="E300" s="27" t="s">
        <v>191</v>
      </c>
      <c r="F300" s="26" t="s">
        <v>258</v>
      </c>
      <c r="G300" s="28" t="s">
        <v>422</v>
      </c>
      <c r="H300" s="28" t="s">
        <v>422</v>
      </c>
      <c r="I300" s="42"/>
      <c r="J300" s="41" t="s">
        <v>576</v>
      </c>
      <c r="K300" s="41">
        <v>45603</v>
      </c>
      <c r="L300" s="41" t="s">
        <v>576</v>
      </c>
      <c r="M300" s="59"/>
      <c r="N300" s="59"/>
      <c r="O300" s="135" t="s">
        <v>13</v>
      </c>
    </row>
    <row r="301" spans="1:15" ht="16.2" customHeight="1">
      <c r="A301" s="7" t="str">
        <f t="shared" si="7"/>
        <v>modesg_inp_emss_scibisin</v>
      </c>
      <c r="B301" s="31" t="s">
        <v>10</v>
      </c>
      <c r="C301" s="30" t="s">
        <v>154</v>
      </c>
      <c r="D301" s="26" t="s">
        <v>18</v>
      </c>
      <c r="E301" s="27" t="s">
        <v>191</v>
      </c>
      <c r="F301" s="26" t="s">
        <v>212</v>
      </c>
      <c r="G301" s="28" t="s">
        <v>422</v>
      </c>
      <c r="H301" s="28" t="s">
        <v>422</v>
      </c>
      <c r="I301" s="42"/>
      <c r="J301" s="41" t="s">
        <v>576</v>
      </c>
      <c r="K301" s="41">
        <v>45603</v>
      </c>
      <c r="L301" s="41" t="s">
        <v>576</v>
      </c>
      <c r="M301" s="59"/>
      <c r="N301" s="59"/>
      <c r="O301" s="135" t="s">
        <v>13</v>
      </c>
    </row>
    <row r="302" spans="1:15" ht="16.2" customHeight="1">
      <c r="A302" s="7" t="str">
        <f t="shared" si="7"/>
        <v>modesg_inp_emss_scibclei</v>
      </c>
      <c r="B302" s="31" t="s">
        <v>10</v>
      </c>
      <c r="C302" s="30" t="s">
        <v>154</v>
      </c>
      <c r="D302" s="26" t="s">
        <v>18</v>
      </c>
      <c r="E302" s="27" t="s">
        <v>191</v>
      </c>
      <c r="F302" s="26" t="s">
        <v>213</v>
      </c>
      <c r="G302" s="28" t="s">
        <v>422</v>
      </c>
      <c r="H302" s="28" t="s">
        <v>422</v>
      </c>
      <c r="I302" s="42"/>
      <c r="J302" s="41" t="s">
        <v>576</v>
      </c>
      <c r="K302" s="41">
        <v>45603</v>
      </c>
      <c r="L302" s="41" t="s">
        <v>576</v>
      </c>
      <c r="M302" s="59"/>
      <c r="N302" s="59"/>
      <c r="O302" s="135" t="s">
        <v>13</v>
      </c>
    </row>
    <row r="303" spans="1:15" ht="16.2" customHeight="1">
      <c r="A303" s="7" t="str">
        <f t="shared" si="7"/>
        <v>modesg_inp_emss_scibscp1_emss</v>
      </c>
      <c r="B303" s="31" t="s">
        <v>10</v>
      </c>
      <c r="C303" s="30" t="s">
        <v>154</v>
      </c>
      <c r="D303" s="26" t="s">
        <v>18</v>
      </c>
      <c r="E303" s="27" t="s">
        <v>191</v>
      </c>
      <c r="F303" s="26" t="s">
        <v>259</v>
      </c>
      <c r="G303" s="28" t="s">
        <v>422</v>
      </c>
      <c r="H303" s="28" t="s">
        <v>422</v>
      </c>
      <c r="I303" s="32" t="s">
        <v>464</v>
      </c>
      <c r="J303" s="41">
        <v>45491</v>
      </c>
      <c r="K303" s="41">
        <v>45603</v>
      </c>
      <c r="L303" s="41">
        <v>45499</v>
      </c>
      <c r="M303" s="59"/>
      <c r="N303" s="59"/>
      <c r="O303" s="135" t="s">
        <v>13</v>
      </c>
    </row>
    <row r="304" spans="1:15" ht="16.2" customHeight="1">
      <c r="A304" s="7" t="str">
        <f t="shared" si="7"/>
        <v>modesg_inp_emss_scibscp2_emss</v>
      </c>
      <c r="B304" s="31" t="s">
        <v>10</v>
      </c>
      <c r="C304" s="30" t="s">
        <v>154</v>
      </c>
      <c r="D304" s="26" t="s">
        <v>18</v>
      </c>
      <c r="E304" s="27" t="s">
        <v>191</v>
      </c>
      <c r="F304" s="26" t="s">
        <v>260</v>
      </c>
      <c r="G304" s="28" t="s">
        <v>422</v>
      </c>
      <c r="H304" s="28" t="s">
        <v>422</v>
      </c>
      <c r="I304" s="32" t="s">
        <v>464</v>
      </c>
      <c r="J304" s="41">
        <v>45491</v>
      </c>
      <c r="K304" s="41">
        <v>45603</v>
      </c>
      <c r="L304" s="41">
        <v>45499</v>
      </c>
      <c r="M304" s="59"/>
      <c r="N304" s="59"/>
      <c r="O304" s="135" t="s">
        <v>13</v>
      </c>
    </row>
    <row r="305" spans="1:15" ht="16.2" customHeight="1">
      <c r="A305" s="7" t="str">
        <f t="shared" si="7"/>
        <v>modesg_inp_emss_scibscp3_emss</v>
      </c>
      <c r="B305" s="31" t="s">
        <v>10</v>
      </c>
      <c r="C305" s="30" t="s">
        <v>154</v>
      </c>
      <c r="D305" s="26" t="s">
        <v>18</v>
      </c>
      <c r="E305" s="27" t="s">
        <v>191</v>
      </c>
      <c r="F305" s="26" t="s">
        <v>261</v>
      </c>
      <c r="G305" s="28" t="s">
        <v>422</v>
      </c>
      <c r="H305" s="28" t="s">
        <v>422</v>
      </c>
      <c r="I305" s="42"/>
      <c r="J305" s="41" t="s">
        <v>576</v>
      </c>
      <c r="K305" s="41">
        <v>45603</v>
      </c>
      <c r="L305" s="41" t="s">
        <v>576</v>
      </c>
      <c r="M305" s="59"/>
      <c r="N305" s="59"/>
      <c r="O305" s="135" t="s">
        <v>13</v>
      </c>
    </row>
    <row r="306" spans="1:15" ht="16.2" customHeight="1">
      <c r="A306" s="7" t="str">
        <f t="shared" si="7"/>
        <v>modesg_inp_emss_scibscore_scp1</v>
      </c>
      <c r="B306" s="31" t="s">
        <v>10</v>
      </c>
      <c r="C306" s="30" t="s">
        <v>154</v>
      </c>
      <c r="D306" s="26" t="s">
        <v>18</v>
      </c>
      <c r="E306" s="27" t="s">
        <v>191</v>
      </c>
      <c r="F306" s="26" t="s">
        <v>262</v>
      </c>
      <c r="G306" s="28" t="s">
        <v>422</v>
      </c>
      <c r="H306" s="28" t="s">
        <v>422</v>
      </c>
      <c r="I306" s="42"/>
      <c r="J306" s="41" t="s">
        <v>576</v>
      </c>
      <c r="K306" s="41">
        <v>45603</v>
      </c>
      <c r="L306" s="41" t="s">
        <v>576</v>
      </c>
      <c r="M306" s="59"/>
      <c r="N306" s="59"/>
      <c r="O306" s="135" t="s">
        <v>13</v>
      </c>
    </row>
    <row r="307" spans="1:15" ht="16.2" customHeight="1">
      <c r="A307" s="7" t="str">
        <f t="shared" si="7"/>
        <v>modesg_inp_emss_scibscore_scp2</v>
      </c>
      <c r="B307" s="31" t="s">
        <v>10</v>
      </c>
      <c r="C307" s="30" t="s">
        <v>154</v>
      </c>
      <c r="D307" s="26" t="s">
        <v>18</v>
      </c>
      <c r="E307" s="27" t="s">
        <v>191</v>
      </c>
      <c r="F307" s="26" t="s">
        <v>263</v>
      </c>
      <c r="G307" s="28" t="s">
        <v>422</v>
      </c>
      <c r="H307" s="28" t="s">
        <v>422</v>
      </c>
      <c r="I307" s="42"/>
      <c r="J307" s="41" t="s">
        <v>576</v>
      </c>
      <c r="K307" s="41">
        <v>45603</v>
      </c>
      <c r="L307" s="41" t="s">
        <v>576</v>
      </c>
      <c r="M307" s="59"/>
      <c r="N307" s="59"/>
      <c r="O307" s="135" t="s">
        <v>13</v>
      </c>
    </row>
    <row r="308" spans="1:15" ht="16.2" customHeight="1">
      <c r="A308" s="7" t="str">
        <f t="shared" si="7"/>
        <v>modesg_inp_emss_scibscore_scp3</v>
      </c>
      <c r="B308" s="31" t="s">
        <v>10</v>
      </c>
      <c r="C308" s="30" t="s">
        <v>154</v>
      </c>
      <c r="D308" s="26" t="s">
        <v>18</v>
      </c>
      <c r="E308" s="27" t="s">
        <v>191</v>
      </c>
      <c r="F308" s="26" t="s">
        <v>264</v>
      </c>
      <c r="G308" s="28" t="s">
        <v>422</v>
      </c>
      <c r="H308" s="28" t="s">
        <v>422</v>
      </c>
      <c r="I308" s="42"/>
      <c r="J308" s="41" t="s">
        <v>576</v>
      </c>
      <c r="K308" s="41">
        <v>45603</v>
      </c>
      <c r="L308" s="41" t="s">
        <v>576</v>
      </c>
      <c r="M308" s="59"/>
      <c r="N308" s="59"/>
      <c r="O308" s="135" t="s">
        <v>13</v>
      </c>
    </row>
    <row r="309" spans="1:15" ht="16.2" customHeight="1">
      <c r="A309" s="7" t="str">
        <f t="shared" si="7"/>
        <v>modesg_inp_emss_sciborigem_scp1</v>
      </c>
      <c r="B309" s="31" t="s">
        <v>10</v>
      </c>
      <c r="C309" s="30" t="s">
        <v>154</v>
      </c>
      <c r="D309" s="26" t="s">
        <v>18</v>
      </c>
      <c r="E309" s="27" t="s">
        <v>191</v>
      </c>
      <c r="F309" s="26" t="s">
        <v>265</v>
      </c>
      <c r="G309" s="28" t="s">
        <v>422</v>
      </c>
      <c r="H309" s="28" t="s">
        <v>422</v>
      </c>
      <c r="I309" s="42"/>
      <c r="J309" s="41" t="s">
        <v>576</v>
      </c>
      <c r="K309" s="41">
        <v>45603</v>
      </c>
      <c r="L309" s="41" t="s">
        <v>576</v>
      </c>
      <c r="M309" s="59"/>
      <c r="N309" s="59"/>
      <c r="O309" s="135" t="s">
        <v>13</v>
      </c>
    </row>
    <row r="310" spans="1:15" ht="16.2" customHeight="1">
      <c r="A310" s="7" t="str">
        <f t="shared" si="7"/>
        <v>modesg_inp_emss_sciborigem_scp2</v>
      </c>
      <c r="B310" s="31" t="s">
        <v>10</v>
      </c>
      <c r="C310" s="30" t="s">
        <v>154</v>
      </c>
      <c r="D310" s="26" t="s">
        <v>18</v>
      </c>
      <c r="E310" s="27" t="s">
        <v>191</v>
      </c>
      <c r="F310" s="26" t="s">
        <v>266</v>
      </c>
      <c r="G310" s="28" t="s">
        <v>422</v>
      </c>
      <c r="H310" s="28" t="s">
        <v>422</v>
      </c>
      <c r="I310" s="42"/>
      <c r="J310" s="41" t="s">
        <v>576</v>
      </c>
      <c r="K310" s="41">
        <v>45603</v>
      </c>
      <c r="L310" s="41" t="s">
        <v>576</v>
      </c>
      <c r="M310" s="59"/>
      <c r="N310" s="59"/>
      <c r="O310" s="135" t="s">
        <v>13</v>
      </c>
    </row>
    <row r="311" spans="1:15" ht="16.2" customHeight="1">
      <c r="A311" s="7" t="str">
        <f t="shared" si="7"/>
        <v>modesg_inp_emss_sciborigem_scp3</v>
      </c>
      <c r="B311" s="31" t="s">
        <v>10</v>
      </c>
      <c r="C311" s="30" t="s">
        <v>154</v>
      </c>
      <c r="D311" s="26" t="s">
        <v>18</v>
      </c>
      <c r="E311" s="27" t="s">
        <v>191</v>
      </c>
      <c r="F311" s="26" t="s">
        <v>267</v>
      </c>
      <c r="G311" s="28" t="s">
        <v>422</v>
      </c>
      <c r="H311" s="28" t="s">
        <v>422</v>
      </c>
      <c r="I311" s="42"/>
      <c r="J311" s="41" t="s">
        <v>576</v>
      </c>
      <c r="K311" s="41">
        <v>45603</v>
      </c>
      <c r="L311" s="41" t="s">
        <v>576</v>
      </c>
      <c r="M311" s="59"/>
      <c r="N311" s="59"/>
      <c r="O311" s="135" t="s">
        <v>13</v>
      </c>
    </row>
    <row r="312" spans="1:15" ht="16.2" customHeight="1">
      <c r="A312" s="7" t="str">
        <f t="shared" si="7"/>
        <v>modesg_inp_emss_scibano_info</v>
      </c>
      <c r="B312" s="31" t="s">
        <v>10</v>
      </c>
      <c r="C312" s="30" t="s">
        <v>154</v>
      </c>
      <c r="D312" s="26" t="s">
        <v>18</v>
      </c>
      <c r="E312" s="27" t="s">
        <v>191</v>
      </c>
      <c r="F312" s="26" t="s">
        <v>268</v>
      </c>
      <c r="G312" s="28" t="s">
        <v>422</v>
      </c>
      <c r="H312" s="28" t="s">
        <v>422</v>
      </c>
      <c r="I312" s="42"/>
      <c r="J312" s="41" t="s">
        <v>576</v>
      </c>
      <c r="K312" s="41">
        <v>45603</v>
      </c>
      <c r="L312" s="41" t="s">
        <v>576</v>
      </c>
      <c r="M312" s="59"/>
      <c r="N312" s="59"/>
      <c r="O312" s="135" t="s">
        <v>13</v>
      </c>
    </row>
    <row r="313" spans="1:15" ht="16.2" customHeight="1">
      <c r="A313" s="7" t="str">
        <f t="shared" si="7"/>
        <v>modesg_inp_emss_scibdivida_total</v>
      </c>
      <c r="B313" s="31" t="s">
        <v>10</v>
      </c>
      <c r="C313" s="30" t="s">
        <v>154</v>
      </c>
      <c r="D313" s="26" t="s">
        <v>18</v>
      </c>
      <c r="E313" s="27" t="s">
        <v>191</v>
      </c>
      <c r="F313" s="26" t="s">
        <v>269</v>
      </c>
      <c r="G313" s="28" t="s">
        <v>422</v>
      </c>
      <c r="H313" s="28" t="s">
        <v>422</v>
      </c>
      <c r="I313" s="42"/>
      <c r="J313" s="41" t="s">
        <v>576</v>
      </c>
      <c r="K313" s="41">
        <v>45603</v>
      </c>
      <c r="L313" s="41" t="s">
        <v>576</v>
      </c>
      <c r="M313" s="59"/>
      <c r="N313" s="59"/>
      <c r="O313" s="135" t="s">
        <v>13</v>
      </c>
    </row>
    <row r="314" spans="1:15" ht="16.2" customHeight="1">
      <c r="A314" s="7" t="str">
        <f t="shared" si="7"/>
        <v>modesg_inp_emss_scibcapital_proprio</v>
      </c>
      <c r="B314" s="31" t="s">
        <v>10</v>
      </c>
      <c r="C314" s="30" t="s">
        <v>154</v>
      </c>
      <c r="D314" s="26" t="s">
        <v>18</v>
      </c>
      <c r="E314" s="27" t="s">
        <v>191</v>
      </c>
      <c r="F314" s="26" t="s">
        <v>270</v>
      </c>
      <c r="G314" s="28" t="s">
        <v>422</v>
      </c>
      <c r="H314" s="28" t="s">
        <v>422</v>
      </c>
      <c r="I314" s="42"/>
      <c r="J314" s="41" t="s">
        <v>576</v>
      </c>
      <c r="K314" s="41">
        <v>45603</v>
      </c>
      <c r="L314" s="41" t="s">
        <v>576</v>
      </c>
      <c r="M314" s="59"/>
      <c r="N314" s="59"/>
      <c r="O314" s="135" t="s">
        <v>13</v>
      </c>
    </row>
    <row r="315" spans="1:15" ht="16.2" customHeight="1">
      <c r="A315" s="7" t="str">
        <f t="shared" si="7"/>
        <v>modesg_inp_emss_naceref_date</v>
      </c>
      <c r="B315" s="31" t="s">
        <v>10</v>
      </c>
      <c r="C315" s="30" t="s">
        <v>154</v>
      </c>
      <c r="D315" s="26" t="s">
        <v>18</v>
      </c>
      <c r="E315" s="27" t="s">
        <v>192</v>
      </c>
      <c r="F315" s="26" t="s">
        <v>181</v>
      </c>
      <c r="G315" s="28" t="s">
        <v>422</v>
      </c>
      <c r="H315" s="28" t="s">
        <v>422</v>
      </c>
      <c r="I315" s="32"/>
      <c r="J315" s="41" t="s">
        <v>576</v>
      </c>
      <c r="K315" s="41">
        <v>45603</v>
      </c>
      <c r="L315" s="41" t="s">
        <v>576</v>
      </c>
      <c r="M315" s="59"/>
      <c r="N315" s="59"/>
      <c r="O315" s="135" t="s">
        <v>13</v>
      </c>
    </row>
    <row r="316" spans="1:15" ht="16.2" customHeight="1">
      <c r="A316" s="7" t="str">
        <f t="shared" si="7"/>
        <v>modesg_inp_emss_naceano</v>
      </c>
      <c r="B316" s="31" t="s">
        <v>10</v>
      </c>
      <c r="C316" s="30" t="s">
        <v>154</v>
      </c>
      <c r="D316" s="26" t="s">
        <v>18</v>
      </c>
      <c r="E316" s="27" t="s">
        <v>192</v>
      </c>
      <c r="F316" s="26" t="s">
        <v>271</v>
      </c>
      <c r="G316" s="28" t="s">
        <v>422</v>
      </c>
      <c r="H316" s="28" t="s">
        <v>422</v>
      </c>
      <c r="I316" s="33" t="s">
        <v>463</v>
      </c>
      <c r="J316" s="41" t="s">
        <v>576</v>
      </c>
      <c r="K316" s="41">
        <v>45603</v>
      </c>
      <c r="L316" s="41" t="s">
        <v>576</v>
      </c>
      <c r="M316" s="59"/>
      <c r="N316" s="59"/>
      <c r="O316" s="135" t="s">
        <v>13</v>
      </c>
    </row>
    <row r="317" spans="1:15" ht="16.2" customHeight="1">
      <c r="A317" s="7" t="str">
        <f t="shared" si="7"/>
        <v>modesg_inp_emss_nacenome_pais</v>
      </c>
      <c r="B317" s="31" t="s">
        <v>10</v>
      </c>
      <c r="C317" s="30" t="s">
        <v>154</v>
      </c>
      <c r="D317" s="26" t="s">
        <v>18</v>
      </c>
      <c r="E317" s="27" t="s">
        <v>192</v>
      </c>
      <c r="F317" s="26" t="s">
        <v>195</v>
      </c>
      <c r="G317" s="28" t="s">
        <v>422</v>
      </c>
      <c r="H317" s="28" t="s">
        <v>422</v>
      </c>
      <c r="I317" s="33" t="s">
        <v>463</v>
      </c>
      <c r="J317" s="41" t="s">
        <v>576</v>
      </c>
      <c r="K317" s="41">
        <v>45603</v>
      </c>
      <c r="L317" s="41" t="s">
        <v>576</v>
      </c>
      <c r="M317" s="59"/>
      <c r="N317" s="59"/>
      <c r="O317" s="135" t="s">
        <v>13</v>
      </c>
    </row>
    <row r="318" spans="1:15" ht="16.2" customHeight="1">
      <c r="A318" s="7" t="str">
        <f t="shared" si="7"/>
        <v>modesg_inp_emss_nacecod_nace_esg</v>
      </c>
      <c r="B318" s="31" t="s">
        <v>10</v>
      </c>
      <c r="C318" s="30" t="s">
        <v>154</v>
      </c>
      <c r="D318" s="26" t="s">
        <v>18</v>
      </c>
      <c r="E318" s="27" t="s">
        <v>192</v>
      </c>
      <c r="F318" s="26" t="s">
        <v>255</v>
      </c>
      <c r="G318" s="28" t="s">
        <v>422</v>
      </c>
      <c r="H318" s="28" t="s">
        <v>422</v>
      </c>
      <c r="I318" s="32"/>
      <c r="J318" s="41" t="s">
        <v>576</v>
      </c>
      <c r="K318" s="41">
        <v>45603</v>
      </c>
      <c r="L318" s="41" t="s">
        <v>576</v>
      </c>
      <c r="M318" s="59"/>
      <c r="N318" s="59"/>
      <c r="O318" s="135" t="s">
        <v>13</v>
      </c>
    </row>
    <row r="319" spans="1:15" ht="16.2" customHeight="1">
      <c r="A319" s="7" t="str">
        <f t="shared" si="7"/>
        <v>modesg_inp_emss_nacecod_class_indust</v>
      </c>
      <c r="B319" s="31" t="s">
        <v>10</v>
      </c>
      <c r="C319" s="30" t="s">
        <v>154</v>
      </c>
      <c r="D319" s="26" t="s">
        <v>18</v>
      </c>
      <c r="E319" s="27" t="s">
        <v>192</v>
      </c>
      <c r="F319" s="26" t="s">
        <v>272</v>
      </c>
      <c r="G319" s="28" t="s">
        <v>422</v>
      </c>
      <c r="H319" s="28" t="s">
        <v>422</v>
      </c>
      <c r="I319" s="32"/>
      <c r="J319" s="41" t="s">
        <v>576</v>
      </c>
      <c r="K319" s="41">
        <v>45603</v>
      </c>
      <c r="L319" s="41" t="s">
        <v>576</v>
      </c>
      <c r="M319" s="59"/>
      <c r="N319" s="59"/>
      <c r="O319" s="135" t="s">
        <v>13</v>
      </c>
    </row>
    <row r="320" spans="1:15" ht="16.2" customHeight="1">
      <c r="A320" s="7" t="str">
        <f t="shared" si="7"/>
        <v>modesg_inp_emss_nacenivel_classificacao_1</v>
      </c>
      <c r="B320" s="31" t="s">
        <v>10</v>
      </c>
      <c r="C320" s="30" t="s">
        <v>154</v>
      </c>
      <c r="D320" s="26" t="s">
        <v>18</v>
      </c>
      <c r="E320" s="27" t="s">
        <v>192</v>
      </c>
      <c r="F320" s="26" t="s">
        <v>273</v>
      </c>
      <c r="G320" s="28" t="s">
        <v>422</v>
      </c>
      <c r="H320" s="28" t="s">
        <v>422</v>
      </c>
      <c r="I320" s="33" t="s">
        <v>463</v>
      </c>
      <c r="J320" s="41" t="s">
        <v>576</v>
      </c>
      <c r="K320" s="41">
        <v>45603</v>
      </c>
      <c r="L320" s="41" t="s">
        <v>576</v>
      </c>
      <c r="M320" s="59"/>
      <c r="N320" s="59"/>
      <c r="O320" s="135" t="s">
        <v>13</v>
      </c>
    </row>
    <row r="321" spans="1:15" ht="16.2" customHeight="1">
      <c r="A321" s="7" t="str">
        <f t="shared" si="7"/>
        <v>modesg_inp_emss_naceclasse_ativo</v>
      </c>
      <c r="B321" s="31" t="s">
        <v>10</v>
      </c>
      <c r="C321" s="30" t="s">
        <v>154</v>
      </c>
      <c r="D321" s="26" t="s">
        <v>18</v>
      </c>
      <c r="E321" s="27" t="s">
        <v>192</v>
      </c>
      <c r="F321" s="26" t="s">
        <v>274</v>
      </c>
      <c r="G321" s="28" t="s">
        <v>422</v>
      </c>
      <c r="H321" s="28" t="s">
        <v>422</v>
      </c>
      <c r="I321" s="33" t="s">
        <v>463</v>
      </c>
      <c r="J321" s="41" t="s">
        <v>576</v>
      </c>
      <c r="K321" s="41">
        <v>45603</v>
      </c>
      <c r="L321" s="41" t="s">
        <v>576</v>
      </c>
      <c r="M321" s="59"/>
      <c r="N321" s="59"/>
      <c r="O321" s="135" t="s">
        <v>13</v>
      </c>
    </row>
    <row r="322" spans="1:15" ht="16.2" customHeight="1">
      <c r="A322" s="7" t="str">
        <f t="shared" si="7"/>
        <v>modesg_inp_emss_naceopcao_metodologia</v>
      </c>
      <c r="B322" s="31" t="s">
        <v>10</v>
      </c>
      <c r="C322" s="30" t="s">
        <v>154</v>
      </c>
      <c r="D322" s="26" t="s">
        <v>18</v>
      </c>
      <c r="E322" s="27" t="s">
        <v>192</v>
      </c>
      <c r="F322" s="26" t="s">
        <v>275</v>
      </c>
      <c r="G322" s="28" t="s">
        <v>422</v>
      </c>
      <c r="H322" s="28" t="s">
        <v>422</v>
      </c>
      <c r="I322" s="33" t="s">
        <v>463</v>
      </c>
      <c r="J322" s="41" t="s">
        <v>576</v>
      </c>
      <c r="K322" s="41">
        <v>45603</v>
      </c>
      <c r="L322" s="41" t="s">
        <v>576</v>
      </c>
      <c r="M322" s="59"/>
      <c r="N322" s="59"/>
      <c r="O322" s="135" t="s">
        <v>13</v>
      </c>
    </row>
    <row r="323" spans="1:15" ht="16.2" customHeight="1">
      <c r="A323" s="7" t="str">
        <f t="shared" si="7"/>
        <v>modesg_inp_emss_naceunidade_funcional</v>
      </c>
      <c r="B323" s="31" t="s">
        <v>10</v>
      </c>
      <c r="C323" s="30" t="s">
        <v>154</v>
      </c>
      <c r="D323" s="26" t="s">
        <v>18</v>
      </c>
      <c r="E323" s="27" t="s">
        <v>192</v>
      </c>
      <c r="F323" s="26" t="s">
        <v>203</v>
      </c>
      <c r="G323" s="28" t="s">
        <v>422</v>
      </c>
      <c r="H323" s="28" t="s">
        <v>422</v>
      </c>
      <c r="I323" s="32"/>
      <c r="J323" s="41" t="s">
        <v>576</v>
      </c>
      <c r="K323" s="41">
        <v>45603</v>
      </c>
      <c r="L323" s="41" t="s">
        <v>576</v>
      </c>
      <c r="M323" s="59"/>
      <c r="N323" s="59"/>
      <c r="O323" s="135" t="s">
        <v>13</v>
      </c>
    </row>
    <row r="324" spans="1:15" ht="16.2" customHeight="1">
      <c r="A324" s="7" t="str">
        <f t="shared" si="7"/>
        <v>modesg_inp_emss_naceunidades_fator_de_emissao</v>
      </c>
      <c r="B324" s="31" t="s">
        <v>10</v>
      </c>
      <c r="C324" s="30" t="s">
        <v>154</v>
      </c>
      <c r="D324" s="26" t="s">
        <v>18</v>
      </c>
      <c r="E324" s="27" t="s">
        <v>192</v>
      </c>
      <c r="F324" s="26" t="s">
        <v>276</v>
      </c>
      <c r="G324" s="28" t="s">
        <v>422</v>
      </c>
      <c r="H324" s="28" t="s">
        <v>422</v>
      </c>
      <c r="I324" s="32"/>
      <c r="J324" s="41" t="s">
        <v>576</v>
      </c>
      <c r="K324" s="41">
        <v>45603</v>
      </c>
      <c r="L324" s="41" t="s">
        <v>576</v>
      </c>
      <c r="M324" s="59"/>
      <c r="N324" s="59"/>
      <c r="O324" s="135" t="s">
        <v>13</v>
      </c>
    </row>
    <row r="325" spans="1:15" ht="16.2" customHeight="1">
      <c r="A325" s="7" t="str">
        <f t="shared" si="7"/>
        <v>modesg_inp_emss_nacescore_qualidade</v>
      </c>
      <c r="B325" s="31" t="s">
        <v>10</v>
      </c>
      <c r="C325" s="30" t="s">
        <v>154</v>
      </c>
      <c r="D325" s="26" t="s">
        <v>18</v>
      </c>
      <c r="E325" s="27" t="s">
        <v>192</v>
      </c>
      <c r="F325" s="26" t="s">
        <v>206</v>
      </c>
      <c r="G325" s="28" t="s">
        <v>422</v>
      </c>
      <c r="H325" s="28" t="s">
        <v>422</v>
      </c>
      <c r="I325" s="32"/>
      <c r="J325" s="41" t="s">
        <v>576</v>
      </c>
      <c r="K325" s="41">
        <v>45603</v>
      </c>
      <c r="L325" s="41" t="s">
        <v>576</v>
      </c>
      <c r="M325" s="59"/>
      <c r="N325" s="59"/>
      <c r="O325" s="135" t="s">
        <v>13</v>
      </c>
    </row>
    <row r="326" spans="1:15" ht="16.2" customHeight="1">
      <c r="A326" s="7" t="str">
        <f t="shared" si="7"/>
        <v>modesg_inp_emss_nacescp1_ftr_emss</v>
      </c>
      <c r="B326" s="31" t="s">
        <v>10</v>
      </c>
      <c r="C326" s="30" t="s">
        <v>154</v>
      </c>
      <c r="D326" s="26" t="s">
        <v>18</v>
      </c>
      <c r="E326" s="27" t="s">
        <v>192</v>
      </c>
      <c r="F326" s="26" t="s">
        <v>207</v>
      </c>
      <c r="G326" s="28" t="s">
        <v>422</v>
      </c>
      <c r="H326" s="28" t="s">
        <v>422</v>
      </c>
      <c r="I326" s="32"/>
      <c r="J326" s="41" t="s">
        <v>576</v>
      </c>
      <c r="K326" s="41">
        <v>45603</v>
      </c>
      <c r="L326" s="41" t="s">
        <v>576</v>
      </c>
      <c r="M326" s="59"/>
      <c r="N326" s="59"/>
      <c r="O326" s="135" t="s">
        <v>13</v>
      </c>
    </row>
    <row r="327" spans="1:15" ht="16.2" customHeight="1">
      <c r="A327" s="7" t="str">
        <f t="shared" si="7"/>
        <v>modesg_inp_emss_nacescp2_ftr_emss</v>
      </c>
      <c r="B327" s="31" t="s">
        <v>10</v>
      </c>
      <c r="C327" s="30" t="s">
        <v>154</v>
      </c>
      <c r="D327" s="26" t="s">
        <v>18</v>
      </c>
      <c r="E327" s="27" t="s">
        <v>192</v>
      </c>
      <c r="F327" s="26" t="s">
        <v>208</v>
      </c>
      <c r="G327" s="28" t="s">
        <v>422</v>
      </c>
      <c r="H327" s="28" t="s">
        <v>422</v>
      </c>
      <c r="I327" s="32"/>
      <c r="J327" s="41" t="s">
        <v>576</v>
      </c>
      <c r="K327" s="41">
        <v>45603</v>
      </c>
      <c r="L327" s="41" t="s">
        <v>576</v>
      </c>
      <c r="M327" s="59"/>
      <c r="N327" s="59"/>
      <c r="O327" s="135" t="s">
        <v>13</v>
      </c>
    </row>
    <row r="328" spans="1:15" ht="16.2" customHeight="1">
      <c r="A328" s="7" t="str">
        <f t="shared" si="7"/>
        <v>modesg_inp_emss_nacescp3_ftr_emss</v>
      </c>
      <c r="B328" s="31" t="s">
        <v>10</v>
      </c>
      <c r="C328" s="30" t="s">
        <v>154</v>
      </c>
      <c r="D328" s="26" t="s">
        <v>18</v>
      </c>
      <c r="E328" s="27" t="s">
        <v>192</v>
      </c>
      <c r="F328" s="26" t="s">
        <v>209</v>
      </c>
      <c r="G328" s="28" t="s">
        <v>422</v>
      </c>
      <c r="H328" s="28" t="s">
        <v>422</v>
      </c>
      <c r="I328" s="32"/>
      <c r="J328" s="41" t="s">
        <v>576</v>
      </c>
      <c r="K328" s="41">
        <v>45603</v>
      </c>
      <c r="L328" s="41" t="s">
        <v>576</v>
      </c>
      <c r="M328" s="59"/>
      <c r="N328" s="59"/>
      <c r="O328" s="135" t="s">
        <v>13</v>
      </c>
    </row>
    <row r="329" spans="1:15" ht="16.2" customHeight="1">
      <c r="A329" s="7" t="str">
        <f t="shared" si="7"/>
        <v>modesg_inp_emss_bens_imoveisref_date</v>
      </c>
      <c r="B329" s="31" t="s">
        <v>10</v>
      </c>
      <c r="C329" s="30" t="s">
        <v>154</v>
      </c>
      <c r="D329" s="26" t="s">
        <v>18</v>
      </c>
      <c r="E329" s="27" t="s">
        <v>193</v>
      </c>
      <c r="F329" s="26" t="s">
        <v>181</v>
      </c>
      <c r="G329" s="28" t="s">
        <v>422</v>
      </c>
      <c r="H329" s="28" t="s">
        <v>422</v>
      </c>
      <c r="I329" s="32"/>
      <c r="J329" s="41" t="s">
        <v>576</v>
      </c>
      <c r="K329" s="41">
        <v>45603</v>
      </c>
      <c r="L329" s="41">
        <v>45534</v>
      </c>
      <c r="M329" s="59"/>
      <c r="N329" s="59"/>
      <c r="O329" s="135" t="s">
        <v>13</v>
      </c>
    </row>
    <row r="330" spans="1:15" ht="16.2" customHeight="1">
      <c r="A330" s="7" t="str">
        <f t="shared" si="7"/>
        <v>modesg_inp_emss_bens_imoveisnome_pais</v>
      </c>
      <c r="B330" s="31" t="s">
        <v>10</v>
      </c>
      <c r="C330" s="30" t="s">
        <v>154</v>
      </c>
      <c r="D330" s="26" t="s">
        <v>18</v>
      </c>
      <c r="E330" s="27" t="s">
        <v>193</v>
      </c>
      <c r="F330" s="26" t="s">
        <v>195</v>
      </c>
      <c r="G330" s="28" t="s">
        <v>422</v>
      </c>
      <c r="H330" s="28" t="s">
        <v>422</v>
      </c>
      <c r="I330" s="32"/>
      <c r="J330" s="41" t="s">
        <v>576</v>
      </c>
      <c r="K330" s="41">
        <v>45603</v>
      </c>
      <c r="L330" s="41">
        <v>45534</v>
      </c>
      <c r="M330" s="59"/>
      <c r="N330" s="59"/>
      <c r="O330" s="135" t="s">
        <v>13</v>
      </c>
    </row>
    <row r="331" spans="1:15" ht="16.2" customHeight="1">
      <c r="A331" s="7" t="str">
        <f t="shared" si="7"/>
        <v>modesg_inp_emss_bens_imoveisnome_estado</v>
      </c>
      <c r="B331" s="31" t="s">
        <v>10</v>
      </c>
      <c r="C331" s="30" t="s">
        <v>154</v>
      </c>
      <c r="D331" s="26" t="s">
        <v>18</v>
      </c>
      <c r="E331" s="27" t="s">
        <v>193</v>
      </c>
      <c r="F331" s="26" t="s">
        <v>196</v>
      </c>
      <c r="G331" s="28" t="s">
        <v>422</v>
      </c>
      <c r="H331" s="28" t="s">
        <v>422</v>
      </c>
      <c r="I331" s="32"/>
      <c r="J331" s="41" t="s">
        <v>576</v>
      </c>
      <c r="K331" s="41">
        <v>45603</v>
      </c>
      <c r="L331" s="41">
        <v>45534</v>
      </c>
      <c r="M331" s="59"/>
      <c r="N331" s="59"/>
      <c r="O331" s="135" t="s">
        <v>13</v>
      </c>
    </row>
    <row r="332" spans="1:15" ht="16.2" customHeight="1">
      <c r="A332" s="7" t="str">
        <f t="shared" si="7"/>
        <v>modesg_inp_emss_bens_imoveisclasse_ativo</v>
      </c>
      <c r="B332" s="31" t="s">
        <v>10</v>
      </c>
      <c r="C332" s="30" t="s">
        <v>154</v>
      </c>
      <c r="D332" s="26" t="s">
        <v>18</v>
      </c>
      <c r="E332" s="27" t="s">
        <v>193</v>
      </c>
      <c r="F332" s="26" t="s">
        <v>274</v>
      </c>
      <c r="G332" s="28" t="s">
        <v>422</v>
      </c>
      <c r="H332" s="28" t="s">
        <v>422</v>
      </c>
      <c r="I332" s="33" t="s">
        <v>463</v>
      </c>
      <c r="J332" s="41" t="s">
        <v>576</v>
      </c>
      <c r="K332" s="41">
        <v>45603</v>
      </c>
      <c r="L332" s="41">
        <v>45534</v>
      </c>
      <c r="M332" s="59"/>
      <c r="N332" s="59"/>
      <c r="O332" s="135" t="s">
        <v>13</v>
      </c>
    </row>
    <row r="333" spans="1:15" ht="16.2" customHeight="1">
      <c r="A333" s="7" t="str">
        <f t="shared" si="7"/>
        <v>modesg_inp_emss_bens_imoveistipo_fator_emissao</v>
      </c>
      <c r="B333" s="31" t="s">
        <v>10</v>
      </c>
      <c r="C333" s="30" t="s">
        <v>154</v>
      </c>
      <c r="D333" s="26" t="s">
        <v>18</v>
      </c>
      <c r="E333" s="27" t="s">
        <v>193</v>
      </c>
      <c r="F333" s="26" t="s">
        <v>277</v>
      </c>
      <c r="G333" s="28" t="s">
        <v>422</v>
      </c>
      <c r="H333" s="28" t="s">
        <v>422</v>
      </c>
      <c r="I333" s="33" t="s">
        <v>463</v>
      </c>
      <c r="J333" s="41" t="s">
        <v>576</v>
      </c>
      <c r="K333" s="41">
        <v>45603</v>
      </c>
      <c r="L333" s="41">
        <v>45534</v>
      </c>
      <c r="M333" s="59"/>
      <c r="N333" s="59"/>
      <c r="O333" s="135" t="s">
        <v>13</v>
      </c>
    </row>
    <row r="334" spans="1:15" ht="16.2" customHeight="1">
      <c r="A334" s="7" t="str">
        <f t="shared" si="7"/>
        <v>modesg_inp_emss_bens_imoveisregiao</v>
      </c>
      <c r="B334" s="31" t="s">
        <v>10</v>
      </c>
      <c r="C334" s="30" t="s">
        <v>154</v>
      </c>
      <c r="D334" s="26" t="s">
        <v>18</v>
      </c>
      <c r="E334" s="27" t="s">
        <v>193</v>
      </c>
      <c r="F334" s="26" t="s">
        <v>278</v>
      </c>
      <c r="G334" s="28" t="s">
        <v>422</v>
      </c>
      <c r="H334" s="28" t="s">
        <v>422</v>
      </c>
      <c r="I334" s="33" t="s">
        <v>463</v>
      </c>
      <c r="J334" s="41" t="s">
        <v>576</v>
      </c>
      <c r="K334" s="41">
        <v>45603</v>
      </c>
      <c r="L334" s="41">
        <v>45534</v>
      </c>
      <c r="M334" s="59"/>
      <c r="N334" s="59"/>
      <c r="O334" s="135" t="s">
        <v>13</v>
      </c>
    </row>
    <row r="335" spans="1:15" ht="16.2" customHeight="1">
      <c r="A335" s="7" t="str">
        <f t="shared" si="7"/>
        <v>modesg_inp_emss_bens_imoveistipo_bem</v>
      </c>
      <c r="B335" s="31" t="s">
        <v>10</v>
      </c>
      <c r="C335" s="30" t="s">
        <v>154</v>
      </c>
      <c r="D335" s="26" t="s">
        <v>18</v>
      </c>
      <c r="E335" s="27" t="s">
        <v>193</v>
      </c>
      <c r="F335" s="26" t="s">
        <v>279</v>
      </c>
      <c r="G335" s="28" t="s">
        <v>422</v>
      </c>
      <c r="H335" s="28" t="s">
        <v>422</v>
      </c>
      <c r="I335" s="32"/>
      <c r="J335" s="41" t="s">
        <v>576</v>
      </c>
      <c r="K335" s="41">
        <v>45603</v>
      </c>
      <c r="L335" s="41">
        <v>45534</v>
      </c>
      <c r="M335" s="59"/>
      <c r="N335" s="59"/>
      <c r="O335" s="135" t="s">
        <v>13</v>
      </c>
    </row>
    <row r="336" spans="1:15" ht="16.2" customHeight="1">
      <c r="A336" s="7" t="str">
        <f t="shared" si="7"/>
        <v>modesg_inp_emss_bens_imoveistipo_finalidade_bem</v>
      </c>
      <c r="B336" s="31" t="s">
        <v>10</v>
      </c>
      <c r="C336" s="30" t="s">
        <v>154</v>
      </c>
      <c r="D336" s="26" t="s">
        <v>18</v>
      </c>
      <c r="E336" s="27" t="s">
        <v>193</v>
      </c>
      <c r="F336" s="26" t="s">
        <v>280</v>
      </c>
      <c r="G336" s="28" t="s">
        <v>422</v>
      </c>
      <c r="H336" s="28" t="s">
        <v>422</v>
      </c>
      <c r="I336" s="32"/>
      <c r="J336" s="41" t="s">
        <v>576</v>
      </c>
      <c r="K336" s="41">
        <v>45603</v>
      </c>
      <c r="L336" s="41">
        <v>45534</v>
      </c>
      <c r="M336" s="59"/>
      <c r="N336" s="59"/>
      <c r="O336" s="135" t="s">
        <v>13</v>
      </c>
    </row>
    <row r="337" spans="1:15" ht="16.2" customHeight="1">
      <c r="A337" s="7" t="str">
        <f t="shared" si="7"/>
        <v>modesg_inp_emss_bens_imoveisepc</v>
      </c>
      <c r="B337" s="31" t="s">
        <v>10</v>
      </c>
      <c r="C337" s="30" t="s">
        <v>154</v>
      </c>
      <c r="D337" s="26" t="s">
        <v>18</v>
      </c>
      <c r="E337" s="27" t="s">
        <v>193</v>
      </c>
      <c r="F337" s="26" t="s">
        <v>171</v>
      </c>
      <c r="G337" s="28" t="s">
        <v>422</v>
      </c>
      <c r="H337" s="28" t="s">
        <v>422</v>
      </c>
      <c r="I337" s="32"/>
      <c r="J337" s="41" t="s">
        <v>576</v>
      </c>
      <c r="K337" s="41">
        <v>45603</v>
      </c>
      <c r="L337" s="41">
        <v>45534</v>
      </c>
      <c r="M337" s="59"/>
      <c r="N337" s="59"/>
      <c r="O337" s="135" t="s">
        <v>13</v>
      </c>
    </row>
    <row r="338" spans="1:15" ht="16.2" customHeight="1">
      <c r="A338" s="7" t="str">
        <f t="shared" si="7"/>
        <v>modesg_inp_emss_bens_imoveisflg_ftr_emss_area</v>
      </c>
      <c r="B338" s="31" t="s">
        <v>10</v>
      </c>
      <c r="C338" s="30" t="s">
        <v>154</v>
      </c>
      <c r="D338" s="26" t="s">
        <v>18</v>
      </c>
      <c r="E338" s="27" t="s">
        <v>193</v>
      </c>
      <c r="F338" s="26" t="s">
        <v>281</v>
      </c>
      <c r="G338" s="28" t="s">
        <v>421</v>
      </c>
      <c r="H338" s="28" t="s">
        <v>421</v>
      </c>
      <c r="I338" s="34" t="s">
        <v>465</v>
      </c>
      <c r="J338" s="41" t="s">
        <v>576</v>
      </c>
      <c r="K338" s="41">
        <v>45534</v>
      </c>
      <c r="L338" s="41">
        <v>45534</v>
      </c>
      <c r="M338" s="59"/>
      <c r="N338" s="59"/>
      <c r="O338" s="135" t="s">
        <v>13</v>
      </c>
    </row>
    <row r="339" spans="1:15" ht="16.2" customHeight="1">
      <c r="A339" s="7" t="str">
        <f t="shared" ref="A339:A402" si="8">E339&amp;F339</f>
        <v>modesg_inp_emss_bens_imoveisnome_unidade_funcional</v>
      </c>
      <c r="B339" s="31" t="s">
        <v>10</v>
      </c>
      <c r="C339" s="30" t="s">
        <v>154</v>
      </c>
      <c r="D339" s="26" t="s">
        <v>18</v>
      </c>
      <c r="E339" s="27" t="s">
        <v>193</v>
      </c>
      <c r="F339" s="26" t="s">
        <v>202</v>
      </c>
      <c r="G339" s="28" t="s">
        <v>422</v>
      </c>
      <c r="H339" s="28" t="s">
        <v>422</v>
      </c>
      <c r="I339" s="32"/>
      <c r="J339" s="41" t="s">
        <v>576</v>
      </c>
      <c r="K339" s="41">
        <v>45603</v>
      </c>
      <c r="L339" s="41">
        <v>45534</v>
      </c>
      <c r="M339" s="59"/>
      <c r="N339" s="59"/>
      <c r="O339" s="135" t="s">
        <v>13</v>
      </c>
    </row>
    <row r="340" spans="1:15" ht="16.2" customHeight="1">
      <c r="A340" s="7" t="str">
        <f t="shared" si="8"/>
        <v>modesg_inp_emss_bens_imoveisunidade_funcional</v>
      </c>
      <c r="B340" s="31" t="s">
        <v>10</v>
      </c>
      <c r="C340" s="30" t="s">
        <v>154</v>
      </c>
      <c r="D340" s="26" t="s">
        <v>18</v>
      </c>
      <c r="E340" s="27" t="s">
        <v>193</v>
      </c>
      <c r="F340" s="26" t="s">
        <v>203</v>
      </c>
      <c r="G340" s="28" t="s">
        <v>422</v>
      </c>
      <c r="H340" s="28" t="s">
        <v>422</v>
      </c>
      <c r="I340" s="32"/>
      <c r="J340" s="41" t="s">
        <v>576</v>
      </c>
      <c r="K340" s="41">
        <v>45603</v>
      </c>
      <c r="L340" s="41">
        <v>45534</v>
      </c>
      <c r="M340" s="59"/>
      <c r="N340" s="59"/>
      <c r="O340" s="135" t="s">
        <v>13</v>
      </c>
    </row>
    <row r="341" spans="1:15" ht="16.2" customHeight="1">
      <c r="A341" s="7" t="str">
        <f t="shared" si="8"/>
        <v>modesg_inp_emss_bens_imoveisnome_fator_emissao</v>
      </c>
      <c r="B341" s="31" t="s">
        <v>10</v>
      </c>
      <c r="C341" s="30" t="s">
        <v>154</v>
      </c>
      <c r="D341" s="26" t="s">
        <v>18</v>
      </c>
      <c r="E341" s="27" t="s">
        <v>193</v>
      </c>
      <c r="F341" s="26" t="s">
        <v>204</v>
      </c>
      <c r="G341" s="28" t="s">
        <v>422</v>
      </c>
      <c r="H341" s="28" t="s">
        <v>422</v>
      </c>
      <c r="I341" s="32"/>
      <c r="J341" s="41" t="s">
        <v>576</v>
      </c>
      <c r="K341" s="41">
        <v>45603</v>
      </c>
      <c r="L341" s="41">
        <v>45534</v>
      </c>
      <c r="M341" s="59"/>
      <c r="N341" s="59"/>
      <c r="O341" s="135" t="s">
        <v>13</v>
      </c>
    </row>
    <row r="342" spans="1:15" ht="16.2" customHeight="1">
      <c r="A342" s="7" t="str">
        <f t="shared" si="8"/>
        <v>modesg_inp_emss_bens_imoveisunidade_fator_de_emissao</v>
      </c>
      <c r="B342" s="31" t="s">
        <v>10</v>
      </c>
      <c r="C342" s="30" t="s">
        <v>154</v>
      </c>
      <c r="D342" s="26" t="s">
        <v>18</v>
      </c>
      <c r="E342" s="27" t="s">
        <v>193</v>
      </c>
      <c r="F342" s="26" t="s">
        <v>205</v>
      </c>
      <c r="G342" s="28" t="s">
        <v>422</v>
      </c>
      <c r="H342" s="28" t="s">
        <v>422</v>
      </c>
      <c r="I342" s="32"/>
      <c r="J342" s="41" t="s">
        <v>576</v>
      </c>
      <c r="K342" s="41">
        <v>45603</v>
      </c>
      <c r="L342" s="41">
        <v>45534</v>
      </c>
      <c r="M342" s="59"/>
      <c r="N342" s="59"/>
      <c r="O342" s="135" t="s">
        <v>13</v>
      </c>
    </row>
    <row r="343" spans="1:15" ht="16.2" customHeight="1">
      <c r="A343" s="7" t="str">
        <f t="shared" si="8"/>
        <v>modesg_inp_emss_bens_imoveisscore_qualidade</v>
      </c>
      <c r="B343" s="31" t="s">
        <v>10</v>
      </c>
      <c r="C343" s="30" t="s">
        <v>154</v>
      </c>
      <c r="D343" s="26" t="s">
        <v>18</v>
      </c>
      <c r="E343" s="27" t="s">
        <v>193</v>
      </c>
      <c r="F343" s="26" t="s">
        <v>206</v>
      </c>
      <c r="G343" s="28" t="s">
        <v>422</v>
      </c>
      <c r="H343" s="28" t="s">
        <v>422</v>
      </c>
      <c r="I343" s="32"/>
      <c r="J343" s="41" t="s">
        <v>576</v>
      </c>
      <c r="K343" s="41">
        <v>45603</v>
      </c>
      <c r="L343" s="41">
        <v>45534</v>
      </c>
      <c r="M343" s="59"/>
      <c r="N343" s="59"/>
      <c r="O343" s="135" t="s">
        <v>13</v>
      </c>
    </row>
    <row r="344" spans="1:15" ht="16.2" customHeight="1">
      <c r="A344" s="7" t="str">
        <f t="shared" si="8"/>
        <v>modesg_inp_emss_bens_imoveisano_fator_emissao</v>
      </c>
      <c r="B344" s="31" t="s">
        <v>10</v>
      </c>
      <c r="C344" s="30" t="s">
        <v>154</v>
      </c>
      <c r="D344" s="26" t="s">
        <v>18</v>
      </c>
      <c r="E344" s="27" t="s">
        <v>193</v>
      </c>
      <c r="F344" s="26" t="s">
        <v>282</v>
      </c>
      <c r="G344" s="28" t="s">
        <v>422</v>
      </c>
      <c r="H344" s="28" t="s">
        <v>422</v>
      </c>
      <c r="I344" s="33" t="s">
        <v>463</v>
      </c>
      <c r="J344" s="41" t="s">
        <v>576</v>
      </c>
      <c r="K344" s="41">
        <v>45603</v>
      </c>
      <c r="L344" s="41">
        <v>45534</v>
      </c>
      <c r="M344" s="59"/>
      <c r="N344" s="59"/>
      <c r="O344" s="135" t="s">
        <v>13</v>
      </c>
    </row>
    <row r="345" spans="1:15" ht="16.2" customHeight="1">
      <c r="A345" s="7" t="str">
        <f t="shared" si="8"/>
        <v>modesg_inp_emss_bens_imoveisscp1_ftr_emss</v>
      </c>
      <c r="B345" s="31" t="s">
        <v>10</v>
      </c>
      <c r="C345" s="30" t="s">
        <v>154</v>
      </c>
      <c r="D345" s="26" t="s">
        <v>18</v>
      </c>
      <c r="E345" s="27" t="s">
        <v>193</v>
      </c>
      <c r="F345" s="26" t="s">
        <v>207</v>
      </c>
      <c r="G345" s="28" t="s">
        <v>422</v>
      </c>
      <c r="H345" s="28" t="s">
        <v>422</v>
      </c>
      <c r="I345" s="32"/>
      <c r="J345" s="41" t="s">
        <v>576</v>
      </c>
      <c r="K345" s="41">
        <v>45603</v>
      </c>
      <c r="L345" s="41">
        <v>45534</v>
      </c>
      <c r="M345" s="59"/>
      <c r="N345" s="59"/>
      <c r="O345" s="135" t="s">
        <v>13</v>
      </c>
    </row>
    <row r="346" spans="1:15" ht="16.2" customHeight="1">
      <c r="A346" s="7" t="str">
        <f t="shared" si="8"/>
        <v>modesg_inp_emss_bens_imoveisscp2_ftr_emss</v>
      </c>
      <c r="B346" s="31" t="s">
        <v>10</v>
      </c>
      <c r="C346" s="30" t="s">
        <v>154</v>
      </c>
      <c r="D346" s="26" t="s">
        <v>18</v>
      </c>
      <c r="E346" s="27" t="s">
        <v>193</v>
      </c>
      <c r="F346" s="26" t="s">
        <v>208</v>
      </c>
      <c r="G346" s="28" t="s">
        <v>422</v>
      </c>
      <c r="H346" s="28" t="s">
        <v>422</v>
      </c>
      <c r="I346" s="32"/>
      <c r="J346" s="41" t="s">
        <v>576</v>
      </c>
      <c r="K346" s="41">
        <v>45603</v>
      </c>
      <c r="L346" s="41">
        <v>45534</v>
      </c>
      <c r="M346" s="59"/>
      <c r="N346" s="59"/>
      <c r="O346" s="135" t="s">
        <v>13</v>
      </c>
    </row>
    <row r="347" spans="1:15" ht="16.2" customHeight="1">
      <c r="A347" s="7" t="str">
        <f t="shared" si="8"/>
        <v>modesg_out_bens_imoveisn.a.</v>
      </c>
      <c r="B347" s="31" t="s">
        <v>10</v>
      </c>
      <c r="C347" s="30" t="s">
        <v>283</v>
      </c>
      <c r="D347" s="26" t="s">
        <v>15</v>
      </c>
      <c r="E347" s="27" t="s">
        <v>284</v>
      </c>
      <c r="F347" s="26" t="s">
        <v>17</v>
      </c>
      <c r="G347" s="28" t="s">
        <v>422</v>
      </c>
      <c r="H347" s="28" t="s">
        <v>422</v>
      </c>
      <c r="I347" s="32"/>
      <c r="J347" s="41" t="s">
        <v>576</v>
      </c>
      <c r="K347" s="41" t="s">
        <v>576</v>
      </c>
      <c r="L347" s="41" t="s">
        <v>576</v>
      </c>
      <c r="M347" s="59"/>
      <c r="N347" s="59"/>
      <c r="O347" s="135" t="s">
        <v>13</v>
      </c>
    </row>
    <row r="348" spans="1:15" ht="16.2" customHeight="1">
      <c r="A348" s="7" t="str">
        <f t="shared" si="8"/>
        <v>modesg_out_bens_imoveiscempbem</v>
      </c>
      <c r="B348" s="31" t="s">
        <v>10</v>
      </c>
      <c r="C348" s="30" t="s">
        <v>283</v>
      </c>
      <c r="D348" s="26" t="s">
        <v>18</v>
      </c>
      <c r="E348" s="27" t="s">
        <v>284</v>
      </c>
      <c r="F348" s="26" t="s">
        <v>285</v>
      </c>
      <c r="G348" s="28" t="s">
        <v>422</v>
      </c>
      <c r="H348" s="28" t="s">
        <v>422</v>
      </c>
      <c r="I348" s="42"/>
      <c r="J348" s="41" t="s">
        <v>576</v>
      </c>
      <c r="K348" s="41" t="s">
        <v>576</v>
      </c>
      <c r="L348" s="41" t="s">
        <v>576</v>
      </c>
      <c r="M348" s="59"/>
      <c r="N348" s="59"/>
      <c r="O348" s="135" t="s">
        <v>13</v>
      </c>
    </row>
    <row r="349" spans="1:15" ht="16.2" customHeight="1">
      <c r="A349" s="7" t="str">
        <f t="shared" si="8"/>
        <v>modesg_out_bens_imoveisckbalbem</v>
      </c>
      <c r="B349" s="31" t="s">
        <v>10</v>
      </c>
      <c r="C349" s="30" t="s">
        <v>283</v>
      </c>
      <c r="D349" s="26" t="s">
        <v>18</v>
      </c>
      <c r="E349" s="27" t="s">
        <v>284</v>
      </c>
      <c r="F349" s="26" t="s">
        <v>286</v>
      </c>
      <c r="G349" s="28" t="s">
        <v>422</v>
      </c>
      <c r="H349" s="28" t="s">
        <v>422</v>
      </c>
      <c r="I349" s="42"/>
      <c r="J349" s="41" t="s">
        <v>576</v>
      </c>
      <c r="K349" s="41" t="s">
        <v>576</v>
      </c>
      <c r="L349" s="41" t="s">
        <v>576</v>
      </c>
      <c r="M349" s="59"/>
      <c r="N349" s="59"/>
      <c r="O349" s="135" t="s">
        <v>13</v>
      </c>
    </row>
    <row r="350" spans="1:15" ht="16.2" customHeight="1">
      <c r="A350" s="7" t="str">
        <f t="shared" si="8"/>
        <v>modesg_out_bens_imoveisckctabem</v>
      </c>
      <c r="B350" s="31" t="s">
        <v>10</v>
      </c>
      <c r="C350" s="30" t="s">
        <v>283</v>
      </c>
      <c r="D350" s="26" t="s">
        <v>18</v>
      </c>
      <c r="E350" s="27" t="s">
        <v>284</v>
      </c>
      <c r="F350" s="26" t="s">
        <v>287</v>
      </c>
      <c r="G350" s="28" t="s">
        <v>422</v>
      </c>
      <c r="H350" s="28" t="s">
        <v>422</v>
      </c>
      <c r="I350" s="42"/>
      <c r="J350" s="41" t="s">
        <v>576</v>
      </c>
      <c r="K350" s="41" t="s">
        <v>576</v>
      </c>
      <c r="L350" s="41" t="s">
        <v>576</v>
      </c>
      <c r="M350" s="59"/>
      <c r="N350" s="59"/>
      <c r="O350" s="135" t="s">
        <v>13</v>
      </c>
    </row>
    <row r="351" spans="1:15" ht="16.2" customHeight="1">
      <c r="A351" s="7" t="str">
        <f t="shared" si="8"/>
        <v>modesg_out_bens_imoveisckrefbem</v>
      </c>
      <c r="B351" s="31" t="s">
        <v>10</v>
      </c>
      <c r="C351" s="30" t="s">
        <v>283</v>
      </c>
      <c r="D351" s="26" t="s">
        <v>18</v>
      </c>
      <c r="E351" s="27" t="s">
        <v>284</v>
      </c>
      <c r="F351" s="26" t="s">
        <v>288</v>
      </c>
      <c r="G351" s="28" t="s">
        <v>422</v>
      </c>
      <c r="H351" s="28" t="s">
        <v>422</v>
      </c>
      <c r="I351" s="42"/>
      <c r="J351" s="41" t="s">
        <v>576</v>
      </c>
      <c r="K351" s="41" t="s">
        <v>576</v>
      </c>
      <c r="L351" s="41" t="s">
        <v>576</v>
      </c>
      <c r="M351" s="59"/>
      <c r="N351" s="59"/>
      <c r="O351" s="135" t="s">
        <v>13</v>
      </c>
    </row>
    <row r="352" spans="1:15" ht="16.2" customHeight="1">
      <c r="A352" s="7" t="str">
        <f t="shared" si="8"/>
        <v>modesg_out_bens_imoveisflg_rsc_fsc_agd</v>
      </c>
      <c r="B352" s="31" t="s">
        <v>10</v>
      </c>
      <c r="C352" s="30" t="s">
        <v>283</v>
      </c>
      <c r="D352" s="26" t="s">
        <v>18</v>
      </c>
      <c r="E352" s="27" t="s">
        <v>284</v>
      </c>
      <c r="F352" s="26" t="s">
        <v>256</v>
      </c>
      <c r="G352" s="28" t="s">
        <v>480</v>
      </c>
      <c r="H352" s="28" t="s">
        <v>480</v>
      </c>
      <c r="I352" s="32" t="s">
        <v>466</v>
      </c>
      <c r="J352" s="41">
        <v>45569</v>
      </c>
      <c r="K352" s="41">
        <v>45621</v>
      </c>
      <c r="L352" s="41">
        <v>45631</v>
      </c>
      <c r="M352" s="59"/>
      <c r="N352" s="59"/>
      <c r="O352" s="135" t="s">
        <v>13</v>
      </c>
    </row>
    <row r="353" spans="1:15" ht="16.2" customHeight="1">
      <c r="A353" s="7" t="str">
        <f t="shared" si="8"/>
        <v>modesg_out_bens_imoveisflg_rsc_fsc_crnc</v>
      </c>
      <c r="B353" s="31" t="s">
        <v>10</v>
      </c>
      <c r="C353" s="30" t="s">
        <v>283</v>
      </c>
      <c r="D353" s="26" t="s">
        <v>18</v>
      </c>
      <c r="E353" s="27" t="s">
        <v>284</v>
      </c>
      <c r="F353" s="26" t="s">
        <v>257</v>
      </c>
      <c r="G353" s="28" t="s">
        <v>480</v>
      </c>
      <c r="H353" s="28" t="s">
        <v>480</v>
      </c>
      <c r="I353" s="32" t="s">
        <v>466</v>
      </c>
      <c r="J353" s="41">
        <v>45569</v>
      </c>
      <c r="K353" s="41">
        <v>45621</v>
      </c>
      <c r="L353" s="41">
        <v>45631</v>
      </c>
      <c r="M353" s="59"/>
      <c r="N353" s="59"/>
      <c r="O353" s="135" t="s">
        <v>13</v>
      </c>
    </row>
    <row r="354" spans="1:15" ht="16.2" customHeight="1">
      <c r="A354" s="7" t="str">
        <f t="shared" si="8"/>
        <v>modesg_out_bens_imoveisorigem_flg_rsc_fsc_agd</v>
      </c>
      <c r="B354" s="31" t="s">
        <v>10</v>
      </c>
      <c r="C354" s="30" t="s">
        <v>283</v>
      </c>
      <c r="D354" s="26" t="s">
        <v>18</v>
      </c>
      <c r="E354" s="27" t="s">
        <v>284</v>
      </c>
      <c r="F354" s="26" t="s">
        <v>289</v>
      </c>
      <c r="G354" s="28" t="s">
        <v>480</v>
      </c>
      <c r="H354" s="28" t="s">
        <v>480</v>
      </c>
      <c r="I354" s="32" t="s">
        <v>466</v>
      </c>
      <c r="J354" s="41">
        <v>45569</v>
      </c>
      <c r="K354" s="41">
        <v>45621</v>
      </c>
      <c r="L354" s="41">
        <v>45631</v>
      </c>
      <c r="M354" s="59"/>
      <c r="N354" s="59"/>
      <c r="O354" s="135" t="s">
        <v>13</v>
      </c>
    </row>
    <row r="355" spans="1:15" ht="16.2" customHeight="1">
      <c r="A355" s="7" t="str">
        <f t="shared" si="8"/>
        <v>modesg_out_bens_imoveisorigem_flg_rsc_fsc_crnc</v>
      </c>
      <c r="B355" s="31" t="s">
        <v>10</v>
      </c>
      <c r="C355" s="30" t="s">
        <v>283</v>
      </c>
      <c r="D355" s="26" t="s">
        <v>18</v>
      </c>
      <c r="E355" s="27" t="s">
        <v>284</v>
      </c>
      <c r="F355" s="26" t="s">
        <v>290</v>
      </c>
      <c r="G355" s="28" t="s">
        <v>480</v>
      </c>
      <c r="H355" s="28" t="s">
        <v>480</v>
      </c>
      <c r="I355" s="32" t="s">
        <v>466</v>
      </c>
      <c r="J355" s="41">
        <v>45569</v>
      </c>
      <c r="K355" s="41">
        <v>45621</v>
      </c>
      <c r="L355" s="41">
        <v>45631</v>
      </c>
      <c r="M355" s="59"/>
      <c r="N355" s="59"/>
      <c r="O355" s="135" t="s">
        <v>13</v>
      </c>
    </row>
    <row r="356" spans="1:15" ht="16.2" customHeight="1">
      <c r="A356" s="7" t="str">
        <f t="shared" si="8"/>
        <v>modesg_out_bens_imoveisorigem_scp1_emss</v>
      </c>
      <c r="B356" s="31" t="s">
        <v>10</v>
      </c>
      <c r="C356" s="30" t="s">
        <v>283</v>
      </c>
      <c r="D356" s="26" t="s">
        <v>18</v>
      </c>
      <c r="E356" s="27" t="s">
        <v>284</v>
      </c>
      <c r="F356" s="26" t="s">
        <v>291</v>
      </c>
      <c r="G356" s="28" t="s">
        <v>422</v>
      </c>
      <c r="H356" s="28" t="s">
        <v>422</v>
      </c>
      <c r="I356" s="32"/>
      <c r="J356" s="41">
        <v>45604</v>
      </c>
      <c r="K356" s="41">
        <v>45600</v>
      </c>
      <c r="L356" s="41">
        <v>45601</v>
      </c>
      <c r="M356" s="59"/>
      <c r="N356" s="59"/>
      <c r="O356" s="135" t="s">
        <v>13</v>
      </c>
    </row>
    <row r="357" spans="1:15" ht="16.2" customHeight="1">
      <c r="A357" s="7" t="str">
        <f t="shared" si="8"/>
        <v>modesg_out_bens_imoveisorigem_scp2_emss</v>
      </c>
      <c r="B357" s="31" t="s">
        <v>10</v>
      </c>
      <c r="C357" s="30" t="s">
        <v>283</v>
      </c>
      <c r="D357" s="26" t="s">
        <v>18</v>
      </c>
      <c r="E357" s="27" t="s">
        <v>284</v>
      </c>
      <c r="F357" s="26" t="s">
        <v>292</v>
      </c>
      <c r="G357" s="28" t="s">
        <v>422</v>
      </c>
      <c r="H357" s="28" t="s">
        <v>422</v>
      </c>
      <c r="I357" s="32"/>
      <c r="J357" s="41">
        <v>45604</v>
      </c>
      <c r="K357" s="41">
        <v>45600</v>
      </c>
      <c r="L357" s="41">
        <v>45601</v>
      </c>
      <c r="M357" s="59"/>
      <c r="N357" s="59"/>
      <c r="O357" s="135" t="s">
        <v>13</v>
      </c>
    </row>
    <row r="358" spans="1:15" ht="16.2" customHeight="1">
      <c r="A358" s="7" t="str">
        <f t="shared" si="8"/>
        <v>modesg_out_bens_imoveisorigem_scp3_emss</v>
      </c>
      <c r="B358" s="31" t="s">
        <v>10</v>
      </c>
      <c r="C358" s="30" t="s">
        <v>283</v>
      </c>
      <c r="D358" s="26" t="s">
        <v>18</v>
      </c>
      <c r="E358" s="27" t="s">
        <v>284</v>
      </c>
      <c r="F358" s="26" t="s">
        <v>293</v>
      </c>
      <c r="G358" s="28" t="s">
        <v>422</v>
      </c>
      <c r="H358" s="28" t="s">
        <v>422</v>
      </c>
      <c r="I358" s="32"/>
      <c r="J358" s="41">
        <v>45569</v>
      </c>
      <c r="K358" s="41">
        <v>45600</v>
      </c>
      <c r="L358" s="41">
        <v>45601</v>
      </c>
      <c r="M358" s="59"/>
      <c r="N358" s="59"/>
      <c r="O358" s="135" t="s">
        <v>13</v>
      </c>
    </row>
    <row r="359" spans="1:15" ht="16.2" customHeight="1">
      <c r="A359" s="7" t="str">
        <f t="shared" si="8"/>
        <v>modesg_out_bens_imoveisref_date</v>
      </c>
      <c r="B359" s="31" t="s">
        <v>10</v>
      </c>
      <c r="C359" s="30" t="s">
        <v>283</v>
      </c>
      <c r="D359" s="26" t="s">
        <v>18</v>
      </c>
      <c r="E359" s="27" t="s">
        <v>284</v>
      </c>
      <c r="F359" s="26" t="s">
        <v>181</v>
      </c>
      <c r="G359" s="28" t="s">
        <v>422</v>
      </c>
      <c r="H359" s="28" t="s">
        <v>422</v>
      </c>
      <c r="I359" s="42"/>
      <c r="J359" s="41" t="s">
        <v>576</v>
      </c>
      <c r="K359" s="41" t="s">
        <v>576</v>
      </c>
      <c r="L359" s="41" t="s">
        <v>576</v>
      </c>
      <c r="M359" s="59"/>
      <c r="N359" s="59"/>
      <c r="O359" s="135" t="s">
        <v>13</v>
      </c>
    </row>
    <row r="360" spans="1:15" ht="16.2" customHeight="1">
      <c r="A360" s="7" t="str">
        <f t="shared" si="8"/>
        <v>modesg_out_bens_imoveisscp1_emss</v>
      </c>
      <c r="B360" s="31" t="s">
        <v>10</v>
      </c>
      <c r="C360" s="30" t="s">
        <v>283</v>
      </c>
      <c r="D360" s="26" t="s">
        <v>18</v>
      </c>
      <c r="E360" s="27" t="s">
        <v>284</v>
      </c>
      <c r="F360" s="26" t="s">
        <v>259</v>
      </c>
      <c r="G360" s="28" t="s">
        <v>422</v>
      </c>
      <c r="H360" s="28" t="s">
        <v>422</v>
      </c>
      <c r="I360" s="32"/>
      <c r="J360" s="41">
        <v>45604</v>
      </c>
      <c r="K360" s="41">
        <v>45600</v>
      </c>
      <c r="L360" s="41">
        <v>45601</v>
      </c>
      <c r="M360" s="59"/>
      <c r="N360" s="59"/>
      <c r="O360" s="135" t="s">
        <v>13</v>
      </c>
    </row>
    <row r="361" spans="1:15" ht="16.2" customHeight="1">
      <c r="A361" s="7" t="str">
        <f t="shared" si="8"/>
        <v>modesg_out_bens_imoveisscp2_emss</v>
      </c>
      <c r="B361" s="31" t="s">
        <v>10</v>
      </c>
      <c r="C361" s="30" t="s">
        <v>283</v>
      </c>
      <c r="D361" s="26" t="s">
        <v>18</v>
      </c>
      <c r="E361" s="27" t="s">
        <v>284</v>
      </c>
      <c r="F361" s="26" t="s">
        <v>260</v>
      </c>
      <c r="G361" s="28" t="s">
        <v>422</v>
      </c>
      <c r="H361" s="28" t="s">
        <v>422</v>
      </c>
      <c r="I361" s="32"/>
      <c r="J361" s="41">
        <v>45604</v>
      </c>
      <c r="K361" s="41">
        <v>45600</v>
      </c>
      <c r="L361" s="41">
        <v>45601</v>
      </c>
      <c r="M361" s="59"/>
      <c r="N361" s="59"/>
      <c r="O361" s="135" t="s">
        <v>13</v>
      </c>
    </row>
    <row r="362" spans="1:15" ht="16.2" customHeight="1">
      <c r="A362" s="7" t="str">
        <f t="shared" si="8"/>
        <v>modesg_out_bens_imoveisscp3_emss</v>
      </c>
      <c r="B362" s="31" t="s">
        <v>10</v>
      </c>
      <c r="C362" s="30" t="s">
        <v>283</v>
      </c>
      <c r="D362" s="26" t="s">
        <v>18</v>
      </c>
      <c r="E362" s="27" t="s">
        <v>284</v>
      </c>
      <c r="F362" s="26" t="s">
        <v>261</v>
      </c>
      <c r="G362" s="28" t="s">
        <v>422</v>
      </c>
      <c r="H362" s="28" t="s">
        <v>422</v>
      </c>
      <c r="I362" s="42"/>
      <c r="J362" s="41" t="s">
        <v>576</v>
      </c>
      <c r="K362" s="41" t="s">
        <v>576</v>
      </c>
      <c r="L362" s="41" t="s">
        <v>576</v>
      </c>
      <c r="M362" s="59"/>
      <c r="N362" s="59"/>
      <c r="O362" s="135" t="s">
        <v>13</v>
      </c>
    </row>
    <row r="363" spans="1:15" ht="16.2" customHeight="1">
      <c r="A363" s="7" t="str">
        <f t="shared" si="8"/>
        <v>modesg_out_bens_imoveisunidade_funcional_scp1_emss</v>
      </c>
      <c r="B363" s="31" t="s">
        <v>10</v>
      </c>
      <c r="C363" s="30" t="s">
        <v>283</v>
      </c>
      <c r="D363" s="26" t="s">
        <v>18</v>
      </c>
      <c r="E363" s="27" t="s">
        <v>284</v>
      </c>
      <c r="F363" s="26" t="s">
        <v>294</v>
      </c>
      <c r="G363" s="28" t="s">
        <v>422</v>
      </c>
      <c r="H363" s="28" t="s">
        <v>422</v>
      </c>
      <c r="I363" s="32"/>
      <c r="J363" s="41">
        <v>45604</v>
      </c>
      <c r="K363" s="41">
        <v>45600</v>
      </c>
      <c r="L363" s="41">
        <v>45601</v>
      </c>
      <c r="M363" s="59"/>
      <c r="N363" s="59"/>
      <c r="O363" s="135" t="s">
        <v>13</v>
      </c>
    </row>
    <row r="364" spans="1:15" ht="16.2" customHeight="1">
      <c r="A364" s="7" t="str">
        <f t="shared" si="8"/>
        <v>modesg_out_bens_imoveisunidade_funcional_scp2_emss</v>
      </c>
      <c r="B364" s="31" t="s">
        <v>10</v>
      </c>
      <c r="C364" s="30" t="s">
        <v>283</v>
      </c>
      <c r="D364" s="26" t="s">
        <v>18</v>
      </c>
      <c r="E364" s="27" t="s">
        <v>284</v>
      </c>
      <c r="F364" s="26" t="s">
        <v>295</v>
      </c>
      <c r="G364" s="28" t="s">
        <v>422</v>
      </c>
      <c r="H364" s="28" t="s">
        <v>422</v>
      </c>
      <c r="I364" s="32"/>
      <c r="J364" s="41">
        <v>45604</v>
      </c>
      <c r="K364" s="41">
        <v>45600</v>
      </c>
      <c r="L364" s="41">
        <v>45601</v>
      </c>
      <c r="M364" s="59"/>
      <c r="N364" s="59"/>
      <c r="O364" s="135" t="s">
        <v>13</v>
      </c>
    </row>
    <row r="365" spans="1:15" ht="16.2" customHeight="1">
      <c r="A365" s="7" t="str">
        <f t="shared" si="8"/>
        <v>modesg_out_bens_imoveisunidade_funcional_scp3_emss</v>
      </c>
      <c r="B365" s="31" t="s">
        <v>10</v>
      </c>
      <c r="C365" s="30" t="s">
        <v>283</v>
      </c>
      <c r="D365" s="26" t="s">
        <v>18</v>
      </c>
      <c r="E365" s="27" t="s">
        <v>284</v>
      </c>
      <c r="F365" s="26" t="s">
        <v>296</v>
      </c>
      <c r="G365" s="28" t="s">
        <v>422</v>
      </c>
      <c r="H365" s="28" t="s">
        <v>422</v>
      </c>
      <c r="I365" s="32"/>
      <c r="J365" s="41">
        <v>45569</v>
      </c>
      <c r="K365" s="41">
        <v>45600</v>
      </c>
      <c r="L365" s="41">
        <v>45601</v>
      </c>
      <c r="M365" s="59"/>
      <c r="N365" s="59"/>
      <c r="O365" s="135" t="s">
        <v>13</v>
      </c>
    </row>
    <row r="366" spans="1:15" ht="16.2" customHeight="1">
      <c r="A366" s="7" t="str">
        <f t="shared" si="8"/>
        <v>modesg_out_empr_info_nfinn.a.</v>
      </c>
      <c r="B366" s="31" t="s">
        <v>10</v>
      </c>
      <c r="C366" s="30" t="s">
        <v>283</v>
      </c>
      <c r="D366" s="26" t="s">
        <v>15</v>
      </c>
      <c r="E366" s="27" t="s">
        <v>297</v>
      </c>
      <c r="F366" s="26" t="s">
        <v>17</v>
      </c>
      <c r="G366" s="28" t="s">
        <v>422</v>
      </c>
      <c r="H366" s="28" t="s">
        <v>422</v>
      </c>
      <c r="I366" s="42"/>
      <c r="J366" s="41">
        <v>45512</v>
      </c>
      <c r="K366" s="41" t="s">
        <v>576</v>
      </c>
      <c r="L366" s="41" t="s">
        <v>576</v>
      </c>
      <c r="M366" s="59"/>
      <c r="N366" s="59"/>
      <c r="O366" s="135" t="s">
        <v>13</v>
      </c>
    </row>
    <row r="367" spans="1:15" ht="16.2" customHeight="1">
      <c r="A367" s="7" t="str">
        <f t="shared" si="8"/>
        <v>modesg_out_empr_info_nfincca_capex_enblng_algnd</v>
      </c>
      <c r="B367" s="31" t="s">
        <v>10</v>
      </c>
      <c r="C367" s="30" t="s">
        <v>283</v>
      </c>
      <c r="D367" s="26" t="s">
        <v>18</v>
      </c>
      <c r="E367" s="27" t="s">
        <v>297</v>
      </c>
      <c r="F367" s="26" t="s">
        <v>223</v>
      </c>
      <c r="G367" s="28" t="s">
        <v>422</v>
      </c>
      <c r="H367" s="28" t="s">
        <v>425</v>
      </c>
      <c r="I367" s="42" t="s">
        <v>466</v>
      </c>
      <c r="J367" s="41">
        <v>45561</v>
      </c>
      <c r="K367" s="41">
        <v>45614</v>
      </c>
      <c r="L367" s="41">
        <v>45615</v>
      </c>
      <c r="M367" s="59"/>
      <c r="N367" s="59"/>
      <c r="O367" s="135" t="s">
        <v>13</v>
      </c>
    </row>
    <row r="368" spans="1:15" ht="16.2" customHeight="1">
      <c r="A368" s="7" t="str">
        <f t="shared" si="8"/>
        <v>modesg_out_empr_info_nfincca_capex_own_prfrmnce_algnd</v>
      </c>
      <c r="B368" s="31" t="s">
        <v>10</v>
      </c>
      <c r="C368" s="30" t="s">
        <v>283</v>
      </c>
      <c r="D368" s="26" t="s">
        <v>18</v>
      </c>
      <c r="E368" s="27" t="s">
        <v>297</v>
      </c>
      <c r="F368" s="26" t="s">
        <v>224</v>
      </c>
      <c r="G368" s="28" t="s">
        <v>422</v>
      </c>
      <c r="H368" s="28" t="s">
        <v>425</v>
      </c>
      <c r="I368" s="42" t="s">
        <v>466</v>
      </c>
      <c r="J368" s="41">
        <v>45561</v>
      </c>
      <c r="K368" s="41">
        <v>45614</v>
      </c>
      <c r="L368" s="41">
        <v>45615</v>
      </c>
      <c r="M368" s="59"/>
      <c r="N368" s="59"/>
      <c r="O368" s="135" t="s">
        <v>13</v>
      </c>
    </row>
    <row r="369" spans="1:15" ht="16.2" customHeight="1">
      <c r="A369" s="7" t="str">
        <f t="shared" si="8"/>
        <v>modesg_out_empr_info_nfincca_capex_ttl_elgbl</v>
      </c>
      <c r="B369" s="31" t="s">
        <v>10</v>
      </c>
      <c r="C369" s="30" t="s">
        <v>283</v>
      </c>
      <c r="D369" s="26" t="s">
        <v>18</v>
      </c>
      <c r="E369" s="27" t="s">
        <v>297</v>
      </c>
      <c r="F369" s="26" t="s">
        <v>222</v>
      </c>
      <c r="G369" s="28" t="s">
        <v>422</v>
      </c>
      <c r="H369" s="28" t="s">
        <v>425</v>
      </c>
      <c r="I369" s="42" t="s">
        <v>466</v>
      </c>
      <c r="J369" s="41">
        <v>45561</v>
      </c>
      <c r="K369" s="41">
        <v>45614</v>
      </c>
      <c r="L369" s="41">
        <v>45615</v>
      </c>
      <c r="M369" s="59"/>
      <c r="N369" s="59"/>
      <c r="O369" s="135" t="s">
        <v>13</v>
      </c>
    </row>
    <row r="370" spans="1:15" ht="16.2" customHeight="1">
      <c r="A370" s="7" t="str">
        <f t="shared" si="8"/>
        <v>modesg_out_empr_info_nfincca_trnvr_enblng_alignd</v>
      </c>
      <c r="B370" s="31" t="s">
        <v>10</v>
      </c>
      <c r="C370" s="30" t="s">
        <v>283</v>
      </c>
      <c r="D370" s="26" t="s">
        <v>18</v>
      </c>
      <c r="E370" s="27" t="s">
        <v>297</v>
      </c>
      <c r="F370" s="26" t="s">
        <v>220</v>
      </c>
      <c r="G370" s="28" t="s">
        <v>422</v>
      </c>
      <c r="H370" s="28" t="s">
        <v>425</v>
      </c>
      <c r="I370" s="42" t="s">
        <v>466</v>
      </c>
      <c r="J370" s="41">
        <v>45561</v>
      </c>
      <c r="K370" s="41">
        <v>45614</v>
      </c>
      <c r="L370" s="41">
        <v>45615</v>
      </c>
      <c r="M370" s="59"/>
      <c r="N370" s="59"/>
      <c r="O370" s="135" t="s">
        <v>13</v>
      </c>
    </row>
    <row r="371" spans="1:15" ht="16.2" customHeight="1">
      <c r="A371" s="7" t="str">
        <f t="shared" si="8"/>
        <v>modesg_out_empr_info_nfincca_trnvr_ttl_elgbl</v>
      </c>
      <c r="B371" s="31" t="s">
        <v>10</v>
      </c>
      <c r="C371" s="30" t="s">
        <v>283</v>
      </c>
      <c r="D371" s="26" t="s">
        <v>18</v>
      </c>
      <c r="E371" s="27" t="s">
        <v>297</v>
      </c>
      <c r="F371" s="26" t="s">
        <v>219</v>
      </c>
      <c r="G371" s="28" t="s">
        <v>422</v>
      </c>
      <c r="H371" s="28" t="s">
        <v>425</v>
      </c>
      <c r="I371" s="42" t="s">
        <v>466</v>
      </c>
      <c r="J371" s="41">
        <v>45561</v>
      </c>
      <c r="K371" s="41">
        <v>45614</v>
      </c>
      <c r="L371" s="41">
        <v>45615</v>
      </c>
      <c r="M371" s="59"/>
      <c r="N371" s="59"/>
      <c r="O371" s="135" t="s">
        <v>13</v>
      </c>
    </row>
    <row r="372" spans="1:15" ht="16.2" customHeight="1">
      <c r="A372" s="7" t="str">
        <f t="shared" si="8"/>
        <v>modesg_out_empr_info_nfincca_turnover_own_prfrmnce_algnd</v>
      </c>
      <c r="B372" s="31" t="s">
        <v>10</v>
      </c>
      <c r="C372" s="30" t="s">
        <v>283</v>
      </c>
      <c r="D372" s="26" t="s">
        <v>18</v>
      </c>
      <c r="E372" s="27" t="s">
        <v>297</v>
      </c>
      <c r="F372" s="26" t="s">
        <v>221</v>
      </c>
      <c r="G372" s="28" t="s">
        <v>422</v>
      </c>
      <c r="H372" s="28" t="s">
        <v>425</v>
      </c>
      <c r="I372" s="42" t="s">
        <v>466</v>
      </c>
      <c r="J372" s="41">
        <v>45561</v>
      </c>
      <c r="K372" s="41">
        <v>45614</v>
      </c>
      <c r="L372" s="41">
        <v>45615</v>
      </c>
      <c r="M372" s="59"/>
      <c r="N372" s="59"/>
      <c r="O372" s="135" t="s">
        <v>13</v>
      </c>
    </row>
    <row r="373" spans="1:15" ht="16.2" customHeight="1">
      <c r="A373" s="7" t="str">
        <f t="shared" si="8"/>
        <v>modesg_out_empr_info_nfinccm_capex_enblng_algnd</v>
      </c>
      <c r="B373" s="31" t="s">
        <v>10</v>
      </c>
      <c r="C373" s="30" t="s">
        <v>283</v>
      </c>
      <c r="D373" s="26" t="s">
        <v>18</v>
      </c>
      <c r="E373" s="27" t="s">
        <v>297</v>
      </c>
      <c r="F373" s="26" t="s">
        <v>230</v>
      </c>
      <c r="G373" s="28" t="s">
        <v>422</v>
      </c>
      <c r="H373" s="28" t="s">
        <v>425</v>
      </c>
      <c r="I373" s="42" t="s">
        <v>466</v>
      </c>
      <c r="J373" s="41">
        <v>45561</v>
      </c>
      <c r="K373" s="41">
        <v>45614</v>
      </c>
      <c r="L373" s="41">
        <v>45615</v>
      </c>
      <c r="M373" s="59"/>
      <c r="N373" s="59"/>
      <c r="O373" s="135" t="s">
        <v>13</v>
      </c>
    </row>
    <row r="374" spans="1:15" ht="16.2" customHeight="1">
      <c r="A374" s="7" t="str">
        <f t="shared" si="8"/>
        <v>modesg_out_empr_info_nfinccm_capex_own_prfrmnce_algnd</v>
      </c>
      <c r="B374" s="31" t="s">
        <v>10</v>
      </c>
      <c r="C374" s="30" t="s">
        <v>283</v>
      </c>
      <c r="D374" s="26" t="s">
        <v>18</v>
      </c>
      <c r="E374" s="27" t="s">
        <v>297</v>
      </c>
      <c r="F374" s="26" t="s">
        <v>232</v>
      </c>
      <c r="G374" s="28" t="s">
        <v>422</v>
      </c>
      <c r="H374" s="28" t="s">
        <v>425</v>
      </c>
      <c r="I374" s="42" t="s">
        <v>466</v>
      </c>
      <c r="J374" s="41">
        <v>45561</v>
      </c>
      <c r="K374" s="41">
        <v>45614</v>
      </c>
      <c r="L374" s="41">
        <v>45615</v>
      </c>
      <c r="M374" s="59"/>
      <c r="N374" s="59"/>
      <c r="O374" s="135" t="s">
        <v>13</v>
      </c>
    </row>
    <row r="375" spans="1:15" ht="16.2" customHeight="1">
      <c r="A375" s="7" t="str">
        <f t="shared" si="8"/>
        <v>modesg_out_empr_info_nfinccm_capex_trnstn_algnd</v>
      </c>
      <c r="B375" s="31" t="s">
        <v>10</v>
      </c>
      <c r="C375" s="30" t="s">
        <v>283</v>
      </c>
      <c r="D375" s="26" t="s">
        <v>18</v>
      </c>
      <c r="E375" s="27" t="s">
        <v>297</v>
      </c>
      <c r="F375" s="26" t="s">
        <v>231</v>
      </c>
      <c r="G375" s="28" t="s">
        <v>422</v>
      </c>
      <c r="H375" s="28" t="s">
        <v>425</v>
      </c>
      <c r="I375" s="42" t="s">
        <v>466</v>
      </c>
      <c r="J375" s="41">
        <v>45561</v>
      </c>
      <c r="K375" s="41">
        <v>45614</v>
      </c>
      <c r="L375" s="41">
        <v>45615</v>
      </c>
      <c r="M375" s="59"/>
      <c r="N375" s="59"/>
      <c r="O375" s="135" t="s">
        <v>13</v>
      </c>
    </row>
    <row r="376" spans="1:15" ht="16.2" customHeight="1">
      <c r="A376" s="7" t="str">
        <f t="shared" si="8"/>
        <v>modesg_out_empr_info_nfinccm_capex_ttl_elgbl</v>
      </c>
      <c r="B376" s="31" t="s">
        <v>10</v>
      </c>
      <c r="C376" s="30" t="s">
        <v>283</v>
      </c>
      <c r="D376" s="26" t="s">
        <v>18</v>
      </c>
      <c r="E376" s="27" t="s">
        <v>297</v>
      </c>
      <c r="F376" s="26" t="s">
        <v>229</v>
      </c>
      <c r="G376" s="28" t="s">
        <v>422</v>
      </c>
      <c r="H376" s="28" t="s">
        <v>425</v>
      </c>
      <c r="I376" s="42" t="s">
        <v>466</v>
      </c>
      <c r="J376" s="41">
        <v>45561</v>
      </c>
      <c r="K376" s="41">
        <v>45614</v>
      </c>
      <c r="L376" s="41">
        <v>45615</v>
      </c>
      <c r="M376" s="59"/>
      <c r="N376" s="59"/>
      <c r="O376" s="135" t="s">
        <v>13</v>
      </c>
    </row>
    <row r="377" spans="1:15" ht="16.2" customHeight="1">
      <c r="A377" s="7" t="str">
        <f t="shared" si="8"/>
        <v>modesg_out_empr_info_nfinccm_trnvr_enblng_algnd</v>
      </c>
      <c r="B377" s="31" t="s">
        <v>10</v>
      </c>
      <c r="C377" s="30" t="s">
        <v>283</v>
      </c>
      <c r="D377" s="26" t="s">
        <v>18</v>
      </c>
      <c r="E377" s="27" t="s">
        <v>297</v>
      </c>
      <c r="F377" s="26" t="s">
        <v>226</v>
      </c>
      <c r="G377" s="28" t="s">
        <v>422</v>
      </c>
      <c r="H377" s="28" t="s">
        <v>425</v>
      </c>
      <c r="I377" s="42" t="s">
        <v>466</v>
      </c>
      <c r="J377" s="41">
        <v>45561</v>
      </c>
      <c r="K377" s="41">
        <v>45614</v>
      </c>
      <c r="L377" s="41">
        <v>45615</v>
      </c>
      <c r="M377" s="59"/>
      <c r="N377" s="59"/>
      <c r="O377" s="135" t="s">
        <v>13</v>
      </c>
    </row>
    <row r="378" spans="1:15" ht="16.2" customHeight="1">
      <c r="A378" s="7" t="str">
        <f t="shared" si="8"/>
        <v>modesg_out_empr_info_nfinccm_trnvr_own_prfrmnce_algnd</v>
      </c>
      <c r="B378" s="31" t="s">
        <v>10</v>
      </c>
      <c r="C378" s="30" t="s">
        <v>283</v>
      </c>
      <c r="D378" s="26" t="s">
        <v>18</v>
      </c>
      <c r="E378" s="27" t="s">
        <v>297</v>
      </c>
      <c r="F378" s="26" t="s">
        <v>228</v>
      </c>
      <c r="G378" s="28" t="s">
        <v>422</v>
      </c>
      <c r="H378" s="28" t="s">
        <v>425</v>
      </c>
      <c r="I378" s="42" t="s">
        <v>466</v>
      </c>
      <c r="J378" s="41">
        <v>45561</v>
      </c>
      <c r="K378" s="41">
        <v>45614</v>
      </c>
      <c r="L378" s="41">
        <v>45615</v>
      </c>
      <c r="M378" s="59"/>
      <c r="N378" s="59"/>
      <c r="O378" s="135" t="s">
        <v>13</v>
      </c>
    </row>
    <row r="379" spans="1:15" ht="16.2" customHeight="1">
      <c r="A379" s="7" t="str">
        <f t="shared" si="8"/>
        <v>modesg_out_empr_info_nfinccm_trnvr_trnstn_alignd</v>
      </c>
      <c r="B379" s="31" t="s">
        <v>10</v>
      </c>
      <c r="C379" s="30" t="s">
        <v>283</v>
      </c>
      <c r="D379" s="26" t="s">
        <v>18</v>
      </c>
      <c r="E379" s="27" t="s">
        <v>297</v>
      </c>
      <c r="F379" s="26" t="s">
        <v>227</v>
      </c>
      <c r="G379" s="28" t="s">
        <v>422</v>
      </c>
      <c r="H379" s="28" t="s">
        <v>425</v>
      </c>
      <c r="I379" s="42" t="s">
        <v>466</v>
      </c>
      <c r="J379" s="41">
        <v>45561</v>
      </c>
      <c r="K379" s="41">
        <v>45614</v>
      </c>
      <c r="L379" s="41">
        <v>45615</v>
      </c>
      <c r="M379" s="59"/>
      <c r="N379" s="59"/>
      <c r="O379" s="135" t="s">
        <v>13</v>
      </c>
    </row>
    <row r="380" spans="1:15" ht="16.2" customHeight="1">
      <c r="A380" s="7" t="str">
        <f t="shared" si="8"/>
        <v>modesg_out_empr_info_nfinccm_trnvr_ttl_elgbl</v>
      </c>
      <c r="B380" s="31" t="s">
        <v>10</v>
      </c>
      <c r="C380" s="30" t="s">
        <v>283</v>
      </c>
      <c r="D380" s="26" t="s">
        <v>18</v>
      </c>
      <c r="E380" s="27" t="s">
        <v>297</v>
      </c>
      <c r="F380" s="26" t="s">
        <v>225</v>
      </c>
      <c r="G380" s="28" t="s">
        <v>422</v>
      </c>
      <c r="H380" s="28" t="s">
        <v>425</v>
      </c>
      <c r="I380" s="42" t="s">
        <v>466</v>
      </c>
      <c r="J380" s="41">
        <v>45561</v>
      </c>
      <c r="K380" s="41">
        <v>45614</v>
      </c>
      <c r="L380" s="41">
        <v>45615</v>
      </c>
      <c r="M380" s="59"/>
      <c r="N380" s="59"/>
      <c r="O380" s="135" t="s">
        <v>13</v>
      </c>
    </row>
    <row r="381" spans="1:15" ht="16.2" customHeight="1">
      <c r="A381" s="7" t="str">
        <f t="shared" si="8"/>
        <v>modesg_out_empr_info_nfincod_nace_esg</v>
      </c>
      <c r="B381" s="31" t="s">
        <v>10</v>
      </c>
      <c r="C381" s="30" t="s">
        <v>283</v>
      </c>
      <c r="D381" s="26" t="s">
        <v>18</v>
      </c>
      <c r="E381" s="27" t="s">
        <v>297</v>
      </c>
      <c r="F381" s="69" t="s">
        <v>255</v>
      </c>
      <c r="G381" s="70" t="s">
        <v>480</v>
      </c>
      <c r="H381" s="28" t="s">
        <v>480</v>
      </c>
      <c r="I381" s="42" t="s">
        <v>466</v>
      </c>
      <c r="J381" s="41">
        <v>45561</v>
      </c>
      <c r="K381" s="41">
        <v>45614</v>
      </c>
      <c r="L381" s="41">
        <v>45615</v>
      </c>
      <c r="M381" s="59"/>
      <c r="N381" s="59"/>
      <c r="O381" s="135" t="s">
        <v>13</v>
      </c>
    </row>
    <row r="382" spans="1:15" ht="16.2" customHeight="1">
      <c r="A382" s="7" t="str">
        <f t="shared" si="8"/>
        <v>modesg_out_empr_info_nfinflg_emprs_excl_paris</v>
      </c>
      <c r="B382" s="31" t="s">
        <v>10</v>
      </c>
      <c r="C382" s="30" t="s">
        <v>283</v>
      </c>
      <c r="D382" s="26" t="s">
        <v>18</v>
      </c>
      <c r="E382" s="27" t="s">
        <v>297</v>
      </c>
      <c r="F382" s="26" t="s">
        <v>298</v>
      </c>
      <c r="G382" s="28" t="s">
        <v>480</v>
      </c>
      <c r="H382" s="28" t="s">
        <v>480</v>
      </c>
      <c r="I382" s="42" t="s">
        <v>466</v>
      </c>
      <c r="J382" s="41">
        <v>45553</v>
      </c>
      <c r="K382" s="41">
        <v>45614</v>
      </c>
      <c r="L382" s="41">
        <v>45615</v>
      </c>
      <c r="M382" s="59"/>
      <c r="N382" s="59"/>
      <c r="O382" s="135" t="s">
        <v>13</v>
      </c>
    </row>
    <row r="383" spans="1:15" ht="16.2" customHeight="1">
      <c r="A383" s="7" t="str">
        <f t="shared" si="8"/>
        <v>modesg_out_empr_info_nfinflg_nfrd</v>
      </c>
      <c r="B383" s="31" t="s">
        <v>10</v>
      </c>
      <c r="C383" s="30" t="s">
        <v>283</v>
      </c>
      <c r="D383" s="26" t="s">
        <v>18</v>
      </c>
      <c r="E383" s="27" t="s">
        <v>297</v>
      </c>
      <c r="F383" s="26" t="s">
        <v>218</v>
      </c>
      <c r="G383" s="28" t="s">
        <v>480</v>
      </c>
      <c r="H383" s="28" t="s">
        <v>480</v>
      </c>
      <c r="I383" s="42" t="s">
        <v>466</v>
      </c>
      <c r="J383" s="41">
        <v>45553</v>
      </c>
      <c r="K383" s="41">
        <v>45614</v>
      </c>
      <c r="L383" s="41">
        <v>45615</v>
      </c>
      <c r="M383" s="59"/>
      <c r="N383" s="59"/>
      <c r="O383" s="135" t="s">
        <v>13</v>
      </c>
    </row>
    <row r="384" spans="1:15" ht="16.2" customHeight="1">
      <c r="A384" s="7" t="str">
        <f t="shared" si="8"/>
        <v>modesg_out_empr_info_nfinflg_rsc_fsc_agd</v>
      </c>
      <c r="B384" s="31" t="s">
        <v>10</v>
      </c>
      <c r="C384" s="30" t="s">
        <v>283</v>
      </c>
      <c r="D384" s="26" t="s">
        <v>18</v>
      </c>
      <c r="E384" s="27" t="s">
        <v>297</v>
      </c>
      <c r="F384" s="26" t="s">
        <v>256</v>
      </c>
      <c r="G384" s="28" t="s">
        <v>480</v>
      </c>
      <c r="H384" s="28" t="s">
        <v>427</v>
      </c>
      <c r="I384" s="42" t="s">
        <v>466</v>
      </c>
      <c r="J384" s="41">
        <v>45569</v>
      </c>
      <c r="K384" s="41">
        <v>45624</v>
      </c>
      <c r="L384" s="41">
        <v>45639</v>
      </c>
      <c r="M384" s="59"/>
      <c r="N384" s="59"/>
      <c r="O384" s="135" t="s">
        <v>13</v>
      </c>
    </row>
    <row r="385" spans="1:15" ht="16.2" customHeight="1">
      <c r="A385" s="7" t="str">
        <f t="shared" si="8"/>
        <v>modesg_out_empr_info_nfinflg_rsc_fsc_crnc</v>
      </c>
      <c r="B385" s="31" t="s">
        <v>10</v>
      </c>
      <c r="C385" s="30" t="s">
        <v>283</v>
      </c>
      <c r="D385" s="26" t="s">
        <v>18</v>
      </c>
      <c r="E385" s="27" t="s">
        <v>297</v>
      </c>
      <c r="F385" s="26" t="s">
        <v>257</v>
      </c>
      <c r="G385" s="28" t="s">
        <v>480</v>
      </c>
      <c r="H385" s="28" t="s">
        <v>427</v>
      </c>
      <c r="I385" s="42" t="s">
        <v>466</v>
      </c>
      <c r="J385" s="41">
        <v>45569</v>
      </c>
      <c r="K385" s="41">
        <v>45624</v>
      </c>
      <c r="L385" s="41">
        <v>45639</v>
      </c>
      <c r="M385" s="59"/>
      <c r="N385" s="59"/>
      <c r="O385" s="135" t="s">
        <v>13</v>
      </c>
    </row>
    <row r="386" spans="1:15" ht="16.2" customHeight="1">
      <c r="A386" s="7" t="str">
        <f t="shared" si="8"/>
        <v>modesg_out_empr_info_nfinorigem_alinhamentos</v>
      </c>
      <c r="B386" s="31" t="s">
        <v>10</v>
      </c>
      <c r="C386" s="30" t="s">
        <v>283</v>
      </c>
      <c r="D386" s="26" t="s">
        <v>18</v>
      </c>
      <c r="E386" s="27" t="s">
        <v>297</v>
      </c>
      <c r="F386" s="26" t="s">
        <v>299</v>
      </c>
      <c r="G386" s="28" t="s">
        <v>480</v>
      </c>
      <c r="H386" s="28" t="s">
        <v>480</v>
      </c>
      <c r="I386" s="42" t="s">
        <v>466</v>
      </c>
      <c r="J386" s="41">
        <v>45569</v>
      </c>
      <c r="K386" s="41">
        <v>45614</v>
      </c>
      <c r="L386" s="41">
        <v>45615</v>
      </c>
      <c r="M386" s="59"/>
      <c r="N386" s="59"/>
      <c r="O386" s="135" t="s">
        <v>13</v>
      </c>
    </row>
    <row r="387" spans="1:15" ht="16.2" customHeight="1">
      <c r="A387" s="7" t="str">
        <f t="shared" si="8"/>
        <v>modesg_out_empr_info_nfinorigem_flg_emprs_excl_paris</v>
      </c>
      <c r="B387" s="31" t="s">
        <v>10</v>
      </c>
      <c r="C387" s="30" t="s">
        <v>283</v>
      </c>
      <c r="D387" s="26" t="s">
        <v>18</v>
      </c>
      <c r="E387" s="27" t="s">
        <v>297</v>
      </c>
      <c r="F387" s="26" t="s">
        <v>300</v>
      </c>
      <c r="G387" s="28" t="s">
        <v>480</v>
      </c>
      <c r="H387" s="28" t="s">
        <v>480</v>
      </c>
      <c r="I387" s="42" t="s">
        <v>466</v>
      </c>
      <c r="J387" s="41">
        <v>45553</v>
      </c>
      <c r="K387" s="41">
        <v>45614</v>
      </c>
      <c r="L387" s="41">
        <v>45615</v>
      </c>
      <c r="M387" s="59"/>
      <c r="N387" s="59"/>
      <c r="O387" s="135" t="s">
        <v>13</v>
      </c>
    </row>
    <row r="388" spans="1:15" ht="16.2" customHeight="1">
      <c r="A388" s="7" t="str">
        <f t="shared" si="8"/>
        <v>modesg_out_empr_info_nfinorigem_flg_nfrd</v>
      </c>
      <c r="B388" s="31" t="s">
        <v>10</v>
      </c>
      <c r="C388" s="30" t="s">
        <v>283</v>
      </c>
      <c r="D388" s="26" t="s">
        <v>18</v>
      </c>
      <c r="E388" s="27" t="s">
        <v>297</v>
      </c>
      <c r="F388" s="26" t="s">
        <v>301</v>
      </c>
      <c r="G388" s="28" t="s">
        <v>480</v>
      </c>
      <c r="H388" s="28" t="s">
        <v>480</v>
      </c>
      <c r="I388" s="42" t="s">
        <v>466</v>
      </c>
      <c r="J388" s="41">
        <v>45553</v>
      </c>
      <c r="K388" s="41">
        <v>45614</v>
      </c>
      <c r="L388" s="41">
        <v>45615</v>
      </c>
      <c r="M388" s="59"/>
      <c r="N388" s="59"/>
      <c r="O388" s="135" t="s">
        <v>13</v>
      </c>
    </row>
    <row r="389" spans="1:15" ht="16.2" customHeight="1">
      <c r="A389" s="7" t="str">
        <f t="shared" si="8"/>
        <v>modesg_out_empr_info_nfinorigem_flg_rsc_fsc_agd</v>
      </c>
      <c r="B389" s="31" t="s">
        <v>10</v>
      </c>
      <c r="C389" s="30" t="s">
        <v>283</v>
      </c>
      <c r="D389" s="26" t="s">
        <v>18</v>
      </c>
      <c r="E389" s="27" t="s">
        <v>297</v>
      </c>
      <c r="F389" s="26" t="s">
        <v>289</v>
      </c>
      <c r="G389" s="28" t="s">
        <v>480</v>
      </c>
      <c r="H389" s="28" t="s">
        <v>427</v>
      </c>
      <c r="I389" s="42" t="s">
        <v>466</v>
      </c>
      <c r="J389" s="41">
        <v>45569</v>
      </c>
      <c r="K389" s="41">
        <v>45624</v>
      </c>
      <c r="L389" s="41">
        <v>45639</v>
      </c>
      <c r="M389" s="59"/>
      <c r="N389" s="59"/>
      <c r="O389" s="135" t="s">
        <v>13</v>
      </c>
    </row>
    <row r="390" spans="1:15" ht="16.2" customHeight="1">
      <c r="A390" s="7" t="str">
        <f t="shared" si="8"/>
        <v>modesg_out_empr_info_nfinorigem_flg_rsc_fsc_crnc</v>
      </c>
      <c r="B390" s="31" t="s">
        <v>10</v>
      </c>
      <c r="C390" s="30" t="s">
        <v>283</v>
      </c>
      <c r="D390" s="26" t="s">
        <v>18</v>
      </c>
      <c r="E390" s="27" t="s">
        <v>297</v>
      </c>
      <c r="F390" s="26" t="s">
        <v>290</v>
      </c>
      <c r="G390" s="28" t="s">
        <v>480</v>
      </c>
      <c r="H390" s="28" t="s">
        <v>427</v>
      </c>
      <c r="I390" s="42" t="s">
        <v>466</v>
      </c>
      <c r="J390" s="41">
        <v>45569</v>
      </c>
      <c r="K390" s="41">
        <v>45624</v>
      </c>
      <c r="L390" s="41">
        <v>45639</v>
      </c>
      <c r="M390" s="59"/>
      <c r="N390" s="59"/>
      <c r="O390" s="135" t="s">
        <v>13</v>
      </c>
    </row>
    <row r="391" spans="1:15" ht="16.2" customHeight="1">
      <c r="A391" s="7" t="str">
        <f t="shared" si="8"/>
        <v>modesg_out_empr_info_nfinorigem_scp1_emss</v>
      </c>
      <c r="B391" s="31" t="s">
        <v>10</v>
      </c>
      <c r="C391" s="30" t="s">
        <v>283</v>
      </c>
      <c r="D391" s="26" t="s">
        <v>18</v>
      </c>
      <c r="E391" s="27" t="s">
        <v>297</v>
      </c>
      <c r="F391" s="26" t="s">
        <v>291</v>
      </c>
      <c r="G391" s="28" t="s">
        <v>480</v>
      </c>
      <c r="H391" s="28" t="s">
        <v>480</v>
      </c>
      <c r="I391" s="42" t="s">
        <v>467</v>
      </c>
      <c r="J391" s="41">
        <v>45569</v>
      </c>
      <c r="K391" s="41">
        <v>45621</v>
      </c>
      <c r="L391" s="41">
        <v>45622</v>
      </c>
      <c r="M391" s="59"/>
      <c r="N391" s="59"/>
      <c r="O391" s="135" t="s">
        <v>13</v>
      </c>
    </row>
    <row r="392" spans="1:15" ht="16.2" customHeight="1">
      <c r="A392" s="7" t="str">
        <f t="shared" si="8"/>
        <v>modesg_out_empr_info_nfinorigem_scp2_emss</v>
      </c>
      <c r="B392" s="31" t="s">
        <v>10</v>
      </c>
      <c r="C392" s="30" t="s">
        <v>283</v>
      </c>
      <c r="D392" s="26" t="s">
        <v>18</v>
      </c>
      <c r="E392" s="27" t="s">
        <v>297</v>
      </c>
      <c r="F392" s="26" t="s">
        <v>292</v>
      </c>
      <c r="G392" s="28" t="s">
        <v>480</v>
      </c>
      <c r="H392" s="28" t="s">
        <v>480</v>
      </c>
      <c r="I392" s="42" t="s">
        <v>467</v>
      </c>
      <c r="J392" s="41">
        <v>45569</v>
      </c>
      <c r="K392" s="41">
        <v>45621</v>
      </c>
      <c r="L392" s="41">
        <v>45622</v>
      </c>
      <c r="M392" s="59"/>
      <c r="N392" s="59"/>
      <c r="O392" s="135" t="s">
        <v>13</v>
      </c>
    </row>
    <row r="393" spans="1:15" ht="16.2" customHeight="1">
      <c r="A393" s="7" t="str">
        <f t="shared" si="8"/>
        <v>modesg_out_empr_info_nfinorigem_scp3_emss</v>
      </c>
      <c r="B393" s="31" t="s">
        <v>10</v>
      </c>
      <c r="C393" s="30" t="s">
        <v>283</v>
      </c>
      <c r="D393" s="26" t="s">
        <v>18</v>
      </c>
      <c r="E393" s="27" t="s">
        <v>297</v>
      </c>
      <c r="F393" s="26" t="s">
        <v>293</v>
      </c>
      <c r="G393" s="28" t="s">
        <v>480</v>
      </c>
      <c r="H393" s="28" t="s">
        <v>480</v>
      </c>
      <c r="I393" s="42" t="s">
        <v>467</v>
      </c>
      <c r="J393" s="41">
        <v>45569</v>
      </c>
      <c r="K393" s="41">
        <v>45621</v>
      </c>
      <c r="L393" s="41">
        <v>45622</v>
      </c>
      <c r="M393" s="59"/>
      <c r="N393" s="59"/>
      <c r="O393" s="135" t="s">
        <v>13</v>
      </c>
    </row>
    <row r="394" spans="1:15" ht="16.2" customHeight="1">
      <c r="A394" s="7" t="str">
        <f t="shared" si="8"/>
        <v>modesg_out_empr_info_nfinref_date</v>
      </c>
      <c r="B394" s="31" t="s">
        <v>10</v>
      </c>
      <c r="C394" s="30" t="s">
        <v>283</v>
      </c>
      <c r="D394" s="26" t="s">
        <v>18</v>
      </c>
      <c r="E394" s="27" t="s">
        <v>297</v>
      </c>
      <c r="F394" s="26" t="s">
        <v>181</v>
      </c>
      <c r="G394" s="28" t="s">
        <v>422</v>
      </c>
      <c r="H394" s="28" t="s">
        <v>422</v>
      </c>
      <c r="I394" s="42"/>
      <c r="J394" s="41" t="s">
        <v>576</v>
      </c>
      <c r="K394" s="41" t="s">
        <v>576</v>
      </c>
      <c r="L394" s="41" t="s">
        <v>576</v>
      </c>
      <c r="M394" s="59"/>
      <c r="N394" s="59"/>
      <c r="O394" s="135" t="s">
        <v>13</v>
      </c>
    </row>
    <row r="395" spans="1:15" ht="16.2" customHeight="1">
      <c r="A395" s="7" t="str">
        <f t="shared" si="8"/>
        <v>modesg_out_empr_info_nfinscp1_emss</v>
      </c>
      <c r="B395" s="31" t="s">
        <v>10</v>
      </c>
      <c r="C395" s="30" t="s">
        <v>283</v>
      </c>
      <c r="D395" s="26" t="s">
        <v>18</v>
      </c>
      <c r="E395" s="27" t="s">
        <v>297</v>
      </c>
      <c r="F395" s="26" t="s">
        <v>259</v>
      </c>
      <c r="G395" s="28" t="s">
        <v>480</v>
      </c>
      <c r="H395" s="28" t="s">
        <v>480</v>
      </c>
      <c r="I395" s="42" t="s">
        <v>467</v>
      </c>
      <c r="J395" s="41">
        <v>45569</v>
      </c>
      <c r="K395" s="41">
        <v>45621</v>
      </c>
      <c r="L395" s="41">
        <v>45622</v>
      </c>
      <c r="M395" s="59"/>
      <c r="N395" s="59"/>
      <c r="O395" s="135" t="s">
        <v>13</v>
      </c>
    </row>
    <row r="396" spans="1:15" ht="16.2" customHeight="1">
      <c r="A396" s="7" t="str">
        <f t="shared" si="8"/>
        <v>modesg_out_empr_info_nfinscp2_emss</v>
      </c>
      <c r="B396" s="31" t="s">
        <v>10</v>
      </c>
      <c r="C396" s="30" t="s">
        <v>283</v>
      </c>
      <c r="D396" s="26" t="s">
        <v>18</v>
      </c>
      <c r="E396" s="27" t="s">
        <v>297</v>
      </c>
      <c r="F396" s="26" t="s">
        <v>260</v>
      </c>
      <c r="G396" s="28" t="s">
        <v>480</v>
      </c>
      <c r="H396" s="28" t="s">
        <v>480</v>
      </c>
      <c r="I396" s="42" t="s">
        <v>467</v>
      </c>
      <c r="J396" s="41">
        <v>45569</v>
      </c>
      <c r="K396" s="41">
        <v>45621</v>
      </c>
      <c r="L396" s="41">
        <v>45622</v>
      </c>
      <c r="M396" s="59"/>
      <c r="N396" s="59"/>
      <c r="O396" s="135" t="s">
        <v>13</v>
      </c>
    </row>
    <row r="397" spans="1:15" ht="16.2" customHeight="1">
      <c r="A397" s="7" t="str">
        <f t="shared" si="8"/>
        <v>modesg_out_empr_info_nfinscp3_emss</v>
      </c>
      <c r="B397" s="31" t="s">
        <v>10</v>
      </c>
      <c r="C397" s="30" t="s">
        <v>283</v>
      </c>
      <c r="D397" s="26" t="s">
        <v>18</v>
      </c>
      <c r="E397" s="27" t="s">
        <v>297</v>
      </c>
      <c r="F397" s="26" t="s">
        <v>261</v>
      </c>
      <c r="G397" s="28" t="s">
        <v>480</v>
      </c>
      <c r="H397" s="28" t="s">
        <v>480</v>
      </c>
      <c r="I397" s="42" t="s">
        <v>467</v>
      </c>
      <c r="J397" s="41">
        <v>45569</v>
      </c>
      <c r="K397" s="41">
        <v>45621</v>
      </c>
      <c r="L397" s="41">
        <v>45622</v>
      </c>
      <c r="M397" s="59"/>
      <c r="N397" s="59"/>
      <c r="O397" s="135" t="s">
        <v>13</v>
      </c>
    </row>
    <row r="398" spans="1:15" ht="16.2" customHeight="1">
      <c r="A398" s="7" t="str">
        <f t="shared" si="8"/>
        <v>modesg_out_empr_info_nfinzcliente</v>
      </c>
      <c r="B398" s="31" t="s">
        <v>10</v>
      </c>
      <c r="C398" s="30" t="s">
        <v>283</v>
      </c>
      <c r="D398" s="26" t="s">
        <v>18</v>
      </c>
      <c r="E398" s="27" t="s">
        <v>297</v>
      </c>
      <c r="F398" s="26" t="s">
        <v>182</v>
      </c>
      <c r="G398" s="28" t="s">
        <v>422</v>
      </c>
      <c r="H398" s="28" t="s">
        <v>422</v>
      </c>
      <c r="I398" s="42"/>
      <c r="J398" s="41" t="s">
        <v>576</v>
      </c>
      <c r="K398" s="41" t="s">
        <v>576</v>
      </c>
      <c r="L398" s="41" t="s">
        <v>576</v>
      </c>
      <c r="M398" s="59"/>
      <c r="N398" s="59"/>
      <c r="O398" s="135" t="s">
        <v>13</v>
      </c>
    </row>
    <row r="399" spans="1:15" ht="16.2" customHeight="1">
      <c r="A399" s="7" t="str">
        <f t="shared" si="8"/>
        <v>modesg_out_emss_vclsn.a.</v>
      </c>
      <c r="B399" s="31" t="s">
        <v>10</v>
      </c>
      <c r="C399" s="30" t="s">
        <v>283</v>
      </c>
      <c r="D399" s="26" t="s">
        <v>15</v>
      </c>
      <c r="E399" s="27" t="s">
        <v>302</v>
      </c>
      <c r="F399" s="26" t="s">
        <v>17</v>
      </c>
      <c r="G399" s="28" t="s">
        <v>422</v>
      </c>
      <c r="H399" s="28" t="s">
        <v>422</v>
      </c>
      <c r="I399" s="32" t="s">
        <v>468</v>
      </c>
      <c r="J399" s="41">
        <v>45560</v>
      </c>
      <c r="K399" s="41">
        <v>45607</v>
      </c>
      <c r="L399" s="41">
        <v>45608</v>
      </c>
      <c r="M399" s="59"/>
      <c r="N399" s="59"/>
      <c r="O399" s="135" t="s">
        <v>13</v>
      </c>
    </row>
    <row r="400" spans="1:15" ht="16.2" customHeight="1">
      <c r="A400" s="7" t="str">
        <f t="shared" si="8"/>
        <v>modesg_out_emss_vclscempbem</v>
      </c>
      <c r="B400" s="31" t="s">
        <v>10</v>
      </c>
      <c r="C400" s="30" t="s">
        <v>283</v>
      </c>
      <c r="D400" s="26" t="s">
        <v>18</v>
      </c>
      <c r="E400" s="27" t="s">
        <v>302</v>
      </c>
      <c r="F400" s="26" t="s">
        <v>285</v>
      </c>
      <c r="G400" s="28" t="s">
        <v>422</v>
      </c>
      <c r="H400" s="28" t="s">
        <v>422</v>
      </c>
      <c r="I400" s="42"/>
      <c r="J400" s="41" t="s">
        <v>576</v>
      </c>
      <c r="K400" s="41" t="s">
        <v>576</v>
      </c>
      <c r="L400" s="41" t="s">
        <v>576</v>
      </c>
      <c r="M400" s="59"/>
      <c r="N400" s="59"/>
      <c r="O400" s="135" t="s">
        <v>13</v>
      </c>
    </row>
    <row r="401" spans="1:15" ht="16.2" customHeight="1">
      <c r="A401" s="7" t="str">
        <f t="shared" si="8"/>
        <v>modesg_out_emss_vclsckbalbem</v>
      </c>
      <c r="B401" s="31" t="s">
        <v>10</v>
      </c>
      <c r="C401" s="30" t="s">
        <v>283</v>
      </c>
      <c r="D401" s="26" t="s">
        <v>18</v>
      </c>
      <c r="E401" s="27" t="s">
        <v>302</v>
      </c>
      <c r="F401" s="26" t="s">
        <v>286</v>
      </c>
      <c r="G401" s="28" t="s">
        <v>422</v>
      </c>
      <c r="H401" s="28" t="s">
        <v>422</v>
      </c>
      <c r="I401" s="42"/>
      <c r="J401" s="41" t="s">
        <v>576</v>
      </c>
      <c r="K401" s="41" t="s">
        <v>576</v>
      </c>
      <c r="L401" s="41" t="s">
        <v>576</v>
      </c>
      <c r="M401" s="59"/>
      <c r="N401" s="59"/>
      <c r="O401" s="135" t="s">
        <v>13</v>
      </c>
    </row>
    <row r="402" spans="1:15" ht="16.2" customHeight="1">
      <c r="A402" s="7" t="str">
        <f t="shared" si="8"/>
        <v>modesg_out_emss_vclsckctabem</v>
      </c>
      <c r="B402" s="31" t="s">
        <v>10</v>
      </c>
      <c r="C402" s="30" t="s">
        <v>283</v>
      </c>
      <c r="D402" s="26" t="s">
        <v>18</v>
      </c>
      <c r="E402" s="27" t="s">
        <v>302</v>
      </c>
      <c r="F402" s="26" t="s">
        <v>287</v>
      </c>
      <c r="G402" s="28" t="s">
        <v>422</v>
      </c>
      <c r="H402" s="28" t="s">
        <v>422</v>
      </c>
      <c r="I402" s="42"/>
      <c r="J402" s="41" t="s">
        <v>576</v>
      </c>
      <c r="K402" s="41" t="s">
        <v>576</v>
      </c>
      <c r="L402" s="41" t="s">
        <v>576</v>
      </c>
      <c r="M402" s="59"/>
      <c r="N402" s="59"/>
      <c r="O402" s="135" t="s">
        <v>13</v>
      </c>
    </row>
    <row r="403" spans="1:15" ht="16.2" customHeight="1">
      <c r="A403" s="7" t="str">
        <f t="shared" ref="A403:A466" si="9">E403&amp;F403</f>
        <v>modesg_out_emss_vclsckrefbem</v>
      </c>
      <c r="B403" s="31" t="s">
        <v>10</v>
      </c>
      <c r="C403" s="30" t="s">
        <v>283</v>
      </c>
      <c r="D403" s="26" t="s">
        <v>18</v>
      </c>
      <c r="E403" s="27" t="s">
        <v>302</v>
      </c>
      <c r="F403" s="26" t="s">
        <v>288</v>
      </c>
      <c r="G403" s="28" t="s">
        <v>422</v>
      </c>
      <c r="H403" s="28" t="s">
        <v>422</v>
      </c>
      <c r="I403" s="42"/>
      <c r="J403" s="41" t="s">
        <v>576</v>
      </c>
      <c r="K403" s="41" t="s">
        <v>576</v>
      </c>
      <c r="L403" s="41" t="s">
        <v>576</v>
      </c>
      <c r="M403" s="59"/>
      <c r="N403" s="59"/>
      <c r="O403" s="135" t="s">
        <v>13</v>
      </c>
    </row>
    <row r="404" spans="1:15" ht="16.2" customHeight="1">
      <c r="A404" s="7" t="str">
        <f t="shared" si="9"/>
        <v>modesg_out_emss_vclscnsm_co2</v>
      </c>
      <c r="B404" s="31" t="s">
        <v>10</v>
      </c>
      <c r="C404" s="30" t="s">
        <v>283</v>
      </c>
      <c r="D404" s="26" t="s">
        <v>18</v>
      </c>
      <c r="E404" s="27" t="s">
        <v>302</v>
      </c>
      <c r="F404" s="26" t="s">
        <v>161</v>
      </c>
      <c r="G404" s="28" t="s">
        <v>422</v>
      </c>
      <c r="H404" s="28" t="s">
        <v>422</v>
      </c>
      <c r="I404" s="32" t="s">
        <v>468</v>
      </c>
      <c r="J404" s="41">
        <v>45559</v>
      </c>
      <c r="K404" s="41">
        <v>45607</v>
      </c>
      <c r="L404" s="41">
        <v>45608</v>
      </c>
      <c r="M404" s="59"/>
      <c r="N404" s="59"/>
      <c r="O404" s="135" t="s">
        <v>13</v>
      </c>
    </row>
    <row r="405" spans="1:15" ht="16.2" customHeight="1">
      <c r="A405" s="7" t="str">
        <f t="shared" si="9"/>
        <v>modesg_out_emss_vclsorigem_scp1_emss</v>
      </c>
      <c r="B405" s="31" t="s">
        <v>10</v>
      </c>
      <c r="C405" s="30" t="s">
        <v>283</v>
      </c>
      <c r="D405" s="26" t="s">
        <v>18</v>
      </c>
      <c r="E405" s="27" t="s">
        <v>302</v>
      </c>
      <c r="F405" s="26" t="s">
        <v>291</v>
      </c>
      <c r="G405" s="28" t="s">
        <v>422</v>
      </c>
      <c r="H405" s="28" t="s">
        <v>422</v>
      </c>
      <c r="I405" s="32" t="s">
        <v>468</v>
      </c>
      <c r="J405" s="41">
        <v>45621</v>
      </c>
      <c r="K405" s="41">
        <v>45607</v>
      </c>
      <c r="L405" s="41">
        <v>45608</v>
      </c>
      <c r="M405" s="59"/>
      <c r="N405" s="59"/>
      <c r="O405" s="135" t="s">
        <v>13</v>
      </c>
    </row>
    <row r="406" spans="1:15" ht="16.2" customHeight="1">
      <c r="A406" s="7" t="str">
        <f t="shared" si="9"/>
        <v>modesg_out_emss_vclsorigem_scp2_emss</v>
      </c>
      <c r="B406" s="31" t="s">
        <v>10</v>
      </c>
      <c r="C406" s="30" t="s">
        <v>283</v>
      </c>
      <c r="D406" s="26" t="s">
        <v>18</v>
      </c>
      <c r="E406" s="27" t="s">
        <v>302</v>
      </c>
      <c r="F406" s="26" t="s">
        <v>292</v>
      </c>
      <c r="G406" s="28" t="s">
        <v>422</v>
      </c>
      <c r="H406" s="28" t="s">
        <v>422</v>
      </c>
      <c r="I406" s="32" t="s">
        <v>468</v>
      </c>
      <c r="J406" s="41">
        <v>45621</v>
      </c>
      <c r="K406" s="41">
        <v>45607</v>
      </c>
      <c r="L406" s="41">
        <v>45608</v>
      </c>
      <c r="M406" s="59"/>
      <c r="N406" s="59"/>
      <c r="O406" s="135" t="s">
        <v>13</v>
      </c>
    </row>
    <row r="407" spans="1:15" ht="16.2" customHeight="1">
      <c r="A407" s="7" t="str">
        <f t="shared" si="9"/>
        <v>modesg_out_emss_vclsorigem_scp3_emss</v>
      </c>
      <c r="B407" s="31" t="s">
        <v>10</v>
      </c>
      <c r="C407" s="30" t="s">
        <v>283</v>
      </c>
      <c r="D407" s="26" t="s">
        <v>18</v>
      </c>
      <c r="E407" s="27" t="s">
        <v>302</v>
      </c>
      <c r="F407" s="26" t="s">
        <v>293</v>
      </c>
      <c r="G407" s="28" t="s">
        <v>422</v>
      </c>
      <c r="H407" s="28" t="s">
        <v>422</v>
      </c>
      <c r="I407" s="32" t="s">
        <v>468</v>
      </c>
      <c r="J407" s="41">
        <v>45569</v>
      </c>
      <c r="K407" s="41">
        <v>45607</v>
      </c>
      <c r="L407" s="41">
        <v>45608</v>
      </c>
      <c r="M407" s="59"/>
      <c r="N407" s="59"/>
      <c r="O407" s="135" t="s">
        <v>13</v>
      </c>
    </row>
    <row r="408" spans="1:15" ht="16.2" customHeight="1">
      <c r="A408" s="7" t="str">
        <f t="shared" si="9"/>
        <v>modesg_out_emss_vclsref_date</v>
      </c>
      <c r="B408" s="31" t="s">
        <v>10</v>
      </c>
      <c r="C408" s="30" t="s">
        <v>283</v>
      </c>
      <c r="D408" s="26" t="s">
        <v>18</v>
      </c>
      <c r="E408" s="27" t="s">
        <v>302</v>
      </c>
      <c r="F408" s="26" t="s">
        <v>181</v>
      </c>
      <c r="G408" s="28" t="s">
        <v>422</v>
      </c>
      <c r="H408" s="28" t="s">
        <v>422</v>
      </c>
      <c r="I408" s="42"/>
      <c r="J408" s="41" t="s">
        <v>576</v>
      </c>
      <c r="K408" s="41" t="s">
        <v>576</v>
      </c>
      <c r="L408" s="41" t="s">
        <v>576</v>
      </c>
      <c r="M408" s="59"/>
      <c r="N408" s="59"/>
      <c r="O408" s="135" t="s">
        <v>13</v>
      </c>
    </row>
    <row r="409" spans="1:15" ht="16.2" customHeight="1">
      <c r="A409" s="7" t="str">
        <f t="shared" si="9"/>
        <v>modesg_out_emss_vclsscp1_emss</v>
      </c>
      <c r="B409" s="31" t="s">
        <v>10</v>
      </c>
      <c r="C409" s="30" t="s">
        <v>283</v>
      </c>
      <c r="D409" s="26" t="s">
        <v>18</v>
      </c>
      <c r="E409" s="27" t="s">
        <v>302</v>
      </c>
      <c r="F409" s="26" t="s">
        <v>259</v>
      </c>
      <c r="G409" s="28" t="s">
        <v>422</v>
      </c>
      <c r="H409" s="28" t="s">
        <v>422</v>
      </c>
      <c r="I409" s="32" t="s">
        <v>468</v>
      </c>
      <c r="J409" s="41">
        <v>45621</v>
      </c>
      <c r="K409" s="41">
        <v>45607</v>
      </c>
      <c r="L409" s="41">
        <v>45608</v>
      </c>
      <c r="M409" s="59"/>
      <c r="N409" s="59"/>
      <c r="O409" s="135" t="s">
        <v>13</v>
      </c>
    </row>
    <row r="410" spans="1:15" ht="16.2" customHeight="1">
      <c r="A410" s="7" t="str">
        <f t="shared" si="9"/>
        <v>modesg_out_emss_vclsscp2_emss</v>
      </c>
      <c r="B410" s="31" t="s">
        <v>10</v>
      </c>
      <c r="C410" s="30" t="s">
        <v>283</v>
      </c>
      <c r="D410" s="26" t="s">
        <v>18</v>
      </c>
      <c r="E410" s="27" t="s">
        <v>302</v>
      </c>
      <c r="F410" s="26" t="s">
        <v>260</v>
      </c>
      <c r="G410" s="28" t="s">
        <v>422</v>
      </c>
      <c r="H410" s="28" t="s">
        <v>422</v>
      </c>
      <c r="I410" s="32" t="s">
        <v>468</v>
      </c>
      <c r="J410" s="41">
        <v>45621</v>
      </c>
      <c r="K410" s="41">
        <v>45607</v>
      </c>
      <c r="L410" s="41">
        <v>45608</v>
      </c>
      <c r="M410" s="59"/>
      <c r="N410" s="59"/>
      <c r="O410" s="135" t="s">
        <v>13</v>
      </c>
    </row>
    <row r="411" spans="1:15" ht="16.2" customHeight="1">
      <c r="A411" s="7" t="str">
        <f t="shared" si="9"/>
        <v>modesg_out_emss_vclsscp3_emss</v>
      </c>
      <c r="B411" s="31" t="s">
        <v>10</v>
      </c>
      <c r="C411" s="30" t="s">
        <v>283</v>
      </c>
      <c r="D411" s="26" t="s">
        <v>18</v>
      </c>
      <c r="E411" s="27" t="s">
        <v>302</v>
      </c>
      <c r="F411" s="26" t="s">
        <v>261</v>
      </c>
      <c r="G411" s="28" t="s">
        <v>422</v>
      </c>
      <c r="H411" s="28" t="s">
        <v>422</v>
      </c>
      <c r="I411" s="32" t="s">
        <v>468</v>
      </c>
      <c r="J411" s="41">
        <v>45569</v>
      </c>
      <c r="K411" s="41">
        <v>45607</v>
      </c>
      <c r="L411" s="41">
        <v>45608</v>
      </c>
      <c r="M411" s="59"/>
      <c r="N411" s="59"/>
      <c r="O411" s="135" t="s">
        <v>13</v>
      </c>
    </row>
    <row r="412" spans="1:15" ht="16.2" customHeight="1">
      <c r="A412" s="7" t="str">
        <f t="shared" si="9"/>
        <v>modesg_out_emss_vclsunidade_funcional_scp1_emss</v>
      </c>
      <c r="B412" s="31" t="s">
        <v>10</v>
      </c>
      <c r="C412" s="30" t="s">
        <v>283</v>
      </c>
      <c r="D412" s="26" t="s">
        <v>18</v>
      </c>
      <c r="E412" s="27" t="s">
        <v>302</v>
      </c>
      <c r="F412" s="26" t="s">
        <v>294</v>
      </c>
      <c r="G412" s="28" t="s">
        <v>422</v>
      </c>
      <c r="H412" s="28" t="s">
        <v>422</v>
      </c>
      <c r="I412" s="42"/>
      <c r="J412" s="41" t="s">
        <v>576</v>
      </c>
      <c r="K412" s="41" t="s">
        <v>576</v>
      </c>
      <c r="L412" s="41" t="s">
        <v>576</v>
      </c>
      <c r="M412" s="59"/>
      <c r="N412" s="59"/>
      <c r="O412" s="135" t="s">
        <v>13</v>
      </c>
    </row>
    <row r="413" spans="1:15" ht="16.2" customHeight="1">
      <c r="A413" s="7" t="str">
        <f t="shared" si="9"/>
        <v>modesg_out_emss_vclsunidade_funcional_scp2_emss</v>
      </c>
      <c r="B413" s="31" t="s">
        <v>10</v>
      </c>
      <c r="C413" s="30" t="s">
        <v>283</v>
      </c>
      <c r="D413" s="26" t="s">
        <v>18</v>
      </c>
      <c r="E413" s="27" t="s">
        <v>302</v>
      </c>
      <c r="F413" s="26" t="s">
        <v>295</v>
      </c>
      <c r="G413" s="28" t="s">
        <v>422</v>
      </c>
      <c r="H413" s="28" t="s">
        <v>422</v>
      </c>
      <c r="I413" s="42"/>
      <c r="J413" s="41" t="s">
        <v>576</v>
      </c>
      <c r="K413" s="41" t="s">
        <v>576</v>
      </c>
      <c r="L413" s="41" t="s">
        <v>576</v>
      </c>
      <c r="M413" s="59"/>
      <c r="N413" s="59"/>
      <c r="O413" s="135" t="s">
        <v>13</v>
      </c>
    </row>
    <row r="414" spans="1:15" ht="16.2" customHeight="1">
      <c r="A414" s="7" t="str">
        <f t="shared" si="9"/>
        <v>modesg_out_emss_vclsunidade_funcional_scp3_emss</v>
      </c>
      <c r="B414" s="31" t="s">
        <v>10</v>
      </c>
      <c r="C414" s="30" t="s">
        <v>283</v>
      </c>
      <c r="D414" s="26" t="s">
        <v>18</v>
      </c>
      <c r="E414" s="27" t="s">
        <v>302</v>
      </c>
      <c r="F414" s="26" t="s">
        <v>296</v>
      </c>
      <c r="G414" s="28" t="s">
        <v>422</v>
      </c>
      <c r="H414" s="28" t="s">
        <v>422</v>
      </c>
      <c r="I414" s="42"/>
      <c r="J414" s="41" t="s">
        <v>576</v>
      </c>
      <c r="K414" s="41" t="s">
        <v>576</v>
      </c>
      <c r="L414" s="41" t="s">
        <v>576</v>
      </c>
      <c r="M414" s="59"/>
      <c r="N414" s="59"/>
      <c r="O414" s="135" t="s">
        <v>13</v>
      </c>
    </row>
    <row r="415" spans="1:15" ht="16.2" customHeight="1">
      <c r="A415" s="7" t="str">
        <f t="shared" si="9"/>
        <v>modesg_out_sfcs_taxon_europeian.a.</v>
      </c>
      <c r="B415" s="31" t="s">
        <v>10</v>
      </c>
      <c r="C415" s="30" t="s">
        <v>283</v>
      </c>
      <c r="D415" s="26" t="s">
        <v>15</v>
      </c>
      <c r="E415" s="27" t="s">
        <v>303</v>
      </c>
      <c r="F415" s="26" t="s">
        <v>17</v>
      </c>
      <c r="G415" s="28" t="s">
        <v>480</v>
      </c>
      <c r="H415" s="28" t="s">
        <v>480</v>
      </c>
      <c r="I415" s="32" t="s">
        <v>466</v>
      </c>
      <c r="J415" s="41">
        <v>45563</v>
      </c>
      <c r="K415" s="41">
        <v>45624</v>
      </c>
      <c r="L415" s="41">
        <v>45629</v>
      </c>
      <c r="M415" s="59"/>
      <c r="N415" s="59"/>
      <c r="O415" s="135" t="s">
        <v>13</v>
      </c>
    </row>
    <row r="416" spans="1:15" ht="16.2" customHeight="1">
      <c r="A416" s="7" t="str">
        <f t="shared" si="9"/>
        <v>modesg_out_sfcs_taxon_europeiacbalcao</v>
      </c>
      <c r="B416" s="31" t="s">
        <v>10</v>
      </c>
      <c r="C416" s="30" t="s">
        <v>283</v>
      </c>
      <c r="D416" s="26" t="s">
        <v>18</v>
      </c>
      <c r="E416" s="27" t="s">
        <v>303</v>
      </c>
      <c r="F416" s="26" t="s">
        <v>156</v>
      </c>
      <c r="G416" s="28" t="s">
        <v>480</v>
      </c>
      <c r="H416" s="28" t="s">
        <v>480</v>
      </c>
      <c r="I416" s="32" t="s">
        <v>466</v>
      </c>
      <c r="J416" s="41">
        <v>45563</v>
      </c>
      <c r="K416" s="41">
        <v>45624</v>
      </c>
      <c r="L416" s="41">
        <v>45629</v>
      </c>
      <c r="M416" s="59"/>
      <c r="N416" s="59"/>
      <c r="O416" s="135" t="s">
        <v>13</v>
      </c>
    </row>
    <row r="417" spans="1:15" ht="16.2" customHeight="1">
      <c r="A417" s="7" t="str">
        <f t="shared" si="9"/>
        <v>modesg_out_sfcs_taxon_europeiacempresa</v>
      </c>
      <c r="B417" s="31" t="s">
        <v>10</v>
      </c>
      <c r="C417" s="30" t="s">
        <v>283</v>
      </c>
      <c r="D417" s="26" t="s">
        <v>18</v>
      </c>
      <c r="E417" s="27" t="s">
        <v>303</v>
      </c>
      <c r="F417" s="26" t="s">
        <v>157</v>
      </c>
      <c r="G417" s="28" t="s">
        <v>480</v>
      </c>
      <c r="H417" s="28" t="s">
        <v>480</v>
      </c>
      <c r="I417" s="32" t="s">
        <v>466</v>
      </c>
      <c r="J417" s="41">
        <v>45563</v>
      </c>
      <c r="K417" s="41">
        <v>45624</v>
      </c>
      <c r="L417" s="41">
        <v>45629</v>
      </c>
      <c r="M417" s="59"/>
      <c r="N417" s="59"/>
      <c r="O417" s="135" t="s">
        <v>13</v>
      </c>
    </row>
    <row r="418" spans="1:15" ht="16.2" customHeight="1">
      <c r="A418" s="7" t="str">
        <f t="shared" si="9"/>
        <v>modesg_out_sfcs_taxon_europeiacnumecta</v>
      </c>
      <c r="B418" s="31" t="s">
        <v>10</v>
      </c>
      <c r="C418" s="30" t="s">
        <v>283</v>
      </c>
      <c r="D418" s="26" t="s">
        <v>18</v>
      </c>
      <c r="E418" s="27" t="s">
        <v>303</v>
      </c>
      <c r="F418" s="26" t="s">
        <v>162</v>
      </c>
      <c r="G418" s="28" t="s">
        <v>480</v>
      </c>
      <c r="H418" s="28" t="s">
        <v>480</v>
      </c>
      <c r="I418" s="32" t="s">
        <v>466</v>
      </c>
      <c r="J418" s="41">
        <v>45563</v>
      </c>
      <c r="K418" s="41">
        <v>45624</v>
      </c>
      <c r="L418" s="41">
        <v>45629</v>
      </c>
      <c r="M418" s="59"/>
      <c r="N418" s="59"/>
      <c r="O418" s="135" t="s">
        <v>13</v>
      </c>
    </row>
    <row r="419" spans="1:15" ht="16.2" customHeight="1">
      <c r="A419" s="7" t="str">
        <f t="shared" si="9"/>
        <v>modesg_out_sfcs_taxon_europeiacod_regra</v>
      </c>
      <c r="B419" s="31" t="s">
        <v>10</v>
      </c>
      <c r="C419" s="30" t="s">
        <v>283</v>
      </c>
      <c r="D419" s="26" t="s">
        <v>18</v>
      </c>
      <c r="E419" s="27" t="s">
        <v>303</v>
      </c>
      <c r="F419" s="26" t="s">
        <v>164</v>
      </c>
      <c r="G419" s="28" t="s">
        <v>480</v>
      </c>
      <c r="H419" s="28" t="s">
        <v>480</v>
      </c>
      <c r="I419" s="32" t="s">
        <v>466</v>
      </c>
      <c r="J419" s="41">
        <v>45563</v>
      </c>
      <c r="K419" s="41">
        <v>45624</v>
      </c>
      <c r="L419" s="41">
        <v>45629</v>
      </c>
      <c r="M419" s="59"/>
      <c r="N419" s="59"/>
      <c r="O419" s="135" t="s">
        <v>13</v>
      </c>
    </row>
    <row r="420" spans="1:15" ht="16.2" customHeight="1">
      <c r="A420" s="7" t="str">
        <f t="shared" si="9"/>
        <v>modesg_out_sfcs_taxon_europeiaordem</v>
      </c>
      <c r="B420" s="31" t="s">
        <v>10</v>
      </c>
      <c r="C420" s="30" t="s">
        <v>283</v>
      </c>
      <c r="D420" s="26" t="s">
        <v>18</v>
      </c>
      <c r="E420" s="27" t="s">
        <v>303</v>
      </c>
      <c r="F420" s="26" t="s">
        <v>184</v>
      </c>
      <c r="G420" s="28" t="s">
        <v>421</v>
      </c>
      <c r="H420" s="28" t="s">
        <v>421</v>
      </c>
      <c r="I420" s="34" t="s">
        <v>465</v>
      </c>
      <c r="J420" s="41">
        <v>45562</v>
      </c>
      <c r="K420" s="41" t="s">
        <v>576</v>
      </c>
      <c r="L420" s="41" t="s">
        <v>576</v>
      </c>
      <c r="M420" s="59"/>
      <c r="N420" s="59"/>
      <c r="O420" s="135" t="s">
        <v>13</v>
      </c>
    </row>
    <row r="421" spans="1:15" ht="16.2" customHeight="1">
      <c r="A421" s="7" t="str">
        <f t="shared" si="9"/>
        <v>modesg_out_sfcs_taxon_europeiamontante_pndrc</v>
      </c>
      <c r="B421" s="31" t="s">
        <v>10</v>
      </c>
      <c r="C421" s="30" t="s">
        <v>283</v>
      </c>
      <c r="D421" s="26" t="s">
        <v>18</v>
      </c>
      <c r="E421" s="27" t="s">
        <v>303</v>
      </c>
      <c r="F421" s="26" t="s">
        <v>175</v>
      </c>
      <c r="G421" s="28" t="s">
        <v>480</v>
      </c>
      <c r="H421" s="28" t="s">
        <v>480</v>
      </c>
      <c r="I421" s="32" t="s">
        <v>466</v>
      </c>
      <c r="J421" s="41">
        <v>45563</v>
      </c>
      <c r="K421" s="41">
        <v>45624</v>
      </c>
      <c r="L421" s="41">
        <v>45629</v>
      </c>
      <c r="M421" s="59"/>
      <c r="N421" s="59"/>
      <c r="O421" s="135" t="s">
        <v>13</v>
      </c>
    </row>
    <row r="422" spans="1:15" ht="16.2" customHeight="1">
      <c r="A422" s="7" t="str">
        <f t="shared" si="9"/>
        <v>modesg_out_sfcs_taxon_europeianome_ctgr_sfcs</v>
      </c>
      <c r="B422" s="31" t="s">
        <v>10</v>
      </c>
      <c r="C422" s="30" t="s">
        <v>283</v>
      </c>
      <c r="D422" s="26" t="s">
        <v>18</v>
      </c>
      <c r="E422" s="27" t="s">
        <v>303</v>
      </c>
      <c r="F422" s="26" t="s">
        <v>176</v>
      </c>
      <c r="G422" s="28" t="s">
        <v>480</v>
      </c>
      <c r="H422" s="28" t="s">
        <v>480</v>
      </c>
      <c r="I422" s="32" t="s">
        <v>466</v>
      </c>
      <c r="J422" s="41">
        <v>45562</v>
      </c>
      <c r="K422" s="41">
        <v>45624</v>
      </c>
      <c r="L422" s="41">
        <v>45629</v>
      </c>
      <c r="M422" s="59"/>
      <c r="N422" s="59"/>
      <c r="O422" s="135" t="s">
        <v>13</v>
      </c>
    </row>
    <row r="423" spans="1:15" ht="16.2" customHeight="1">
      <c r="A423" s="7" t="str">
        <f t="shared" si="9"/>
        <v>modesg_out_sfcs_taxon_europeianome_general_specific_purpose</v>
      </c>
      <c r="B423" s="31" t="s">
        <v>10</v>
      </c>
      <c r="C423" s="30" t="s">
        <v>283</v>
      </c>
      <c r="D423" s="26" t="s">
        <v>18</v>
      </c>
      <c r="E423" s="27" t="s">
        <v>303</v>
      </c>
      <c r="F423" s="26" t="s">
        <v>177</v>
      </c>
      <c r="G423" s="28" t="s">
        <v>480</v>
      </c>
      <c r="H423" s="28" t="s">
        <v>480</v>
      </c>
      <c r="I423" s="32" t="s">
        <v>466</v>
      </c>
      <c r="J423" s="41">
        <v>45563</v>
      </c>
      <c r="K423" s="41">
        <v>45624</v>
      </c>
      <c r="L423" s="41">
        <v>45629</v>
      </c>
      <c r="M423" s="59"/>
      <c r="N423" s="59"/>
      <c r="O423" s="135" t="s">
        <v>13</v>
      </c>
    </row>
    <row r="424" spans="1:15" ht="16.2" customHeight="1">
      <c r="A424" s="7" t="str">
        <f t="shared" si="9"/>
        <v>modesg_out_sfcs_taxon_europeianome_purpose_esg</v>
      </c>
      <c r="B424" s="31" t="s">
        <v>10</v>
      </c>
      <c r="C424" s="30" t="s">
        <v>283</v>
      </c>
      <c r="D424" s="26" t="s">
        <v>18</v>
      </c>
      <c r="E424" s="27" t="s">
        <v>303</v>
      </c>
      <c r="F424" s="26" t="s">
        <v>178</v>
      </c>
      <c r="G424" s="28" t="s">
        <v>480</v>
      </c>
      <c r="H424" s="28" t="s">
        <v>480</v>
      </c>
      <c r="I424" s="32" t="s">
        <v>466</v>
      </c>
      <c r="J424" s="41">
        <v>45563</v>
      </c>
      <c r="K424" s="41">
        <v>45624</v>
      </c>
      <c r="L424" s="41">
        <v>45629</v>
      </c>
      <c r="M424" s="59"/>
      <c r="N424" s="59"/>
      <c r="O424" s="135" t="s">
        <v>13</v>
      </c>
    </row>
    <row r="425" spans="1:15" ht="16.2" customHeight="1">
      <c r="A425" s="7" t="str">
        <f t="shared" si="9"/>
        <v>modesg_out_sfcs_taxon_europeianome_specific_eligible</v>
      </c>
      <c r="B425" s="31" t="s">
        <v>10</v>
      </c>
      <c r="C425" s="30" t="s">
        <v>283</v>
      </c>
      <c r="D425" s="26" t="s">
        <v>18</v>
      </c>
      <c r="E425" s="27" t="s">
        <v>303</v>
      </c>
      <c r="F425" s="26" t="s">
        <v>179</v>
      </c>
      <c r="G425" s="28" t="s">
        <v>480</v>
      </c>
      <c r="H425" s="28" t="s">
        <v>480</v>
      </c>
      <c r="I425" s="32" t="s">
        <v>466</v>
      </c>
      <c r="J425" s="41">
        <v>45563</v>
      </c>
      <c r="K425" s="41">
        <v>45624</v>
      </c>
      <c r="L425" s="41">
        <v>45629</v>
      </c>
      <c r="M425" s="59"/>
      <c r="N425" s="59"/>
      <c r="O425" s="135" t="s">
        <v>13</v>
      </c>
    </row>
    <row r="426" spans="1:15" ht="16.2" customHeight="1">
      <c r="A426" s="7" t="str">
        <f t="shared" si="9"/>
        <v>modesg_out_sfcs_taxon_europeianome_specific_sustainable</v>
      </c>
      <c r="B426" s="31" t="s">
        <v>10</v>
      </c>
      <c r="C426" s="30" t="s">
        <v>283</v>
      </c>
      <c r="D426" s="26" t="s">
        <v>18</v>
      </c>
      <c r="E426" s="27" t="s">
        <v>303</v>
      </c>
      <c r="F426" s="26" t="s">
        <v>180</v>
      </c>
      <c r="G426" s="28" t="s">
        <v>480</v>
      </c>
      <c r="H426" s="28" t="s">
        <v>480</v>
      </c>
      <c r="I426" s="32" t="s">
        <v>466</v>
      </c>
      <c r="J426" s="41">
        <v>45563</v>
      </c>
      <c r="K426" s="41">
        <v>45624</v>
      </c>
      <c r="L426" s="41">
        <v>45629</v>
      </c>
      <c r="M426" s="59"/>
      <c r="N426" s="59"/>
      <c r="O426" s="135" t="s">
        <v>13</v>
      </c>
    </row>
    <row r="427" spans="1:15" ht="16.2" customHeight="1">
      <c r="A427" s="7" t="str">
        <f t="shared" si="9"/>
        <v>modesg_out_sfcs_taxon_europeiaorigem</v>
      </c>
      <c r="B427" s="31" t="s">
        <v>10</v>
      </c>
      <c r="C427" s="30" t="s">
        <v>283</v>
      </c>
      <c r="D427" s="26" t="s">
        <v>18</v>
      </c>
      <c r="E427" s="27" t="s">
        <v>303</v>
      </c>
      <c r="F427" s="26" t="s">
        <v>48</v>
      </c>
      <c r="G427" s="28" t="s">
        <v>422</v>
      </c>
      <c r="H427" s="28" t="s">
        <v>422</v>
      </c>
      <c r="I427" s="32"/>
      <c r="J427" s="41" t="s">
        <v>576</v>
      </c>
      <c r="K427" s="41" t="s">
        <v>576</v>
      </c>
      <c r="L427" s="41" t="s">
        <v>576</v>
      </c>
      <c r="M427" s="59"/>
      <c r="N427" s="59"/>
      <c r="O427" s="135" t="s">
        <v>13</v>
      </c>
    </row>
    <row r="428" spans="1:15" ht="16.2" customHeight="1">
      <c r="A428" s="7" t="str">
        <f t="shared" si="9"/>
        <v>modesg_out_sfcs_taxon_europeiaref_date</v>
      </c>
      <c r="B428" s="31" t="s">
        <v>10</v>
      </c>
      <c r="C428" s="30" t="s">
        <v>283</v>
      </c>
      <c r="D428" s="26" t="s">
        <v>18</v>
      </c>
      <c r="E428" s="27" t="s">
        <v>303</v>
      </c>
      <c r="F428" s="26" t="s">
        <v>181</v>
      </c>
      <c r="G428" s="28" t="s">
        <v>480</v>
      </c>
      <c r="H428" s="28" t="s">
        <v>480</v>
      </c>
      <c r="I428" s="32" t="s">
        <v>466</v>
      </c>
      <c r="J428" s="41">
        <v>45561</v>
      </c>
      <c r="K428" s="41">
        <v>45624</v>
      </c>
      <c r="L428" s="41">
        <v>45629</v>
      </c>
      <c r="M428" s="59"/>
      <c r="N428" s="59"/>
      <c r="O428" s="135" t="s">
        <v>13</v>
      </c>
    </row>
    <row r="429" spans="1:15" ht="16.2" customHeight="1">
      <c r="A429" s="7" t="str">
        <f t="shared" si="9"/>
        <v>modesg_out_sfcs_taxon_europeiazdeposit</v>
      </c>
      <c r="B429" s="31" t="s">
        <v>10</v>
      </c>
      <c r="C429" s="30" t="s">
        <v>283</v>
      </c>
      <c r="D429" s="26" t="s">
        <v>18</v>
      </c>
      <c r="E429" s="27" t="s">
        <v>303</v>
      </c>
      <c r="F429" s="26" t="s">
        <v>183</v>
      </c>
      <c r="G429" s="28" t="s">
        <v>480</v>
      </c>
      <c r="H429" s="28" t="s">
        <v>480</v>
      </c>
      <c r="I429" s="32" t="s">
        <v>466</v>
      </c>
      <c r="J429" s="41">
        <v>45561</v>
      </c>
      <c r="K429" s="41">
        <v>45624</v>
      </c>
      <c r="L429" s="41">
        <v>45629</v>
      </c>
      <c r="M429" s="59"/>
      <c r="N429" s="59"/>
      <c r="O429" s="135" t="s">
        <v>13</v>
      </c>
    </row>
    <row r="430" spans="1:15" ht="16.2" customHeight="1">
      <c r="A430" s="7" t="str">
        <f t="shared" si="9"/>
        <v>lt003_entitynace_esg</v>
      </c>
      <c r="B430" s="31" t="s">
        <v>10</v>
      </c>
      <c r="C430" s="30" t="s">
        <v>10</v>
      </c>
      <c r="D430" s="26" t="s">
        <v>18</v>
      </c>
      <c r="E430" s="29" t="s">
        <v>304</v>
      </c>
      <c r="F430" s="29" t="s">
        <v>305</v>
      </c>
      <c r="G430" s="28" t="s">
        <v>422</v>
      </c>
      <c r="H430" s="28" t="s">
        <v>480</v>
      </c>
      <c r="I430" s="32"/>
      <c r="J430" s="41">
        <v>45583</v>
      </c>
      <c r="K430" s="41" t="s">
        <v>576</v>
      </c>
      <c r="L430" s="41">
        <v>45596</v>
      </c>
      <c r="M430" s="59"/>
      <c r="N430" s="59"/>
      <c r="O430" s="135" t="s">
        <v>10</v>
      </c>
    </row>
    <row r="431" spans="1:15" ht="16.2" customHeight="1">
      <c r="A431" s="7" t="str">
        <f t="shared" si="9"/>
        <v>lt003_entitytxnmy_elgbl_capex_ccm</v>
      </c>
      <c r="B431" s="31" t="s">
        <v>10</v>
      </c>
      <c r="C431" s="30" t="s">
        <v>10</v>
      </c>
      <c r="D431" s="26" t="s">
        <v>18</v>
      </c>
      <c r="E431" s="29" t="s">
        <v>304</v>
      </c>
      <c r="F431" s="29" t="s">
        <v>306</v>
      </c>
      <c r="G431" s="28" t="s">
        <v>422</v>
      </c>
      <c r="H431" s="28" t="s">
        <v>422</v>
      </c>
      <c r="I431" s="32"/>
      <c r="J431" s="41">
        <v>45583</v>
      </c>
      <c r="K431" s="41">
        <v>45614</v>
      </c>
      <c r="L431" s="41">
        <v>45596</v>
      </c>
      <c r="M431" s="59"/>
      <c r="N431" s="59"/>
      <c r="O431" s="135" t="s">
        <v>10</v>
      </c>
    </row>
    <row r="432" spans="1:15" ht="16.2" customHeight="1">
      <c r="A432" s="7" t="str">
        <f t="shared" si="9"/>
        <v>lt003_entitytxnmy_elgbl_trnvr_ccm</v>
      </c>
      <c r="B432" s="31" t="s">
        <v>10</v>
      </c>
      <c r="C432" s="30" t="s">
        <v>10</v>
      </c>
      <c r="D432" s="26" t="s">
        <v>18</v>
      </c>
      <c r="E432" s="29" t="s">
        <v>304</v>
      </c>
      <c r="F432" s="29" t="s">
        <v>307</v>
      </c>
      <c r="G432" s="28" t="s">
        <v>422</v>
      </c>
      <c r="H432" s="28" t="s">
        <v>422</v>
      </c>
      <c r="I432" s="32"/>
      <c r="J432" s="41" t="s">
        <v>576</v>
      </c>
      <c r="K432" s="41">
        <v>45614</v>
      </c>
      <c r="L432" s="41">
        <v>45596</v>
      </c>
      <c r="M432" s="59"/>
      <c r="N432" s="59"/>
      <c r="O432" s="135" t="s">
        <v>10</v>
      </c>
    </row>
    <row r="433" spans="1:15" ht="16.2" customHeight="1">
      <c r="A433" s="7" t="str">
        <f t="shared" si="9"/>
        <v>lt003_entitytxnmy_elgbl_capex_cca</v>
      </c>
      <c r="B433" s="31" t="s">
        <v>10</v>
      </c>
      <c r="C433" s="30" t="s">
        <v>10</v>
      </c>
      <c r="D433" s="26" t="s">
        <v>18</v>
      </c>
      <c r="E433" s="29" t="s">
        <v>304</v>
      </c>
      <c r="F433" s="29" t="s">
        <v>308</v>
      </c>
      <c r="G433" s="28" t="s">
        <v>422</v>
      </c>
      <c r="H433" s="28" t="s">
        <v>422</v>
      </c>
      <c r="I433" s="32"/>
      <c r="J433" s="41" t="s">
        <v>576</v>
      </c>
      <c r="K433" s="41">
        <v>45614</v>
      </c>
      <c r="L433" s="41">
        <v>45596</v>
      </c>
      <c r="M433" s="59"/>
      <c r="N433" s="59"/>
      <c r="O433" s="135" t="s">
        <v>10</v>
      </c>
    </row>
    <row r="434" spans="1:15" ht="16.2" customHeight="1">
      <c r="A434" s="7" t="str">
        <f t="shared" si="9"/>
        <v>lt003_entitytxnmy_elgbl_trnvr_cca</v>
      </c>
      <c r="B434" s="31" t="s">
        <v>10</v>
      </c>
      <c r="C434" s="30" t="s">
        <v>10</v>
      </c>
      <c r="D434" s="26" t="s">
        <v>18</v>
      </c>
      <c r="E434" s="29" t="s">
        <v>304</v>
      </c>
      <c r="F434" s="29" t="s">
        <v>309</v>
      </c>
      <c r="G434" s="28" t="s">
        <v>422</v>
      </c>
      <c r="H434" s="28" t="s">
        <v>422</v>
      </c>
      <c r="I434" s="32"/>
      <c r="J434" s="41" t="s">
        <v>576</v>
      </c>
      <c r="K434" s="41">
        <v>45614</v>
      </c>
      <c r="L434" s="41">
        <v>45596</v>
      </c>
      <c r="M434" s="59"/>
      <c r="N434" s="59"/>
      <c r="O434" s="135" t="s">
        <v>10</v>
      </c>
    </row>
    <row r="435" spans="1:15" ht="16.2" customHeight="1">
      <c r="A435" s="7" t="str">
        <f t="shared" si="9"/>
        <v>lt003_entityenblng_capex_ccm</v>
      </c>
      <c r="B435" s="31" t="s">
        <v>10</v>
      </c>
      <c r="C435" s="30" t="s">
        <v>10</v>
      </c>
      <c r="D435" s="26" t="s">
        <v>18</v>
      </c>
      <c r="E435" s="29" t="s">
        <v>304</v>
      </c>
      <c r="F435" s="29" t="s">
        <v>310</v>
      </c>
      <c r="G435" s="28" t="s">
        <v>422</v>
      </c>
      <c r="H435" s="28" t="s">
        <v>422</v>
      </c>
      <c r="I435" s="32"/>
      <c r="J435" s="41" t="s">
        <v>576</v>
      </c>
      <c r="K435" s="41">
        <v>45614</v>
      </c>
      <c r="L435" s="41">
        <v>45596</v>
      </c>
      <c r="M435" s="59"/>
      <c r="N435" s="59"/>
      <c r="O435" s="135" t="s">
        <v>10</v>
      </c>
    </row>
    <row r="436" spans="1:15" ht="16.2" customHeight="1">
      <c r="A436" s="7" t="str">
        <f t="shared" si="9"/>
        <v>lt003_entityenblng_capex_cca</v>
      </c>
      <c r="B436" s="31" t="s">
        <v>10</v>
      </c>
      <c r="C436" s="30" t="s">
        <v>10</v>
      </c>
      <c r="D436" s="26" t="s">
        <v>18</v>
      </c>
      <c r="E436" s="29" t="s">
        <v>304</v>
      </c>
      <c r="F436" s="29" t="s">
        <v>311</v>
      </c>
      <c r="G436" s="28" t="s">
        <v>422</v>
      </c>
      <c r="H436" s="28" t="s">
        <v>422</v>
      </c>
      <c r="I436" s="32"/>
      <c r="J436" s="41" t="s">
        <v>576</v>
      </c>
      <c r="K436" s="41">
        <v>45614</v>
      </c>
      <c r="L436" s="41">
        <v>45596</v>
      </c>
      <c r="M436" s="59"/>
      <c r="N436" s="59"/>
      <c r="O436" s="135" t="s">
        <v>10</v>
      </c>
    </row>
    <row r="437" spans="1:15" ht="16.2" customHeight="1">
      <c r="A437" s="7" t="str">
        <f t="shared" si="9"/>
        <v>lt003_entitytrnstnl_capex</v>
      </c>
      <c r="B437" s="31" t="s">
        <v>10</v>
      </c>
      <c r="C437" s="30" t="s">
        <v>10</v>
      </c>
      <c r="D437" s="26" t="s">
        <v>18</v>
      </c>
      <c r="E437" s="29" t="s">
        <v>304</v>
      </c>
      <c r="F437" s="29" t="s">
        <v>312</v>
      </c>
      <c r="G437" s="28" t="s">
        <v>422</v>
      </c>
      <c r="H437" s="28" t="s">
        <v>422</v>
      </c>
      <c r="I437" s="32"/>
      <c r="J437" s="41" t="s">
        <v>576</v>
      </c>
      <c r="K437" s="41">
        <v>45614</v>
      </c>
      <c r="L437" s="41">
        <v>45596</v>
      </c>
      <c r="M437" s="59"/>
      <c r="N437" s="59"/>
      <c r="O437" s="135" t="s">
        <v>10</v>
      </c>
    </row>
    <row r="438" spans="1:15" ht="16.2" customHeight="1">
      <c r="A438" s="7" t="str">
        <f t="shared" si="9"/>
        <v>lt003_entitypure_capex_ccm</v>
      </c>
      <c r="B438" s="31" t="s">
        <v>10</v>
      </c>
      <c r="C438" s="30" t="s">
        <v>10</v>
      </c>
      <c r="D438" s="26" t="s">
        <v>18</v>
      </c>
      <c r="E438" s="29" t="s">
        <v>304</v>
      </c>
      <c r="F438" s="29" t="s">
        <v>313</v>
      </c>
      <c r="G438" s="28" t="s">
        <v>422</v>
      </c>
      <c r="H438" s="28" t="s">
        <v>422</v>
      </c>
      <c r="I438" s="32"/>
      <c r="J438" s="41" t="s">
        <v>576</v>
      </c>
      <c r="K438" s="41">
        <v>45614</v>
      </c>
      <c r="L438" s="41">
        <v>45596</v>
      </c>
      <c r="M438" s="59"/>
      <c r="N438" s="59"/>
      <c r="O438" s="135" t="s">
        <v>10</v>
      </c>
    </row>
    <row r="439" spans="1:15" ht="16.2" customHeight="1">
      <c r="A439" s="7" t="str">
        <f t="shared" si="9"/>
        <v>lt003_entitypure_capex_cca</v>
      </c>
      <c r="B439" s="31" t="s">
        <v>10</v>
      </c>
      <c r="C439" s="30" t="s">
        <v>10</v>
      </c>
      <c r="D439" s="26" t="s">
        <v>18</v>
      </c>
      <c r="E439" s="29" t="s">
        <v>304</v>
      </c>
      <c r="F439" s="29" t="s">
        <v>314</v>
      </c>
      <c r="G439" s="28" t="s">
        <v>422</v>
      </c>
      <c r="H439" s="28" t="s">
        <v>422</v>
      </c>
      <c r="I439" s="32"/>
      <c r="J439" s="41" t="s">
        <v>576</v>
      </c>
      <c r="K439" s="41">
        <v>45611</v>
      </c>
      <c r="L439" s="41">
        <v>45611</v>
      </c>
      <c r="M439" s="59"/>
      <c r="N439" s="59"/>
      <c r="O439" s="135" t="s">
        <v>10</v>
      </c>
    </row>
    <row r="440" spans="1:15" ht="16.2" customHeight="1">
      <c r="A440" s="7" t="str">
        <f t="shared" si="9"/>
        <v>lt003_entityenblng_trnvr_ccm</v>
      </c>
      <c r="B440" s="31" t="s">
        <v>10</v>
      </c>
      <c r="C440" s="30" t="s">
        <v>10</v>
      </c>
      <c r="D440" s="26" t="s">
        <v>18</v>
      </c>
      <c r="E440" s="29" t="s">
        <v>304</v>
      </c>
      <c r="F440" s="29" t="s">
        <v>315</v>
      </c>
      <c r="G440" s="28" t="s">
        <v>422</v>
      </c>
      <c r="H440" s="28" t="s">
        <v>422</v>
      </c>
      <c r="I440" s="32"/>
      <c r="J440" s="41" t="s">
        <v>576</v>
      </c>
      <c r="K440" s="41">
        <v>45614</v>
      </c>
      <c r="L440" s="41">
        <v>45596</v>
      </c>
      <c r="M440" s="59"/>
      <c r="N440" s="59"/>
      <c r="O440" s="135" t="s">
        <v>10</v>
      </c>
    </row>
    <row r="441" spans="1:15" ht="16.2" customHeight="1">
      <c r="A441" s="7" t="str">
        <f t="shared" si="9"/>
        <v>lt003_entityenblng_trnvr_cca</v>
      </c>
      <c r="B441" s="31" t="s">
        <v>10</v>
      </c>
      <c r="C441" s="30" t="s">
        <v>10</v>
      </c>
      <c r="D441" s="26" t="s">
        <v>18</v>
      </c>
      <c r="E441" s="29" t="s">
        <v>304</v>
      </c>
      <c r="F441" s="29" t="s">
        <v>316</v>
      </c>
      <c r="G441" s="28" t="s">
        <v>422</v>
      </c>
      <c r="H441" s="28" t="s">
        <v>422</v>
      </c>
      <c r="I441" s="32"/>
      <c r="J441" s="41" t="s">
        <v>576</v>
      </c>
      <c r="K441" s="41">
        <v>45614</v>
      </c>
      <c r="L441" s="41">
        <v>45596</v>
      </c>
      <c r="M441" s="59"/>
      <c r="N441" s="59"/>
      <c r="O441" s="135" t="s">
        <v>10</v>
      </c>
    </row>
    <row r="442" spans="1:15" ht="16.2" customHeight="1">
      <c r="A442" s="7" t="str">
        <f t="shared" si="9"/>
        <v>lt003_entitytrnstnl_trnvr</v>
      </c>
      <c r="B442" s="31" t="s">
        <v>10</v>
      </c>
      <c r="C442" s="30" t="s">
        <v>10</v>
      </c>
      <c r="D442" s="26" t="s">
        <v>18</v>
      </c>
      <c r="E442" s="29" t="s">
        <v>304</v>
      </c>
      <c r="F442" s="29" t="s">
        <v>317</v>
      </c>
      <c r="G442" s="28" t="s">
        <v>422</v>
      </c>
      <c r="H442" s="28" t="s">
        <v>422</v>
      </c>
      <c r="I442" s="32"/>
      <c r="J442" s="41" t="s">
        <v>576</v>
      </c>
      <c r="K442" s="41">
        <v>45614</v>
      </c>
      <c r="L442" s="41">
        <v>45596</v>
      </c>
      <c r="M442" s="59"/>
      <c r="N442" s="59"/>
      <c r="O442" s="135" t="s">
        <v>10</v>
      </c>
    </row>
    <row r="443" spans="1:15" ht="16.2" customHeight="1">
      <c r="A443" s="7" t="str">
        <f t="shared" si="9"/>
        <v>lt003_entitypure_trnvr_ccm</v>
      </c>
      <c r="B443" s="31" t="s">
        <v>10</v>
      </c>
      <c r="C443" s="30" t="s">
        <v>10</v>
      </c>
      <c r="D443" s="26" t="s">
        <v>18</v>
      </c>
      <c r="E443" s="29" t="s">
        <v>304</v>
      </c>
      <c r="F443" s="29" t="s">
        <v>318</v>
      </c>
      <c r="G443" s="28" t="s">
        <v>422</v>
      </c>
      <c r="H443" s="28" t="s">
        <v>422</v>
      </c>
      <c r="I443" s="32"/>
      <c r="J443" s="41" t="s">
        <v>576</v>
      </c>
      <c r="K443" s="41">
        <v>45614</v>
      </c>
      <c r="L443" s="41">
        <v>45596</v>
      </c>
      <c r="M443" s="59"/>
      <c r="N443" s="59"/>
      <c r="O443" s="135" t="s">
        <v>10</v>
      </c>
    </row>
    <row r="444" spans="1:15" ht="16.2" customHeight="1">
      <c r="A444" s="7" t="str">
        <f t="shared" si="9"/>
        <v>lt003_entitypure_trnvr_cca</v>
      </c>
      <c r="B444" s="31" t="s">
        <v>10</v>
      </c>
      <c r="C444" s="30" t="s">
        <v>10</v>
      </c>
      <c r="D444" s="26" t="s">
        <v>18</v>
      </c>
      <c r="E444" s="29" t="s">
        <v>304</v>
      </c>
      <c r="F444" s="29" t="s">
        <v>319</v>
      </c>
      <c r="G444" s="28" t="s">
        <v>422</v>
      </c>
      <c r="H444" s="28" t="s">
        <v>422</v>
      </c>
      <c r="I444" s="32"/>
      <c r="J444" s="41" t="s">
        <v>576</v>
      </c>
      <c r="K444" s="41">
        <v>45614</v>
      </c>
      <c r="L444" s="41">
        <v>45596</v>
      </c>
      <c r="M444" s="59"/>
      <c r="N444" s="59"/>
      <c r="O444" s="135" t="s">
        <v>10</v>
      </c>
    </row>
    <row r="445" spans="1:15" ht="16.2" customHeight="1">
      <c r="A445" s="7" t="str">
        <f t="shared" si="9"/>
        <v>lt003_entityflg_nfrd_applcblty</v>
      </c>
      <c r="B445" s="31" t="s">
        <v>10</v>
      </c>
      <c r="C445" s="30" t="s">
        <v>10</v>
      </c>
      <c r="D445" s="26" t="s">
        <v>18</v>
      </c>
      <c r="E445" s="29" t="s">
        <v>304</v>
      </c>
      <c r="F445" s="29" t="s">
        <v>320</v>
      </c>
      <c r="G445" s="28" t="s">
        <v>422</v>
      </c>
      <c r="H445" s="28" t="s">
        <v>422</v>
      </c>
      <c r="I445" s="32"/>
      <c r="J445" s="41">
        <v>45589</v>
      </c>
      <c r="K445" s="41">
        <v>45611</v>
      </c>
      <c r="L445" s="41">
        <v>45611</v>
      </c>
      <c r="M445" s="59"/>
      <c r="N445" s="59"/>
      <c r="O445" s="135" t="s">
        <v>10</v>
      </c>
    </row>
    <row r="446" spans="1:15" ht="16.2" customHeight="1">
      <c r="A446" s="7" t="str">
        <f t="shared" si="9"/>
        <v>lt003_entitycntrprty_emssns_scp1</v>
      </c>
      <c r="B446" s="31" t="s">
        <v>10</v>
      </c>
      <c r="C446" s="30" t="s">
        <v>10</v>
      </c>
      <c r="D446" s="26" t="s">
        <v>18</v>
      </c>
      <c r="E446" s="29" t="s">
        <v>304</v>
      </c>
      <c r="F446" s="29" t="s">
        <v>321</v>
      </c>
      <c r="G446" s="28" t="s">
        <v>422</v>
      </c>
      <c r="H446" s="28" t="s">
        <v>480</v>
      </c>
      <c r="I446" s="32"/>
      <c r="J446" s="41" t="s">
        <v>576</v>
      </c>
      <c r="K446" s="41">
        <v>45621</v>
      </c>
      <c r="L446" s="41">
        <v>45596</v>
      </c>
      <c r="M446" s="59"/>
      <c r="N446" s="59"/>
      <c r="O446" s="135" t="s">
        <v>10</v>
      </c>
    </row>
    <row r="447" spans="1:15" ht="16.2" customHeight="1">
      <c r="A447" s="7" t="str">
        <f t="shared" si="9"/>
        <v>lt003_entitycntrprty_emssns_scp2</v>
      </c>
      <c r="B447" s="31" t="s">
        <v>10</v>
      </c>
      <c r="C447" s="30" t="s">
        <v>10</v>
      </c>
      <c r="D447" s="26" t="s">
        <v>18</v>
      </c>
      <c r="E447" s="29" t="s">
        <v>304</v>
      </c>
      <c r="F447" s="29" t="s">
        <v>322</v>
      </c>
      <c r="G447" s="28" t="s">
        <v>422</v>
      </c>
      <c r="H447" s="28" t="s">
        <v>480</v>
      </c>
      <c r="I447" s="32"/>
      <c r="J447" s="41" t="s">
        <v>576</v>
      </c>
      <c r="K447" s="41">
        <v>45621</v>
      </c>
      <c r="L447" s="41">
        <v>45596</v>
      </c>
      <c r="M447" s="59"/>
      <c r="N447" s="59"/>
      <c r="O447" s="135" t="s">
        <v>10</v>
      </c>
    </row>
    <row r="448" spans="1:15" ht="16.2" customHeight="1">
      <c r="A448" s="7" t="str">
        <f t="shared" si="9"/>
        <v>lt003_entitycntrprty_emssns_scp3</v>
      </c>
      <c r="B448" s="31" t="s">
        <v>10</v>
      </c>
      <c r="C448" s="30" t="s">
        <v>10</v>
      </c>
      <c r="D448" s="26" t="s">
        <v>18</v>
      </c>
      <c r="E448" s="29" t="s">
        <v>304</v>
      </c>
      <c r="F448" s="29" t="s">
        <v>323</v>
      </c>
      <c r="G448" s="28" t="s">
        <v>422</v>
      </c>
      <c r="H448" s="28" t="s">
        <v>480</v>
      </c>
      <c r="I448" s="32"/>
      <c r="J448" s="41" t="s">
        <v>576</v>
      </c>
      <c r="K448" s="41">
        <v>45621</v>
      </c>
      <c r="L448" s="41">
        <v>45596</v>
      </c>
      <c r="M448" s="59"/>
      <c r="N448" s="59"/>
      <c r="O448" s="135" t="s">
        <v>10</v>
      </c>
    </row>
    <row r="449" spans="1:15" ht="16.2" customHeight="1">
      <c r="A449" s="7" t="str">
        <f t="shared" si="9"/>
        <v>lt003_entityflg_excldd_eu_prs_algnd_bnchmrk</v>
      </c>
      <c r="B449" s="31" t="s">
        <v>10</v>
      </c>
      <c r="C449" s="30" t="s">
        <v>10</v>
      </c>
      <c r="D449" s="26" t="s">
        <v>18</v>
      </c>
      <c r="E449" s="29" t="s">
        <v>304</v>
      </c>
      <c r="F449" s="29" t="s">
        <v>324</v>
      </c>
      <c r="G449" s="28" t="s">
        <v>422</v>
      </c>
      <c r="H449" s="28" t="s">
        <v>422</v>
      </c>
      <c r="I449" s="32"/>
      <c r="J449" s="41" t="s">
        <v>576</v>
      </c>
      <c r="K449" s="41">
        <v>45614</v>
      </c>
      <c r="L449" s="41">
        <v>45596</v>
      </c>
      <c r="M449" s="59"/>
      <c r="N449" s="59"/>
      <c r="O449" s="135" t="s">
        <v>10</v>
      </c>
    </row>
    <row r="450" spans="1:15" ht="16.2" customHeight="1">
      <c r="A450" s="7" t="str">
        <f t="shared" si="9"/>
        <v>lt003_entityflg_act_physcl_rsk</v>
      </c>
      <c r="B450" s="31" t="s">
        <v>10</v>
      </c>
      <c r="C450" s="30" t="s">
        <v>10</v>
      </c>
      <c r="D450" s="26" t="s">
        <v>18</v>
      </c>
      <c r="E450" s="29" t="s">
        <v>304</v>
      </c>
      <c r="F450" s="29" t="s">
        <v>325</v>
      </c>
      <c r="G450" s="28" t="s">
        <v>422</v>
      </c>
      <c r="H450" s="28" t="s">
        <v>423</v>
      </c>
      <c r="I450" s="32"/>
      <c r="J450" s="41">
        <v>45589</v>
      </c>
      <c r="K450" s="41" t="s">
        <v>576</v>
      </c>
      <c r="L450" s="41">
        <v>45596</v>
      </c>
      <c r="M450" s="59"/>
      <c r="N450" s="59"/>
      <c r="O450" s="135" t="s">
        <v>10</v>
      </c>
    </row>
    <row r="451" spans="1:15" ht="16.2" customHeight="1">
      <c r="A451" s="7" t="str">
        <f t="shared" si="9"/>
        <v>lt003_entityflg_chrnc_physcl_rsk</v>
      </c>
      <c r="B451" s="31" t="s">
        <v>10</v>
      </c>
      <c r="C451" s="30" t="s">
        <v>10</v>
      </c>
      <c r="D451" s="26" t="s">
        <v>18</v>
      </c>
      <c r="E451" s="29" t="s">
        <v>304</v>
      </c>
      <c r="F451" s="29" t="s">
        <v>326</v>
      </c>
      <c r="G451" s="28" t="s">
        <v>422</v>
      </c>
      <c r="H451" s="28" t="s">
        <v>423</v>
      </c>
      <c r="I451" s="32"/>
      <c r="J451" s="41">
        <v>45589</v>
      </c>
      <c r="K451" s="41" t="s">
        <v>576</v>
      </c>
      <c r="L451" s="41">
        <v>45596</v>
      </c>
      <c r="M451" s="59"/>
      <c r="N451" s="59"/>
      <c r="O451" s="135" t="s">
        <v>10</v>
      </c>
    </row>
    <row r="452" spans="1:15" ht="16.2" customHeight="1">
      <c r="A452" s="7" t="str">
        <f t="shared" si="9"/>
        <v>lt003_entitypst_cd</v>
      </c>
      <c r="B452" s="31" t="s">
        <v>10</v>
      </c>
      <c r="C452" s="30" t="s">
        <v>10</v>
      </c>
      <c r="D452" s="26" t="s">
        <v>18</v>
      </c>
      <c r="E452" s="29" t="s">
        <v>304</v>
      </c>
      <c r="F452" s="29" t="s">
        <v>327</v>
      </c>
      <c r="G452" s="28" t="s">
        <v>422</v>
      </c>
      <c r="H452" s="28" t="s">
        <v>422</v>
      </c>
      <c r="I452" s="32"/>
      <c r="J452" s="41">
        <v>45589</v>
      </c>
      <c r="K452" s="41">
        <v>45596</v>
      </c>
      <c r="L452" s="41">
        <v>45596</v>
      </c>
      <c r="M452" s="59"/>
      <c r="N452" s="59"/>
      <c r="O452" s="135" t="s">
        <v>10</v>
      </c>
    </row>
    <row r="453" spans="1:15" ht="16.2" customHeight="1">
      <c r="A453" s="7" t="str">
        <f t="shared" si="9"/>
        <v>lt003_entityesg_sbsctr</v>
      </c>
      <c r="B453" s="31" t="s">
        <v>10</v>
      </c>
      <c r="C453" s="30" t="s">
        <v>10</v>
      </c>
      <c r="D453" s="26" t="s">
        <v>18</v>
      </c>
      <c r="E453" s="29" t="s">
        <v>304</v>
      </c>
      <c r="F453" s="29" t="s">
        <v>328</v>
      </c>
      <c r="G453" s="28" t="s">
        <v>425</v>
      </c>
      <c r="H453" s="28" t="s">
        <v>425</v>
      </c>
      <c r="I453" s="32"/>
      <c r="J453" s="41">
        <v>45583</v>
      </c>
      <c r="K453" s="41">
        <v>45611</v>
      </c>
      <c r="L453" s="41">
        <v>45611</v>
      </c>
      <c r="M453" s="59"/>
      <c r="N453" s="59"/>
      <c r="O453" s="135" t="s">
        <v>10</v>
      </c>
    </row>
    <row r="454" spans="1:15" ht="16.2" customHeight="1">
      <c r="A454" s="7" t="str">
        <f t="shared" si="9"/>
        <v>lt003_entityttl_lblty</v>
      </c>
      <c r="B454" s="31" t="s">
        <v>10</v>
      </c>
      <c r="C454" s="30" t="s">
        <v>10</v>
      </c>
      <c r="D454" s="26" t="s">
        <v>18</v>
      </c>
      <c r="E454" s="29" t="s">
        <v>304</v>
      </c>
      <c r="F454" s="29" t="s">
        <v>329</v>
      </c>
      <c r="G454" s="28" t="s">
        <v>425</v>
      </c>
      <c r="H454" s="28" t="s">
        <v>425</v>
      </c>
      <c r="I454" s="32"/>
      <c r="J454" s="41">
        <v>45593</v>
      </c>
      <c r="K454" s="41">
        <v>45624</v>
      </c>
      <c r="L454" s="41">
        <v>45624</v>
      </c>
      <c r="M454" s="59">
        <v>45593</v>
      </c>
      <c r="N454" s="59"/>
      <c r="O454" s="135" t="s">
        <v>10</v>
      </c>
    </row>
    <row r="455" spans="1:15" ht="16.2" customHeight="1">
      <c r="A455" s="7" t="str">
        <f t="shared" si="9"/>
        <v>lt003_entityisin</v>
      </c>
      <c r="B455" s="31" t="s">
        <v>10</v>
      </c>
      <c r="C455" s="30" t="s">
        <v>10</v>
      </c>
      <c r="D455" s="26" t="s">
        <v>18</v>
      </c>
      <c r="E455" s="29" t="s">
        <v>304</v>
      </c>
      <c r="F455" s="29" t="s">
        <v>212</v>
      </c>
      <c r="G455" s="28" t="s">
        <v>422</v>
      </c>
      <c r="H455" s="28" t="s">
        <v>425</v>
      </c>
      <c r="I455" s="32"/>
      <c r="J455" s="41">
        <v>45589</v>
      </c>
      <c r="K455" s="41" t="s">
        <v>576</v>
      </c>
      <c r="L455" s="41">
        <v>45611</v>
      </c>
      <c r="M455" s="59">
        <v>45588</v>
      </c>
      <c r="N455" s="59"/>
      <c r="O455" s="135" t="s">
        <v>10</v>
      </c>
    </row>
    <row r="456" spans="1:15" ht="16.2" customHeight="1">
      <c r="A456" s="7" t="str">
        <f t="shared" si="9"/>
        <v>lt003_entitygrp_annl_trnvr_le</v>
      </c>
      <c r="B456" s="31" t="s">
        <v>10</v>
      </c>
      <c r="C456" s="30" t="s">
        <v>10</v>
      </c>
      <c r="D456" s="26" t="s">
        <v>18</v>
      </c>
      <c r="E456" s="29" t="s">
        <v>304</v>
      </c>
      <c r="F456" s="29" t="s">
        <v>330</v>
      </c>
      <c r="G456" s="28" t="s">
        <v>422</v>
      </c>
      <c r="H456" s="28" t="s">
        <v>422</v>
      </c>
      <c r="I456" s="32"/>
      <c r="J456" s="41">
        <v>45593</v>
      </c>
      <c r="K456" s="41">
        <v>45611</v>
      </c>
      <c r="L456" s="41">
        <v>45611</v>
      </c>
      <c r="M456" s="59">
        <v>45593</v>
      </c>
      <c r="N456" s="59"/>
      <c r="O456" s="135" t="s">
        <v>10</v>
      </c>
    </row>
    <row r="457" spans="1:15" ht="16.2" customHeight="1">
      <c r="A457" s="7" t="str">
        <f t="shared" si="9"/>
        <v>lt003_entitygrp_ttl_lblty</v>
      </c>
      <c r="B457" s="31" t="s">
        <v>10</v>
      </c>
      <c r="C457" s="30" t="s">
        <v>10</v>
      </c>
      <c r="D457" s="26" t="s">
        <v>18</v>
      </c>
      <c r="E457" s="29" t="s">
        <v>304</v>
      </c>
      <c r="F457" s="29" t="s">
        <v>331</v>
      </c>
      <c r="G457" s="28" t="s">
        <v>427</v>
      </c>
      <c r="H457" s="28" t="s">
        <v>427</v>
      </c>
      <c r="I457" s="32"/>
      <c r="J457" s="41">
        <v>45593</v>
      </c>
      <c r="K457" s="41">
        <v>45611</v>
      </c>
      <c r="L457" s="41">
        <v>45611</v>
      </c>
      <c r="M457" s="59">
        <v>45593</v>
      </c>
      <c r="N457" s="59"/>
      <c r="O457" s="135" t="s">
        <v>10</v>
      </c>
    </row>
    <row r="458" spans="1:15" ht="16.2" customHeight="1">
      <c r="A458" s="7" t="str">
        <f t="shared" si="9"/>
        <v>lt003_entityflg_grp_nfrd_applcblty</v>
      </c>
      <c r="B458" s="31" t="s">
        <v>10</v>
      </c>
      <c r="C458" s="30" t="s">
        <v>10</v>
      </c>
      <c r="D458" s="26" t="s">
        <v>18</v>
      </c>
      <c r="E458" s="29" t="s">
        <v>304</v>
      </c>
      <c r="F458" s="29" t="s">
        <v>332</v>
      </c>
      <c r="G458" s="28" t="s">
        <v>422</v>
      </c>
      <c r="H458" s="28" t="s">
        <v>480</v>
      </c>
      <c r="I458" s="32"/>
      <c r="J458" s="41">
        <v>45589</v>
      </c>
      <c r="K458" s="41" t="s">
        <v>576</v>
      </c>
      <c r="L458" s="41">
        <v>45596</v>
      </c>
      <c r="M458" s="59">
        <v>45588</v>
      </c>
      <c r="N458" s="59"/>
      <c r="O458" s="135" t="s">
        <v>10</v>
      </c>
    </row>
    <row r="459" spans="1:15" ht="16.2" customHeight="1">
      <c r="A459" s="7" t="str">
        <f t="shared" si="9"/>
        <v>lt003_entitygrp_emssns_scp1</v>
      </c>
      <c r="B459" s="31" t="s">
        <v>10</v>
      </c>
      <c r="C459" s="30" t="s">
        <v>10</v>
      </c>
      <c r="D459" s="26" t="s">
        <v>18</v>
      </c>
      <c r="E459" s="29" t="s">
        <v>304</v>
      </c>
      <c r="F459" s="29" t="s">
        <v>333</v>
      </c>
      <c r="G459" s="28" t="s">
        <v>425</v>
      </c>
      <c r="H459" s="28" t="s">
        <v>480</v>
      </c>
      <c r="I459" s="32"/>
      <c r="J459" s="41">
        <v>45589</v>
      </c>
      <c r="K459" s="41" t="s">
        <v>576</v>
      </c>
      <c r="L459" s="41">
        <v>45596</v>
      </c>
      <c r="M459" s="59">
        <v>45588</v>
      </c>
      <c r="N459" s="59"/>
      <c r="O459" s="135" t="s">
        <v>10</v>
      </c>
    </row>
    <row r="460" spans="1:15" ht="16.2" customHeight="1">
      <c r="A460" s="7" t="str">
        <f t="shared" si="9"/>
        <v>lt003_entitygrp_emssns_scp2</v>
      </c>
      <c r="B460" s="31" t="s">
        <v>10</v>
      </c>
      <c r="C460" s="30" t="s">
        <v>10</v>
      </c>
      <c r="D460" s="26" t="s">
        <v>18</v>
      </c>
      <c r="E460" s="29" t="s">
        <v>304</v>
      </c>
      <c r="F460" s="29" t="s">
        <v>334</v>
      </c>
      <c r="G460" s="28" t="s">
        <v>425</v>
      </c>
      <c r="H460" s="28" t="s">
        <v>480</v>
      </c>
      <c r="I460" s="32"/>
      <c r="J460" s="41">
        <v>45589</v>
      </c>
      <c r="K460" s="41" t="s">
        <v>576</v>
      </c>
      <c r="L460" s="41">
        <v>45596</v>
      </c>
      <c r="M460" s="59">
        <v>45588</v>
      </c>
      <c r="N460" s="59"/>
      <c r="O460" s="135" t="s">
        <v>10</v>
      </c>
    </row>
    <row r="461" spans="1:15" ht="16.2" customHeight="1">
      <c r="A461" s="7" t="str">
        <f t="shared" si="9"/>
        <v>lt003_entitygrp_emssns_scp3</v>
      </c>
      <c r="B461" s="31" t="s">
        <v>10</v>
      </c>
      <c r="C461" s="30" t="s">
        <v>10</v>
      </c>
      <c r="D461" s="26" t="s">
        <v>18</v>
      </c>
      <c r="E461" s="29" t="s">
        <v>304</v>
      </c>
      <c r="F461" s="29" t="s">
        <v>335</v>
      </c>
      <c r="G461" s="28" t="s">
        <v>425</v>
      </c>
      <c r="H461" s="28" t="s">
        <v>480</v>
      </c>
      <c r="I461" s="32"/>
      <c r="J461" s="41">
        <v>45589</v>
      </c>
      <c r="K461" s="41" t="s">
        <v>576</v>
      </c>
      <c r="L461" s="41">
        <v>45596</v>
      </c>
      <c r="M461" s="59">
        <v>45588</v>
      </c>
      <c r="N461" s="59"/>
      <c r="O461" s="135" t="s">
        <v>10</v>
      </c>
    </row>
    <row r="462" spans="1:15" ht="16.2" customHeight="1">
      <c r="A462" s="7" t="str">
        <f t="shared" si="9"/>
        <v>lt004_protectiontyp_ep_scr</v>
      </c>
      <c r="B462" s="31" t="s">
        <v>10</v>
      </c>
      <c r="C462" s="30" t="s">
        <v>10</v>
      </c>
      <c r="D462" s="26" t="s">
        <v>18</v>
      </c>
      <c r="E462" s="29" t="s">
        <v>336</v>
      </c>
      <c r="F462" s="117" t="s">
        <v>337</v>
      </c>
      <c r="G462" s="28" t="s">
        <v>422</v>
      </c>
      <c r="H462" s="28" t="s">
        <v>422</v>
      </c>
      <c r="I462" s="32"/>
      <c r="J462" s="41">
        <v>45583</v>
      </c>
      <c r="K462" s="41">
        <v>45611</v>
      </c>
      <c r="L462" s="41">
        <v>45611</v>
      </c>
      <c r="M462" s="59"/>
      <c r="N462" s="59"/>
      <c r="O462" s="135" t="s">
        <v>10</v>
      </c>
    </row>
    <row r="463" spans="1:15" ht="16.2" customHeight="1">
      <c r="A463" s="7" t="str">
        <f t="shared" si="9"/>
        <v>lt004_protectionep_scr</v>
      </c>
      <c r="B463" s="31" t="s">
        <v>10</v>
      </c>
      <c r="C463" s="30" t="s">
        <v>10</v>
      </c>
      <c r="D463" s="26" t="s">
        <v>18</v>
      </c>
      <c r="E463" s="29" t="s">
        <v>336</v>
      </c>
      <c r="F463" s="117" t="s">
        <v>338</v>
      </c>
      <c r="G463" s="28" t="s">
        <v>427</v>
      </c>
      <c r="H463" s="28" t="s">
        <v>427</v>
      </c>
      <c r="I463" s="32"/>
      <c r="J463" s="41">
        <v>45583</v>
      </c>
      <c r="K463" s="41">
        <v>45596</v>
      </c>
      <c r="L463" s="41">
        <v>45596</v>
      </c>
      <c r="M463" s="59"/>
      <c r="N463" s="59"/>
      <c r="O463" s="135" t="s">
        <v>10</v>
      </c>
    </row>
    <row r="464" spans="1:15" ht="16.2" customHeight="1">
      <c r="A464" s="7" t="str">
        <f t="shared" si="9"/>
        <v>lt004_protectiontyp_epc_lbl</v>
      </c>
      <c r="B464" s="31" t="s">
        <v>10</v>
      </c>
      <c r="C464" s="30" t="s">
        <v>10</v>
      </c>
      <c r="D464" s="26" t="s">
        <v>18</v>
      </c>
      <c r="E464" s="29" t="s">
        <v>336</v>
      </c>
      <c r="F464" s="117" t="s">
        <v>339</v>
      </c>
      <c r="G464" s="28" t="s">
        <v>422</v>
      </c>
      <c r="H464" s="28" t="s">
        <v>425</v>
      </c>
      <c r="I464" s="32"/>
      <c r="J464" s="41">
        <v>45583</v>
      </c>
      <c r="K464" s="41">
        <v>45596</v>
      </c>
      <c r="L464" s="41">
        <v>45596</v>
      </c>
      <c r="M464" s="59"/>
      <c r="N464" s="59"/>
      <c r="O464" s="135" t="s">
        <v>10</v>
      </c>
    </row>
    <row r="465" spans="1:15" ht="16.2" customHeight="1">
      <c r="A465" s="7" t="str">
        <f t="shared" si="9"/>
        <v>lt004_protectionepc_lbl</v>
      </c>
      <c r="B465" s="31" t="s">
        <v>10</v>
      </c>
      <c r="C465" s="30" t="s">
        <v>10</v>
      </c>
      <c r="D465" s="26" t="s">
        <v>18</v>
      </c>
      <c r="E465" s="29" t="s">
        <v>336</v>
      </c>
      <c r="F465" s="117" t="s">
        <v>340</v>
      </c>
      <c r="G465" s="28" t="s">
        <v>427</v>
      </c>
      <c r="H465" s="28" t="s">
        <v>427</v>
      </c>
      <c r="I465" s="32"/>
      <c r="J465" s="41">
        <v>45583</v>
      </c>
      <c r="K465" s="41">
        <v>45596</v>
      </c>
      <c r="L465" s="41">
        <v>45596</v>
      </c>
      <c r="M465" s="59"/>
      <c r="N465" s="59"/>
      <c r="O465" s="135" t="s">
        <v>10</v>
      </c>
    </row>
    <row r="466" spans="1:15" ht="16.2" customHeight="1">
      <c r="A466" s="7" t="str">
        <f t="shared" si="9"/>
        <v>lt004_protectionemssns_scp1_prtctn</v>
      </c>
      <c r="B466" s="31" t="s">
        <v>10</v>
      </c>
      <c r="C466" s="30" t="s">
        <v>10</v>
      </c>
      <c r="D466" s="26" t="s">
        <v>18</v>
      </c>
      <c r="E466" s="29" t="s">
        <v>336</v>
      </c>
      <c r="F466" s="117" t="s">
        <v>341</v>
      </c>
      <c r="G466" s="118" t="s">
        <v>480</v>
      </c>
      <c r="H466" s="28" t="s">
        <v>480</v>
      </c>
      <c r="I466" s="32"/>
      <c r="J466" s="41" t="s">
        <v>576</v>
      </c>
      <c r="K466" s="41">
        <v>45631</v>
      </c>
      <c r="L466" s="41">
        <v>45631</v>
      </c>
      <c r="M466" s="59"/>
      <c r="N466" s="59"/>
      <c r="O466" s="135" t="s">
        <v>10</v>
      </c>
    </row>
    <row r="467" spans="1:15" ht="16.2" customHeight="1">
      <c r="A467" s="7" t="str">
        <f t="shared" ref="A467:A535" si="10">E467&amp;F467</f>
        <v>lt004_protectionemssns_scp2_prtctn</v>
      </c>
      <c r="B467" s="31" t="s">
        <v>10</v>
      </c>
      <c r="C467" s="30" t="s">
        <v>10</v>
      </c>
      <c r="D467" s="26" t="s">
        <v>18</v>
      </c>
      <c r="E467" s="29" t="s">
        <v>336</v>
      </c>
      <c r="F467" s="117" t="s">
        <v>342</v>
      </c>
      <c r="G467" s="118" t="s">
        <v>480</v>
      </c>
      <c r="H467" s="28" t="s">
        <v>480</v>
      </c>
      <c r="I467" s="32"/>
      <c r="J467" s="41" t="s">
        <v>576</v>
      </c>
      <c r="K467" s="41">
        <v>45631</v>
      </c>
      <c r="L467" s="41">
        <v>45631</v>
      </c>
      <c r="M467" s="59"/>
      <c r="N467" s="59"/>
      <c r="O467" s="135" t="s">
        <v>10</v>
      </c>
    </row>
    <row r="468" spans="1:15" ht="16.2" customHeight="1">
      <c r="A468" s="7" t="str">
        <f t="shared" si="10"/>
        <v>lt004_protectionemssns_scp3_prtctn</v>
      </c>
      <c r="B468" s="31" t="s">
        <v>10</v>
      </c>
      <c r="C468" s="30" t="s">
        <v>10</v>
      </c>
      <c r="D468" s="26" t="s">
        <v>18</v>
      </c>
      <c r="E468" s="29" t="s">
        <v>336</v>
      </c>
      <c r="F468" s="117" t="s">
        <v>343</v>
      </c>
      <c r="G468" s="118" t="s">
        <v>480</v>
      </c>
      <c r="H468" s="28" t="s">
        <v>480</v>
      </c>
      <c r="I468" s="32"/>
      <c r="J468" s="41" t="s">
        <v>576</v>
      </c>
      <c r="K468" s="41">
        <v>45631</v>
      </c>
      <c r="L468" s="41">
        <v>45631</v>
      </c>
      <c r="M468" s="59"/>
      <c r="N468" s="59"/>
      <c r="O468" s="135" t="s">
        <v>10</v>
      </c>
    </row>
    <row r="469" spans="1:15" ht="16.2" customHeight="1">
      <c r="A469" s="7" t="str">
        <f t="shared" si="10"/>
        <v>lt004_protectionmthd_usd_prtctn_scp_1</v>
      </c>
      <c r="B469" s="31" t="s">
        <v>10</v>
      </c>
      <c r="C469" s="30" t="s">
        <v>10</v>
      </c>
      <c r="D469" s="26" t="s">
        <v>18</v>
      </c>
      <c r="E469" s="29" t="s">
        <v>336</v>
      </c>
      <c r="F469" s="117" t="s">
        <v>344</v>
      </c>
      <c r="G469" s="118" t="s">
        <v>480</v>
      </c>
      <c r="H469" s="28" t="s">
        <v>480</v>
      </c>
      <c r="I469" s="32"/>
      <c r="J469" s="41" t="s">
        <v>576</v>
      </c>
      <c r="K469" s="41">
        <v>45631</v>
      </c>
      <c r="L469" s="41">
        <v>45631</v>
      </c>
      <c r="M469" s="59"/>
      <c r="N469" s="59"/>
      <c r="O469" s="135" t="s">
        <v>10</v>
      </c>
    </row>
    <row r="470" spans="1:15" ht="16.2" customHeight="1">
      <c r="A470" s="7" t="str">
        <f t="shared" si="10"/>
        <v>lt004_protectionmthd_usd_prtctn_scp_2</v>
      </c>
      <c r="B470" s="31" t="s">
        <v>10</v>
      </c>
      <c r="C470" s="30" t="s">
        <v>10</v>
      </c>
      <c r="D470" s="26" t="s">
        <v>18</v>
      </c>
      <c r="E470" s="29" t="s">
        <v>336</v>
      </c>
      <c r="F470" s="117" t="s">
        <v>345</v>
      </c>
      <c r="G470" s="118" t="s">
        <v>480</v>
      </c>
      <c r="H470" s="28" t="s">
        <v>480</v>
      </c>
      <c r="I470" s="32"/>
      <c r="J470" s="41" t="s">
        <v>576</v>
      </c>
      <c r="K470" s="41">
        <v>45631</v>
      </c>
      <c r="L470" s="41">
        <v>45631</v>
      </c>
      <c r="M470" s="59"/>
      <c r="N470" s="59"/>
      <c r="O470" s="135" t="s">
        <v>10</v>
      </c>
    </row>
    <row r="471" spans="1:15" ht="16.2" customHeight="1">
      <c r="A471" s="7" t="str">
        <f t="shared" si="10"/>
        <v>lt004_protectionmthd_usd_prtctn_scp_3</v>
      </c>
      <c r="B471" s="31" t="s">
        <v>10</v>
      </c>
      <c r="C471" s="30" t="s">
        <v>10</v>
      </c>
      <c r="D471" s="26" t="s">
        <v>18</v>
      </c>
      <c r="E471" s="29" t="s">
        <v>336</v>
      </c>
      <c r="F471" s="117" t="s">
        <v>346</v>
      </c>
      <c r="G471" s="118" t="s">
        <v>480</v>
      </c>
      <c r="H471" s="28" t="s">
        <v>480</v>
      </c>
      <c r="I471" s="32"/>
      <c r="J471" s="41" t="s">
        <v>576</v>
      </c>
      <c r="K471" s="41">
        <v>45631</v>
      </c>
      <c r="L471" s="41">
        <v>45631</v>
      </c>
      <c r="M471" s="59"/>
      <c r="N471" s="59"/>
      <c r="O471" s="135" t="s">
        <v>10</v>
      </c>
    </row>
    <row r="472" spans="1:15" ht="16.2" customHeight="1">
      <c r="A472" s="7" t="str">
        <f t="shared" si="10"/>
        <v>lt004_protectionflg_act_physcl_rsk</v>
      </c>
      <c r="B472" s="31" t="s">
        <v>10</v>
      </c>
      <c r="C472" s="30" t="s">
        <v>10</v>
      </c>
      <c r="D472" s="26" t="s">
        <v>18</v>
      </c>
      <c r="E472" s="29" t="s">
        <v>336</v>
      </c>
      <c r="F472" s="117" t="s">
        <v>325</v>
      </c>
      <c r="G472" s="118" t="s">
        <v>422</v>
      </c>
      <c r="H472" s="28" t="s">
        <v>422</v>
      </c>
      <c r="I472" s="32"/>
      <c r="J472" s="41">
        <v>45583</v>
      </c>
      <c r="K472" s="41">
        <v>45596</v>
      </c>
      <c r="L472" s="41">
        <v>45596</v>
      </c>
      <c r="M472" s="59"/>
      <c r="N472" s="59"/>
      <c r="O472" s="135" t="s">
        <v>10</v>
      </c>
    </row>
    <row r="473" spans="1:15" ht="16.2" customHeight="1">
      <c r="A473" s="7" t="str">
        <f t="shared" si="10"/>
        <v>lt004_protectionflg_chrnc_physcl_rsk</v>
      </c>
      <c r="B473" s="31" t="s">
        <v>10</v>
      </c>
      <c r="C473" s="30" t="s">
        <v>10</v>
      </c>
      <c r="D473" s="26" t="s">
        <v>18</v>
      </c>
      <c r="E473" s="29" t="s">
        <v>336</v>
      </c>
      <c r="F473" s="117" t="s">
        <v>326</v>
      </c>
      <c r="G473" s="118" t="s">
        <v>422</v>
      </c>
      <c r="H473" s="28" t="s">
        <v>422</v>
      </c>
      <c r="I473" s="32"/>
      <c r="J473" s="41">
        <v>45583</v>
      </c>
      <c r="K473" s="41">
        <v>45596</v>
      </c>
      <c r="L473" s="41">
        <v>45596</v>
      </c>
      <c r="M473" s="59"/>
      <c r="N473" s="59"/>
      <c r="O473" s="135" t="s">
        <v>10</v>
      </c>
    </row>
    <row r="474" spans="1:15" ht="16.2" customHeight="1">
      <c r="A474" s="7" t="str">
        <f t="shared" si="10"/>
        <v>lt002_instrumentrsk_mtgtd_cct</v>
      </c>
      <c r="B474" s="31" t="s">
        <v>10</v>
      </c>
      <c r="C474" s="30" t="s">
        <v>10</v>
      </c>
      <c r="D474" s="26" t="s">
        <v>18</v>
      </c>
      <c r="E474" s="29" t="s">
        <v>347</v>
      </c>
      <c r="F474" s="29" t="s">
        <v>348</v>
      </c>
      <c r="G474" s="28" t="s">
        <v>422</v>
      </c>
      <c r="H474" s="28" t="s">
        <v>422</v>
      </c>
      <c r="I474" s="32"/>
      <c r="J474" s="41">
        <v>45595</v>
      </c>
      <c r="K474" s="41">
        <v>374329</v>
      </c>
      <c r="L474" s="41">
        <v>374329</v>
      </c>
      <c r="M474" s="59">
        <v>45595</v>
      </c>
      <c r="N474" s="59"/>
      <c r="O474" s="135" t="s">
        <v>10</v>
      </c>
    </row>
    <row r="475" spans="1:15" ht="16.2" customHeight="1">
      <c r="A475" s="7" t="str">
        <f t="shared" si="10"/>
        <v>lt002_instrumentrsk_mtgtd_ccp</v>
      </c>
      <c r="B475" s="31" t="s">
        <v>10</v>
      </c>
      <c r="C475" s="30" t="s">
        <v>10</v>
      </c>
      <c r="D475" s="26" t="s">
        <v>18</v>
      </c>
      <c r="E475" s="29" t="s">
        <v>347</v>
      </c>
      <c r="F475" s="29" t="s">
        <v>349</v>
      </c>
      <c r="G475" s="28" t="s">
        <v>424</v>
      </c>
      <c r="H475" s="28" t="s">
        <v>480</v>
      </c>
      <c r="I475" s="32"/>
      <c r="J475" s="41">
        <v>45595</v>
      </c>
      <c r="K475" s="41">
        <v>374342</v>
      </c>
      <c r="L475" s="41">
        <v>374342</v>
      </c>
      <c r="M475" s="59">
        <v>45595</v>
      </c>
      <c r="N475" s="59"/>
      <c r="O475" s="135" t="s">
        <v>10</v>
      </c>
    </row>
    <row r="476" spans="1:15" ht="16.2" customHeight="1">
      <c r="A476" s="7" t="str">
        <f t="shared" si="10"/>
        <v>lt007_instr_activityenvrnmntl_objctv</v>
      </c>
      <c r="B476" s="31" t="s">
        <v>10</v>
      </c>
      <c r="C476" s="30" t="s">
        <v>10</v>
      </c>
      <c r="D476" s="26" t="s">
        <v>18</v>
      </c>
      <c r="E476" s="29" t="s">
        <v>494</v>
      </c>
      <c r="F476" s="29" t="s">
        <v>350</v>
      </c>
      <c r="G476" s="28" t="s">
        <v>480</v>
      </c>
      <c r="H476" s="28" t="s">
        <v>480</v>
      </c>
      <c r="I476" s="32"/>
      <c r="J476" s="41">
        <v>45593</v>
      </c>
      <c r="K476" s="41">
        <v>45624</v>
      </c>
      <c r="L476" s="41">
        <v>45624</v>
      </c>
      <c r="M476" s="59">
        <v>45593</v>
      </c>
      <c r="N476" s="59"/>
      <c r="O476" s="135" t="s">
        <v>10</v>
      </c>
    </row>
    <row r="477" spans="1:15" ht="16.2" customHeight="1">
      <c r="A477" s="7" t="str">
        <f t="shared" si="10"/>
        <v>lt007_instr_activitytyp_actvty</v>
      </c>
      <c r="B477" s="31" t="s">
        <v>10</v>
      </c>
      <c r="C477" s="30" t="s">
        <v>10</v>
      </c>
      <c r="D477" s="26" t="s">
        <v>18</v>
      </c>
      <c r="E477" s="29" t="s">
        <v>494</v>
      </c>
      <c r="F477" s="29" t="s">
        <v>351</v>
      </c>
      <c r="G477" s="28" t="s">
        <v>480</v>
      </c>
      <c r="H477" s="28" t="s">
        <v>480</v>
      </c>
      <c r="I477" s="32"/>
      <c r="J477" s="41">
        <v>45593</v>
      </c>
      <c r="K477" s="41">
        <v>45624</v>
      </c>
      <c r="L477" s="41">
        <v>45624</v>
      </c>
      <c r="M477" s="59">
        <v>45593</v>
      </c>
      <c r="N477" s="59"/>
      <c r="O477" s="135" t="s">
        <v>10</v>
      </c>
    </row>
    <row r="478" spans="1:15" ht="16.2" customHeight="1">
      <c r="A478" s="7" t="str">
        <f t="shared" si="10"/>
        <v>lt002_instrumentlns_clltrlzd_clssfctn</v>
      </c>
      <c r="B478" s="31" t="s">
        <v>10</v>
      </c>
      <c r="C478" s="30" t="s">
        <v>10</v>
      </c>
      <c r="D478" s="26" t="s">
        <v>18</v>
      </c>
      <c r="E478" s="29" t="s">
        <v>347</v>
      </c>
      <c r="F478" s="29" t="s">
        <v>352</v>
      </c>
      <c r="G478" s="28" t="s">
        <v>422</v>
      </c>
      <c r="H478" s="28" t="s">
        <v>422</v>
      </c>
      <c r="I478" s="32"/>
      <c r="J478" s="41">
        <v>45583</v>
      </c>
      <c r="K478" s="41">
        <v>45589</v>
      </c>
      <c r="L478" s="41">
        <v>45589</v>
      </c>
      <c r="M478" s="59"/>
      <c r="N478" s="59"/>
      <c r="O478" s="135" t="s">
        <v>10</v>
      </c>
    </row>
    <row r="479" spans="1:15" ht="16.2">
      <c r="A479" s="7" t="str">
        <f t="shared" si="10"/>
        <v>lt002_instrumentmthd_usd_instrmnt_scp_1</v>
      </c>
      <c r="B479" s="31" t="s">
        <v>10</v>
      </c>
      <c r="C479" s="30" t="s">
        <v>10</v>
      </c>
      <c r="D479" s="26" t="s">
        <v>18</v>
      </c>
      <c r="E479" s="29" t="s">
        <v>347</v>
      </c>
      <c r="F479" s="29" t="s">
        <v>353</v>
      </c>
      <c r="G479" s="28" t="s">
        <v>480</v>
      </c>
      <c r="H479" s="28" t="s">
        <v>480</v>
      </c>
      <c r="I479" s="32"/>
      <c r="J479" s="41" t="s">
        <v>576</v>
      </c>
      <c r="K479" s="41">
        <v>45631</v>
      </c>
      <c r="L479" s="41">
        <v>45631</v>
      </c>
      <c r="M479" s="59">
        <v>45593</v>
      </c>
      <c r="N479" s="59"/>
      <c r="O479" s="135" t="s">
        <v>10</v>
      </c>
    </row>
    <row r="480" spans="1:15" ht="16.2">
      <c r="A480" s="7" t="str">
        <f t="shared" si="10"/>
        <v>lt002_instrumentmthd_usd_instrmnt_scp_2</v>
      </c>
      <c r="B480" s="31" t="s">
        <v>10</v>
      </c>
      <c r="C480" s="30" t="s">
        <v>10</v>
      </c>
      <c r="D480" s="26" t="s">
        <v>18</v>
      </c>
      <c r="E480" s="29" t="s">
        <v>347</v>
      </c>
      <c r="F480" s="29" t="s">
        <v>354</v>
      </c>
      <c r="G480" s="28" t="s">
        <v>480</v>
      </c>
      <c r="H480" s="28" t="s">
        <v>480</v>
      </c>
      <c r="I480" s="32"/>
      <c r="J480" s="41" t="s">
        <v>576</v>
      </c>
      <c r="K480" s="41">
        <v>45631</v>
      </c>
      <c r="L480" s="41">
        <v>45631</v>
      </c>
      <c r="M480" s="59">
        <v>45593</v>
      </c>
      <c r="N480" s="59"/>
      <c r="O480" s="135" t="s">
        <v>10</v>
      </c>
    </row>
    <row r="481" spans="1:15" ht="16.2">
      <c r="A481" s="7" t="str">
        <f t="shared" si="10"/>
        <v>lt002_instrumentmthd_usd_instrmnt_scp_3</v>
      </c>
      <c r="B481" s="31" t="s">
        <v>10</v>
      </c>
      <c r="C481" s="30" t="s">
        <v>10</v>
      </c>
      <c r="D481" s="26" t="s">
        <v>18</v>
      </c>
      <c r="E481" s="29" t="s">
        <v>347</v>
      </c>
      <c r="F481" s="29" t="s">
        <v>355</v>
      </c>
      <c r="G481" s="28" t="s">
        <v>480</v>
      </c>
      <c r="H481" s="28" t="s">
        <v>480</v>
      </c>
      <c r="I481" s="32"/>
      <c r="J481" s="41" t="s">
        <v>576</v>
      </c>
      <c r="K481" s="41">
        <v>45631</v>
      </c>
      <c r="L481" s="41">
        <v>45631</v>
      </c>
      <c r="M481" s="59">
        <v>45593</v>
      </c>
      <c r="N481" s="59"/>
      <c r="O481" s="135" t="s">
        <v>10</v>
      </c>
    </row>
    <row r="482" spans="1:15" ht="16.2" customHeight="1">
      <c r="A482" s="7" t="str">
        <f t="shared" si="10"/>
        <v>lt002_instrumentsstnbl_ctgry_txnmy</v>
      </c>
      <c r="B482" s="31" t="s">
        <v>10</v>
      </c>
      <c r="C482" s="30" t="s">
        <v>10</v>
      </c>
      <c r="D482" s="26" t="s">
        <v>18</v>
      </c>
      <c r="E482" s="29" t="s">
        <v>347</v>
      </c>
      <c r="F482" s="29" t="s">
        <v>356</v>
      </c>
      <c r="G482" s="28" t="s">
        <v>422</v>
      </c>
      <c r="H482" s="28" t="s">
        <v>422</v>
      </c>
      <c r="I482" s="32" t="s">
        <v>486</v>
      </c>
      <c r="J482" s="41">
        <v>45593</v>
      </c>
      <c r="K482" s="41">
        <v>45611</v>
      </c>
      <c r="L482" s="41">
        <v>374329</v>
      </c>
      <c r="M482" s="59">
        <v>45593</v>
      </c>
      <c r="N482" s="59"/>
      <c r="O482" s="135" t="s">
        <v>10</v>
      </c>
    </row>
    <row r="483" spans="1:15" ht="16.2" customHeight="1">
      <c r="A483" s="7" t="str">
        <f t="shared" si="10"/>
        <v>lt827_mthd_usd_instrmntambito</v>
      </c>
      <c r="B483" s="31" t="s">
        <v>10</v>
      </c>
      <c r="C483" s="30" t="s">
        <v>10</v>
      </c>
      <c r="D483" s="26" t="s">
        <v>18</v>
      </c>
      <c r="E483" s="29" t="s">
        <v>495</v>
      </c>
      <c r="F483" s="29" t="s">
        <v>357</v>
      </c>
      <c r="G483" s="28" t="s">
        <v>422</v>
      </c>
      <c r="H483" s="28" t="s">
        <v>422</v>
      </c>
      <c r="I483" s="32"/>
      <c r="J483" s="41">
        <v>45593</v>
      </c>
      <c r="K483" s="41">
        <v>45611</v>
      </c>
      <c r="L483" s="41">
        <v>45611</v>
      </c>
      <c r="M483" s="59">
        <v>45593</v>
      </c>
      <c r="N483" s="59"/>
      <c r="O483" s="135" t="s">
        <v>10</v>
      </c>
    </row>
    <row r="484" spans="1:15" ht="16.2" customHeight="1">
      <c r="A484" s="7" t="str">
        <f t="shared" si="10"/>
        <v>lt827_mthd_usd_instrmntref_date</v>
      </c>
      <c r="B484" s="31" t="s">
        <v>10</v>
      </c>
      <c r="C484" s="30" t="s">
        <v>10</v>
      </c>
      <c r="D484" s="26" t="s">
        <v>18</v>
      </c>
      <c r="E484" s="29" t="s">
        <v>495</v>
      </c>
      <c r="F484" s="29" t="s">
        <v>181</v>
      </c>
      <c r="G484" s="28" t="s">
        <v>422</v>
      </c>
      <c r="H484" s="28" t="s">
        <v>422</v>
      </c>
      <c r="I484" s="32"/>
      <c r="J484" s="41">
        <v>45593</v>
      </c>
      <c r="K484" s="41">
        <v>45611</v>
      </c>
      <c r="L484" s="41">
        <v>45611</v>
      </c>
      <c r="M484" s="59">
        <v>45593</v>
      </c>
      <c r="N484" s="59"/>
      <c r="O484" s="135" t="s">
        <v>10</v>
      </c>
    </row>
    <row r="485" spans="1:15" ht="16.2" customHeight="1">
      <c r="A485" s="7" t="str">
        <f t="shared" si="10"/>
        <v>lt827_mthd_usd_instrmntordem</v>
      </c>
      <c r="B485" s="31" t="s">
        <v>10</v>
      </c>
      <c r="C485" s="30" t="s">
        <v>10</v>
      </c>
      <c r="D485" s="26" t="s">
        <v>18</v>
      </c>
      <c r="E485" s="29" t="s">
        <v>495</v>
      </c>
      <c r="F485" s="29" t="s">
        <v>184</v>
      </c>
      <c r="G485" s="28" t="s">
        <v>422</v>
      </c>
      <c r="H485" s="28" t="s">
        <v>422</v>
      </c>
      <c r="I485" s="32"/>
      <c r="J485" s="41">
        <v>45593</v>
      </c>
      <c r="K485" s="41">
        <v>45611</v>
      </c>
      <c r="L485" s="41">
        <v>45611</v>
      </c>
      <c r="M485" s="59">
        <v>45593</v>
      </c>
      <c r="N485" s="59"/>
      <c r="O485" s="135" t="s">
        <v>10</v>
      </c>
    </row>
    <row r="486" spans="1:15" ht="16.2" customHeight="1">
      <c r="A486" s="7" t="str">
        <f t="shared" si="10"/>
        <v>lt827_mthd_usd_instrmnttabela</v>
      </c>
      <c r="B486" s="31" t="s">
        <v>10</v>
      </c>
      <c r="C486" s="30" t="s">
        <v>10</v>
      </c>
      <c r="D486" s="26" t="s">
        <v>18</v>
      </c>
      <c r="E486" s="29" t="s">
        <v>495</v>
      </c>
      <c r="F486" s="29" t="s">
        <v>358</v>
      </c>
      <c r="G486" s="28" t="s">
        <v>422</v>
      </c>
      <c r="H486" s="28" t="s">
        <v>422</v>
      </c>
      <c r="I486" s="32"/>
      <c r="J486" s="41">
        <v>45593</v>
      </c>
      <c r="K486" s="41">
        <v>45611</v>
      </c>
      <c r="L486" s="41">
        <v>45611</v>
      </c>
      <c r="M486" s="59">
        <v>45593</v>
      </c>
      <c r="N486" s="59"/>
      <c r="O486" s="135" t="s">
        <v>10</v>
      </c>
    </row>
    <row r="487" spans="1:15" ht="16.2">
      <c r="A487" s="7" t="str">
        <f t="shared" si="10"/>
        <v>lt827_mthd_usd_instrmntorigem_scp1_emss</v>
      </c>
      <c r="B487" s="31" t="s">
        <v>10</v>
      </c>
      <c r="C487" s="30" t="s">
        <v>10</v>
      </c>
      <c r="D487" s="26" t="s">
        <v>18</v>
      </c>
      <c r="E487" s="29" t="s">
        <v>495</v>
      </c>
      <c r="F487" s="29" t="s">
        <v>291</v>
      </c>
      <c r="G487" s="28" t="s">
        <v>422</v>
      </c>
      <c r="H487" s="28" t="s">
        <v>422</v>
      </c>
      <c r="I487" s="32"/>
      <c r="J487" s="41">
        <v>45593</v>
      </c>
      <c r="K487" s="41">
        <v>45611</v>
      </c>
      <c r="L487" s="41">
        <v>45611</v>
      </c>
      <c r="M487" s="59">
        <v>45593</v>
      </c>
      <c r="N487" s="59"/>
      <c r="O487" s="135" t="s">
        <v>10</v>
      </c>
    </row>
    <row r="488" spans="1:15" ht="16.2">
      <c r="A488" s="7" t="str">
        <f t="shared" si="10"/>
        <v>lt827_mthd_usd_instrmntorigem_scp2_emss</v>
      </c>
      <c r="B488" s="31" t="s">
        <v>10</v>
      </c>
      <c r="C488" s="30" t="s">
        <v>10</v>
      </c>
      <c r="D488" s="26" t="s">
        <v>18</v>
      </c>
      <c r="E488" s="29" t="s">
        <v>495</v>
      </c>
      <c r="F488" s="29" t="s">
        <v>292</v>
      </c>
      <c r="G488" s="28" t="s">
        <v>422</v>
      </c>
      <c r="H488" s="28" t="s">
        <v>422</v>
      </c>
      <c r="I488" s="32"/>
      <c r="J488" s="41">
        <v>45593</v>
      </c>
      <c r="K488" s="41">
        <v>45611</v>
      </c>
      <c r="L488" s="41">
        <v>45611</v>
      </c>
      <c r="M488" s="59">
        <v>45593</v>
      </c>
      <c r="N488" s="59"/>
      <c r="O488" s="135" t="s">
        <v>10</v>
      </c>
    </row>
    <row r="489" spans="1:15" ht="16.2">
      <c r="A489" s="7" t="str">
        <f t="shared" si="10"/>
        <v>lt827_mthd_usd_instrmntorigem_scp3_emss</v>
      </c>
      <c r="B489" s="31" t="s">
        <v>10</v>
      </c>
      <c r="C489" s="30" t="s">
        <v>10</v>
      </c>
      <c r="D489" s="26" t="s">
        <v>18</v>
      </c>
      <c r="E489" s="29" t="s">
        <v>495</v>
      </c>
      <c r="F489" s="29" t="s">
        <v>293</v>
      </c>
      <c r="G489" s="28" t="s">
        <v>422</v>
      </c>
      <c r="H489" s="28" t="s">
        <v>422</v>
      </c>
      <c r="I489" s="32"/>
      <c r="J489" s="41">
        <v>45593</v>
      </c>
      <c r="K489" s="41">
        <v>45611</v>
      </c>
      <c r="L489" s="41">
        <v>45611</v>
      </c>
      <c r="M489" s="59">
        <v>45593</v>
      </c>
      <c r="N489" s="59"/>
      <c r="O489" s="135" t="s">
        <v>10</v>
      </c>
    </row>
    <row r="490" spans="1:15" ht="16.2">
      <c r="A490" s="7" t="str">
        <f t="shared" si="10"/>
        <v>lt827_mthd_usd_instrmntmthd_usd_instrmnt_scp_1</v>
      </c>
      <c r="B490" s="31" t="s">
        <v>10</v>
      </c>
      <c r="C490" s="30" t="s">
        <v>10</v>
      </c>
      <c r="D490" s="26" t="s">
        <v>18</v>
      </c>
      <c r="E490" s="29" t="s">
        <v>495</v>
      </c>
      <c r="F490" s="29" t="s">
        <v>353</v>
      </c>
      <c r="G490" s="28" t="s">
        <v>422</v>
      </c>
      <c r="H490" s="28" t="s">
        <v>422</v>
      </c>
      <c r="I490" s="32"/>
      <c r="J490" s="41">
        <v>45593</v>
      </c>
      <c r="K490" s="41">
        <v>45611</v>
      </c>
      <c r="L490" s="41">
        <v>45611</v>
      </c>
      <c r="M490" s="59">
        <v>45593</v>
      </c>
      <c r="N490" s="59"/>
      <c r="O490" s="135" t="s">
        <v>10</v>
      </c>
    </row>
    <row r="491" spans="1:15" ht="16.2">
      <c r="A491" s="7" t="str">
        <f t="shared" si="10"/>
        <v>lt827_mthd_usd_instrmntmthd_usd_instrmnt_scp_2</v>
      </c>
      <c r="B491" s="31" t="s">
        <v>10</v>
      </c>
      <c r="C491" s="30" t="s">
        <v>10</v>
      </c>
      <c r="D491" s="26" t="s">
        <v>18</v>
      </c>
      <c r="E491" s="29" t="s">
        <v>495</v>
      </c>
      <c r="F491" s="29" t="s">
        <v>354</v>
      </c>
      <c r="G491" s="28" t="s">
        <v>422</v>
      </c>
      <c r="H491" s="28" t="s">
        <v>422</v>
      </c>
      <c r="I491" s="32"/>
      <c r="J491" s="41">
        <v>45593</v>
      </c>
      <c r="K491" s="41">
        <v>45611</v>
      </c>
      <c r="L491" s="41">
        <v>45611</v>
      </c>
      <c r="M491" s="59">
        <v>45593</v>
      </c>
      <c r="N491" s="59"/>
      <c r="O491" s="135" t="s">
        <v>10</v>
      </c>
    </row>
    <row r="492" spans="1:15" ht="16.2">
      <c r="A492" s="7" t="str">
        <f t="shared" si="10"/>
        <v>lt827_mthd_usd_instrmntmthd_usd_instrmnt_scp_3</v>
      </c>
      <c r="B492" s="31" t="s">
        <v>10</v>
      </c>
      <c r="C492" s="30" t="s">
        <v>10</v>
      </c>
      <c r="D492" s="26" t="s">
        <v>18</v>
      </c>
      <c r="E492" s="29" t="s">
        <v>495</v>
      </c>
      <c r="F492" s="29" t="s">
        <v>355</v>
      </c>
      <c r="G492" s="28" t="s">
        <v>422</v>
      </c>
      <c r="H492" s="28" t="s">
        <v>422</v>
      </c>
      <c r="I492" s="32"/>
      <c r="J492" s="41">
        <v>45593</v>
      </c>
      <c r="K492" s="41">
        <v>45611</v>
      </c>
      <c r="L492" s="41">
        <v>45611</v>
      </c>
      <c r="M492" s="59">
        <v>45593</v>
      </c>
      <c r="N492" s="59"/>
      <c r="O492" s="135" t="s">
        <v>10</v>
      </c>
    </row>
    <row r="493" spans="1:15" ht="16.2">
      <c r="A493" s="7" t="str">
        <f t="shared" si="10"/>
        <v>lt827_mthd_usd_instrmntpurpose_code</v>
      </c>
      <c r="B493" s="31" t="s">
        <v>10</v>
      </c>
      <c r="C493" s="30" t="s">
        <v>10</v>
      </c>
      <c r="D493" s="26" t="s">
        <v>18</v>
      </c>
      <c r="E493" s="29" t="s">
        <v>495</v>
      </c>
      <c r="F493" s="29" t="s">
        <v>490</v>
      </c>
      <c r="G493" s="28" t="s">
        <v>422</v>
      </c>
      <c r="H493" s="28" t="s">
        <v>422</v>
      </c>
      <c r="I493" s="32"/>
      <c r="J493" s="41" t="s">
        <v>576</v>
      </c>
      <c r="K493" s="41">
        <v>45611</v>
      </c>
      <c r="L493" s="41">
        <v>45611</v>
      </c>
      <c r="M493" s="59"/>
      <c r="N493" s="59"/>
      <c r="O493" s="135" t="s">
        <v>10</v>
      </c>
    </row>
    <row r="494" spans="1:15" ht="16.2">
      <c r="A494" s="7" t="str">
        <f t="shared" si="10"/>
        <v>lt827_mthd_usd_instrmntflg_fin</v>
      </c>
      <c r="B494" s="31" t="s">
        <v>10</v>
      </c>
      <c r="C494" s="30" t="s">
        <v>10</v>
      </c>
      <c r="D494" s="26" t="s">
        <v>18</v>
      </c>
      <c r="E494" s="29" t="s">
        <v>495</v>
      </c>
      <c r="F494" s="29" t="s">
        <v>412</v>
      </c>
      <c r="G494" s="28" t="s">
        <v>422</v>
      </c>
      <c r="H494" s="28" t="s">
        <v>422</v>
      </c>
      <c r="I494" s="32"/>
      <c r="J494" s="41" t="s">
        <v>576</v>
      </c>
      <c r="K494" s="41">
        <v>45611</v>
      </c>
      <c r="L494" s="41">
        <v>45611</v>
      </c>
      <c r="M494" s="59"/>
      <c r="N494" s="59"/>
      <c r="O494" s="135" t="s">
        <v>10</v>
      </c>
    </row>
    <row r="495" spans="1:15" ht="16.2">
      <c r="A495" s="7" t="str">
        <f t="shared" si="10"/>
        <v>lt827_mthd_usd_instrmntflg_exec</v>
      </c>
      <c r="B495" s="31" t="s">
        <v>10</v>
      </c>
      <c r="C495" s="30" t="s">
        <v>10</v>
      </c>
      <c r="D495" s="26" t="s">
        <v>18</v>
      </c>
      <c r="E495" s="29" t="s">
        <v>495</v>
      </c>
      <c r="F495" s="29" t="s">
        <v>479</v>
      </c>
      <c r="G495" s="28" t="s">
        <v>422</v>
      </c>
      <c r="H495" s="28" t="s">
        <v>422</v>
      </c>
      <c r="I495" s="32"/>
      <c r="J495" s="41" t="s">
        <v>576</v>
      </c>
      <c r="K495" s="41">
        <v>45611</v>
      </c>
      <c r="L495" s="41">
        <v>45611</v>
      </c>
      <c r="M495" s="59"/>
      <c r="N495" s="59"/>
      <c r="O495" s="135" t="s">
        <v>10</v>
      </c>
    </row>
    <row r="496" spans="1:15" ht="16.2">
      <c r="A496" s="7" t="str">
        <f t="shared" si="10"/>
        <v>lt827_mthd_usd_instrmntflg_col</v>
      </c>
      <c r="B496" s="31" t="s">
        <v>10</v>
      </c>
      <c r="C496" s="30" t="s">
        <v>10</v>
      </c>
      <c r="D496" s="26" t="s">
        <v>18</v>
      </c>
      <c r="E496" s="29" t="s">
        <v>495</v>
      </c>
      <c r="F496" s="29" t="s">
        <v>411</v>
      </c>
      <c r="G496" s="28" t="s">
        <v>422</v>
      </c>
      <c r="H496" s="28" t="s">
        <v>422</v>
      </c>
      <c r="I496" s="32"/>
      <c r="J496" s="41" t="s">
        <v>576</v>
      </c>
      <c r="K496" s="41">
        <v>45611</v>
      </c>
      <c r="L496" s="41">
        <v>45611</v>
      </c>
      <c r="M496" s="59"/>
      <c r="N496" s="59"/>
      <c r="O496" s="135" t="s">
        <v>10</v>
      </c>
    </row>
    <row r="497" spans="1:15" ht="16.2">
      <c r="A497" s="7" t="str">
        <f t="shared" si="10"/>
        <v>lt827_mthd_usd_instrmntflg_pro</v>
      </c>
      <c r="B497" s="31" t="s">
        <v>10</v>
      </c>
      <c r="C497" s="30" t="s">
        <v>10</v>
      </c>
      <c r="D497" s="26" t="s">
        <v>18</v>
      </c>
      <c r="E497" s="29" t="s">
        <v>495</v>
      </c>
      <c r="F497" s="29" t="s">
        <v>413</v>
      </c>
      <c r="G497" s="28" t="s">
        <v>422</v>
      </c>
      <c r="H497" s="28" t="s">
        <v>422</v>
      </c>
      <c r="I497" s="32"/>
      <c r="J497" s="41" t="s">
        <v>576</v>
      </c>
      <c r="K497" s="41">
        <v>45611</v>
      </c>
      <c r="L497" s="41">
        <v>45611</v>
      </c>
      <c r="M497" s="59"/>
      <c r="N497" s="59"/>
      <c r="O497" s="135" t="s">
        <v>10</v>
      </c>
    </row>
    <row r="498" spans="1:15" ht="16.2" customHeight="1">
      <c r="A498" s="7" t="str">
        <f t="shared" si="10"/>
        <v>lt826_esg_sbsctrambito</v>
      </c>
      <c r="B498" s="31" t="s">
        <v>10</v>
      </c>
      <c r="C498" s="30" t="s">
        <v>10</v>
      </c>
      <c r="D498" s="26" t="s">
        <v>18</v>
      </c>
      <c r="E498" s="29" t="s">
        <v>359</v>
      </c>
      <c r="F498" s="29" t="s">
        <v>357</v>
      </c>
      <c r="G498" s="28" t="s">
        <v>422</v>
      </c>
      <c r="H498" s="28" t="s">
        <v>422</v>
      </c>
      <c r="I498" s="32"/>
      <c r="J498" s="41" t="s">
        <v>576</v>
      </c>
      <c r="K498" s="41" t="s">
        <v>576</v>
      </c>
      <c r="L498" s="41" t="s">
        <v>576</v>
      </c>
      <c r="M498" s="59"/>
      <c r="N498" s="59"/>
      <c r="O498" s="135" t="s">
        <v>10</v>
      </c>
    </row>
    <row r="499" spans="1:15" ht="16.2" customHeight="1">
      <c r="A499" s="7" t="str">
        <f t="shared" si="10"/>
        <v>lt826_esg_sbsctrref_date</v>
      </c>
      <c r="B499" s="31" t="s">
        <v>10</v>
      </c>
      <c r="C499" s="30" t="s">
        <v>10</v>
      </c>
      <c r="D499" s="26" t="s">
        <v>18</v>
      </c>
      <c r="E499" s="29" t="s">
        <v>359</v>
      </c>
      <c r="F499" s="29" t="s">
        <v>181</v>
      </c>
      <c r="G499" s="28" t="s">
        <v>422</v>
      </c>
      <c r="H499" s="28" t="s">
        <v>422</v>
      </c>
      <c r="I499" s="32"/>
      <c r="J499" s="41" t="s">
        <v>576</v>
      </c>
      <c r="K499" s="41" t="s">
        <v>576</v>
      </c>
      <c r="L499" s="41" t="s">
        <v>576</v>
      </c>
      <c r="M499" s="59"/>
      <c r="N499" s="59"/>
      <c r="O499" s="135" t="s">
        <v>10</v>
      </c>
    </row>
    <row r="500" spans="1:15" ht="16.2" customHeight="1">
      <c r="A500" s="7" t="str">
        <f t="shared" si="10"/>
        <v>lt826_esg_sbsctrordem</v>
      </c>
      <c r="B500" s="31" t="s">
        <v>10</v>
      </c>
      <c r="C500" s="30" t="s">
        <v>10</v>
      </c>
      <c r="D500" s="26" t="s">
        <v>18</v>
      </c>
      <c r="E500" s="29" t="s">
        <v>359</v>
      </c>
      <c r="F500" s="29" t="s">
        <v>184</v>
      </c>
      <c r="G500" s="28" t="s">
        <v>422</v>
      </c>
      <c r="H500" s="28" t="s">
        <v>422</v>
      </c>
      <c r="I500" s="32"/>
      <c r="J500" s="41" t="s">
        <v>576</v>
      </c>
      <c r="K500" s="41" t="s">
        <v>576</v>
      </c>
      <c r="L500" s="41" t="s">
        <v>576</v>
      </c>
      <c r="M500" s="59"/>
      <c r="N500" s="59"/>
      <c r="O500" s="135" t="s">
        <v>10</v>
      </c>
    </row>
    <row r="501" spans="1:15" ht="16.2" customHeight="1">
      <c r="A501" s="7" t="str">
        <f t="shared" si="10"/>
        <v>lt826_esg_sbsctrnace_code</v>
      </c>
      <c r="B501" s="31" t="s">
        <v>10</v>
      </c>
      <c r="C501" s="30" t="s">
        <v>10</v>
      </c>
      <c r="D501" s="26" t="s">
        <v>18</v>
      </c>
      <c r="E501" s="29" t="s">
        <v>359</v>
      </c>
      <c r="F501" s="29" t="s">
        <v>360</v>
      </c>
      <c r="G501" s="28" t="s">
        <v>422</v>
      </c>
      <c r="H501" s="28" t="s">
        <v>422</v>
      </c>
      <c r="I501" s="32"/>
      <c r="J501" s="41" t="s">
        <v>576</v>
      </c>
      <c r="K501" s="41" t="s">
        <v>576</v>
      </c>
      <c r="L501" s="41" t="s">
        <v>576</v>
      </c>
      <c r="M501" s="59"/>
      <c r="N501" s="59"/>
      <c r="O501" s="135" t="s">
        <v>10</v>
      </c>
    </row>
    <row r="502" spans="1:15" ht="16.2" customHeight="1">
      <c r="A502" s="7" t="str">
        <f t="shared" si="10"/>
        <v>lt826_esg_sbsctrcontraparte</v>
      </c>
      <c r="B502" s="31" t="s">
        <v>10</v>
      </c>
      <c r="C502" s="30" t="s">
        <v>10</v>
      </c>
      <c r="D502" s="26" t="s">
        <v>18</v>
      </c>
      <c r="E502" s="29" t="s">
        <v>359</v>
      </c>
      <c r="F502" s="29" t="s">
        <v>361</v>
      </c>
      <c r="G502" s="28" t="s">
        <v>422</v>
      </c>
      <c r="H502" s="28" t="s">
        <v>422</v>
      </c>
      <c r="I502" s="32"/>
      <c r="J502" s="41" t="s">
        <v>576</v>
      </c>
      <c r="K502" s="41" t="s">
        <v>576</v>
      </c>
      <c r="L502" s="41" t="s">
        <v>576</v>
      </c>
      <c r="M502" s="59"/>
      <c r="N502" s="59"/>
      <c r="O502" s="135" t="s">
        <v>10</v>
      </c>
    </row>
    <row r="503" spans="1:15" ht="16.2" customHeight="1">
      <c r="A503" s="7" t="str">
        <f t="shared" si="10"/>
        <v>lt826_esg_sbsctrcnatureza_juri</v>
      </c>
      <c r="B503" s="31" t="s">
        <v>10</v>
      </c>
      <c r="C503" s="30" t="s">
        <v>10</v>
      </c>
      <c r="D503" s="26" t="s">
        <v>18</v>
      </c>
      <c r="E503" s="29" t="s">
        <v>359</v>
      </c>
      <c r="F503" s="29" t="s">
        <v>362</v>
      </c>
      <c r="G503" s="28" t="s">
        <v>422</v>
      </c>
      <c r="H503" s="28" t="s">
        <v>422</v>
      </c>
      <c r="I503" s="32"/>
      <c r="J503" s="41" t="s">
        <v>576</v>
      </c>
      <c r="K503" s="41" t="s">
        <v>576</v>
      </c>
      <c r="L503" s="41" t="s">
        <v>576</v>
      </c>
      <c r="M503" s="59"/>
      <c r="N503" s="59"/>
      <c r="O503" s="135" t="s">
        <v>10</v>
      </c>
    </row>
    <row r="504" spans="1:15" ht="16.2" customHeight="1">
      <c r="A504" s="7" t="str">
        <f t="shared" si="10"/>
        <v>lt826_esg_sbsctridcomb</v>
      </c>
      <c r="B504" s="31" t="s">
        <v>10</v>
      </c>
      <c r="C504" s="30" t="s">
        <v>10</v>
      </c>
      <c r="D504" s="26" t="s">
        <v>18</v>
      </c>
      <c r="E504" s="29" t="s">
        <v>359</v>
      </c>
      <c r="F504" s="29" t="s">
        <v>363</v>
      </c>
      <c r="G504" s="28" t="s">
        <v>422</v>
      </c>
      <c r="H504" s="28" t="s">
        <v>422</v>
      </c>
      <c r="I504" s="32"/>
      <c r="J504" s="41" t="s">
        <v>576</v>
      </c>
      <c r="K504" s="41" t="s">
        <v>576</v>
      </c>
      <c r="L504" s="41" t="s">
        <v>576</v>
      </c>
      <c r="M504" s="59"/>
      <c r="N504" s="59"/>
      <c r="O504" s="135" t="s">
        <v>10</v>
      </c>
    </row>
    <row r="505" spans="1:15" ht="16.2" customHeight="1">
      <c r="A505" s="7" t="str">
        <f t="shared" si="10"/>
        <v>lt826_esg_sbsctresg_sbsctr</v>
      </c>
      <c r="B505" s="31" t="s">
        <v>10</v>
      </c>
      <c r="C505" s="30" t="s">
        <v>10</v>
      </c>
      <c r="D505" s="26" t="s">
        <v>18</v>
      </c>
      <c r="E505" s="29" t="s">
        <v>359</v>
      </c>
      <c r="F505" s="29" t="s">
        <v>328</v>
      </c>
      <c r="G505" s="28" t="s">
        <v>422</v>
      </c>
      <c r="H505" s="28" t="s">
        <v>422</v>
      </c>
      <c r="I505" s="32"/>
      <c r="J505" s="41" t="s">
        <v>576</v>
      </c>
      <c r="K505" s="41" t="s">
        <v>576</v>
      </c>
      <c r="L505" s="41" t="s">
        <v>576</v>
      </c>
      <c r="M505" s="59"/>
      <c r="N505" s="59"/>
      <c r="O505" s="135" t="s">
        <v>10</v>
      </c>
    </row>
    <row r="506" spans="1:15" ht="16.2" customHeight="1">
      <c r="A506" s="7" t="str">
        <f t="shared" si="10"/>
        <v>lt826_esg_sbsctrdescrição</v>
      </c>
      <c r="B506" s="31" t="s">
        <v>10</v>
      </c>
      <c r="C506" s="30" t="s">
        <v>10</v>
      </c>
      <c r="D506" s="26" t="s">
        <v>18</v>
      </c>
      <c r="E506" s="29" t="s">
        <v>359</v>
      </c>
      <c r="F506" s="29" t="s">
        <v>364</v>
      </c>
      <c r="G506" s="28" t="s">
        <v>422</v>
      </c>
      <c r="H506" s="28" t="s">
        <v>422</v>
      </c>
      <c r="I506" s="32"/>
      <c r="J506" s="41" t="s">
        <v>576</v>
      </c>
      <c r="K506" s="41" t="s">
        <v>576</v>
      </c>
      <c r="L506" s="41" t="s">
        <v>576</v>
      </c>
      <c r="M506" s="59"/>
      <c r="N506" s="59"/>
      <c r="O506" s="135" t="s">
        <v>10</v>
      </c>
    </row>
    <row r="507" spans="1:15" ht="16.2" customHeight="1">
      <c r="A507" s="7" t="str">
        <f t="shared" si="10"/>
        <v>lt002_instrumentdt_rfrnc</v>
      </c>
      <c r="B507" s="31" t="s">
        <v>10</v>
      </c>
      <c r="C507" s="30" t="s">
        <v>10</v>
      </c>
      <c r="D507" s="26" t="s">
        <v>18</v>
      </c>
      <c r="E507" s="29" t="s">
        <v>347</v>
      </c>
      <c r="F507" s="29" t="s">
        <v>365</v>
      </c>
      <c r="G507" s="28" t="s">
        <v>422</v>
      </c>
      <c r="H507" s="28" t="s">
        <v>422</v>
      </c>
      <c r="I507" s="32" t="s">
        <v>469</v>
      </c>
      <c r="J507" s="41" t="s">
        <v>576</v>
      </c>
      <c r="K507" s="41" t="s">
        <v>576</v>
      </c>
      <c r="L507" s="41" t="s">
        <v>576</v>
      </c>
      <c r="M507" s="59"/>
      <c r="N507" s="59"/>
      <c r="O507" s="135" t="s">
        <v>10</v>
      </c>
    </row>
    <row r="508" spans="1:15" ht="16.2" customHeight="1">
      <c r="A508" s="7" t="str">
        <f t="shared" si="10"/>
        <v>lt002_instrumentinstrmnt_id</v>
      </c>
      <c r="B508" s="31" t="s">
        <v>10</v>
      </c>
      <c r="C508" s="30" t="s">
        <v>10</v>
      </c>
      <c r="D508" s="26" t="s">
        <v>18</v>
      </c>
      <c r="E508" s="29" t="s">
        <v>347</v>
      </c>
      <c r="F508" s="29" t="s">
        <v>366</v>
      </c>
      <c r="G508" s="28" t="s">
        <v>422</v>
      </c>
      <c r="H508" s="28" t="s">
        <v>422</v>
      </c>
      <c r="I508" s="32" t="s">
        <v>469</v>
      </c>
      <c r="J508" s="41" t="s">
        <v>576</v>
      </c>
      <c r="K508" s="41" t="s">
        <v>576</v>
      </c>
      <c r="L508" s="41" t="s">
        <v>576</v>
      </c>
      <c r="M508" s="59"/>
      <c r="N508" s="59"/>
      <c r="O508" s="135" t="s">
        <v>10</v>
      </c>
    </row>
    <row r="509" spans="1:15" ht="16.2" customHeight="1">
      <c r="A509" s="7" t="str">
        <f t="shared" si="10"/>
        <v>lt002_instrumentdt_incptn</v>
      </c>
      <c r="B509" s="31" t="s">
        <v>10</v>
      </c>
      <c r="C509" s="30" t="s">
        <v>10</v>
      </c>
      <c r="D509" s="26" t="s">
        <v>18</v>
      </c>
      <c r="E509" s="29" t="s">
        <v>347</v>
      </c>
      <c r="F509" s="29" t="s">
        <v>367</v>
      </c>
      <c r="G509" s="28" t="s">
        <v>422</v>
      </c>
      <c r="H509" s="28" t="s">
        <v>422</v>
      </c>
      <c r="I509" s="32" t="s">
        <v>469</v>
      </c>
      <c r="J509" s="41" t="s">
        <v>576</v>
      </c>
      <c r="K509" s="41" t="s">
        <v>576</v>
      </c>
      <c r="L509" s="41" t="s">
        <v>576</v>
      </c>
      <c r="M509" s="59"/>
      <c r="N509" s="59"/>
      <c r="O509" s="135" t="s">
        <v>10</v>
      </c>
    </row>
    <row r="510" spans="1:15" ht="16.2" customHeight="1">
      <c r="A510" s="7" t="str">
        <f t="shared" si="10"/>
        <v>lt002_instrumentdflt_stts_instrmnt</v>
      </c>
      <c r="B510" s="31" t="s">
        <v>10</v>
      </c>
      <c r="C510" s="30" t="s">
        <v>10</v>
      </c>
      <c r="D510" s="26" t="s">
        <v>18</v>
      </c>
      <c r="E510" s="29" t="s">
        <v>347</v>
      </c>
      <c r="F510" s="29" t="s">
        <v>368</v>
      </c>
      <c r="G510" s="28" t="s">
        <v>422</v>
      </c>
      <c r="H510" s="28" t="s">
        <v>422</v>
      </c>
      <c r="I510" s="32" t="s">
        <v>469</v>
      </c>
      <c r="J510" s="41" t="s">
        <v>576</v>
      </c>
      <c r="K510" s="41" t="s">
        <v>576</v>
      </c>
      <c r="L510" s="41" t="s">
        <v>576</v>
      </c>
      <c r="M510" s="59"/>
      <c r="N510" s="59"/>
      <c r="O510" s="135" t="s">
        <v>10</v>
      </c>
    </row>
    <row r="511" spans="1:15" ht="16.2" customHeight="1">
      <c r="A511" s="7" t="str">
        <f t="shared" si="10"/>
        <v>lt002_instrumentimprmnt_stts</v>
      </c>
      <c r="B511" s="31" t="s">
        <v>10</v>
      </c>
      <c r="C511" s="30" t="s">
        <v>10</v>
      </c>
      <c r="D511" s="26" t="s">
        <v>18</v>
      </c>
      <c r="E511" s="29" t="s">
        <v>347</v>
      </c>
      <c r="F511" s="29" t="s">
        <v>369</v>
      </c>
      <c r="G511" s="28" t="s">
        <v>422</v>
      </c>
      <c r="H511" s="28" t="s">
        <v>422</v>
      </c>
      <c r="I511" s="32" t="s">
        <v>469</v>
      </c>
      <c r="J511" s="41" t="s">
        <v>576</v>
      </c>
      <c r="K511" s="41" t="s">
        <v>576</v>
      </c>
      <c r="L511" s="41" t="s">
        <v>576</v>
      </c>
      <c r="M511" s="59"/>
      <c r="N511" s="59"/>
      <c r="O511" s="135" t="s">
        <v>10</v>
      </c>
    </row>
    <row r="512" spans="1:15" ht="16.2" customHeight="1">
      <c r="A512" s="7" t="str">
        <f t="shared" si="10"/>
        <v>lt002_instrumentprfrmng_stts</v>
      </c>
      <c r="B512" s="31" t="s">
        <v>10</v>
      </c>
      <c r="C512" s="30" t="s">
        <v>10</v>
      </c>
      <c r="D512" s="26" t="s">
        <v>18</v>
      </c>
      <c r="E512" s="29" t="s">
        <v>347</v>
      </c>
      <c r="F512" s="29" t="s">
        <v>370</v>
      </c>
      <c r="G512" s="28" t="s">
        <v>422</v>
      </c>
      <c r="H512" s="28" t="s">
        <v>422</v>
      </c>
      <c r="I512" s="32" t="s">
        <v>469</v>
      </c>
      <c r="J512" s="41" t="s">
        <v>576</v>
      </c>
      <c r="K512" s="41" t="s">
        <v>576</v>
      </c>
      <c r="L512" s="41" t="s">
        <v>576</v>
      </c>
      <c r="M512" s="59"/>
      <c r="N512" s="59"/>
      <c r="O512" s="135" t="s">
        <v>10</v>
      </c>
    </row>
    <row r="513" spans="1:15" ht="16.2" customHeight="1">
      <c r="A513" s="7" t="str">
        <f t="shared" si="10"/>
        <v>lt002_instrumentprjct_fnnc_ln</v>
      </c>
      <c r="B513" s="31" t="s">
        <v>10</v>
      </c>
      <c r="C513" s="30" t="s">
        <v>10</v>
      </c>
      <c r="D513" s="26" t="s">
        <v>18</v>
      </c>
      <c r="E513" s="29" t="s">
        <v>347</v>
      </c>
      <c r="F513" s="29" t="s">
        <v>371</v>
      </c>
      <c r="G513" s="28" t="s">
        <v>422</v>
      </c>
      <c r="H513" s="28" t="s">
        <v>422</v>
      </c>
      <c r="I513" s="32" t="s">
        <v>469</v>
      </c>
      <c r="J513" s="41" t="s">
        <v>576</v>
      </c>
      <c r="K513" s="41" t="s">
        <v>576</v>
      </c>
      <c r="L513" s="41" t="s">
        <v>576</v>
      </c>
      <c r="M513" s="59"/>
      <c r="N513" s="59"/>
      <c r="O513" s="135" t="s">
        <v>10</v>
      </c>
    </row>
    <row r="514" spans="1:15" ht="16.2" customHeight="1">
      <c r="A514" s="7" t="str">
        <f t="shared" si="10"/>
        <v>lt002_instrumenttyp_instrmnt</v>
      </c>
      <c r="B514" s="31" t="s">
        <v>10</v>
      </c>
      <c r="C514" s="30" t="s">
        <v>10</v>
      </c>
      <c r="D514" s="26" t="s">
        <v>18</v>
      </c>
      <c r="E514" s="29" t="s">
        <v>347</v>
      </c>
      <c r="F514" s="29" t="s">
        <v>372</v>
      </c>
      <c r="G514" s="28" t="s">
        <v>422</v>
      </c>
      <c r="H514" s="28" t="s">
        <v>422</v>
      </c>
      <c r="I514" s="32" t="s">
        <v>469</v>
      </c>
      <c r="J514" s="41" t="s">
        <v>576</v>
      </c>
      <c r="K514" s="41" t="s">
        <v>576</v>
      </c>
      <c r="L514" s="41" t="s">
        <v>576</v>
      </c>
      <c r="M514" s="59"/>
      <c r="N514" s="59"/>
      <c r="O514" s="135" t="s">
        <v>10</v>
      </c>
    </row>
    <row r="515" spans="1:15" ht="16.2" customHeight="1">
      <c r="A515" s="7" t="str">
        <f t="shared" si="10"/>
        <v>lt002_instrumentgrss_crryng_amnt_instrmnt</v>
      </c>
      <c r="B515" s="31" t="s">
        <v>10</v>
      </c>
      <c r="C515" s="30" t="s">
        <v>10</v>
      </c>
      <c r="D515" s="26" t="s">
        <v>18</v>
      </c>
      <c r="E515" s="29" t="s">
        <v>347</v>
      </c>
      <c r="F515" s="29" t="s">
        <v>373</v>
      </c>
      <c r="G515" s="28" t="s">
        <v>422</v>
      </c>
      <c r="H515" s="28" t="s">
        <v>422</v>
      </c>
      <c r="I515" s="32" t="s">
        <v>469</v>
      </c>
      <c r="J515" s="41" t="s">
        <v>576</v>
      </c>
      <c r="K515" s="41">
        <v>45631</v>
      </c>
      <c r="L515" s="41">
        <v>45631</v>
      </c>
      <c r="M515" s="59"/>
      <c r="N515" s="59"/>
      <c r="O515" s="135" t="s">
        <v>10</v>
      </c>
    </row>
    <row r="516" spans="1:15" ht="16.2" customHeight="1">
      <c r="A516" s="7" t="str">
        <f t="shared" si="10"/>
        <v>lt002_instrumentaccmltd_chngs_fv_cr_instrmnt</v>
      </c>
      <c r="B516" s="31" t="s">
        <v>10</v>
      </c>
      <c r="C516" s="30" t="s">
        <v>10</v>
      </c>
      <c r="D516" s="26" t="s">
        <v>18</v>
      </c>
      <c r="E516" s="29" t="s">
        <v>347</v>
      </c>
      <c r="F516" s="29" t="s">
        <v>374</v>
      </c>
      <c r="G516" s="28" t="s">
        <v>422</v>
      </c>
      <c r="H516" s="28" t="s">
        <v>422</v>
      </c>
      <c r="I516" s="32" t="s">
        <v>469</v>
      </c>
      <c r="J516" s="41" t="s">
        <v>576</v>
      </c>
      <c r="K516" s="41" t="s">
        <v>576</v>
      </c>
      <c r="L516" s="41" t="s">
        <v>576</v>
      </c>
      <c r="M516" s="59"/>
      <c r="N516" s="59"/>
      <c r="O516" s="135" t="s">
        <v>10</v>
      </c>
    </row>
    <row r="517" spans="1:15" ht="16.2" customHeight="1">
      <c r="A517" s="7" t="str">
        <f t="shared" si="10"/>
        <v>lt002_instrumentaccntng_clssfctn</v>
      </c>
      <c r="B517" s="31" t="s">
        <v>10</v>
      </c>
      <c r="C517" s="30" t="s">
        <v>10</v>
      </c>
      <c r="D517" s="26" t="s">
        <v>18</v>
      </c>
      <c r="E517" s="29" t="s">
        <v>347</v>
      </c>
      <c r="F517" s="29" t="s">
        <v>375</v>
      </c>
      <c r="G517" s="28" t="s">
        <v>422</v>
      </c>
      <c r="H517" s="28" t="s">
        <v>422</v>
      </c>
      <c r="I517" s="32" t="s">
        <v>469</v>
      </c>
      <c r="J517" s="41" t="s">
        <v>576</v>
      </c>
      <c r="K517" s="41" t="s">
        <v>576</v>
      </c>
      <c r="L517" s="41" t="s">
        <v>576</v>
      </c>
      <c r="M517" s="59"/>
      <c r="N517" s="59"/>
      <c r="O517" s="135" t="s">
        <v>10</v>
      </c>
    </row>
    <row r="518" spans="1:15" ht="16.2" customHeight="1">
      <c r="A518" s="7" t="str">
        <f t="shared" si="10"/>
        <v>lt002_instrumentdt_lgl_fnl_mtrty</v>
      </c>
      <c r="B518" s="31" t="s">
        <v>10</v>
      </c>
      <c r="C518" s="30" t="s">
        <v>10</v>
      </c>
      <c r="D518" s="26" t="s">
        <v>18</v>
      </c>
      <c r="E518" s="29" t="s">
        <v>347</v>
      </c>
      <c r="F518" s="29" t="s">
        <v>376</v>
      </c>
      <c r="G518" s="28" t="s">
        <v>422</v>
      </c>
      <c r="H518" s="28" t="s">
        <v>422</v>
      </c>
      <c r="I518" s="32" t="s">
        <v>469</v>
      </c>
      <c r="J518" s="41" t="s">
        <v>576</v>
      </c>
      <c r="K518" s="41" t="s">
        <v>576</v>
      </c>
      <c r="L518" s="41" t="s">
        <v>576</v>
      </c>
      <c r="M518" s="59"/>
      <c r="N518" s="59"/>
      <c r="O518" s="135" t="s">
        <v>10</v>
      </c>
    </row>
    <row r="519" spans="1:15" ht="16.2" customHeight="1">
      <c r="A519" s="7" t="str">
        <f t="shared" si="10"/>
        <v>lt002_instrumentaccmltd_imprmnt_instrmnt</v>
      </c>
      <c r="B519" s="31" t="s">
        <v>10</v>
      </c>
      <c r="C519" s="30" t="s">
        <v>10</v>
      </c>
      <c r="D519" s="26" t="s">
        <v>18</v>
      </c>
      <c r="E519" s="29" t="s">
        <v>347</v>
      </c>
      <c r="F519" s="29" t="s">
        <v>377</v>
      </c>
      <c r="G519" s="28" t="s">
        <v>422</v>
      </c>
      <c r="H519" s="28" t="s">
        <v>422</v>
      </c>
      <c r="I519" s="32" t="s">
        <v>469</v>
      </c>
      <c r="J519" s="41" t="s">
        <v>576</v>
      </c>
      <c r="K519" s="41" t="s">
        <v>576</v>
      </c>
      <c r="L519" s="41" t="s">
        <v>576</v>
      </c>
      <c r="M519" s="59"/>
      <c r="N519" s="59"/>
      <c r="O519" s="135" t="s">
        <v>10</v>
      </c>
    </row>
    <row r="520" spans="1:15" ht="16.2" customHeight="1">
      <c r="A520" s="7" t="str">
        <f t="shared" si="10"/>
        <v>lt002_instrumentissr_cntry</v>
      </c>
      <c r="B520" s="31" t="s">
        <v>10</v>
      </c>
      <c r="C520" s="30" t="s">
        <v>10</v>
      </c>
      <c r="D520" s="26" t="s">
        <v>18</v>
      </c>
      <c r="E520" s="29" t="s">
        <v>347</v>
      </c>
      <c r="F520" s="29" t="s">
        <v>378</v>
      </c>
      <c r="G520" s="28" t="s">
        <v>422</v>
      </c>
      <c r="H520" s="28" t="s">
        <v>422</v>
      </c>
      <c r="I520" s="32" t="s">
        <v>469</v>
      </c>
      <c r="J520" s="41" t="s">
        <v>576</v>
      </c>
      <c r="K520" s="41" t="s">
        <v>576</v>
      </c>
      <c r="L520" s="41" t="s">
        <v>576</v>
      </c>
      <c r="M520" s="59"/>
      <c r="N520" s="59"/>
      <c r="O520" s="135" t="s">
        <v>10</v>
      </c>
    </row>
    <row r="521" spans="1:15" ht="16.2" customHeight="1">
      <c r="A521" s="7" t="str">
        <f t="shared" si="10"/>
        <v>lt002_instrumentissr_nace_sctr</v>
      </c>
      <c r="B521" s="31" t="s">
        <v>10</v>
      </c>
      <c r="C521" s="30" t="s">
        <v>10</v>
      </c>
      <c r="D521" s="26" t="s">
        <v>18</v>
      </c>
      <c r="E521" s="29" t="s">
        <v>347</v>
      </c>
      <c r="F521" s="29" t="s">
        <v>379</v>
      </c>
      <c r="G521" s="28" t="s">
        <v>422</v>
      </c>
      <c r="H521" s="28" t="s">
        <v>422</v>
      </c>
      <c r="I521" s="32" t="s">
        <v>469</v>
      </c>
      <c r="J521" s="41" t="s">
        <v>576</v>
      </c>
      <c r="K521" s="41" t="s">
        <v>576</v>
      </c>
      <c r="L521" s="41" t="s">
        <v>576</v>
      </c>
      <c r="M521" s="59"/>
      <c r="N521" s="59"/>
      <c r="O521" s="135" t="s">
        <v>10</v>
      </c>
    </row>
    <row r="522" spans="1:15" ht="16.2" customHeight="1">
      <c r="A522" s="7" t="str">
        <f t="shared" si="10"/>
        <v>lt002_instrumentprmry_asst_clssf</v>
      </c>
      <c r="B522" s="31" t="s">
        <v>10</v>
      </c>
      <c r="C522" s="30" t="s">
        <v>10</v>
      </c>
      <c r="D522" s="26" t="s">
        <v>18</v>
      </c>
      <c r="E522" s="29" t="s">
        <v>347</v>
      </c>
      <c r="F522" s="29" t="s">
        <v>380</v>
      </c>
      <c r="G522" s="28" t="s">
        <v>422</v>
      </c>
      <c r="H522" s="28" t="s">
        <v>422</v>
      </c>
      <c r="I522" s="32" t="s">
        <v>469</v>
      </c>
      <c r="J522" s="41" t="s">
        <v>576</v>
      </c>
      <c r="K522" s="41" t="s">
        <v>576</v>
      </c>
      <c r="L522" s="41" t="s">
        <v>576</v>
      </c>
      <c r="M522" s="59"/>
      <c r="N522" s="59"/>
      <c r="O522" s="135" t="s">
        <v>10</v>
      </c>
    </row>
    <row r="523" spans="1:15" ht="16.2" customHeight="1">
      <c r="A523" s="7" t="str">
        <f t="shared" si="10"/>
        <v>lt002_instrumentsubportfolio_id</v>
      </c>
      <c r="B523" s="31" t="s">
        <v>10</v>
      </c>
      <c r="C523" s="30" t="s">
        <v>10</v>
      </c>
      <c r="D523" s="26" t="s">
        <v>18</v>
      </c>
      <c r="E523" s="29" t="s">
        <v>347</v>
      </c>
      <c r="F523" s="29" t="s">
        <v>381</v>
      </c>
      <c r="G523" s="28" t="s">
        <v>422</v>
      </c>
      <c r="H523" s="28" t="s">
        <v>422</v>
      </c>
      <c r="I523" s="32" t="s">
        <v>469</v>
      </c>
      <c r="J523" s="41" t="s">
        <v>576</v>
      </c>
      <c r="K523" s="41" t="s">
        <v>576</v>
      </c>
      <c r="L523" s="41" t="s">
        <v>576</v>
      </c>
      <c r="M523" s="59"/>
      <c r="N523" s="59"/>
      <c r="O523" s="135" t="s">
        <v>10</v>
      </c>
    </row>
    <row r="524" spans="1:15" ht="16.2" customHeight="1">
      <c r="A524" s="7" t="str">
        <f t="shared" si="10"/>
        <v>lt002_instrumentcod_soc</v>
      </c>
      <c r="B524" s="31" t="s">
        <v>10</v>
      </c>
      <c r="C524" s="30" t="s">
        <v>10</v>
      </c>
      <c r="D524" s="26" t="s">
        <v>18</v>
      </c>
      <c r="E524" s="29" t="s">
        <v>347</v>
      </c>
      <c r="F524" s="29" t="s">
        <v>382</v>
      </c>
      <c r="G524" s="28" t="s">
        <v>422</v>
      </c>
      <c r="H524" s="28" t="s">
        <v>422</v>
      </c>
      <c r="I524" s="32" t="s">
        <v>469</v>
      </c>
      <c r="J524" s="41" t="s">
        <v>576</v>
      </c>
      <c r="K524" s="41" t="s">
        <v>576</v>
      </c>
      <c r="L524" s="41" t="s">
        <v>576</v>
      </c>
      <c r="M524" s="59"/>
      <c r="N524" s="59"/>
      <c r="O524" s="135" t="s">
        <v>10</v>
      </c>
    </row>
    <row r="525" spans="1:15" ht="16.2" customHeight="1">
      <c r="A525" s="7" t="str">
        <f t="shared" si="10"/>
        <v>lt002_instrumentlcl_instmrnt_id</v>
      </c>
      <c r="B525" s="31" t="s">
        <v>10</v>
      </c>
      <c r="C525" s="30" t="s">
        <v>10</v>
      </c>
      <c r="D525" s="26" t="s">
        <v>18</v>
      </c>
      <c r="E525" s="29" t="s">
        <v>347</v>
      </c>
      <c r="F525" s="29" t="s">
        <v>383</v>
      </c>
      <c r="G525" s="28" t="s">
        <v>422</v>
      </c>
      <c r="H525" s="28" t="s">
        <v>422</v>
      </c>
      <c r="I525" s="32" t="s">
        <v>469</v>
      </c>
      <c r="J525" s="41" t="s">
        <v>576</v>
      </c>
      <c r="K525" s="41" t="s">
        <v>576</v>
      </c>
      <c r="L525" s="41" t="s">
        <v>576</v>
      </c>
      <c r="M525" s="59"/>
      <c r="N525" s="59"/>
      <c r="O525" s="135" t="s">
        <v>10</v>
      </c>
    </row>
    <row r="526" spans="1:15" ht="16.2" customHeight="1">
      <c r="A526" s="7" t="str">
        <f t="shared" si="10"/>
        <v>lt007_instr_activitysstnbl_indctr</v>
      </c>
      <c r="B526" s="31" t="s">
        <v>10</v>
      </c>
      <c r="C526" s="30" t="s">
        <v>10</v>
      </c>
      <c r="D526" s="26" t="s">
        <v>18</v>
      </c>
      <c r="E526" s="29" t="s">
        <v>494</v>
      </c>
      <c r="F526" s="29" t="s">
        <v>384</v>
      </c>
      <c r="G526" s="28" t="s">
        <v>480</v>
      </c>
      <c r="H526" s="28" t="s">
        <v>480</v>
      </c>
      <c r="I526" s="32" t="s">
        <v>487</v>
      </c>
      <c r="J526" s="41" t="s">
        <v>576</v>
      </c>
      <c r="K526" s="41">
        <v>45624</v>
      </c>
      <c r="L526" s="41">
        <v>45624</v>
      </c>
      <c r="M526" s="59">
        <v>45593</v>
      </c>
      <c r="N526" s="59"/>
      <c r="O526" s="135" t="s">
        <v>10</v>
      </c>
    </row>
    <row r="527" spans="1:15" ht="16.2" customHeight="1">
      <c r="A527" s="7" t="str">
        <f t="shared" si="10"/>
        <v>lt007_instr_activitysstnbl_ctgry</v>
      </c>
      <c r="B527" s="31" t="s">
        <v>10</v>
      </c>
      <c r="C527" s="30" t="s">
        <v>10</v>
      </c>
      <c r="D527" s="26" t="s">
        <v>18</v>
      </c>
      <c r="E527" s="29" t="s">
        <v>494</v>
      </c>
      <c r="F527" s="29" t="s">
        <v>385</v>
      </c>
      <c r="G527" s="28" t="s">
        <v>480</v>
      </c>
      <c r="H527" s="28" t="s">
        <v>480</v>
      </c>
      <c r="I527" s="32" t="s">
        <v>487</v>
      </c>
      <c r="J527" s="41">
        <v>45593</v>
      </c>
      <c r="K527" s="41">
        <v>45624</v>
      </c>
      <c r="L527" s="41">
        <v>45624</v>
      </c>
      <c r="M527" s="59">
        <v>45593</v>
      </c>
      <c r="N527" s="59"/>
      <c r="O527" s="135" t="s">
        <v>10</v>
      </c>
    </row>
    <row r="528" spans="1:15" ht="16.2" customHeight="1">
      <c r="A528" s="7" t="str">
        <f t="shared" si="10"/>
        <v>lt002_instrumentgrss_intrst_incm</v>
      </c>
      <c r="B528" s="31" t="s">
        <v>10</v>
      </c>
      <c r="C528" s="30" t="s">
        <v>10</v>
      </c>
      <c r="D528" s="26" t="s">
        <v>18</v>
      </c>
      <c r="E528" s="29" t="s">
        <v>347</v>
      </c>
      <c r="F528" s="29" t="s">
        <v>386</v>
      </c>
      <c r="G528" s="28" t="s">
        <v>480</v>
      </c>
      <c r="H528" s="28" t="s">
        <v>480</v>
      </c>
      <c r="I528" s="32" t="s">
        <v>469</v>
      </c>
      <c r="J528" s="41">
        <v>45618</v>
      </c>
      <c r="K528" s="41">
        <v>45631</v>
      </c>
      <c r="L528" s="41">
        <v>45631</v>
      </c>
      <c r="M528" s="59">
        <v>45595</v>
      </c>
      <c r="N528" s="59"/>
      <c r="O528" s="135" t="s">
        <v>10</v>
      </c>
    </row>
    <row r="529" spans="1:15" ht="16.2" customHeight="1">
      <c r="A529" s="7" t="str">
        <f t="shared" si="10"/>
        <v>lt002_instrumentgrss_cmmssn_incm</v>
      </c>
      <c r="B529" s="31" t="s">
        <v>10</v>
      </c>
      <c r="C529" s="30" t="s">
        <v>10</v>
      </c>
      <c r="D529" s="26" t="s">
        <v>18</v>
      </c>
      <c r="E529" s="29" t="s">
        <v>347</v>
      </c>
      <c r="F529" s="29" t="s">
        <v>387</v>
      </c>
      <c r="G529" s="28" t="s">
        <v>480</v>
      </c>
      <c r="H529" s="28" t="s">
        <v>480</v>
      </c>
      <c r="I529" s="32" t="s">
        <v>469</v>
      </c>
      <c r="J529" s="41">
        <v>45618</v>
      </c>
      <c r="K529" s="41">
        <v>45631</v>
      </c>
      <c r="L529" s="41">
        <v>45631</v>
      </c>
      <c r="M529" s="59">
        <v>45595</v>
      </c>
      <c r="N529" s="59"/>
      <c r="O529" s="135" t="s">
        <v>10</v>
      </c>
    </row>
    <row r="530" spans="1:15" ht="16.2" customHeight="1">
      <c r="A530" s="7" t="str">
        <f t="shared" si="10"/>
        <v>lt002_instrumentgrss_cmmssn_incm_off_blnc</v>
      </c>
      <c r="B530" s="31" t="s">
        <v>10</v>
      </c>
      <c r="C530" s="30" t="s">
        <v>10</v>
      </c>
      <c r="D530" s="26" t="s">
        <v>18</v>
      </c>
      <c r="E530" s="29" t="s">
        <v>347</v>
      </c>
      <c r="F530" s="29" t="s">
        <v>388</v>
      </c>
      <c r="G530" s="28" t="s">
        <v>480</v>
      </c>
      <c r="H530" s="28" t="s">
        <v>480</v>
      </c>
      <c r="I530" s="32" t="s">
        <v>469</v>
      </c>
      <c r="J530" s="41">
        <v>45618</v>
      </c>
      <c r="K530" s="41">
        <v>45631</v>
      </c>
      <c r="L530" s="41">
        <v>45631</v>
      </c>
      <c r="M530" s="59">
        <v>45595</v>
      </c>
      <c r="N530" s="59"/>
      <c r="O530" s="135" t="s">
        <v>10</v>
      </c>
    </row>
    <row r="531" spans="1:15" ht="16.2" customHeight="1">
      <c r="A531" s="7" t="str">
        <f t="shared" si="10"/>
        <v>lt002_instrumentidcmb</v>
      </c>
      <c r="B531" s="31" t="s">
        <v>10</v>
      </c>
      <c r="C531" s="30" t="s">
        <v>10</v>
      </c>
      <c r="D531" s="26" t="s">
        <v>18</v>
      </c>
      <c r="E531" s="29" t="s">
        <v>347</v>
      </c>
      <c r="F531" s="29" t="s">
        <v>389</v>
      </c>
      <c r="G531" s="28" t="s">
        <v>422</v>
      </c>
      <c r="H531" s="28" t="s">
        <v>422</v>
      </c>
      <c r="I531" s="32" t="s">
        <v>469</v>
      </c>
      <c r="J531" s="41" t="s">
        <v>576</v>
      </c>
      <c r="K531" s="41" t="s">
        <v>576</v>
      </c>
      <c r="L531" s="41" t="s">
        <v>576</v>
      </c>
      <c r="M531" s="59"/>
      <c r="N531" s="59"/>
      <c r="O531" s="135" t="s">
        <v>10</v>
      </c>
    </row>
    <row r="532" spans="1:15" ht="16.2" customHeight="1">
      <c r="A532" s="7" t="str">
        <f t="shared" si="10"/>
        <v>lt003_entitycntry</v>
      </c>
      <c r="B532" s="31" t="s">
        <v>10</v>
      </c>
      <c r="C532" s="30" t="s">
        <v>10</v>
      </c>
      <c r="D532" s="26" t="s">
        <v>18</v>
      </c>
      <c r="E532" s="29" t="s">
        <v>304</v>
      </c>
      <c r="F532" s="29" t="s">
        <v>390</v>
      </c>
      <c r="G532" s="28" t="s">
        <v>422</v>
      </c>
      <c r="H532" s="28" t="s">
        <v>422</v>
      </c>
      <c r="I532" s="32" t="s">
        <v>469</v>
      </c>
      <c r="J532" s="41" t="s">
        <v>576</v>
      </c>
      <c r="K532" s="41" t="s">
        <v>576</v>
      </c>
      <c r="L532" s="41" t="s">
        <v>576</v>
      </c>
      <c r="M532" s="59"/>
      <c r="N532" s="59"/>
      <c r="O532" s="135" t="s">
        <v>10</v>
      </c>
    </row>
    <row r="533" spans="1:15" ht="16.2" customHeight="1">
      <c r="A533" s="7" t="str">
        <f t="shared" si="10"/>
        <v>lt003_entitydt_rfrnc</v>
      </c>
      <c r="B533" s="31" t="s">
        <v>10</v>
      </c>
      <c r="C533" s="30" t="s">
        <v>10</v>
      </c>
      <c r="D533" s="26" t="s">
        <v>18</v>
      </c>
      <c r="E533" s="29" t="s">
        <v>304</v>
      </c>
      <c r="F533" s="29" t="s">
        <v>365</v>
      </c>
      <c r="G533" s="28" t="s">
        <v>422</v>
      </c>
      <c r="H533" s="28" t="s">
        <v>422</v>
      </c>
      <c r="I533" s="32" t="s">
        <v>469</v>
      </c>
      <c r="J533" s="41" t="s">
        <v>576</v>
      </c>
      <c r="K533" s="41" t="s">
        <v>576</v>
      </c>
      <c r="L533" s="41" t="s">
        <v>576</v>
      </c>
      <c r="M533" s="59"/>
      <c r="N533" s="59"/>
      <c r="O533" s="135" t="s">
        <v>10</v>
      </c>
    </row>
    <row r="534" spans="1:15" ht="16.2" customHeight="1">
      <c r="A534" s="7" t="str">
        <f t="shared" si="10"/>
        <v>lt003_entityentty_id</v>
      </c>
      <c r="B534" s="31" t="s">
        <v>10</v>
      </c>
      <c r="C534" s="30" t="s">
        <v>10</v>
      </c>
      <c r="D534" s="26" t="s">
        <v>18</v>
      </c>
      <c r="E534" s="29" t="s">
        <v>304</v>
      </c>
      <c r="F534" s="29" t="s">
        <v>391</v>
      </c>
      <c r="G534" s="28" t="s">
        <v>422</v>
      </c>
      <c r="H534" s="28" t="s">
        <v>422</v>
      </c>
      <c r="I534" s="32" t="s">
        <v>469</v>
      </c>
      <c r="J534" s="41" t="s">
        <v>576</v>
      </c>
      <c r="K534" s="41" t="s">
        <v>576</v>
      </c>
      <c r="L534" s="41" t="s">
        <v>576</v>
      </c>
      <c r="M534" s="59"/>
      <c r="N534" s="59"/>
      <c r="O534" s="135" t="s">
        <v>10</v>
      </c>
    </row>
    <row r="535" spans="1:15" ht="16.2" customHeight="1">
      <c r="A535" s="7" t="str">
        <f t="shared" si="10"/>
        <v>lt003_entitylei</v>
      </c>
      <c r="B535" s="31" t="s">
        <v>10</v>
      </c>
      <c r="C535" s="30" t="s">
        <v>10</v>
      </c>
      <c r="D535" s="26" t="s">
        <v>18</v>
      </c>
      <c r="E535" s="29" t="s">
        <v>304</v>
      </c>
      <c r="F535" s="29" t="s">
        <v>392</v>
      </c>
      <c r="G535" s="28" t="s">
        <v>422</v>
      </c>
      <c r="H535" s="28" t="s">
        <v>422</v>
      </c>
      <c r="I535" s="32" t="s">
        <v>469</v>
      </c>
      <c r="J535" s="41" t="s">
        <v>576</v>
      </c>
      <c r="K535" s="41" t="s">
        <v>576</v>
      </c>
      <c r="L535" s="41" t="s">
        <v>576</v>
      </c>
      <c r="M535" s="59"/>
      <c r="N535" s="59"/>
      <c r="O535" s="135" t="s">
        <v>10</v>
      </c>
    </row>
    <row r="536" spans="1:15" ht="16.2" customHeight="1">
      <c r="A536" s="7" t="str">
        <f t="shared" ref="A536:A564" si="11">E536&amp;F536</f>
        <v>lt003_entityecnmc_actvty</v>
      </c>
      <c r="B536" s="31" t="s">
        <v>10</v>
      </c>
      <c r="C536" s="30" t="s">
        <v>10</v>
      </c>
      <c r="D536" s="26" t="s">
        <v>18</v>
      </c>
      <c r="E536" s="29" t="s">
        <v>304</v>
      </c>
      <c r="F536" s="29" t="s">
        <v>393</v>
      </c>
      <c r="G536" s="28" t="s">
        <v>422</v>
      </c>
      <c r="H536" s="28" t="s">
        <v>422</v>
      </c>
      <c r="I536" s="32" t="s">
        <v>469</v>
      </c>
      <c r="J536" s="41" t="s">
        <v>576</v>
      </c>
      <c r="K536" s="41" t="s">
        <v>576</v>
      </c>
      <c r="L536" s="41" t="s">
        <v>576</v>
      </c>
      <c r="M536" s="59"/>
      <c r="N536" s="59"/>
      <c r="O536" s="135" t="s">
        <v>10</v>
      </c>
    </row>
    <row r="537" spans="1:15" ht="16.2" customHeight="1">
      <c r="A537" s="7" t="str">
        <f t="shared" si="11"/>
        <v>lt003_entitygrp_eqty</v>
      </c>
      <c r="B537" s="31" t="s">
        <v>10</v>
      </c>
      <c r="C537" s="30" t="s">
        <v>10</v>
      </c>
      <c r="D537" s="26" t="s">
        <v>18</v>
      </c>
      <c r="E537" s="29" t="s">
        <v>304</v>
      </c>
      <c r="F537" s="29" t="s">
        <v>394</v>
      </c>
      <c r="G537" s="28" t="s">
        <v>422</v>
      </c>
      <c r="H537" s="28" t="s">
        <v>422</v>
      </c>
      <c r="I537" s="32" t="s">
        <v>469</v>
      </c>
      <c r="J537" s="41" t="s">
        <v>576</v>
      </c>
      <c r="K537" s="41" t="s">
        <v>576</v>
      </c>
      <c r="L537" s="41" t="s">
        <v>576</v>
      </c>
      <c r="M537" s="59"/>
      <c r="N537" s="59"/>
      <c r="O537" s="135" t="s">
        <v>10</v>
      </c>
    </row>
    <row r="538" spans="1:15" ht="16.2" customHeight="1">
      <c r="A538" s="7" t="str">
        <f t="shared" si="11"/>
        <v>lt003_entityannl_trnvr_le</v>
      </c>
      <c r="B538" s="31" t="s">
        <v>10</v>
      </c>
      <c r="C538" s="30" t="s">
        <v>10</v>
      </c>
      <c r="D538" s="26" t="s">
        <v>18</v>
      </c>
      <c r="E538" s="29" t="s">
        <v>304</v>
      </c>
      <c r="F538" s="29" t="s">
        <v>395</v>
      </c>
      <c r="G538" s="28" t="s">
        <v>422</v>
      </c>
      <c r="H538" s="28" t="s">
        <v>422</v>
      </c>
      <c r="I538" s="32" t="s">
        <v>469</v>
      </c>
      <c r="J538" s="41" t="s">
        <v>576</v>
      </c>
      <c r="K538" s="41" t="s">
        <v>576</v>
      </c>
      <c r="L538" s="41" t="s">
        <v>576</v>
      </c>
      <c r="M538" s="59"/>
      <c r="N538" s="59"/>
      <c r="O538" s="135" t="s">
        <v>10</v>
      </c>
    </row>
    <row r="539" spans="1:15" ht="16.2" customHeight="1">
      <c r="A539" s="7" t="str">
        <f t="shared" si="11"/>
        <v>lt003_entityeqty</v>
      </c>
      <c r="B539" s="31" t="s">
        <v>10</v>
      </c>
      <c r="C539" s="30" t="s">
        <v>10</v>
      </c>
      <c r="D539" s="26" t="s">
        <v>18</v>
      </c>
      <c r="E539" s="29" t="s">
        <v>304</v>
      </c>
      <c r="F539" s="29" t="s">
        <v>396</v>
      </c>
      <c r="G539" s="28" t="s">
        <v>422</v>
      </c>
      <c r="H539" s="28" t="s">
        <v>422</v>
      </c>
      <c r="I539" s="32" t="s">
        <v>469</v>
      </c>
      <c r="J539" s="41" t="s">
        <v>576</v>
      </c>
      <c r="K539" s="41" t="s">
        <v>576</v>
      </c>
      <c r="L539" s="41" t="s">
        <v>576</v>
      </c>
      <c r="M539" s="59"/>
      <c r="N539" s="59"/>
      <c r="O539" s="135" t="s">
        <v>10</v>
      </c>
    </row>
    <row r="540" spans="1:15" ht="16.2" customHeight="1">
      <c r="A540" s="7" t="str">
        <f t="shared" si="11"/>
        <v>lt003_entitygrp_ttl_dbt</v>
      </c>
      <c r="B540" s="31" t="s">
        <v>10</v>
      </c>
      <c r="C540" s="30" t="s">
        <v>10</v>
      </c>
      <c r="D540" s="26" t="s">
        <v>18</v>
      </c>
      <c r="E540" s="29" t="s">
        <v>304</v>
      </c>
      <c r="F540" s="29" t="s">
        <v>397</v>
      </c>
      <c r="G540" s="28" t="s">
        <v>422</v>
      </c>
      <c r="H540" s="28" t="s">
        <v>422</v>
      </c>
      <c r="I540" s="32" t="s">
        <v>469</v>
      </c>
      <c r="J540" s="41" t="s">
        <v>576</v>
      </c>
      <c r="K540" s="41" t="s">
        <v>576</v>
      </c>
      <c r="L540" s="41" t="s">
        <v>576</v>
      </c>
      <c r="M540" s="59"/>
      <c r="N540" s="59"/>
      <c r="O540" s="135" t="s">
        <v>10</v>
      </c>
    </row>
    <row r="541" spans="1:15" ht="16.2" customHeight="1">
      <c r="A541" s="7" t="str">
        <f t="shared" si="11"/>
        <v>lt003_entityttl_dbt</v>
      </c>
      <c r="B541" s="31" t="s">
        <v>10</v>
      </c>
      <c r="C541" s="30" t="s">
        <v>10</v>
      </c>
      <c r="D541" s="26" t="s">
        <v>18</v>
      </c>
      <c r="E541" s="29" t="s">
        <v>304</v>
      </c>
      <c r="F541" s="29" t="s">
        <v>398</v>
      </c>
      <c r="G541" s="28" t="s">
        <v>422</v>
      </c>
      <c r="H541" s="28" t="s">
        <v>422</v>
      </c>
      <c r="I541" s="32" t="s">
        <v>469</v>
      </c>
      <c r="J541" s="41" t="s">
        <v>576</v>
      </c>
      <c r="K541" s="41" t="s">
        <v>576</v>
      </c>
      <c r="L541" s="41" t="s">
        <v>576</v>
      </c>
      <c r="M541" s="59"/>
      <c r="N541" s="59"/>
      <c r="O541" s="135" t="s">
        <v>10</v>
      </c>
    </row>
    <row r="542" spans="1:15" ht="16.2" customHeight="1">
      <c r="A542" s="7" t="str">
        <f t="shared" si="11"/>
        <v>lt003_entitycod_soc</v>
      </c>
      <c r="B542" s="31" t="s">
        <v>10</v>
      </c>
      <c r="C542" s="30" t="s">
        <v>10</v>
      </c>
      <c r="D542" s="26" t="s">
        <v>18</v>
      </c>
      <c r="E542" s="29" t="s">
        <v>304</v>
      </c>
      <c r="F542" s="29" t="s">
        <v>382</v>
      </c>
      <c r="G542" s="28" t="s">
        <v>422</v>
      </c>
      <c r="H542" s="28" t="s">
        <v>422</v>
      </c>
      <c r="I542" s="32" t="s">
        <v>469</v>
      </c>
      <c r="J542" s="41" t="s">
        <v>576</v>
      </c>
      <c r="K542" s="41" t="s">
        <v>576</v>
      </c>
      <c r="L542" s="41" t="s">
        <v>576</v>
      </c>
      <c r="M542" s="59"/>
      <c r="N542" s="59"/>
      <c r="O542" s="135" t="s">
        <v>10</v>
      </c>
    </row>
    <row r="543" spans="1:15" ht="16.2" customHeight="1">
      <c r="A543" s="7" t="str">
        <f t="shared" si="11"/>
        <v>lt004_protectiondt_rfrnc</v>
      </c>
      <c r="B543" s="31" t="s">
        <v>10</v>
      </c>
      <c r="C543" s="30" t="s">
        <v>10</v>
      </c>
      <c r="D543" s="26" t="s">
        <v>18</v>
      </c>
      <c r="E543" s="29" t="s">
        <v>336</v>
      </c>
      <c r="F543" s="117" t="s">
        <v>365</v>
      </c>
      <c r="G543" s="28" t="s">
        <v>422</v>
      </c>
      <c r="H543" s="28" t="s">
        <v>422</v>
      </c>
      <c r="I543" s="32" t="s">
        <v>469</v>
      </c>
      <c r="J543" s="41" t="s">
        <v>576</v>
      </c>
      <c r="K543" s="41" t="s">
        <v>576</v>
      </c>
      <c r="L543" s="41" t="s">
        <v>576</v>
      </c>
      <c r="M543" s="59"/>
      <c r="N543" s="59"/>
      <c r="O543" s="135" t="s">
        <v>10</v>
      </c>
    </row>
    <row r="544" spans="1:15" ht="16.2" customHeight="1">
      <c r="A544" s="7" t="str">
        <f t="shared" si="11"/>
        <v>lt004_protectionprtctn_id</v>
      </c>
      <c r="B544" s="31" t="s">
        <v>10</v>
      </c>
      <c r="C544" s="30" t="s">
        <v>10</v>
      </c>
      <c r="D544" s="26" t="s">
        <v>18</v>
      </c>
      <c r="E544" s="29" t="s">
        <v>336</v>
      </c>
      <c r="F544" s="117" t="s">
        <v>399</v>
      </c>
      <c r="G544" s="28" t="s">
        <v>422</v>
      </c>
      <c r="H544" s="28" t="s">
        <v>425</v>
      </c>
      <c r="I544" s="32" t="s">
        <v>469</v>
      </c>
      <c r="J544" s="41">
        <v>45589</v>
      </c>
      <c r="K544" s="41">
        <v>45611</v>
      </c>
      <c r="L544" s="41">
        <v>45611</v>
      </c>
      <c r="M544" s="59">
        <v>45588</v>
      </c>
      <c r="N544" s="59"/>
      <c r="O544" s="135" t="s">
        <v>10</v>
      </c>
    </row>
    <row r="545" spans="1:15" ht="16.2" customHeight="1">
      <c r="A545" s="7" t="str">
        <f t="shared" si="11"/>
        <v>lt004_protectionrl_estt_clltrl_lctn</v>
      </c>
      <c r="B545" s="31" t="s">
        <v>10</v>
      </c>
      <c r="C545" s="30" t="s">
        <v>10</v>
      </c>
      <c r="D545" s="26" t="s">
        <v>18</v>
      </c>
      <c r="E545" s="29" t="s">
        <v>336</v>
      </c>
      <c r="F545" s="117" t="s">
        <v>400</v>
      </c>
      <c r="G545" s="28" t="s">
        <v>422</v>
      </c>
      <c r="H545" s="28" t="s">
        <v>422</v>
      </c>
      <c r="I545" s="32" t="s">
        <v>469</v>
      </c>
      <c r="J545" s="41">
        <v>45589</v>
      </c>
      <c r="K545" s="41">
        <v>45611</v>
      </c>
      <c r="L545" s="41">
        <v>45611</v>
      </c>
      <c r="M545" s="59">
        <v>45588</v>
      </c>
      <c r="N545" s="59"/>
      <c r="O545" s="135" t="s">
        <v>10</v>
      </c>
    </row>
    <row r="546" spans="1:15" ht="16.2" customHeight="1">
      <c r="A546" s="7" t="str">
        <f t="shared" si="11"/>
        <v>lt004_protectionrl_estt_pst_cd</v>
      </c>
      <c r="B546" s="31" t="s">
        <v>10</v>
      </c>
      <c r="C546" s="30" t="s">
        <v>10</v>
      </c>
      <c r="D546" s="26" t="s">
        <v>18</v>
      </c>
      <c r="E546" s="29" t="s">
        <v>336</v>
      </c>
      <c r="F546" s="117" t="s">
        <v>401</v>
      </c>
      <c r="G546" s="28" t="s">
        <v>422</v>
      </c>
      <c r="H546" s="28" t="s">
        <v>422</v>
      </c>
      <c r="I546" s="32" t="s">
        <v>469</v>
      </c>
      <c r="J546" s="41">
        <v>45589</v>
      </c>
      <c r="K546" s="41">
        <v>45611</v>
      </c>
      <c r="L546" s="41">
        <v>45611</v>
      </c>
      <c r="M546" s="59">
        <v>45588</v>
      </c>
      <c r="N546" s="59"/>
      <c r="O546" s="135" t="s">
        <v>10</v>
      </c>
    </row>
    <row r="547" spans="1:15" ht="16.2">
      <c r="A547" s="7" t="str">
        <f t="shared" si="11"/>
        <v>lt004_protectiontyp_prtctn</v>
      </c>
      <c r="B547" s="31" t="s">
        <v>10</v>
      </c>
      <c r="C547" s="30" t="s">
        <v>10</v>
      </c>
      <c r="D547" s="26" t="s">
        <v>18</v>
      </c>
      <c r="E547" s="29" t="s">
        <v>336</v>
      </c>
      <c r="F547" s="117" t="s">
        <v>402</v>
      </c>
      <c r="G547" s="28" t="s">
        <v>423</v>
      </c>
      <c r="H547" s="28" t="s">
        <v>423</v>
      </c>
      <c r="I547" s="32" t="s">
        <v>488</v>
      </c>
      <c r="J547" s="41">
        <v>45588</v>
      </c>
      <c r="K547" s="41">
        <v>45624</v>
      </c>
      <c r="L547" s="41">
        <v>45624</v>
      </c>
      <c r="M547" s="59">
        <v>45595</v>
      </c>
      <c r="N547" s="59"/>
      <c r="O547" s="135" t="s">
        <v>10</v>
      </c>
    </row>
    <row r="548" spans="1:15" ht="16.2">
      <c r="A548" s="7" t="str">
        <f t="shared" si="11"/>
        <v>lt004_protectionorgnl_prtctn_vl</v>
      </c>
      <c r="B548" s="31" t="s">
        <v>10</v>
      </c>
      <c r="C548" s="30" t="s">
        <v>10</v>
      </c>
      <c r="D548" s="26" t="s">
        <v>18</v>
      </c>
      <c r="E548" s="29" t="s">
        <v>336</v>
      </c>
      <c r="F548" s="117" t="s">
        <v>403</v>
      </c>
      <c r="G548" s="28" t="s">
        <v>423</v>
      </c>
      <c r="H548" s="28" t="s">
        <v>423</v>
      </c>
      <c r="I548" s="32" t="s">
        <v>469</v>
      </c>
      <c r="J548" s="41">
        <v>45595</v>
      </c>
      <c r="K548" s="41">
        <v>45611</v>
      </c>
      <c r="L548" s="41">
        <v>45611</v>
      </c>
      <c r="M548" s="59">
        <v>45595</v>
      </c>
      <c r="N548" s="59"/>
      <c r="O548" s="135" t="s">
        <v>10</v>
      </c>
    </row>
    <row r="549" spans="1:15" ht="16.2" customHeight="1">
      <c r="A549" s="7" t="str">
        <f t="shared" si="11"/>
        <v>lt004_protectionprtctn_vl</v>
      </c>
      <c r="B549" s="31" t="s">
        <v>10</v>
      </c>
      <c r="C549" s="30" t="s">
        <v>10</v>
      </c>
      <c r="D549" s="26" t="s">
        <v>18</v>
      </c>
      <c r="E549" s="29" t="s">
        <v>336</v>
      </c>
      <c r="F549" s="117" t="s">
        <v>404</v>
      </c>
      <c r="G549" s="28" t="s">
        <v>480</v>
      </c>
      <c r="H549" s="28" t="s">
        <v>480</v>
      </c>
      <c r="I549" s="32" t="s">
        <v>469</v>
      </c>
      <c r="J549" s="41">
        <v>45589</v>
      </c>
      <c r="K549" s="41">
        <v>45624</v>
      </c>
      <c r="L549" s="41">
        <v>45624</v>
      </c>
      <c r="M549" s="59">
        <v>45588</v>
      </c>
      <c r="N549" s="59"/>
      <c r="O549" s="135" t="s">
        <v>10</v>
      </c>
    </row>
    <row r="550" spans="1:15" ht="16.2" customHeight="1">
      <c r="A550" s="7" t="str">
        <f t="shared" si="11"/>
        <v>lt004_protectioncod_soc</v>
      </c>
      <c r="B550" s="31" t="s">
        <v>10</v>
      </c>
      <c r="C550" s="30" t="s">
        <v>10</v>
      </c>
      <c r="D550" s="26" t="s">
        <v>18</v>
      </c>
      <c r="E550" s="29" t="s">
        <v>336</v>
      </c>
      <c r="F550" s="29" t="s">
        <v>382</v>
      </c>
      <c r="G550" s="28" t="s">
        <v>422</v>
      </c>
      <c r="H550" s="28" t="s">
        <v>422</v>
      </c>
      <c r="I550" s="32" t="s">
        <v>469</v>
      </c>
      <c r="J550" s="41" t="s">
        <v>576</v>
      </c>
      <c r="K550" s="41" t="s">
        <v>576</v>
      </c>
      <c r="L550" s="41" t="s">
        <v>576</v>
      </c>
      <c r="M550" s="59"/>
      <c r="N550" s="59"/>
      <c r="O550" s="135" t="s">
        <v>10</v>
      </c>
    </row>
    <row r="551" spans="1:15" ht="16.2" customHeight="1">
      <c r="A551" s="7" t="str">
        <f t="shared" si="11"/>
        <v>lt005_instr_entdt_rfrnc</v>
      </c>
      <c r="B551" s="31" t="s">
        <v>10</v>
      </c>
      <c r="C551" s="30" t="s">
        <v>10</v>
      </c>
      <c r="D551" s="26" t="s">
        <v>18</v>
      </c>
      <c r="E551" s="29" t="s">
        <v>405</v>
      </c>
      <c r="F551" s="29" t="s">
        <v>365</v>
      </c>
      <c r="G551" s="28" t="s">
        <v>422</v>
      </c>
      <c r="H551" s="28" t="s">
        <v>422</v>
      </c>
      <c r="I551" s="32" t="s">
        <v>469</v>
      </c>
      <c r="J551" s="41" t="s">
        <v>576</v>
      </c>
      <c r="K551" s="41" t="s">
        <v>576</v>
      </c>
      <c r="L551" s="41" t="s">
        <v>576</v>
      </c>
      <c r="M551" s="59"/>
      <c r="N551" s="59"/>
      <c r="O551" s="135" t="s">
        <v>10</v>
      </c>
    </row>
    <row r="552" spans="1:15" ht="16.2" customHeight="1">
      <c r="A552" s="7" t="str">
        <f t="shared" si="11"/>
        <v>lt005_instr_ententty_id</v>
      </c>
      <c r="B552" s="31" t="s">
        <v>10</v>
      </c>
      <c r="C552" s="30" t="s">
        <v>10</v>
      </c>
      <c r="D552" s="26" t="s">
        <v>18</v>
      </c>
      <c r="E552" s="29" t="s">
        <v>405</v>
      </c>
      <c r="F552" s="29" t="s">
        <v>391</v>
      </c>
      <c r="G552" s="28" t="s">
        <v>422</v>
      </c>
      <c r="H552" s="28" t="s">
        <v>422</v>
      </c>
      <c r="I552" s="32" t="s">
        <v>469</v>
      </c>
      <c r="J552" s="41" t="s">
        <v>576</v>
      </c>
      <c r="K552" s="41" t="s">
        <v>576</v>
      </c>
      <c r="L552" s="41" t="s">
        <v>576</v>
      </c>
      <c r="M552" s="59"/>
      <c r="N552" s="59"/>
      <c r="O552" s="135" t="s">
        <v>10</v>
      </c>
    </row>
    <row r="553" spans="1:15" ht="16.2" customHeight="1">
      <c r="A553" s="7" t="str">
        <f t="shared" si="11"/>
        <v>lt005_instr_entinstrmnt_id</v>
      </c>
      <c r="B553" s="31" t="s">
        <v>10</v>
      </c>
      <c r="C553" s="30" t="s">
        <v>10</v>
      </c>
      <c r="D553" s="26" t="s">
        <v>18</v>
      </c>
      <c r="E553" s="29" t="s">
        <v>405</v>
      </c>
      <c r="F553" s="29" t="s">
        <v>366</v>
      </c>
      <c r="G553" s="28" t="s">
        <v>422</v>
      </c>
      <c r="H553" s="28" t="s">
        <v>422</v>
      </c>
      <c r="I553" s="32" t="s">
        <v>469</v>
      </c>
      <c r="J553" s="41" t="s">
        <v>576</v>
      </c>
      <c r="K553" s="41" t="s">
        <v>576</v>
      </c>
      <c r="L553" s="41" t="s">
        <v>576</v>
      </c>
      <c r="M553" s="59"/>
      <c r="N553" s="59"/>
      <c r="O553" s="135" t="s">
        <v>10</v>
      </c>
    </row>
    <row r="554" spans="1:15" ht="16.2" customHeight="1">
      <c r="A554" s="7" t="str">
        <f t="shared" si="11"/>
        <v>lt005_instr_entcod_soc</v>
      </c>
      <c r="B554" s="31" t="s">
        <v>10</v>
      </c>
      <c r="C554" s="30" t="s">
        <v>10</v>
      </c>
      <c r="D554" s="26" t="s">
        <v>18</v>
      </c>
      <c r="E554" s="29" t="s">
        <v>405</v>
      </c>
      <c r="F554" s="29" t="s">
        <v>382</v>
      </c>
      <c r="G554" s="28" t="s">
        <v>422</v>
      </c>
      <c r="H554" s="28" t="s">
        <v>422</v>
      </c>
      <c r="I554" s="32" t="s">
        <v>469</v>
      </c>
      <c r="J554" s="41" t="s">
        <v>576</v>
      </c>
      <c r="K554" s="41" t="s">
        <v>576</v>
      </c>
      <c r="L554" s="41" t="s">
        <v>576</v>
      </c>
      <c r="M554" s="59"/>
      <c r="N554" s="59"/>
      <c r="O554" s="135" t="s">
        <v>10</v>
      </c>
    </row>
    <row r="555" spans="1:15" ht="16.2" customHeight="1">
      <c r="A555" s="7" t="str">
        <f t="shared" si="11"/>
        <v>lt005_instr_entmn_entty_id</v>
      </c>
      <c r="B555" s="31" t="s">
        <v>10</v>
      </c>
      <c r="C555" s="30" t="s">
        <v>10</v>
      </c>
      <c r="D555" s="26" t="s">
        <v>18</v>
      </c>
      <c r="E555" s="29" t="s">
        <v>405</v>
      </c>
      <c r="F555" s="29" t="s">
        <v>406</v>
      </c>
      <c r="G555" s="28" t="s">
        <v>422</v>
      </c>
      <c r="H555" s="28" t="s">
        <v>422</v>
      </c>
      <c r="I555" s="32" t="s">
        <v>469</v>
      </c>
      <c r="J555" s="41" t="s">
        <v>576</v>
      </c>
      <c r="K555" s="41" t="s">
        <v>576</v>
      </c>
      <c r="L555" s="41" t="s">
        <v>576</v>
      </c>
      <c r="M555" s="59"/>
      <c r="N555" s="59"/>
      <c r="O555" s="135" t="s">
        <v>10</v>
      </c>
    </row>
    <row r="556" spans="1:15" ht="16.2" customHeight="1">
      <c r="A556" s="7" t="str">
        <f t="shared" si="11"/>
        <v>lt006_instr_protdt_rfrnc</v>
      </c>
      <c r="B556" s="31" t="s">
        <v>10</v>
      </c>
      <c r="C556" s="30" t="s">
        <v>10</v>
      </c>
      <c r="D556" s="26" t="s">
        <v>18</v>
      </c>
      <c r="E556" s="29" t="s">
        <v>407</v>
      </c>
      <c r="F556" s="29" t="s">
        <v>365</v>
      </c>
      <c r="G556" s="28" t="s">
        <v>422</v>
      </c>
      <c r="H556" s="28" t="s">
        <v>422</v>
      </c>
      <c r="I556" s="32" t="s">
        <v>469</v>
      </c>
      <c r="J556" s="41" t="s">
        <v>576</v>
      </c>
      <c r="K556" s="41" t="s">
        <v>576</v>
      </c>
      <c r="L556" s="41" t="s">
        <v>576</v>
      </c>
      <c r="M556" s="59"/>
      <c r="N556" s="59"/>
      <c r="O556" s="135" t="s">
        <v>10</v>
      </c>
    </row>
    <row r="557" spans="1:15" ht="16.2" customHeight="1">
      <c r="A557" s="7" t="str">
        <f t="shared" si="11"/>
        <v>lt006_instr_protinstrmnt_id</v>
      </c>
      <c r="B557" s="31" t="s">
        <v>10</v>
      </c>
      <c r="C557" s="30" t="s">
        <v>10</v>
      </c>
      <c r="D557" s="26" t="s">
        <v>18</v>
      </c>
      <c r="E557" s="29" t="s">
        <v>407</v>
      </c>
      <c r="F557" s="29" t="s">
        <v>366</v>
      </c>
      <c r="G557" s="28" t="s">
        <v>422</v>
      </c>
      <c r="H557" s="28" t="s">
        <v>422</v>
      </c>
      <c r="I557" s="32" t="s">
        <v>469</v>
      </c>
      <c r="J557" s="41" t="s">
        <v>576</v>
      </c>
      <c r="K557" s="41" t="s">
        <v>576</v>
      </c>
      <c r="L557" s="41" t="s">
        <v>576</v>
      </c>
      <c r="M557" s="59"/>
      <c r="N557" s="59"/>
      <c r="O557" s="135" t="s">
        <v>10</v>
      </c>
    </row>
    <row r="558" spans="1:15" ht="16.2" customHeight="1">
      <c r="A558" s="7" t="str">
        <f t="shared" si="11"/>
        <v>lt006_instr_protprtctn_id</v>
      </c>
      <c r="B558" s="31" t="s">
        <v>10</v>
      </c>
      <c r="C558" s="30" t="s">
        <v>10</v>
      </c>
      <c r="D558" s="26" t="s">
        <v>18</v>
      </c>
      <c r="E558" s="29" t="s">
        <v>407</v>
      </c>
      <c r="F558" s="29" t="s">
        <v>399</v>
      </c>
      <c r="G558" s="28" t="s">
        <v>422</v>
      </c>
      <c r="H558" s="28" t="s">
        <v>422</v>
      </c>
      <c r="I558" s="32" t="s">
        <v>469</v>
      </c>
      <c r="J558" s="41" t="s">
        <v>576</v>
      </c>
      <c r="K558" s="41" t="s">
        <v>576</v>
      </c>
      <c r="L558" s="41" t="s">
        <v>576</v>
      </c>
      <c r="M558" s="59"/>
      <c r="N558" s="59"/>
      <c r="O558" s="135" t="s">
        <v>10</v>
      </c>
    </row>
    <row r="559" spans="1:15" ht="16.2" customHeight="1">
      <c r="A559" s="7" t="str">
        <f t="shared" si="11"/>
        <v>lt006_instr_protprtctn_allctd_vl</v>
      </c>
      <c r="B559" s="31" t="s">
        <v>10</v>
      </c>
      <c r="C559" s="30" t="s">
        <v>10</v>
      </c>
      <c r="D559" s="26" t="s">
        <v>18</v>
      </c>
      <c r="E559" s="29" t="s">
        <v>407</v>
      </c>
      <c r="F559" s="29" t="s">
        <v>408</v>
      </c>
      <c r="G559" s="28" t="s">
        <v>422</v>
      </c>
      <c r="H559" s="28" t="s">
        <v>422</v>
      </c>
      <c r="I559" s="32" t="s">
        <v>469</v>
      </c>
      <c r="J559" s="41" t="s">
        <v>576</v>
      </c>
      <c r="K559" s="41" t="s">
        <v>576</v>
      </c>
      <c r="L559" s="41" t="s">
        <v>576</v>
      </c>
      <c r="M559" s="59"/>
      <c r="N559" s="59"/>
      <c r="O559" s="135" t="s">
        <v>10</v>
      </c>
    </row>
    <row r="560" spans="1:15" ht="16.2" customHeight="1">
      <c r="A560" s="7" t="str">
        <f t="shared" si="11"/>
        <v>lt006_instr_protcod_soc</v>
      </c>
      <c r="B560" s="31" t="s">
        <v>10</v>
      </c>
      <c r="C560" s="30" t="s">
        <v>10</v>
      </c>
      <c r="D560" s="26" t="s">
        <v>18</v>
      </c>
      <c r="E560" s="29" t="s">
        <v>407</v>
      </c>
      <c r="F560" s="29" t="s">
        <v>382</v>
      </c>
      <c r="G560" s="28" t="s">
        <v>422</v>
      </c>
      <c r="H560" s="28" t="s">
        <v>422</v>
      </c>
      <c r="I560" s="32" t="s">
        <v>469</v>
      </c>
      <c r="J560" s="41" t="s">
        <v>576</v>
      </c>
      <c r="K560" s="41" t="s">
        <v>576</v>
      </c>
      <c r="L560" s="41" t="s">
        <v>576</v>
      </c>
      <c r="M560" s="59"/>
      <c r="N560" s="59"/>
      <c r="O560" s="135" t="s">
        <v>10</v>
      </c>
    </row>
    <row r="561" spans="1:15" ht="16.2" customHeight="1">
      <c r="A561" s="7" t="str">
        <f t="shared" si="11"/>
        <v>lt004_protectionflg_fin</v>
      </c>
      <c r="B561" s="31" t="s">
        <v>10</v>
      </c>
      <c r="C561" s="30" t="s">
        <v>10</v>
      </c>
      <c r="D561" s="26" t="s">
        <v>18</v>
      </c>
      <c r="E561" s="29" t="s">
        <v>336</v>
      </c>
      <c r="F561" s="29" t="s">
        <v>412</v>
      </c>
      <c r="G561" s="28" t="s">
        <v>480</v>
      </c>
      <c r="H561" s="28" t="s">
        <v>480</v>
      </c>
      <c r="I561" s="32" t="s">
        <v>489</v>
      </c>
      <c r="J561" s="41">
        <v>45593</v>
      </c>
      <c r="K561" s="41">
        <v>45624</v>
      </c>
      <c r="L561" s="41">
        <v>45624</v>
      </c>
      <c r="M561" s="59"/>
      <c r="N561" s="59"/>
      <c r="O561" s="135" t="s">
        <v>10</v>
      </c>
    </row>
    <row r="562" spans="1:15" ht="16.2" customHeight="1">
      <c r="A562" s="7" t="str">
        <f t="shared" si="11"/>
        <v>lt004_protectionflg_exec</v>
      </c>
      <c r="B562" s="31" t="s">
        <v>10</v>
      </c>
      <c r="C562" s="30" t="s">
        <v>10</v>
      </c>
      <c r="D562" s="26" t="s">
        <v>18</v>
      </c>
      <c r="E562" s="29" t="s">
        <v>336</v>
      </c>
      <c r="F562" s="29" t="s">
        <v>479</v>
      </c>
      <c r="G562" s="28" t="s">
        <v>480</v>
      </c>
      <c r="H562" s="28" t="s">
        <v>480</v>
      </c>
      <c r="I562" s="32" t="s">
        <v>489</v>
      </c>
      <c r="J562" s="41">
        <v>45593</v>
      </c>
      <c r="K562" s="41">
        <v>45624</v>
      </c>
      <c r="L562" s="41">
        <v>45624</v>
      </c>
      <c r="M562" s="59"/>
      <c r="N562" s="59"/>
      <c r="O562" s="135" t="s">
        <v>10</v>
      </c>
    </row>
    <row r="563" spans="1:15" ht="16.2" customHeight="1">
      <c r="A563" s="7" t="str">
        <f t="shared" si="11"/>
        <v>lt004_protectionflg_col</v>
      </c>
      <c r="B563" s="31" t="s">
        <v>10</v>
      </c>
      <c r="C563" s="30" t="s">
        <v>10</v>
      </c>
      <c r="D563" s="26" t="s">
        <v>18</v>
      </c>
      <c r="E563" s="29" t="s">
        <v>336</v>
      </c>
      <c r="F563" s="29" t="s">
        <v>411</v>
      </c>
      <c r="G563" s="28" t="s">
        <v>480</v>
      </c>
      <c r="H563" s="28" t="s">
        <v>480</v>
      </c>
      <c r="I563" s="32" t="s">
        <v>489</v>
      </c>
      <c r="J563" s="41">
        <v>45593</v>
      </c>
      <c r="K563" s="41">
        <v>45624</v>
      </c>
      <c r="L563" s="41">
        <v>45624</v>
      </c>
      <c r="M563" s="59"/>
      <c r="N563" s="59"/>
      <c r="O563" s="135" t="s">
        <v>10</v>
      </c>
    </row>
    <row r="564" spans="1:15" ht="16.2" customHeight="1">
      <c r="A564" s="7" t="str">
        <f t="shared" si="11"/>
        <v>lt004_protectionflg_pro</v>
      </c>
      <c r="B564" s="31" t="s">
        <v>10</v>
      </c>
      <c r="C564" s="30" t="s">
        <v>10</v>
      </c>
      <c r="D564" s="26" t="s">
        <v>18</v>
      </c>
      <c r="E564" s="29" t="s">
        <v>336</v>
      </c>
      <c r="F564" s="29" t="s">
        <v>413</v>
      </c>
      <c r="G564" s="28" t="s">
        <v>480</v>
      </c>
      <c r="H564" s="28" t="s">
        <v>480</v>
      </c>
      <c r="I564" s="32" t="s">
        <v>489</v>
      </c>
      <c r="J564" s="41">
        <v>45593</v>
      </c>
      <c r="K564" s="41">
        <v>45624</v>
      </c>
      <c r="L564" s="41">
        <v>45624</v>
      </c>
      <c r="M564" s="59"/>
      <c r="N564" s="59"/>
      <c r="O564" s="135" t="s">
        <v>10</v>
      </c>
    </row>
    <row r="565" spans="1:15" ht="16.2" customHeight="1">
      <c r="A565" s="7" t="str">
        <f t="shared" ref="A565:A574" si="12">E565&amp;F565</f>
        <v>modesg_inp_emss_nacenome_regiao</v>
      </c>
      <c r="B565" s="31" t="s">
        <v>10</v>
      </c>
      <c r="C565" s="30" t="s">
        <v>154</v>
      </c>
      <c r="D565" s="26" t="s">
        <v>18</v>
      </c>
      <c r="E565" s="27" t="s">
        <v>192</v>
      </c>
      <c r="F565" s="26" t="s">
        <v>194</v>
      </c>
      <c r="G565" s="28" t="s">
        <v>421</v>
      </c>
      <c r="H565" s="28" t="s">
        <v>421</v>
      </c>
      <c r="I565" s="32"/>
      <c r="J565" s="41" t="s">
        <v>576</v>
      </c>
      <c r="K565" s="41" t="s">
        <v>576</v>
      </c>
      <c r="L565" s="41" t="s">
        <v>576</v>
      </c>
      <c r="M565" s="59"/>
      <c r="N565" s="59"/>
      <c r="O565" s="135" t="s">
        <v>13</v>
      </c>
    </row>
    <row r="566" spans="1:15" ht="16.2" customHeight="1">
      <c r="A566" s="7" t="str">
        <f t="shared" si="12"/>
        <v>modesg_inp_emss_nacearea_atividade</v>
      </c>
      <c r="B566" s="31" t="s">
        <v>10</v>
      </c>
      <c r="C566" s="30" t="s">
        <v>154</v>
      </c>
      <c r="D566" s="26" t="s">
        <v>18</v>
      </c>
      <c r="E566" s="27" t="s">
        <v>192</v>
      </c>
      <c r="F566" s="26" t="s">
        <v>470</v>
      </c>
      <c r="G566" s="28" t="s">
        <v>421</v>
      </c>
      <c r="H566" s="28" t="s">
        <v>421</v>
      </c>
      <c r="I566" s="32"/>
      <c r="J566" s="41" t="s">
        <v>576</v>
      </c>
      <c r="K566" s="41" t="s">
        <v>576</v>
      </c>
      <c r="L566" s="41" t="s">
        <v>576</v>
      </c>
      <c r="M566" s="59"/>
      <c r="N566" s="59"/>
      <c r="O566" s="135" t="s">
        <v>13</v>
      </c>
    </row>
    <row r="567" spans="1:15" ht="16.2" customHeight="1">
      <c r="A567" s="7" t="str">
        <f t="shared" si="12"/>
        <v>modesg_inp_emss_nacetipo_atividade</v>
      </c>
      <c r="B567" s="31" t="s">
        <v>10</v>
      </c>
      <c r="C567" s="30" t="s">
        <v>154</v>
      </c>
      <c r="D567" s="26" t="s">
        <v>18</v>
      </c>
      <c r="E567" s="27" t="s">
        <v>192</v>
      </c>
      <c r="F567" s="26" t="s">
        <v>471</v>
      </c>
      <c r="G567" s="28" t="s">
        <v>421</v>
      </c>
      <c r="H567" s="28" t="s">
        <v>421</v>
      </c>
      <c r="I567" s="32"/>
      <c r="J567" s="41" t="s">
        <v>576</v>
      </c>
      <c r="K567" s="41" t="s">
        <v>576</v>
      </c>
      <c r="L567" s="41" t="s">
        <v>576</v>
      </c>
      <c r="M567" s="59"/>
      <c r="N567" s="59"/>
      <c r="O567" s="135" t="s">
        <v>13</v>
      </c>
    </row>
    <row r="568" spans="1:15" ht="16.2" customHeight="1">
      <c r="A568" s="7" t="str">
        <f t="shared" si="12"/>
        <v>modesg_inp_emss_nacesub_tipo_atividade_1</v>
      </c>
      <c r="B568" s="31" t="s">
        <v>10</v>
      </c>
      <c r="C568" s="30" t="s">
        <v>154</v>
      </c>
      <c r="D568" s="26" t="s">
        <v>18</v>
      </c>
      <c r="E568" s="27" t="s">
        <v>192</v>
      </c>
      <c r="F568" s="26" t="s">
        <v>472</v>
      </c>
      <c r="G568" s="28" t="s">
        <v>421</v>
      </c>
      <c r="H568" s="28" t="s">
        <v>421</v>
      </c>
      <c r="I568" s="32"/>
      <c r="J568" s="41" t="s">
        <v>576</v>
      </c>
      <c r="K568" s="41" t="s">
        <v>576</v>
      </c>
      <c r="L568" s="41" t="s">
        <v>576</v>
      </c>
      <c r="M568" s="59"/>
      <c r="N568" s="59"/>
      <c r="O568" s="135" t="s">
        <v>13</v>
      </c>
    </row>
    <row r="569" spans="1:15" ht="16.2" customHeight="1">
      <c r="A569" s="7" t="str">
        <f t="shared" si="12"/>
        <v>modesg_inp_emss_nacesub_tipo_atividade_2</v>
      </c>
      <c r="B569" s="31" t="s">
        <v>10</v>
      </c>
      <c r="C569" s="30" t="s">
        <v>154</v>
      </c>
      <c r="D569" s="26" t="s">
        <v>18</v>
      </c>
      <c r="E569" s="27" t="s">
        <v>192</v>
      </c>
      <c r="F569" s="26" t="s">
        <v>473</v>
      </c>
      <c r="G569" s="28" t="s">
        <v>421</v>
      </c>
      <c r="H569" s="28" t="s">
        <v>421</v>
      </c>
      <c r="I569" s="32"/>
      <c r="J569" s="41" t="s">
        <v>576</v>
      </c>
      <c r="K569" s="41" t="s">
        <v>576</v>
      </c>
      <c r="L569" s="41" t="s">
        <v>576</v>
      </c>
      <c r="M569" s="59"/>
      <c r="N569" s="59"/>
      <c r="O569" s="135" t="s">
        <v>13</v>
      </c>
    </row>
    <row r="570" spans="1:15" ht="16.2" customHeight="1">
      <c r="A570" s="7" t="str">
        <f t="shared" si="12"/>
        <v>modesg_inp_emss_naceunidades_unidade_funcional</v>
      </c>
      <c r="B570" s="31" t="s">
        <v>10</v>
      </c>
      <c r="C570" s="30" t="s">
        <v>154</v>
      </c>
      <c r="D570" s="26" t="s">
        <v>18</v>
      </c>
      <c r="E570" s="27" t="s">
        <v>192</v>
      </c>
      <c r="F570" s="26" t="s">
        <v>474</v>
      </c>
      <c r="G570" s="28" t="s">
        <v>421</v>
      </c>
      <c r="H570" s="28" t="s">
        <v>421</v>
      </c>
      <c r="I570" s="32"/>
      <c r="J570" s="41" t="s">
        <v>576</v>
      </c>
      <c r="K570" s="41" t="s">
        <v>576</v>
      </c>
      <c r="L570" s="41" t="s">
        <v>576</v>
      </c>
      <c r="M570" s="59"/>
      <c r="N570" s="59"/>
      <c r="O570" s="135" t="s">
        <v>13</v>
      </c>
    </row>
    <row r="571" spans="1:15" ht="16.2" customHeight="1">
      <c r="A571" s="7" t="str">
        <f t="shared" si="12"/>
        <v>modesg_inp_emss_nacefator_emissao</v>
      </c>
      <c r="B571" s="31" t="s">
        <v>10</v>
      </c>
      <c r="C571" s="30" t="s">
        <v>154</v>
      </c>
      <c r="D571" s="26" t="s">
        <v>18</v>
      </c>
      <c r="E571" s="27" t="s">
        <v>192</v>
      </c>
      <c r="F571" s="26" t="s">
        <v>475</v>
      </c>
      <c r="G571" s="28" t="s">
        <v>421</v>
      </c>
      <c r="H571" s="28" t="s">
        <v>421</v>
      </c>
      <c r="I571" s="32"/>
      <c r="J571" s="41" t="s">
        <v>576</v>
      </c>
      <c r="K571" s="41" t="s">
        <v>576</v>
      </c>
      <c r="L571" s="41" t="s">
        <v>576</v>
      </c>
      <c r="M571" s="59"/>
      <c r="N571" s="59"/>
      <c r="O571" s="135" t="s">
        <v>13</v>
      </c>
    </row>
    <row r="572" spans="1:15" ht="16.2" customHeight="1">
      <c r="A572" s="7" t="str">
        <f t="shared" si="12"/>
        <v>modesg_inp_km_medios_emss_vclsmedia_scp1_emss</v>
      </c>
      <c r="B572" s="31" t="s">
        <v>10</v>
      </c>
      <c r="C572" s="30" t="s">
        <v>154</v>
      </c>
      <c r="D572" s="26" t="s">
        <v>18</v>
      </c>
      <c r="E572" s="27" t="s">
        <v>187</v>
      </c>
      <c r="F572" s="26" t="s">
        <v>476</v>
      </c>
      <c r="G572" s="28" t="s">
        <v>421</v>
      </c>
      <c r="H572" s="28" t="s">
        <v>421</v>
      </c>
      <c r="I572" s="32"/>
      <c r="J572" s="41" t="s">
        <v>576</v>
      </c>
      <c r="K572" s="41" t="s">
        <v>576</v>
      </c>
      <c r="L572" s="41" t="s">
        <v>576</v>
      </c>
      <c r="M572" s="59"/>
      <c r="N572" s="59"/>
      <c r="O572" s="135" t="s">
        <v>13</v>
      </c>
    </row>
    <row r="573" spans="1:15" ht="16.2" customHeight="1">
      <c r="A573" s="7" t="str">
        <f t="shared" si="12"/>
        <v>modesg_inp_km_medios_emss_vclsmedia_scp2_emss</v>
      </c>
      <c r="B573" s="31" t="s">
        <v>10</v>
      </c>
      <c r="C573" s="30" t="s">
        <v>154</v>
      </c>
      <c r="D573" s="26" t="s">
        <v>18</v>
      </c>
      <c r="E573" s="27" t="s">
        <v>187</v>
      </c>
      <c r="F573" s="26" t="s">
        <v>477</v>
      </c>
      <c r="G573" s="28" t="s">
        <v>421</v>
      </c>
      <c r="H573" s="28" t="s">
        <v>421</v>
      </c>
      <c r="I573" s="32"/>
      <c r="J573" s="41" t="s">
        <v>576</v>
      </c>
      <c r="K573" s="41" t="s">
        <v>576</v>
      </c>
      <c r="L573" s="41" t="s">
        <v>576</v>
      </c>
      <c r="M573" s="59"/>
      <c r="N573" s="59"/>
      <c r="O573" s="135" t="s">
        <v>13</v>
      </c>
    </row>
    <row r="574" spans="1:15" ht="16.2" customHeight="1">
      <c r="A574" s="7" t="str">
        <f t="shared" si="12"/>
        <v>modesg_inp_km_medios_emss_vclsmedia_scp3_emss</v>
      </c>
      <c r="B574" s="35" t="s">
        <v>10</v>
      </c>
      <c r="C574" s="36" t="s">
        <v>154</v>
      </c>
      <c r="D574" s="37" t="s">
        <v>18</v>
      </c>
      <c r="E574" s="38" t="s">
        <v>187</v>
      </c>
      <c r="F574" s="37" t="s">
        <v>478</v>
      </c>
      <c r="G574" s="39" t="s">
        <v>421</v>
      </c>
      <c r="H574" s="39" t="s">
        <v>421</v>
      </c>
      <c r="I574" s="40"/>
      <c r="J574" s="41" t="s">
        <v>576</v>
      </c>
      <c r="K574" s="41" t="s">
        <v>576</v>
      </c>
      <c r="L574" s="41" t="s">
        <v>576</v>
      </c>
      <c r="M574" s="61"/>
      <c r="N574" s="61"/>
      <c r="O574" s="135" t="s">
        <v>13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CO56"/>
  <sheetViews>
    <sheetView showGridLines="0" zoomScale="70" zoomScaleNormal="70" workbookViewId="0"/>
  </sheetViews>
  <sheetFormatPr defaultColWidth="0" defaultRowHeight="13.8" outlineLevelCol="1"/>
  <cols>
    <col min="1" max="1" width="2.69921875" customWidth="1"/>
    <col min="2" max="2" width="9.59765625" customWidth="1"/>
    <col min="3" max="3" width="19.796875" customWidth="1"/>
    <col min="4" max="4" width="39.59765625" customWidth="1"/>
    <col min="5" max="5" width="23.19921875" bestFit="1" customWidth="1"/>
    <col min="6" max="6" width="9.09765625" customWidth="1"/>
    <col min="7" max="7" width="30.69921875" customWidth="1"/>
    <col min="8" max="8" width="19" style="56" customWidth="1"/>
    <col min="9" max="11" width="17.8984375" style="79" customWidth="1"/>
    <col min="12" max="12" width="52.796875" style="91" customWidth="1"/>
    <col min="13" max="13" width="7.296875" customWidth="1"/>
    <col min="14" max="15" width="5.69921875" customWidth="1"/>
    <col min="16" max="16" width="9.765625E-2" customWidth="1"/>
    <col min="17" max="23" width="5.69921875" customWidth="1"/>
    <col min="24" max="26" width="5.69921875" customWidth="1" outlineLevel="1"/>
    <col min="27" max="27" width="5.69921875" customWidth="1"/>
    <col min="28" max="30" width="5.69921875" customWidth="1" outlineLevel="1"/>
    <col min="31" max="33" width="5.69921875" customWidth="1"/>
    <col min="34" max="34" width="8.796875" customWidth="1"/>
    <col min="35" max="39" width="0" hidden="1" customWidth="1"/>
    <col min="94" max="16384" width="8.796875" hidden="1"/>
  </cols>
  <sheetData>
    <row r="1" spans="1:33" ht="16.2" customHeight="1">
      <c r="I1"/>
      <c r="J1"/>
      <c r="K1"/>
      <c r="L1" s="85"/>
    </row>
    <row r="2" spans="1:33">
      <c r="A2" s="2"/>
      <c r="B2" s="2"/>
      <c r="C2" s="2"/>
      <c r="D2" s="2"/>
      <c r="E2" s="2"/>
      <c r="F2" s="2"/>
      <c r="G2" s="2"/>
      <c r="H2" s="75"/>
      <c r="I2" s="2"/>
      <c r="J2" s="2"/>
      <c r="K2" s="2"/>
      <c r="L2" s="86"/>
      <c r="M2" s="2"/>
      <c r="N2" s="2"/>
      <c r="O2" s="2"/>
      <c r="P2" s="2"/>
      <c r="Q2" s="2"/>
      <c r="R2" s="2"/>
      <c r="S2" s="2"/>
      <c r="T2" s="2"/>
      <c r="U2" s="2"/>
    </row>
    <row r="3" spans="1:33">
      <c r="A3" s="5"/>
      <c r="B3" s="5"/>
      <c r="C3" s="5"/>
      <c r="D3" s="5"/>
      <c r="E3" s="5"/>
      <c r="F3" s="5"/>
      <c r="G3" s="4"/>
      <c r="H3" s="76"/>
      <c r="I3" s="4"/>
      <c r="J3" s="4"/>
      <c r="K3" s="4"/>
      <c r="L3" s="87"/>
      <c r="M3" s="3"/>
      <c r="N3" s="3"/>
      <c r="O3" s="3"/>
      <c r="P3" s="3"/>
      <c r="Q3" s="3"/>
      <c r="R3" s="3"/>
      <c r="S3" s="3"/>
      <c r="T3" s="3"/>
      <c r="U3" s="3"/>
    </row>
    <row r="4" spans="1:33">
      <c r="A4" s="2"/>
      <c r="B4" s="2"/>
      <c r="C4" s="2"/>
      <c r="D4" s="2"/>
      <c r="E4" s="2"/>
      <c r="F4" s="2"/>
      <c r="G4" s="2"/>
      <c r="H4" s="75"/>
      <c r="I4" s="2"/>
      <c r="J4" s="2"/>
      <c r="K4" s="2"/>
      <c r="L4" s="86"/>
      <c r="M4" s="2"/>
      <c r="N4" s="2"/>
      <c r="O4" s="2"/>
      <c r="P4" s="2"/>
      <c r="Q4" s="2"/>
      <c r="R4" s="2"/>
      <c r="S4" s="2"/>
      <c r="T4" s="2"/>
      <c r="U4" s="2"/>
    </row>
    <row r="5" spans="1:33" ht="3" customHeight="1">
      <c r="A5" s="1"/>
      <c r="B5" s="1"/>
      <c r="C5" s="1"/>
      <c r="D5" s="1"/>
      <c r="E5" s="1"/>
      <c r="F5" s="1"/>
      <c r="G5" s="1"/>
      <c r="H5" s="77"/>
      <c r="I5" s="1"/>
      <c r="J5" s="1"/>
      <c r="K5" s="1"/>
      <c r="L5" s="8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I6"/>
      <c r="J6"/>
      <c r="K6"/>
      <c r="L6" s="85"/>
    </row>
    <row r="7" spans="1:33">
      <c r="A7" s="92"/>
      <c r="B7" s="93"/>
      <c r="C7" s="92" t="s">
        <v>414</v>
      </c>
      <c r="D7" s="92"/>
      <c r="E7" s="92"/>
      <c r="F7" s="92"/>
      <c r="G7" s="92"/>
      <c r="H7" s="94"/>
      <c r="I7" s="92"/>
      <c r="J7" s="92"/>
      <c r="K7" s="92"/>
      <c r="L7" s="95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>
      <c r="A8" s="92"/>
      <c r="B8" s="96"/>
      <c r="C8" s="92" t="s">
        <v>492</v>
      </c>
      <c r="D8" s="92"/>
      <c r="E8" s="92"/>
      <c r="F8" s="92"/>
      <c r="G8" s="92"/>
      <c r="H8" s="94"/>
      <c r="I8" s="92"/>
      <c r="J8" s="92"/>
      <c r="K8" s="92"/>
      <c r="L8" s="95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>
      <c r="A9" s="92"/>
      <c r="B9" s="97"/>
      <c r="C9" s="92" t="s">
        <v>493</v>
      </c>
      <c r="D9" s="92"/>
      <c r="E9" s="92"/>
      <c r="F9" s="92"/>
      <c r="G9" s="92"/>
      <c r="H9" s="94"/>
      <c r="I9" s="92"/>
      <c r="J9" s="92"/>
      <c r="K9" s="92"/>
      <c r="L9" s="95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7.399999999999999">
      <c r="A10" s="92"/>
      <c r="B10" s="99"/>
      <c r="C10" s="92" t="s">
        <v>415</v>
      </c>
      <c r="D10" s="92"/>
      <c r="E10" s="92"/>
      <c r="F10" s="92"/>
      <c r="G10" s="92"/>
      <c r="H10" s="94"/>
      <c r="I10" s="92"/>
      <c r="J10" s="92"/>
      <c r="K10" s="92"/>
      <c r="L10" s="95"/>
      <c r="M10" s="100" t="s">
        <v>0</v>
      </c>
      <c r="N10" s="217" t="s">
        <v>1</v>
      </c>
      <c r="O10" s="218"/>
      <c r="P10" s="218"/>
      <c r="Q10" s="218"/>
      <c r="R10" s="218"/>
      <c r="S10" s="219"/>
      <c r="T10" s="100" t="s">
        <v>2</v>
      </c>
      <c r="U10" s="100"/>
      <c r="V10" s="100"/>
      <c r="W10" s="100"/>
      <c r="X10" s="100"/>
      <c r="Y10" s="100"/>
      <c r="Z10" s="100"/>
      <c r="AA10" s="100"/>
      <c r="AB10" s="100"/>
      <c r="AC10" s="100"/>
      <c r="AD10" s="100" t="s">
        <v>410</v>
      </c>
      <c r="AE10" s="100"/>
      <c r="AF10" s="100"/>
      <c r="AG10" s="100"/>
    </row>
    <row r="11" spans="1:33" ht="16.2">
      <c r="A11" s="92"/>
      <c r="B11" s="92"/>
      <c r="C11" s="92"/>
      <c r="D11" s="92"/>
      <c r="E11" s="92"/>
      <c r="F11" s="92"/>
      <c r="G11" s="92"/>
      <c r="H11" s="94"/>
      <c r="I11" s="92"/>
      <c r="J11" s="92"/>
      <c r="K11" s="92"/>
      <c r="L11" s="95"/>
      <c r="M11" s="8">
        <v>45590</v>
      </c>
      <c r="N11" s="8">
        <v>45597</v>
      </c>
      <c r="O11" s="8">
        <v>45604</v>
      </c>
      <c r="P11" s="8">
        <v>45610</v>
      </c>
      <c r="Q11" s="8">
        <v>45611</v>
      </c>
      <c r="R11" s="8">
        <v>45618</v>
      </c>
      <c r="S11" s="8">
        <v>45625</v>
      </c>
      <c r="T11" s="8">
        <v>45632</v>
      </c>
      <c r="U11" s="8">
        <v>45639</v>
      </c>
      <c r="V11" s="8">
        <v>45646</v>
      </c>
      <c r="W11" s="8">
        <v>45649</v>
      </c>
      <c r="X11" s="8">
        <v>45650</v>
      </c>
      <c r="Y11" s="8">
        <v>45651</v>
      </c>
      <c r="Z11" s="8">
        <v>45652</v>
      </c>
      <c r="AA11" s="8">
        <v>45653</v>
      </c>
      <c r="AB11" s="8">
        <v>45656</v>
      </c>
      <c r="AC11" s="8">
        <v>45657</v>
      </c>
      <c r="AD11" s="8">
        <f>AD12</f>
        <v>45658</v>
      </c>
      <c r="AE11" s="8">
        <v>45667</v>
      </c>
      <c r="AF11" s="8">
        <v>45674</v>
      </c>
      <c r="AG11" s="8">
        <v>45678</v>
      </c>
    </row>
    <row r="12" spans="1:33" s="74" customFormat="1" ht="17.399999999999999">
      <c r="A12" s="101"/>
      <c r="B12" s="62" t="s">
        <v>3</v>
      </c>
      <c r="C12" s="63" t="s">
        <v>4</v>
      </c>
      <c r="D12" s="63" t="s">
        <v>6</v>
      </c>
      <c r="E12" s="63" t="s">
        <v>500</v>
      </c>
      <c r="F12" s="63" t="s">
        <v>7</v>
      </c>
      <c r="G12" s="63" t="s">
        <v>450</v>
      </c>
      <c r="H12" s="119" t="s">
        <v>534</v>
      </c>
      <c r="I12" s="63" t="s">
        <v>506</v>
      </c>
      <c r="J12" s="63" t="s">
        <v>507</v>
      </c>
      <c r="K12" s="63" t="s">
        <v>508</v>
      </c>
      <c r="L12" s="120" t="s">
        <v>9</v>
      </c>
      <c r="M12" s="121">
        <v>45590</v>
      </c>
      <c r="N12" s="121">
        <v>45597</v>
      </c>
      <c r="O12" s="121">
        <v>45604</v>
      </c>
      <c r="P12" s="121">
        <v>45610</v>
      </c>
      <c r="Q12" s="121">
        <v>45611</v>
      </c>
      <c r="R12" s="121">
        <v>45618</v>
      </c>
      <c r="S12" s="121">
        <v>45625</v>
      </c>
      <c r="T12" s="121">
        <v>45632</v>
      </c>
      <c r="U12" s="121">
        <v>45639</v>
      </c>
      <c r="V12" s="121">
        <v>45646</v>
      </c>
      <c r="W12" s="121">
        <v>45649</v>
      </c>
      <c r="X12" s="121">
        <v>45650</v>
      </c>
      <c r="Y12" s="121">
        <v>45651</v>
      </c>
      <c r="Z12" s="121">
        <v>45652</v>
      </c>
      <c r="AA12" s="121">
        <v>45653</v>
      </c>
      <c r="AB12" s="121">
        <v>45656</v>
      </c>
      <c r="AC12" s="121">
        <v>45657</v>
      </c>
      <c r="AD12" s="121">
        <f>WORKDAY(AC12,1)</f>
        <v>45658</v>
      </c>
      <c r="AE12" s="121">
        <v>45667</v>
      </c>
      <c r="AF12" s="121">
        <v>45674</v>
      </c>
      <c r="AG12" s="121">
        <v>45678</v>
      </c>
    </row>
    <row r="13" spans="1:33" ht="15" customHeight="1">
      <c r="A13" s="102"/>
      <c r="B13" s="31" t="s">
        <v>10</v>
      </c>
      <c r="C13" s="30" t="s">
        <v>10</v>
      </c>
      <c r="D13" s="73" t="s">
        <v>347</v>
      </c>
      <c r="E13" s="71" t="s">
        <v>501</v>
      </c>
      <c r="F13" s="72">
        <v>1</v>
      </c>
      <c r="G13" s="111" t="s">
        <v>512</v>
      </c>
      <c r="H13" s="123">
        <v>45593</v>
      </c>
      <c r="I13" s="122">
        <v>1</v>
      </c>
      <c r="J13" s="122">
        <v>1</v>
      </c>
      <c r="K13" s="78">
        <v>0</v>
      </c>
      <c r="L13" s="90" t="s">
        <v>17</v>
      </c>
      <c r="M13" s="104"/>
      <c r="N13" s="105"/>
      <c r="O13" s="104"/>
      <c r="P13" s="104"/>
      <c r="Q13" s="104"/>
      <c r="R13" s="104"/>
      <c r="S13" s="104"/>
      <c r="T13" s="104"/>
      <c r="U13" s="104"/>
      <c r="V13" s="104"/>
      <c r="W13" s="104"/>
      <c r="X13" s="105"/>
      <c r="Y13" s="105"/>
      <c r="Z13" s="105"/>
      <c r="AA13" s="105"/>
      <c r="AB13" s="105"/>
      <c r="AC13" s="105"/>
      <c r="AD13" s="105"/>
      <c r="AE13" s="104"/>
      <c r="AF13" s="104"/>
      <c r="AG13" s="104"/>
    </row>
    <row r="14" spans="1:33" ht="15" customHeight="1">
      <c r="A14" s="102"/>
      <c r="B14" s="31" t="s">
        <v>10</v>
      </c>
      <c r="C14" s="30" t="s">
        <v>283</v>
      </c>
      <c r="D14" s="71" t="s">
        <v>284</v>
      </c>
      <c r="E14" s="71" t="s">
        <v>505</v>
      </c>
      <c r="F14" s="72">
        <v>8</v>
      </c>
      <c r="G14" s="111" t="s">
        <v>512</v>
      </c>
      <c r="H14" s="123">
        <v>45611</v>
      </c>
      <c r="I14" s="122">
        <v>1</v>
      </c>
      <c r="J14" s="122">
        <v>1</v>
      </c>
      <c r="K14" s="78">
        <v>0</v>
      </c>
      <c r="L14" s="90" t="s">
        <v>17</v>
      </c>
      <c r="M14" s="104"/>
      <c r="N14" s="105"/>
      <c r="O14" s="104"/>
      <c r="P14" s="109"/>
      <c r="Q14" s="108" t="s">
        <v>409</v>
      </c>
      <c r="R14" s="104"/>
      <c r="S14" s="104"/>
      <c r="T14" s="104"/>
      <c r="U14" s="104"/>
      <c r="V14" s="104"/>
      <c r="W14" s="104"/>
      <c r="X14" s="105"/>
      <c r="Y14" s="105"/>
      <c r="Z14" s="105"/>
      <c r="AA14" s="105"/>
      <c r="AB14" s="105"/>
      <c r="AC14" s="105"/>
      <c r="AD14" s="105"/>
      <c r="AE14" s="104"/>
      <c r="AF14" s="104"/>
      <c r="AG14" s="104"/>
    </row>
    <row r="15" spans="1:33" ht="15" customHeight="1">
      <c r="A15" s="102"/>
      <c r="B15" s="31" t="s">
        <v>10</v>
      </c>
      <c r="C15" s="30" t="s">
        <v>154</v>
      </c>
      <c r="D15" s="71" t="s">
        <v>155</v>
      </c>
      <c r="E15" s="71" t="s">
        <v>501</v>
      </c>
      <c r="F15" s="72">
        <v>15</v>
      </c>
      <c r="G15" s="111" t="s">
        <v>512</v>
      </c>
      <c r="H15" s="123">
        <v>45611</v>
      </c>
      <c r="I15" s="122">
        <v>1</v>
      </c>
      <c r="J15" s="122">
        <v>1</v>
      </c>
      <c r="K15" s="78">
        <v>0</v>
      </c>
      <c r="L15" s="90" t="s">
        <v>17</v>
      </c>
      <c r="M15" s="104"/>
      <c r="N15" s="105"/>
      <c r="O15" s="108"/>
      <c r="P15" s="104"/>
      <c r="Q15" s="104" t="s">
        <v>409</v>
      </c>
      <c r="R15" s="104"/>
      <c r="S15" s="104"/>
      <c r="T15" s="104"/>
      <c r="U15" s="104"/>
      <c r="V15" s="104"/>
      <c r="W15" s="104"/>
      <c r="X15" s="105"/>
      <c r="Y15" s="105"/>
      <c r="Z15" s="105"/>
      <c r="AA15" s="105"/>
      <c r="AB15" s="105"/>
      <c r="AC15" s="105"/>
      <c r="AD15" s="105"/>
      <c r="AE15" s="104"/>
      <c r="AF15" s="104"/>
      <c r="AG15" s="104"/>
    </row>
    <row r="16" spans="1:33" ht="15" customHeight="1">
      <c r="A16" s="102"/>
      <c r="B16" s="31" t="s">
        <v>10</v>
      </c>
      <c r="C16" s="30" t="s">
        <v>154</v>
      </c>
      <c r="D16" s="71" t="s">
        <v>155</v>
      </c>
      <c r="E16" s="71" t="s">
        <v>532</v>
      </c>
      <c r="F16" s="72">
        <v>1</v>
      </c>
      <c r="G16" s="110" t="s">
        <v>513</v>
      </c>
      <c r="H16" s="123">
        <v>45611</v>
      </c>
      <c r="I16" s="115">
        <v>0.25</v>
      </c>
      <c r="J16" s="115">
        <v>1</v>
      </c>
      <c r="K16" s="78">
        <v>-0.75</v>
      </c>
      <c r="L16" s="90" t="s">
        <v>533</v>
      </c>
      <c r="M16" s="104"/>
      <c r="N16" s="105"/>
      <c r="O16" s="108"/>
      <c r="P16" s="104"/>
      <c r="Q16" s="104" t="s">
        <v>409</v>
      </c>
      <c r="R16" s="104"/>
      <c r="S16" s="104"/>
      <c r="T16" s="104"/>
      <c r="U16" s="104"/>
      <c r="V16" s="104"/>
      <c r="W16" s="104"/>
      <c r="X16" s="105"/>
      <c r="Y16" s="105"/>
      <c r="Z16" s="105"/>
      <c r="AA16" s="105"/>
      <c r="AB16" s="105"/>
      <c r="AC16" s="105"/>
      <c r="AD16" s="105"/>
      <c r="AE16" s="104"/>
      <c r="AF16" s="104"/>
      <c r="AG16" s="104"/>
    </row>
    <row r="17" spans="1:33" ht="16.2">
      <c r="A17" s="102"/>
      <c r="B17" s="31" t="s">
        <v>10</v>
      </c>
      <c r="C17" s="30" t="s">
        <v>283</v>
      </c>
      <c r="D17" s="71" t="s">
        <v>302</v>
      </c>
      <c r="E17" s="71" t="s">
        <v>501</v>
      </c>
      <c r="F17" s="72">
        <v>3</v>
      </c>
      <c r="G17" s="111" t="s">
        <v>512</v>
      </c>
      <c r="H17" s="123">
        <v>45618</v>
      </c>
      <c r="I17" s="122">
        <v>1</v>
      </c>
      <c r="J17" s="122">
        <v>1</v>
      </c>
      <c r="K17" s="114">
        <v>0</v>
      </c>
      <c r="L17" s="90" t="s">
        <v>17</v>
      </c>
      <c r="M17" s="104"/>
      <c r="N17" s="105"/>
      <c r="O17" s="104"/>
      <c r="P17" s="104"/>
      <c r="Q17" s="104"/>
      <c r="R17" s="104" t="s">
        <v>409</v>
      </c>
      <c r="S17" s="104"/>
      <c r="T17" s="104"/>
      <c r="U17" s="104"/>
      <c r="V17" s="104"/>
      <c r="W17" s="104"/>
      <c r="X17" s="105"/>
      <c r="Y17" s="105"/>
      <c r="Z17" s="105"/>
      <c r="AA17" s="105"/>
      <c r="AB17" s="105"/>
      <c r="AC17" s="105"/>
      <c r="AD17" s="105"/>
      <c r="AE17" s="104"/>
      <c r="AF17" s="104"/>
      <c r="AG17" s="104"/>
    </row>
    <row r="18" spans="1:33" ht="15" customHeight="1">
      <c r="A18" s="102"/>
      <c r="B18" s="31" t="s">
        <v>10</v>
      </c>
      <c r="C18" s="30" t="s">
        <v>10</v>
      </c>
      <c r="D18" s="73" t="s">
        <v>495</v>
      </c>
      <c r="E18" s="71" t="s">
        <v>505</v>
      </c>
      <c r="F18" s="72">
        <v>10</v>
      </c>
      <c r="G18" s="111" t="s">
        <v>512</v>
      </c>
      <c r="H18" s="123">
        <v>45625</v>
      </c>
      <c r="I18" s="122">
        <v>1</v>
      </c>
      <c r="J18" s="122">
        <v>1</v>
      </c>
      <c r="K18" s="78">
        <v>0</v>
      </c>
      <c r="L18" s="90" t="s">
        <v>531</v>
      </c>
      <c r="M18" s="104"/>
      <c r="N18" s="105"/>
      <c r="O18" s="104"/>
      <c r="P18" s="104"/>
      <c r="Q18" s="108"/>
      <c r="R18" s="104"/>
      <c r="S18" s="104" t="s">
        <v>409</v>
      </c>
      <c r="T18" s="104"/>
      <c r="U18" s="104"/>
      <c r="V18" s="124"/>
      <c r="W18" s="104"/>
      <c r="X18" s="105"/>
      <c r="Y18" s="105"/>
      <c r="Z18" s="105"/>
      <c r="AA18" s="105"/>
      <c r="AB18" s="105"/>
      <c r="AC18" s="105"/>
      <c r="AD18" s="105"/>
      <c r="AE18" s="104"/>
      <c r="AF18" s="104"/>
      <c r="AG18" s="104"/>
    </row>
    <row r="19" spans="1:33" ht="15" customHeight="1">
      <c r="A19" s="102"/>
      <c r="B19" s="31" t="s">
        <v>10</v>
      </c>
      <c r="C19" s="30" t="s">
        <v>10</v>
      </c>
      <c r="D19" s="73" t="s">
        <v>304</v>
      </c>
      <c r="E19" s="71" t="s">
        <v>501</v>
      </c>
      <c r="F19" s="72">
        <v>15</v>
      </c>
      <c r="G19" s="111" t="s">
        <v>512</v>
      </c>
      <c r="H19" s="123">
        <v>45625</v>
      </c>
      <c r="I19" s="122">
        <v>1</v>
      </c>
      <c r="J19" s="122">
        <v>1</v>
      </c>
      <c r="K19" s="84">
        <v>0</v>
      </c>
      <c r="L19" s="90" t="s">
        <v>531</v>
      </c>
      <c r="M19" s="104"/>
      <c r="N19" s="105"/>
      <c r="O19" s="104"/>
      <c r="P19" s="104"/>
      <c r="Q19" s="104"/>
      <c r="R19" s="104"/>
      <c r="S19" s="107" t="s">
        <v>409</v>
      </c>
      <c r="T19" s="104"/>
      <c r="U19" s="124"/>
      <c r="V19" s="104"/>
      <c r="W19" s="104"/>
      <c r="X19" s="105"/>
      <c r="Y19" s="105"/>
      <c r="Z19" s="105"/>
      <c r="AA19" s="105"/>
      <c r="AB19" s="105"/>
      <c r="AC19" s="105"/>
      <c r="AD19" s="105"/>
      <c r="AE19" s="104"/>
      <c r="AF19" s="104"/>
      <c r="AG19" s="104"/>
    </row>
    <row r="20" spans="1:33" ht="15" customHeight="1">
      <c r="A20" s="102"/>
      <c r="B20" s="31" t="s">
        <v>10</v>
      </c>
      <c r="C20" s="30" t="s">
        <v>10</v>
      </c>
      <c r="D20" s="73" t="s">
        <v>347</v>
      </c>
      <c r="E20" s="71" t="s">
        <v>502</v>
      </c>
      <c r="F20" s="72">
        <v>2</v>
      </c>
      <c r="G20" s="111" t="s">
        <v>512</v>
      </c>
      <c r="H20" s="123">
        <v>45625</v>
      </c>
      <c r="I20" s="122">
        <v>1</v>
      </c>
      <c r="J20" s="122">
        <v>1</v>
      </c>
      <c r="K20" s="84">
        <v>0</v>
      </c>
      <c r="L20" s="90" t="s">
        <v>531</v>
      </c>
      <c r="M20" s="104"/>
      <c r="N20" s="105"/>
      <c r="O20" s="104"/>
      <c r="P20" s="104"/>
      <c r="Q20" s="108"/>
      <c r="R20" s="104"/>
      <c r="S20" s="107" t="s">
        <v>409</v>
      </c>
      <c r="T20" s="104"/>
      <c r="U20" s="104"/>
      <c r="V20" s="104"/>
      <c r="W20" s="104"/>
      <c r="X20" s="105"/>
      <c r="Y20" s="105"/>
      <c r="Z20" s="105"/>
      <c r="AA20" s="105"/>
      <c r="AB20" s="105"/>
      <c r="AC20" s="105"/>
      <c r="AD20" s="105"/>
      <c r="AE20" s="104"/>
      <c r="AF20" s="104"/>
      <c r="AG20" s="104"/>
    </row>
    <row r="21" spans="1:33" ht="49.8" customHeight="1">
      <c r="A21" s="102"/>
      <c r="B21" s="31" t="s">
        <v>10</v>
      </c>
      <c r="C21" s="30" t="s">
        <v>10</v>
      </c>
      <c r="D21" s="73" t="s">
        <v>336</v>
      </c>
      <c r="E21" s="71" t="s">
        <v>501</v>
      </c>
      <c r="F21" s="72">
        <v>2</v>
      </c>
      <c r="G21" s="111" t="s">
        <v>512</v>
      </c>
      <c r="H21" s="123">
        <v>45632</v>
      </c>
      <c r="I21" s="122">
        <v>1</v>
      </c>
      <c r="J21" s="122">
        <v>1</v>
      </c>
      <c r="K21" s="114">
        <v>0</v>
      </c>
      <c r="L21" s="165" t="s">
        <v>554</v>
      </c>
      <c r="M21" s="104"/>
      <c r="N21" s="105"/>
      <c r="O21" s="104"/>
      <c r="P21" s="104"/>
      <c r="Q21" s="104"/>
      <c r="R21" s="104"/>
      <c r="S21" s="104"/>
      <c r="T21" s="107" t="s">
        <v>409</v>
      </c>
      <c r="U21" s="104"/>
      <c r="V21" s="104"/>
      <c r="W21" s="104"/>
      <c r="X21" s="105"/>
      <c r="Y21" s="105"/>
      <c r="Z21" s="105"/>
      <c r="AA21" s="105"/>
      <c r="AB21" s="105"/>
      <c r="AC21" s="105"/>
      <c r="AD21" s="105"/>
      <c r="AE21" s="104"/>
      <c r="AF21" s="104"/>
      <c r="AG21" s="104"/>
    </row>
    <row r="22" spans="1:33" ht="32.4">
      <c r="A22" s="102"/>
      <c r="B22" s="31" t="s">
        <v>10</v>
      </c>
      <c r="C22" s="30" t="s">
        <v>10</v>
      </c>
      <c r="D22" s="73" t="s">
        <v>336</v>
      </c>
      <c r="E22" s="71" t="s">
        <v>505</v>
      </c>
      <c r="F22" s="72">
        <v>2</v>
      </c>
      <c r="G22" s="103" t="s">
        <v>517</v>
      </c>
      <c r="H22" s="123">
        <v>45646</v>
      </c>
      <c r="I22" s="115">
        <v>0</v>
      </c>
      <c r="J22" s="115">
        <v>1</v>
      </c>
      <c r="K22" s="78">
        <v>-1</v>
      </c>
      <c r="L22" s="90" t="s">
        <v>574</v>
      </c>
      <c r="M22" s="104"/>
      <c r="N22" s="105"/>
      <c r="O22" s="104"/>
      <c r="P22" s="104"/>
      <c r="Q22" s="104"/>
      <c r="R22" s="104"/>
      <c r="S22" s="104"/>
      <c r="T22" s="107" t="s">
        <v>409</v>
      </c>
      <c r="U22" s="104" t="s">
        <v>409</v>
      </c>
      <c r="V22" s="104" t="s">
        <v>409</v>
      </c>
      <c r="W22" s="104"/>
      <c r="X22" s="105"/>
      <c r="Y22" s="105"/>
      <c r="Z22" s="105"/>
      <c r="AA22" s="105"/>
      <c r="AB22" s="105"/>
      <c r="AC22" s="105"/>
      <c r="AD22" s="105"/>
      <c r="AE22" s="104"/>
      <c r="AF22" s="104"/>
      <c r="AG22" s="104"/>
    </row>
    <row r="23" spans="1:33" ht="16.2">
      <c r="A23" s="102"/>
      <c r="B23" s="30" t="s">
        <v>10</v>
      </c>
      <c r="C23" s="30" t="s">
        <v>10</v>
      </c>
      <c r="D23" s="73" t="s">
        <v>336</v>
      </c>
      <c r="E23" s="71" t="s">
        <v>529</v>
      </c>
      <c r="F23" s="72">
        <v>1</v>
      </c>
      <c r="G23" s="111" t="s">
        <v>512</v>
      </c>
      <c r="H23" s="123">
        <v>45639</v>
      </c>
      <c r="I23" s="122">
        <v>1</v>
      </c>
      <c r="J23" s="122">
        <v>1</v>
      </c>
      <c r="K23" s="78">
        <v>0</v>
      </c>
      <c r="L23" s="165" t="s">
        <v>573</v>
      </c>
      <c r="M23" s="104"/>
      <c r="N23" s="105"/>
      <c r="O23" s="104"/>
      <c r="P23" s="104"/>
      <c r="Q23" s="104"/>
      <c r="R23" s="104"/>
      <c r="S23" s="104"/>
      <c r="T23" s="107" t="s">
        <v>409</v>
      </c>
      <c r="U23" s="104" t="s">
        <v>409</v>
      </c>
      <c r="V23" s="104"/>
      <c r="W23" s="104"/>
      <c r="X23" s="105"/>
      <c r="Y23" s="105"/>
      <c r="Z23" s="105"/>
      <c r="AA23" s="105"/>
      <c r="AB23" s="105"/>
      <c r="AC23" s="105"/>
      <c r="AD23" s="105"/>
      <c r="AE23" s="104"/>
      <c r="AF23" s="104"/>
      <c r="AG23" s="104"/>
    </row>
    <row r="24" spans="1:33" ht="15" customHeight="1">
      <c r="A24" s="102"/>
      <c r="B24" s="31" t="s">
        <v>10</v>
      </c>
      <c r="C24" s="30" t="s">
        <v>10</v>
      </c>
      <c r="D24" s="73" t="s">
        <v>304</v>
      </c>
      <c r="E24" s="71" t="s">
        <v>502</v>
      </c>
      <c r="F24" s="72">
        <v>3</v>
      </c>
      <c r="G24" s="111" t="s">
        <v>512</v>
      </c>
      <c r="H24" s="123">
        <v>45632</v>
      </c>
      <c r="I24" s="122">
        <v>1</v>
      </c>
      <c r="J24" s="122">
        <v>1</v>
      </c>
      <c r="K24" s="84">
        <v>0</v>
      </c>
      <c r="L24" s="165" t="s">
        <v>554</v>
      </c>
      <c r="M24" s="109"/>
      <c r="N24" s="105"/>
      <c r="O24" s="104"/>
      <c r="P24" s="104"/>
      <c r="Q24" s="108"/>
      <c r="R24" s="104"/>
      <c r="S24" s="104"/>
      <c r="T24" s="107" t="s">
        <v>409</v>
      </c>
      <c r="U24" s="104"/>
      <c r="V24" s="104"/>
      <c r="W24" s="104"/>
      <c r="X24" s="105"/>
      <c r="Y24" s="105"/>
      <c r="Z24" s="105"/>
      <c r="AA24" s="105"/>
      <c r="AB24" s="105"/>
      <c r="AC24" s="105"/>
      <c r="AD24" s="105"/>
      <c r="AE24" s="104"/>
      <c r="AF24" s="104"/>
      <c r="AG24" s="104"/>
    </row>
    <row r="25" spans="1:33" ht="16.2">
      <c r="A25" s="102"/>
      <c r="B25" s="31" t="s">
        <v>10</v>
      </c>
      <c r="C25" s="30" t="s">
        <v>10</v>
      </c>
      <c r="D25" s="73" t="s">
        <v>304</v>
      </c>
      <c r="E25" s="71" t="s">
        <v>556</v>
      </c>
      <c r="F25" s="72">
        <v>1</v>
      </c>
      <c r="G25" s="103" t="s">
        <v>520</v>
      </c>
      <c r="H25" s="123">
        <v>45646</v>
      </c>
      <c r="I25" s="115">
        <v>0</v>
      </c>
      <c r="J25" s="115">
        <v>1</v>
      </c>
      <c r="K25" s="116">
        <v>-1</v>
      </c>
      <c r="L25" s="90" t="s">
        <v>555</v>
      </c>
      <c r="M25" s="109"/>
      <c r="N25" s="105"/>
      <c r="O25" s="104"/>
      <c r="P25" s="104"/>
      <c r="Q25" s="108"/>
      <c r="R25" s="104"/>
      <c r="S25" s="104"/>
      <c r="T25" s="104" t="s">
        <v>409</v>
      </c>
      <c r="U25" s="104" t="s">
        <v>409</v>
      </c>
      <c r="V25" s="104" t="s">
        <v>409</v>
      </c>
      <c r="W25" s="104"/>
      <c r="X25" s="105"/>
      <c r="Y25" s="105"/>
      <c r="Z25" s="105"/>
      <c r="AA25" s="105"/>
      <c r="AB25" s="105"/>
      <c r="AC25" s="105"/>
      <c r="AD25" s="105"/>
      <c r="AE25" s="104"/>
      <c r="AF25" s="104"/>
      <c r="AG25" s="104"/>
    </row>
    <row r="26" spans="1:33" ht="32.4">
      <c r="A26" s="102"/>
      <c r="B26" s="31" t="s">
        <v>10</v>
      </c>
      <c r="C26" s="30" t="s">
        <v>10</v>
      </c>
      <c r="D26" s="73" t="s">
        <v>304</v>
      </c>
      <c r="E26" s="71" t="s">
        <v>557</v>
      </c>
      <c r="F26" s="72">
        <v>1</v>
      </c>
      <c r="G26" s="103" t="s">
        <v>517</v>
      </c>
      <c r="H26" s="123">
        <v>45646</v>
      </c>
      <c r="I26" s="115">
        <v>0</v>
      </c>
      <c r="J26" s="115">
        <v>1</v>
      </c>
      <c r="K26" s="84">
        <v>-1</v>
      </c>
      <c r="L26" s="90" t="s">
        <v>558</v>
      </c>
      <c r="M26" s="109"/>
      <c r="N26" s="105"/>
      <c r="O26" s="104"/>
      <c r="P26" s="104"/>
      <c r="Q26" s="108"/>
      <c r="R26" s="104"/>
      <c r="S26" s="104"/>
      <c r="T26" s="104" t="s">
        <v>409</v>
      </c>
      <c r="U26" s="104" t="s">
        <v>409</v>
      </c>
      <c r="V26" s="104" t="s">
        <v>409</v>
      </c>
      <c r="W26" s="104"/>
      <c r="X26" s="105"/>
      <c r="Y26" s="105"/>
      <c r="Z26" s="105"/>
      <c r="AA26" s="105"/>
      <c r="AB26" s="105"/>
      <c r="AC26" s="105"/>
      <c r="AD26" s="105"/>
      <c r="AE26" s="104"/>
      <c r="AF26" s="104"/>
      <c r="AG26" s="104"/>
    </row>
    <row r="27" spans="1:33" ht="15" customHeight="1">
      <c r="A27" s="102"/>
      <c r="B27" s="31" t="s">
        <v>10</v>
      </c>
      <c r="C27" s="30" t="s">
        <v>10</v>
      </c>
      <c r="D27" s="73" t="s">
        <v>304</v>
      </c>
      <c r="E27" s="71" t="s">
        <v>559</v>
      </c>
      <c r="F27" s="72">
        <v>1</v>
      </c>
      <c r="G27" s="111" t="s">
        <v>512</v>
      </c>
      <c r="H27" s="123">
        <v>45639</v>
      </c>
      <c r="I27" s="122">
        <v>1</v>
      </c>
      <c r="J27" s="122">
        <v>1</v>
      </c>
      <c r="K27" s="78">
        <v>0</v>
      </c>
      <c r="L27" s="165" t="s">
        <v>573</v>
      </c>
      <c r="M27" s="104"/>
      <c r="N27" s="105"/>
      <c r="O27" s="104"/>
      <c r="P27" s="104"/>
      <c r="Q27" s="108"/>
      <c r="R27" s="104"/>
      <c r="S27" s="104"/>
      <c r="T27" s="107" t="s">
        <v>409</v>
      </c>
      <c r="U27" s="104" t="s">
        <v>409</v>
      </c>
      <c r="V27" s="104"/>
      <c r="W27" s="104"/>
      <c r="X27" s="105"/>
      <c r="Y27" s="105"/>
      <c r="Z27" s="105"/>
      <c r="AA27" s="105"/>
      <c r="AB27" s="105"/>
      <c r="AC27" s="105"/>
      <c r="AD27" s="105"/>
      <c r="AE27" s="104"/>
      <c r="AF27" s="104"/>
      <c r="AG27" s="104"/>
    </row>
    <row r="28" spans="1:33" ht="30" customHeight="1">
      <c r="A28" s="102"/>
      <c r="B28" s="31" t="s">
        <v>10</v>
      </c>
      <c r="C28" s="30" t="s">
        <v>10</v>
      </c>
      <c r="D28" s="166" t="s">
        <v>336</v>
      </c>
      <c r="E28" s="71" t="s">
        <v>502</v>
      </c>
      <c r="F28" s="72">
        <v>3</v>
      </c>
      <c r="G28" s="111" t="s">
        <v>512</v>
      </c>
      <c r="H28" s="123">
        <v>45632</v>
      </c>
      <c r="I28" s="122">
        <v>1</v>
      </c>
      <c r="J28" s="122">
        <v>1</v>
      </c>
      <c r="K28" s="114">
        <v>0</v>
      </c>
      <c r="L28" s="165" t="s">
        <v>554</v>
      </c>
      <c r="M28" s="104"/>
      <c r="N28" s="105"/>
      <c r="O28" s="104"/>
      <c r="P28" s="104"/>
      <c r="Q28" s="108"/>
      <c r="R28" s="104"/>
      <c r="S28" s="104"/>
      <c r="T28" s="107" t="s">
        <v>409</v>
      </c>
      <c r="U28" s="125"/>
      <c r="V28" s="104"/>
      <c r="W28" s="104"/>
      <c r="X28" s="105"/>
      <c r="Y28" s="105"/>
      <c r="Z28" s="105"/>
      <c r="AA28" s="105"/>
      <c r="AB28" s="105"/>
      <c r="AC28" s="105"/>
      <c r="AD28" s="105"/>
      <c r="AE28" s="104"/>
      <c r="AF28" s="104"/>
      <c r="AG28" s="104"/>
    </row>
    <row r="29" spans="1:33" ht="30" customHeight="1">
      <c r="A29" s="102"/>
      <c r="B29" s="31" t="s">
        <v>10</v>
      </c>
      <c r="C29" s="30" t="s">
        <v>10</v>
      </c>
      <c r="D29" s="166" t="s">
        <v>336</v>
      </c>
      <c r="E29" s="71" t="s">
        <v>502</v>
      </c>
      <c r="F29" s="72">
        <v>1</v>
      </c>
      <c r="G29" s="111" t="s">
        <v>512</v>
      </c>
      <c r="H29" s="123">
        <v>45639</v>
      </c>
      <c r="I29" s="122">
        <v>1</v>
      </c>
      <c r="J29" s="122">
        <v>1</v>
      </c>
      <c r="K29" s="114">
        <v>0</v>
      </c>
      <c r="L29" s="165" t="s">
        <v>573</v>
      </c>
      <c r="M29" s="104"/>
      <c r="N29" s="105"/>
      <c r="O29" s="104"/>
      <c r="P29" s="104"/>
      <c r="Q29" s="108"/>
      <c r="R29" s="104"/>
      <c r="S29" s="104"/>
      <c r="T29" s="107" t="s">
        <v>409</v>
      </c>
      <c r="U29" s="104" t="s">
        <v>409</v>
      </c>
      <c r="V29" s="104"/>
      <c r="W29" s="104"/>
      <c r="X29" s="105"/>
      <c r="Y29" s="105"/>
      <c r="Z29" s="105"/>
      <c r="AA29" s="105"/>
      <c r="AB29" s="105"/>
      <c r="AC29" s="105"/>
      <c r="AD29" s="105"/>
      <c r="AE29" s="104"/>
      <c r="AF29" s="104"/>
      <c r="AG29" s="104"/>
    </row>
    <row r="30" spans="1:33" ht="30" customHeight="1">
      <c r="A30" s="102"/>
      <c r="B30" s="31" t="s">
        <v>10</v>
      </c>
      <c r="C30" s="30" t="s">
        <v>10</v>
      </c>
      <c r="D30" s="166" t="s">
        <v>336</v>
      </c>
      <c r="E30" s="71" t="s">
        <v>502</v>
      </c>
      <c r="F30" s="72">
        <v>1</v>
      </c>
      <c r="G30" s="110" t="s">
        <v>563</v>
      </c>
      <c r="H30" s="123">
        <v>45646</v>
      </c>
      <c r="I30" s="115">
        <v>0</v>
      </c>
      <c r="J30" s="115">
        <v>1</v>
      </c>
      <c r="K30" s="114">
        <v>-1</v>
      </c>
      <c r="L30" s="90" t="s">
        <v>564</v>
      </c>
      <c r="M30" s="104"/>
      <c r="N30" s="105"/>
      <c r="O30" s="104"/>
      <c r="P30" s="104"/>
      <c r="Q30" s="108"/>
      <c r="R30" s="104"/>
      <c r="S30" s="104"/>
      <c r="T30" s="107" t="s">
        <v>409</v>
      </c>
      <c r="U30" s="125" t="s">
        <v>409</v>
      </c>
      <c r="V30" s="125" t="s">
        <v>409</v>
      </c>
      <c r="W30" s="104"/>
      <c r="X30" s="105"/>
      <c r="Y30" s="105"/>
      <c r="Z30" s="105"/>
      <c r="AA30" s="105"/>
      <c r="AB30" s="105"/>
      <c r="AC30" s="105"/>
      <c r="AD30" s="105"/>
      <c r="AE30" s="104"/>
      <c r="AF30" s="104"/>
      <c r="AG30" s="104"/>
    </row>
    <row r="31" spans="1:33" ht="15" customHeight="1">
      <c r="A31" s="102"/>
      <c r="B31" s="31" t="s">
        <v>10</v>
      </c>
      <c r="C31" s="30" t="s">
        <v>283</v>
      </c>
      <c r="D31" s="71" t="s">
        <v>297</v>
      </c>
      <c r="E31" s="71" t="s">
        <v>501</v>
      </c>
      <c r="F31" s="72">
        <v>14</v>
      </c>
      <c r="G31" s="111" t="s">
        <v>512</v>
      </c>
      <c r="H31" s="123">
        <v>45639</v>
      </c>
      <c r="I31" s="122">
        <v>1</v>
      </c>
      <c r="J31" s="122">
        <v>1</v>
      </c>
      <c r="K31" s="84">
        <v>0</v>
      </c>
      <c r="L31" s="165" t="s">
        <v>572</v>
      </c>
      <c r="M31" s="104"/>
      <c r="N31" s="105"/>
      <c r="O31" s="104"/>
      <c r="P31" s="104"/>
      <c r="Q31" s="104"/>
      <c r="R31" s="104"/>
      <c r="S31" s="104"/>
      <c r="T31" s="104" t="s">
        <v>409</v>
      </c>
      <c r="U31" s="104" t="s">
        <v>409</v>
      </c>
      <c r="V31" s="104"/>
      <c r="W31" s="104"/>
      <c r="X31" s="105"/>
      <c r="Y31" s="105"/>
      <c r="Z31" s="105"/>
      <c r="AA31" s="105"/>
      <c r="AB31" s="105"/>
      <c r="AC31" s="105"/>
      <c r="AD31" s="105"/>
      <c r="AE31" s="104"/>
      <c r="AF31" s="104"/>
      <c r="AG31" s="104"/>
    </row>
    <row r="32" spans="1:33" ht="15" customHeight="1">
      <c r="A32" s="102"/>
      <c r="B32" s="31" t="s">
        <v>10</v>
      </c>
      <c r="C32" s="30" t="s">
        <v>10</v>
      </c>
      <c r="D32" s="73" t="s">
        <v>304</v>
      </c>
      <c r="E32" s="71" t="s">
        <v>504</v>
      </c>
      <c r="F32" s="72">
        <v>1</v>
      </c>
      <c r="G32" s="103" t="s">
        <v>520</v>
      </c>
      <c r="H32" s="123">
        <v>45646</v>
      </c>
      <c r="I32" s="115">
        <v>0</v>
      </c>
      <c r="J32" s="115">
        <v>1</v>
      </c>
      <c r="K32" s="78">
        <v>-1</v>
      </c>
      <c r="L32" s="90" t="s">
        <v>555</v>
      </c>
      <c r="M32" s="104"/>
      <c r="N32" s="105"/>
      <c r="O32" s="104"/>
      <c r="P32" s="104"/>
      <c r="Q32" s="104"/>
      <c r="R32" s="104"/>
      <c r="S32" s="104"/>
      <c r="T32" s="107" t="s">
        <v>409</v>
      </c>
      <c r="U32" s="104" t="s">
        <v>409</v>
      </c>
      <c r="V32" s="104" t="s">
        <v>409</v>
      </c>
      <c r="W32" s="104"/>
      <c r="X32" s="105"/>
      <c r="Y32" s="105"/>
      <c r="Z32" s="105"/>
      <c r="AA32" s="105"/>
      <c r="AB32" s="105"/>
      <c r="AC32" s="105"/>
      <c r="AD32" s="105"/>
      <c r="AE32" s="104"/>
      <c r="AF32" s="104"/>
      <c r="AG32" s="104"/>
    </row>
    <row r="33" spans="1:33" ht="16.2">
      <c r="A33" s="102"/>
      <c r="B33" s="31" t="s">
        <v>10</v>
      </c>
      <c r="C33" s="30" t="s">
        <v>283</v>
      </c>
      <c r="D33" s="71" t="s">
        <v>302</v>
      </c>
      <c r="E33" s="71" t="s">
        <v>529</v>
      </c>
      <c r="F33" s="72">
        <v>4</v>
      </c>
      <c r="G33" s="111" t="s">
        <v>512</v>
      </c>
      <c r="H33" s="123">
        <v>45632</v>
      </c>
      <c r="I33" s="122">
        <v>1</v>
      </c>
      <c r="J33" s="122">
        <v>1</v>
      </c>
      <c r="K33" s="114">
        <v>0</v>
      </c>
      <c r="L33" s="165" t="s">
        <v>554</v>
      </c>
      <c r="M33" s="104"/>
      <c r="N33" s="105"/>
      <c r="O33" s="104"/>
      <c r="P33" s="104"/>
      <c r="Q33" s="104"/>
      <c r="R33" s="104"/>
      <c r="S33" s="106"/>
      <c r="T33" s="104" t="s">
        <v>409</v>
      </c>
      <c r="U33" s="104"/>
      <c r="V33" s="104"/>
      <c r="W33" s="104"/>
      <c r="X33" s="105"/>
      <c r="Y33" s="105"/>
      <c r="Z33" s="105"/>
      <c r="AA33" s="105"/>
      <c r="AB33" s="105"/>
      <c r="AC33" s="105"/>
      <c r="AD33" s="105"/>
      <c r="AE33" s="104"/>
      <c r="AF33" s="104"/>
      <c r="AG33" s="104"/>
    </row>
    <row r="34" spans="1:33" ht="15" customHeight="1">
      <c r="A34" s="102"/>
      <c r="B34" s="31" t="s">
        <v>10</v>
      </c>
      <c r="C34" s="30" t="s">
        <v>10</v>
      </c>
      <c r="D34" s="166" t="s">
        <v>304</v>
      </c>
      <c r="E34" s="71" t="s">
        <v>565</v>
      </c>
      <c r="F34" s="72">
        <v>2</v>
      </c>
      <c r="G34" s="111" t="s">
        <v>512</v>
      </c>
      <c r="H34" s="123">
        <v>45639</v>
      </c>
      <c r="I34" s="122">
        <v>1</v>
      </c>
      <c r="J34" s="122">
        <v>1</v>
      </c>
      <c r="K34" s="84">
        <v>0</v>
      </c>
      <c r="L34" s="165" t="s">
        <v>572</v>
      </c>
      <c r="M34" s="104"/>
      <c r="N34" s="105"/>
      <c r="O34" s="104"/>
      <c r="P34" s="104"/>
      <c r="Q34" s="104"/>
      <c r="R34" s="104"/>
      <c r="S34" s="104"/>
      <c r="T34" s="104"/>
      <c r="U34" s="107" t="s">
        <v>409</v>
      </c>
      <c r="V34" s="104"/>
      <c r="W34" s="104"/>
      <c r="X34" s="105"/>
      <c r="Y34" s="105"/>
      <c r="Z34" s="105"/>
      <c r="AA34" s="105"/>
      <c r="AB34" s="105"/>
      <c r="AC34" s="105"/>
      <c r="AD34" s="105"/>
      <c r="AE34" s="104"/>
      <c r="AF34" s="104"/>
      <c r="AG34" s="104"/>
    </row>
    <row r="35" spans="1:33" ht="15" customHeight="1">
      <c r="A35" s="102"/>
      <c r="B35" s="31" t="s">
        <v>10</v>
      </c>
      <c r="C35" s="30" t="s">
        <v>10</v>
      </c>
      <c r="D35" s="166" t="s">
        <v>304</v>
      </c>
      <c r="E35" s="71" t="s">
        <v>565</v>
      </c>
      <c r="F35" s="72">
        <v>3</v>
      </c>
      <c r="G35" s="103" t="s">
        <v>520</v>
      </c>
      <c r="H35" s="123">
        <v>45646</v>
      </c>
      <c r="I35" s="115">
        <v>0</v>
      </c>
      <c r="J35" s="115">
        <v>1</v>
      </c>
      <c r="K35" s="84">
        <v>-1</v>
      </c>
      <c r="L35" s="90" t="s">
        <v>575</v>
      </c>
      <c r="M35" s="104"/>
      <c r="N35" s="105"/>
      <c r="O35" s="104"/>
      <c r="P35" s="104"/>
      <c r="Q35" s="104"/>
      <c r="R35" s="104"/>
      <c r="S35" s="104"/>
      <c r="T35" s="104"/>
      <c r="U35" s="107" t="s">
        <v>409</v>
      </c>
      <c r="V35" s="107" t="s">
        <v>409</v>
      </c>
      <c r="W35" s="104"/>
      <c r="X35" s="105"/>
      <c r="Y35" s="105"/>
      <c r="Z35" s="105"/>
      <c r="AA35" s="105"/>
      <c r="AB35" s="105"/>
      <c r="AC35" s="105"/>
      <c r="AD35" s="105"/>
      <c r="AE35" s="104"/>
      <c r="AF35" s="104"/>
      <c r="AG35" s="104"/>
    </row>
    <row r="36" spans="1:33" ht="15" customHeight="1">
      <c r="A36" s="102"/>
      <c r="B36" s="31" t="s">
        <v>10</v>
      </c>
      <c r="C36" s="30" t="s">
        <v>10</v>
      </c>
      <c r="D36" s="166" t="s">
        <v>304</v>
      </c>
      <c r="E36" s="71" t="s">
        <v>535</v>
      </c>
      <c r="F36" s="72">
        <v>2</v>
      </c>
      <c r="G36" s="111" t="s">
        <v>512</v>
      </c>
      <c r="H36" s="123">
        <v>45639</v>
      </c>
      <c r="I36" s="122">
        <v>1</v>
      </c>
      <c r="J36" s="122">
        <v>1</v>
      </c>
      <c r="K36" s="84">
        <v>0</v>
      </c>
      <c r="L36" s="165" t="s">
        <v>572</v>
      </c>
      <c r="M36" s="104"/>
      <c r="N36" s="105"/>
      <c r="O36" s="104"/>
      <c r="P36" s="104"/>
      <c r="Q36" s="104"/>
      <c r="R36" s="104"/>
      <c r="S36" s="104"/>
      <c r="T36" s="104"/>
      <c r="U36" s="107" t="s">
        <v>409</v>
      </c>
      <c r="V36" s="104"/>
      <c r="W36" s="104"/>
      <c r="X36" s="105"/>
      <c r="Y36" s="105"/>
      <c r="Z36" s="105"/>
      <c r="AA36" s="105"/>
      <c r="AB36" s="105"/>
      <c r="AC36" s="105"/>
      <c r="AD36" s="105"/>
      <c r="AE36" s="104"/>
      <c r="AF36" s="104"/>
      <c r="AG36" s="104"/>
    </row>
    <row r="37" spans="1:33" ht="15" customHeight="1">
      <c r="A37" s="102"/>
      <c r="B37" s="31" t="s">
        <v>10</v>
      </c>
      <c r="C37" s="30" t="s">
        <v>283</v>
      </c>
      <c r="D37" s="167" t="s">
        <v>297</v>
      </c>
      <c r="E37" s="71" t="s">
        <v>501</v>
      </c>
      <c r="F37" s="72">
        <v>6</v>
      </c>
      <c r="G37" s="112" t="s">
        <v>518</v>
      </c>
      <c r="H37" s="123">
        <v>45674</v>
      </c>
      <c r="I37" s="81">
        <v>0.25</v>
      </c>
      <c r="J37" s="81">
        <v>0</v>
      </c>
      <c r="K37" s="84">
        <v>0.25</v>
      </c>
      <c r="L37" s="90" t="s">
        <v>17</v>
      </c>
      <c r="M37" s="104"/>
      <c r="N37" s="105"/>
      <c r="O37" s="104"/>
      <c r="P37" s="104"/>
      <c r="Q37" s="104"/>
      <c r="R37" s="104"/>
      <c r="S37" s="104"/>
      <c r="T37" s="104"/>
      <c r="U37" s="104"/>
      <c r="V37" s="104"/>
      <c r="W37" s="104"/>
      <c r="X37" s="105"/>
      <c r="Y37" s="105"/>
      <c r="Z37" s="105"/>
      <c r="AA37" s="105"/>
      <c r="AB37" s="105"/>
      <c r="AC37" s="105"/>
      <c r="AD37" s="105"/>
      <c r="AE37" s="104"/>
      <c r="AF37" s="104" t="s">
        <v>409</v>
      </c>
      <c r="AG37" s="104"/>
    </row>
    <row r="38" spans="1:33" ht="15" customHeight="1">
      <c r="A38" s="102"/>
      <c r="B38" s="31" t="s">
        <v>10</v>
      </c>
      <c r="C38" s="30" t="s">
        <v>10</v>
      </c>
      <c r="D38" s="166" t="s">
        <v>304</v>
      </c>
      <c r="E38" s="71" t="s">
        <v>503</v>
      </c>
      <c r="F38" s="72">
        <v>3</v>
      </c>
      <c r="G38" s="111" t="s">
        <v>512</v>
      </c>
      <c r="H38" s="123">
        <v>45639</v>
      </c>
      <c r="I38" s="122">
        <v>1</v>
      </c>
      <c r="J38" s="122">
        <v>1</v>
      </c>
      <c r="K38" s="78">
        <v>0</v>
      </c>
      <c r="L38" s="165" t="s">
        <v>572</v>
      </c>
      <c r="M38" s="104"/>
      <c r="N38" s="105"/>
      <c r="O38" s="104"/>
      <c r="P38" s="104"/>
      <c r="Q38" s="104"/>
      <c r="R38" s="104"/>
      <c r="S38" s="104"/>
      <c r="T38" s="124"/>
      <c r="U38" s="104" t="s">
        <v>409</v>
      </c>
      <c r="V38" s="104"/>
      <c r="W38" s="104"/>
      <c r="X38" s="105"/>
      <c r="Y38" s="105"/>
      <c r="Z38" s="105"/>
      <c r="AA38" s="105"/>
      <c r="AB38" s="105"/>
      <c r="AC38" s="105"/>
      <c r="AD38" s="105"/>
      <c r="AE38" s="104"/>
      <c r="AF38" s="104"/>
      <c r="AG38" s="104"/>
    </row>
    <row r="39" spans="1:33" ht="15" customHeight="1">
      <c r="A39" s="102"/>
      <c r="B39" s="31" t="s">
        <v>10</v>
      </c>
      <c r="C39" s="30" t="s">
        <v>283</v>
      </c>
      <c r="D39" s="167" t="s">
        <v>297</v>
      </c>
      <c r="E39" s="71" t="s">
        <v>502</v>
      </c>
      <c r="F39" s="72">
        <v>6</v>
      </c>
      <c r="G39" s="112" t="s">
        <v>518</v>
      </c>
      <c r="H39" s="123">
        <v>45674</v>
      </c>
      <c r="I39" s="80">
        <v>0.67</v>
      </c>
      <c r="J39" s="80">
        <v>0.66666666666666663</v>
      </c>
      <c r="K39" s="78">
        <v>3.3333333333334103E-3</v>
      </c>
      <c r="L39" s="90" t="s">
        <v>17</v>
      </c>
      <c r="M39" s="104"/>
      <c r="N39" s="105"/>
      <c r="O39" s="104"/>
      <c r="P39" s="104"/>
      <c r="Q39" s="104"/>
      <c r="R39" s="104"/>
      <c r="S39" s="104"/>
      <c r="T39" s="104"/>
      <c r="U39" s="104"/>
      <c r="V39" s="104"/>
      <c r="W39" s="104"/>
      <c r="X39" s="105"/>
      <c r="Y39" s="105"/>
      <c r="Z39" s="105"/>
      <c r="AA39" s="105"/>
      <c r="AB39" s="105"/>
      <c r="AC39" s="105"/>
      <c r="AD39" s="105"/>
      <c r="AE39" s="104"/>
      <c r="AF39" s="104" t="s">
        <v>409</v>
      </c>
      <c r="AG39" s="104"/>
    </row>
    <row r="40" spans="1:33" ht="15" customHeight="1">
      <c r="A40" s="102"/>
      <c r="B40" s="31" t="s">
        <v>10</v>
      </c>
      <c r="C40" s="30" t="s">
        <v>10</v>
      </c>
      <c r="D40" s="73" t="s">
        <v>347</v>
      </c>
      <c r="E40" s="71" t="s">
        <v>503</v>
      </c>
      <c r="F40" s="72">
        <v>1</v>
      </c>
      <c r="G40" s="110" t="s">
        <v>513</v>
      </c>
      <c r="H40" s="123">
        <v>45646</v>
      </c>
      <c r="I40" s="115">
        <v>0.25</v>
      </c>
      <c r="J40" s="115">
        <v>1</v>
      </c>
      <c r="K40" s="84">
        <v>-0.75</v>
      </c>
      <c r="L40" s="90" t="s">
        <v>533</v>
      </c>
      <c r="M40" s="104"/>
      <c r="N40" s="105"/>
      <c r="O40" s="104"/>
      <c r="P40" s="104"/>
      <c r="Q40" s="104"/>
      <c r="R40" s="104"/>
      <c r="S40" s="104"/>
      <c r="T40" s="104"/>
      <c r="U40" s="104" t="s">
        <v>409</v>
      </c>
      <c r="V40" s="104" t="s">
        <v>409</v>
      </c>
      <c r="W40" s="104"/>
      <c r="X40" s="105"/>
      <c r="Y40" s="105"/>
      <c r="Z40" s="105"/>
      <c r="AA40" s="105"/>
      <c r="AB40" s="105"/>
      <c r="AC40" s="105"/>
      <c r="AD40" s="105"/>
      <c r="AE40" s="104"/>
      <c r="AF40" s="104"/>
      <c r="AG40" s="104"/>
    </row>
    <row r="41" spans="1:33" ht="15" customHeight="1">
      <c r="A41" s="102"/>
      <c r="B41" s="31" t="s">
        <v>10</v>
      </c>
      <c r="C41" s="30" t="s">
        <v>10</v>
      </c>
      <c r="D41" s="73" t="s">
        <v>494</v>
      </c>
      <c r="E41" s="71" t="s">
        <v>501</v>
      </c>
      <c r="F41" s="72">
        <v>4</v>
      </c>
      <c r="G41" s="112" t="s">
        <v>518</v>
      </c>
      <c r="H41" s="123">
        <v>45646</v>
      </c>
      <c r="I41" s="80">
        <v>0.25</v>
      </c>
      <c r="J41" s="80">
        <v>0</v>
      </c>
      <c r="K41" s="78">
        <v>0.25</v>
      </c>
      <c r="L41" s="90" t="s">
        <v>17</v>
      </c>
      <c r="M41" s="104"/>
      <c r="N41" s="105"/>
      <c r="O41" s="104"/>
      <c r="P41" s="104"/>
      <c r="Q41" s="104"/>
      <c r="R41" s="104"/>
      <c r="S41" s="104"/>
      <c r="T41" s="104"/>
      <c r="U41" s="104"/>
      <c r="V41" s="104" t="s">
        <v>409</v>
      </c>
      <c r="W41" s="104"/>
      <c r="X41" s="105"/>
      <c r="Y41" s="105"/>
      <c r="Z41" s="105"/>
      <c r="AA41" s="105"/>
      <c r="AB41" s="105"/>
      <c r="AC41" s="105"/>
      <c r="AD41" s="105"/>
      <c r="AE41" s="104"/>
      <c r="AF41" s="104"/>
      <c r="AG41" s="104"/>
    </row>
    <row r="42" spans="1:33" ht="15" customHeight="1">
      <c r="A42" s="102"/>
      <c r="B42" s="31" t="s">
        <v>10</v>
      </c>
      <c r="C42" s="30" t="s">
        <v>10</v>
      </c>
      <c r="D42" s="73" t="s">
        <v>336</v>
      </c>
      <c r="E42" s="71" t="s">
        <v>503</v>
      </c>
      <c r="F42" s="72">
        <v>5</v>
      </c>
      <c r="G42" s="112" t="s">
        <v>518</v>
      </c>
      <c r="H42" s="123">
        <v>45646</v>
      </c>
      <c r="I42" s="80">
        <v>0.25</v>
      </c>
      <c r="J42" s="80">
        <v>0</v>
      </c>
      <c r="K42" s="78">
        <v>0.25</v>
      </c>
      <c r="L42" s="90" t="s">
        <v>17</v>
      </c>
      <c r="M42" s="104"/>
      <c r="N42" s="105"/>
      <c r="O42" s="104"/>
      <c r="P42" s="104"/>
      <c r="Q42" s="104"/>
      <c r="R42" s="104"/>
      <c r="S42" s="104"/>
      <c r="T42" s="104"/>
      <c r="U42" s="104"/>
      <c r="V42" s="104" t="s">
        <v>409</v>
      </c>
      <c r="W42" s="124"/>
      <c r="X42" s="105"/>
      <c r="Y42" s="105"/>
      <c r="Z42" s="105"/>
      <c r="AA42" s="105"/>
      <c r="AB42" s="105"/>
      <c r="AC42" s="105"/>
      <c r="AD42" s="105"/>
      <c r="AE42" s="104"/>
      <c r="AF42" s="104"/>
      <c r="AG42" s="104"/>
    </row>
    <row r="43" spans="1:33" ht="15" customHeight="1">
      <c r="A43" s="102"/>
      <c r="B43" s="31" t="s">
        <v>10</v>
      </c>
      <c r="C43" s="30" t="s">
        <v>10</v>
      </c>
      <c r="D43" s="73" t="s">
        <v>336</v>
      </c>
      <c r="E43" s="71" t="s">
        <v>509</v>
      </c>
      <c r="F43" s="72">
        <v>1</v>
      </c>
      <c r="G43" s="110" t="s">
        <v>536</v>
      </c>
      <c r="H43" s="123">
        <v>45646</v>
      </c>
      <c r="I43" s="116">
        <v>0</v>
      </c>
      <c r="J43" s="116">
        <v>0</v>
      </c>
      <c r="K43" s="78">
        <v>0</v>
      </c>
      <c r="L43" s="90" t="s">
        <v>522</v>
      </c>
      <c r="M43" s="104"/>
      <c r="N43" s="105"/>
      <c r="O43" s="104"/>
      <c r="P43" s="104"/>
      <c r="Q43" s="104"/>
      <c r="R43" s="104"/>
      <c r="S43" s="104"/>
      <c r="T43" s="104"/>
      <c r="U43" s="104"/>
      <c r="V43" s="104" t="s">
        <v>409</v>
      </c>
      <c r="W43" s="104"/>
      <c r="X43" s="105"/>
      <c r="Y43" s="105"/>
      <c r="Z43" s="105"/>
      <c r="AA43" s="105"/>
      <c r="AB43" s="105"/>
      <c r="AC43" s="105"/>
      <c r="AD43" s="105"/>
      <c r="AE43" s="104"/>
      <c r="AF43" s="104"/>
      <c r="AG43" s="104"/>
    </row>
    <row r="44" spans="1:33" ht="15" customHeight="1">
      <c r="A44" s="102"/>
      <c r="B44" s="31" t="s">
        <v>10</v>
      </c>
      <c r="C44" s="30" t="s">
        <v>283</v>
      </c>
      <c r="D44" s="71" t="s">
        <v>303</v>
      </c>
      <c r="E44" s="71" t="s">
        <v>501</v>
      </c>
      <c r="F44" s="72">
        <v>12</v>
      </c>
      <c r="G44" s="112" t="s">
        <v>518</v>
      </c>
      <c r="H44" s="123">
        <v>45646</v>
      </c>
      <c r="I44" s="81">
        <v>0.7</v>
      </c>
      <c r="J44" s="81">
        <v>0.69565217391304346</v>
      </c>
      <c r="K44" s="78">
        <v>4.3478260869564966E-3</v>
      </c>
      <c r="L44" s="168" t="s">
        <v>527</v>
      </c>
      <c r="M44" s="104"/>
      <c r="N44" s="105"/>
      <c r="O44" s="104"/>
      <c r="P44" s="104"/>
      <c r="Q44" s="104"/>
      <c r="R44" s="104"/>
      <c r="S44" s="104"/>
      <c r="T44" s="104"/>
      <c r="U44" s="104"/>
      <c r="V44" s="104" t="s">
        <v>409</v>
      </c>
      <c r="W44" s="104"/>
      <c r="X44" s="105"/>
      <c r="Y44" s="105"/>
      <c r="Z44" s="105"/>
      <c r="AA44" s="105"/>
      <c r="AB44" s="105"/>
      <c r="AC44" s="105"/>
      <c r="AD44" s="105"/>
      <c r="AE44" s="104"/>
      <c r="AF44" s="104"/>
      <c r="AG44" s="104"/>
    </row>
    <row r="45" spans="1:33" ht="15" customHeight="1">
      <c r="A45" s="102"/>
      <c r="B45" s="31" t="s">
        <v>10</v>
      </c>
      <c r="C45" s="30" t="s">
        <v>10</v>
      </c>
      <c r="D45" s="73" t="s">
        <v>347</v>
      </c>
      <c r="E45" s="71" t="s">
        <v>524</v>
      </c>
      <c r="F45" s="72">
        <v>3</v>
      </c>
      <c r="G45" s="112" t="s">
        <v>518</v>
      </c>
      <c r="H45" s="123">
        <v>45646</v>
      </c>
      <c r="I45" s="80">
        <v>0.25</v>
      </c>
      <c r="J45" s="80">
        <v>0</v>
      </c>
      <c r="K45" s="78">
        <v>0.25</v>
      </c>
      <c r="L45" s="168" t="s">
        <v>528</v>
      </c>
      <c r="M45" s="104"/>
      <c r="N45" s="105"/>
      <c r="O45" s="104"/>
      <c r="P45" s="104"/>
      <c r="Q45" s="108"/>
      <c r="R45" s="104"/>
      <c r="S45" s="104"/>
      <c r="T45" s="104"/>
      <c r="U45" s="104"/>
      <c r="V45" s="104" t="s">
        <v>409</v>
      </c>
      <c r="W45" s="104"/>
      <c r="X45" s="105"/>
      <c r="Y45" s="105"/>
      <c r="Z45" s="105"/>
      <c r="AA45" s="105"/>
      <c r="AB45" s="105"/>
      <c r="AC45" s="105"/>
      <c r="AD45" s="105"/>
      <c r="AE45" s="104"/>
      <c r="AF45" s="104"/>
      <c r="AG45" s="104"/>
    </row>
    <row r="46" spans="1:33" ht="15" customHeight="1">
      <c r="A46" s="102"/>
      <c r="B46" s="31" t="s">
        <v>10</v>
      </c>
      <c r="C46" s="30" t="s">
        <v>283</v>
      </c>
      <c r="D46" s="71" t="s">
        <v>297</v>
      </c>
      <c r="E46" s="71" t="s">
        <v>503</v>
      </c>
      <c r="F46" s="72">
        <v>4</v>
      </c>
      <c r="G46" s="112" t="s">
        <v>518</v>
      </c>
      <c r="H46" s="123">
        <v>45646</v>
      </c>
      <c r="I46" s="80">
        <v>0.25</v>
      </c>
      <c r="J46" s="80">
        <v>0.2</v>
      </c>
      <c r="K46" s="78">
        <v>4.9999999999999989E-2</v>
      </c>
      <c r="L46" s="168" t="s">
        <v>519</v>
      </c>
      <c r="M46" s="104"/>
      <c r="N46" s="105"/>
      <c r="O46" s="104"/>
      <c r="P46" s="104"/>
      <c r="Q46" s="104"/>
      <c r="R46" s="104"/>
      <c r="S46" s="104"/>
      <c r="T46" s="104"/>
      <c r="U46" s="104"/>
      <c r="V46" s="124" t="s">
        <v>409</v>
      </c>
      <c r="W46" s="104"/>
      <c r="X46" s="105"/>
      <c r="Y46" s="105"/>
      <c r="Z46" s="105"/>
      <c r="AA46" s="105"/>
      <c r="AB46" s="105"/>
      <c r="AC46" s="105"/>
      <c r="AD46" s="105"/>
      <c r="AE46" s="104"/>
      <c r="AF46" s="104"/>
      <c r="AG46" s="104"/>
    </row>
    <row r="47" spans="1:33" ht="15" customHeight="1">
      <c r="A47" s="102"/>
      <c r="B47" s="31" t="s">
        <v>10</v>
      </c>
      <c r="C47" s="30" t="s">
        <v>10</v>
      </c>
      <c r="D47" s="73" t="s">
        <v>336</v>
      </c>
      <c r="E47" s="71" t="s">
        <v>523</v>
      </c>
      <c r="F47" s="72">
        <v>6</v>
      </c>
      <c r="G47" s="112" t="s">
        <v>518</v>
      </c>
      <c r="H47" s="123">
        <v>45649</v>
      </c>
      <c r="I47" s="80">
        <v>0.25</v>
      </c>
      <c r="J47" s="80">
        <v>0</v>
      </c>
      <c r="K47" s="78">
        <v>0.25</v>
      </c>
      <c r="L47" s="168" t="s">
        <v>530</v>
      </c>
      <c r="M47" s="104"/>
      <c r="N47" s="105"/>
      <c r="O47" s="104"/>
      <c r="P47" s="104"/>
      <c r="Q47" s="108"/>
      <c r="R47" s="104"/>
      <c r="S47" s="104"/>
      <c r="T47" s="104"/>
      <c r="U47" s="104"/>
      <c r="V47" s="104"/>
      <c r="W47" s="107" t="s">
        <v>409</v>
      </c>
      <c r="X47" s="105"/>
      <c r="Y47" s="105"/>
      <c r="Z47" s="105"/>
      <c r="AA47" s="105"/>
      <c r="AB47" s="105"/>
      <c r="AC47" s="105"/>
      <c r="AD47" s="105"/>
      <c r="AE47" s="104"/>
      <c r="AF47" s="104"/>
      <c r="AG47" s="104"/>
    </row>
    <row r="48" spans="1:33" ht="15" customHeight="1">
      <c r="A48" s="102"/>
      <c r="B48" s="31" t="s">
        <v>10</v>
      </c>
      <c r="C48" s="30" t="s">
        <v>14</v>
      </c>
      <c r="D48" s="71" t="s">
        <v>16</v>
      </c>
      <c r="E48" s="71" t="s">
        <v>501</v>
      </c>
      <c r="F48" s="72">
        <v>12</v>
      </c>
      <c r="G48" s="103" t="s">
        <v>517</v>
      </c>
      <c r="H48" s="123">
        <v>45667</v>
      </c>
      <c r="I48" s="80">
        <v>0</v>
      </c>
      <c r="J48" s="80">
        <v>0</v>
      </c>
      <c r="K48" s="78">
        <v>0</v>
      </c>
      <c r="L48" s="168" t="s">
        <v>560</v>
      </c>
      <c r="M48" s="104"/>
      <c r="N48" s="105"/>
      <c r="O48" s="104"/>
      <c r="P48" s="104"/>
      <c r="Q48" s="104"/>
      <c r="R48" s="104"/>
      <c r="S48" s="104"/>
      <c r="T48" s="124"/>
      <c r="U48" s="104"/>
      <c r="V48" s="104"/>
      <c r="W48" s="104"/>
      <c r="X48" s="105"/>
      <c r="Y48" s="105"/>
      <c r="Z48" s="105"/>
      <c r="AA48" s="105"/>
      <c r="AB48" s="105"/>
      <c r="AC48" s="105"/>
      <c r="AD48" s="105"/>
      <c r="AE48" s="104" t="s">
        <v>409</v>
      </c>
      <c r="AF48" s="104"/>
      <c r="AG48" s="104"/>
    </row>
    <row r="49" spans="1:33" ht="15" customHeight="1">
      <c r="A49" s="102"/>
      <c r="B49" s="31" t="s">
        <v>10</v>
      </c>
      <c r="C49" s="30" t="s">
        <v>31</v>
      </c>
      <c r="D49" s="73" t="s">
        <v>70</v>
      </c>
      <c r="E49" s="71" t="s">
        <v>501</v>
      </c>
      <c r="F49" s="83">
        <v>1</v>
      </c>
      <c r="G49" s="103" t="s">
        <v>517</v>
      </c>
      <c r="H49" s="123">
        <v>45667</v>
      </c>
      <c r="I49" s="116">
        <v>0</v>
      </c>
      <c r="J49" s="116">
        <v>0</v>
      </c>
      <c r="K49" s="78">
        <v>0</v>
      </c>
      <c r="L49" s="168" t="s">
        <v>526</v>
      </c>
      <c r="M49" s="104"/>
      <c r="N49" s="105"/>
      <c r="O49" s="109"/>
      <c r="P49" s="104"/>
      <c r="Q49" s="104"/>
      <c r="R49" s="104"/>
      <c r="S49" s="104"/>
      <c r="T49" s="104"/>
      <c r="U49" s="104"/>
      <c r="V49" s="104"/>
      <c r="W49" s="104"/>
      <c r="X49" s="105"/>
      <c r="Y49" s="105"/>
      <c r="Z49" s="105"/>
      <c r="AA49" s="105"/>
      <c r="AB49" s="105"/>
      <c r="AC49" s="105"/>
      <c r="AD49" s="105"/>
      <c r="AE49" s="104" t="s">
        <v>409</v>
      </c>
      <c r="AF49" s="104"/>
      <c r="AG49" s="104"/>
    </row>
    <row r="50" spans="1:33" ht="15" customHeight="1">
      <c r="A50" s="102"/>
      <c r="B50" s="31" t="s">
        <v>10</v>
      </c>
      <c r="C50" s="30" t="s">
        <v>14</v>
      </c>
      <c r="D50" s="73" t="s">
        <v>515</v>
      </c>
      <c r="E50" s="71" t="s">
        <v>501</v>
      </c>
      <c r="F50" s="83" t="s">
        <v>497</v>
      </c>
      <c r="G50" s="103" t="s">
        <v>517</v>
      </c>
      <c r="H50" s="123">
        <v>45667</v>
      </c>
      <c r="I50" s="116">
        <v>0</v>
      </c>
      <c r="J50" s="116">
        <v>0</v>
      </c>
      <c r="K50" s="78">
        <v>0</v>
      </c>
      <c r="L50" s="168" t="s">
        <v>514</v>
      </c>
      <c r="M50" s="104"/>
      <c r="N50" s="105"/>
      <c r="O50" s="109"/>
      <c r="P50" s="104"/>
      <c r="Q50" s="104"/>
      <c r="R50" s="104"/>
      <c r="S50" s="104"/>
      <c r="T50" s="104"/>
      <c r="U50" s="104"/>
      <c r="V50" s="104"/>
      <c r="W50" s="104"/>
      <c r="X50" s="105"/>
      <c r="Y50" s="105"/>
      <c r="Z50" s="105"/>
      <c r="AA50" s="105"/>
      <c r="AB50" s="105"/>
      <c r="AC50" s="105"/>
      <c r="AD50" s="105"/>
      <c r="AE50" s="104" t="s">
        <v>409</v>
      </c>
      <c r="AF50" s="104"/>
      <c r="AG50" s="104"/>
    </row>
    <row r="51" spans="1:33" ht="15" customHeight="1">
      <c r="A51" s="102"/>
      <c r="B51" s="31" t="s">
        <v>10</v>
      </c>
      <c r="C51" s="30" t="s">
        <v>283</v>
      </c>
      <c r="D51" s="71" t="s">
        <v>284</v>
      </c>
      <c r="E51" s="71" t="s">
        <v>502</v>
      </c>
      <c r="F51" s="126">
        <v>4</v>
      </c>
      <c r="G51" s="112" t="s">
        <v>518</v>
      </c>
      <c r="H51" s="123">
        <v>45674</v>
      </c>
      <c r="I51" s="80">
        <v>0.25</v>
      </c>
      <c r="J51" s="80">
        <v>0</v>
      </c>
      <c r="K51" s="78">
        <v>0.25</v>
      </c>
      <c r="L51" s="168" t="s">
        <v>561</v>
      </c>
      <c r="M51" s="104"/>
      <c r="N51" s="105"/>
      <c r="O51" s="104"/>
      <c r="P51" s="104"/>
      <c r="Q51" s="104"/>
      <c r="R51" s="104"/>
      <c r="S51" s="104"/>
      <c r="T51" s="104"/>
      <c r="U51" s="104"/>
      <c r="V51" s="104"/>
      <c r="W51" s="104"/>
      <c r="X51" s="105"/>
      <c r="Y51" s="105"/>
      <c r="Z51" s="105"/>
      <c r="AA51" s="105"/>
      <c r="AB51" s="105"/>
      <c r="AC51" s="105"/>
      <c r="AD51" s="105"/>
      <c r="AE51" s="104"/>
      <c r="AF51" s="104" t="s">
        <v>409</v>
      </c>
      <c r="AG51" s="104"/>
    </row>
    <row r="52" spans="1:33" ht="15" customHeight="1">
      <c r="A52" s="102" t="str">
        <f>D52&amp;F52</f>
        <v>lt002_instrument3</v>
      </c>
      <c r="B52" s="31" t="s">
        <v>10</v>
      </c>
      <c r="C52" s="30" t="s">
        <v>10</v>
      </c>
      <c r="D52" s="166" t="s">
        <v>347</v>
      </c>
      <c r="E52" s="73" t="s">
        <v>504</v>
      </c>
      <c r="F52" s="83">
        <v>3</v>
      </c>
      <c r="G52" s="112" t="s">
        <v>518</v>
      </c>
      <c r="H52" s="123">
        <v>45674</v>
      </c>
      <c r="I52" s="80">
        <v>0.25</v>
      </c>
      <c r="J52" s="80">
        <v>0</v>
      </c>
      <c r="K52" s="78">
        <v>0.25</v>
      </c>
      <c r="L52" s="168" t="s">
        <v>521</v>
      </c>
      <c r="M52" s="104"/>
      <c r="N52" s="105"/>
      <c r="O52" s="104"/>
      <c r="P52" s="104"/>
      <c r="Q52" s="104"/>
      <c r="R52" s="104"/>
      <c r="S52" s="104"/>
      <c r="T52" s="104"/>
      <c r="U52" s="104"/>
      <c r="V52" s="104"/>
      <c r="W52" s="104"/>
      <c r="X52" s="105"/>
      <c r="Y52" s="105"/>
      <c r="Z52" s="105"/>
      <c r="AA52" s="105"/>
      <c r="AB52" s="105"/>
      <c r="AC52" s="105"/>
      <c r="AD52" s="105"/>
      <c r="AE52" s="104"/>
      <c r="AF52" s="104" t="s">
        <v>409</v>
      </c>
      <c r="AG52" s="104"/>
    </row>
    <row r="53" spans="1:33" ht="15" customHeight="1">
      <c r="A53" s="102"/>
      <c r="B53" s="31" t="s">
        <v>10</v>
      </c>
      <c r="C53" s="30" t="s">
        <v>31</v>
      </c>
      <c r="D53" s="71" t="s">
        <v>98</v>
      </c>
      <c r="E53" s="71" t="s">
        <v>505</v>
      </c>
      <c r="F53" s="126">
        <v>22</v>
      </c>
      <c r="G53" s="111" t="s">
        <v>512</v>
      </c>
      <c r="H53" s="123">
        <v>45639</v>
      </c>
      <c r="I53" s="122">
        <v>1</v>
      </c>
      <c r="J53" s="122">
        <v>1</v>
      </c>
      <c r="K53" s="78">
        <v>0</v>
      </c>
      <c r="L53" s="165" t="s">
        <v>572</v>
      </c>
      <c r="M53" s="104"/>
      <c r="N53" s="105"/>
      <c r="O53" s="109"/>
      <c r="P53" s="104"/>
      <c r="Q53" s="124"/>
      <c r="R53" s="104"/>
      <c r="S53" s="104"/>
      <c r="T53" s="104"/>
      <c r="U53" s="108" t="s">
        <v>409</v>
      </c>
      <c r="V53" s="104"/>
      <c r="W53" s="104"/>
      <c r="X53" s="105"/>
      <c r="Y53" s="105"/>
      <c r="Z53" s="105"/>
      <c r="AA53" s="105"/>
      <c r="AB53" s="105"/>
      <c r="AC53" s="105"/>
      <c r="AD53" s="105"/>
      <c r="AE53" s="104"/>
      <c r="AF53" s="104"/>
      <c r="AG53" s="104"/>
    </row>
    <row r="54" spans="1:33" ht="15" customHeight="1">
      <c r="A54" s="102"/>
      <c r="B54" s="31" t="s">
        <v>10</v>
      </c>
      <c r="C54" s="30" t="s">
        <v>14</v>
      </c>
      <c r="D54" s="73" t="s">
        <v>516</v>
      </c>
      <c r="E54" s="71" t="s">
        <v>501</v>
      </c>
      <c r="F54" s="83" t="s">
        <v>497</v>
      </c>
      <c r="G54" s="103" t="s">
        <v>517</v>
      </c>
      <c r="H54" s="123">
        <v>45674</v>
      </c>
      <c r="I54" s="116">
        <v>0</v>
      </c>
      <c r="J54" s="116">
        <v>0</v>
      </c>
      <c r="K54" s="78">
        <v>0</v>
      </c>
      <c r="L54" s="168" t="s">
        <v>525</v>
      </c>
      <c r="M54" s="104"/>
      <c r="N54" s="105"/>
      <c r="O54" s="109"/>
      <c r="P54" s="104"/>
      <c r="Q54" s="104"/>
      <c r="R54" s="104"/>
      <c r="S54" s="104"/>
      <c r="T54" s="104"/>
      <c r="U54" s="104"/>
      <c r="V54" s="104"/>
      <c r="W54" s="104"/>
      <c r="X54" s="105"/>
      <c r="Y54" s="105"/>
      <c r="Z54" s="105"/>
      <c r="AA54" s="105"/>
      <c r="AB54" s="105"/>
      <c r="AC54" s="105"/>
      <c r="AD54" s="105"/>
      <c r="AE54" s="104"/>
      <c r="AF54" s="104" t="s">
        <v>409</v>
      </c>
      <c r="AG54" s="104"/>
    </row>
    <row r="55" spans="1:33" ht="15" customHeight="1">
      <c r="A55" s="102" t="str">
        <f>D55&amp;F55</f>
        <v>munichRetbd</v>
      </c>
      <c r="B55" s="31" t="s">
        <v>10</v>
      </c>
      <c r="C55" s="30" t="s">
        <v>154</v>
      </c>
      <c r="D55" s="73" t="s">
        <v>496</v>
      </c>
      <c r="E55" s="71" t="s">
        <v>501</v>
      </c>
      <c r="F55" s="83" t="s">
        <v>497</v>
      </c>
      <c r="G55" s="103" t="s">
        <v>517</v>
      </c>
      <c r="H55" s="123">
        <v>45678</v>
      </c>
      <c r="I55" s="116">
        <v>0</v>
      </c>
      <c r="J55" s="116">
        <v>0</v>
      </c>
      <c r="K55" s="78">
        <v>0</v>
      </c>
      <c r="L55" s="90" t="s">
        <v>562</v>
      </c>
      <c r="M55" s="104"/>
      <c r="N55" s="105"/>
      <c r="O55" s="104"/>
      <c r="P55" s="104"/>
      <c r="Q55" s="104"/>
      <c r="R55" s="104"/>
      <c r="S55" s="104"/>
      <c r="T55" s="104"/>
      <c r="U55" s="104"/>
      <c r="V55" s="104"/>
      <c r="W55" s="104"/>
      <c r="X55" s="105"/>
      <c r="Y55" s="105"/>
      <c r="Z55" s="105"/>
      <c r="AA55" s="105"/>
      <c r="AB55" s="105"/>
      <c r="AC55" s="105"/>
      <c r="AD55" s="105"/>
      <c r="AE55" s="104"/>
      <c r="AF55" s="104"/>
      <c r="AG55" s="104">
        <v>1</v>
      </c>
    </row>
    <row r="56" spans="1:33" ht="15" customHeight="1">
      <c r="A56" s="102"/>
      <c r="B56" s="31" t="s">
        <v>10</v>
      </c>
      <c r="C56" s="30" t="s">
        <v>499</v>
      </c>
      <c r="D56" s="73" t="s">
        <v>498</v>
      </c>
      <c r="E56" s="29"/>
      <c r="F56" s="127"/>
      <c r="G56" s="26"/>
      <c r="H56" s="113"/>
      <c r="I56" s="78"/>
      <c r="J56" s="78"/>
      <c r="K56" s="78"/>
      <c r="L56" s="89"/>
      <c r="M56" s="104"/>
      <c r="N56" s="105"/>
      <c r="O56" s="104"/>
      <c r="P56" s="104"/>
      <c r="Q56" s="104"/>
      <c r="R56" s="104"/>
      <c r="S56" s="104"/>
      <c r="T56" s="104"/>
      <c r="U56" s="104"/>
      <c r="V56" s="104"/>
      <c r="W56" s="104"/>
      <c r="X56" s="105"/>
      <c r="Y56" s="105"/>
      <c r="Z56" s="105"/>
      <c r="AA56" s="105"/>
      <c r="AB56" s="105"/>
      <c r="AC56" s="105"/>
      <c r="AD56" s="105"/>
      <c r="AE56" s="104"/>
      <c r="AF56" s="104"/>
      <c r="AG56" s="104"/>
    </row>
  </sheetData>
  <autoFilter ref="A12:AM56"/>
  <mergeCells count="1">
    <mergeCell ref="N10:S10"/>
  </mergeCells>
  <conditionalFormatting sqref="M6:AG6">
    <cfRule type="cellIs" dxfId="3" priority="92" operator="notEqual">
      <formula>0</formula>
    </cfRule>
  </conditionalFormatting>
  <conditionalFormatting sqref="W22:AG22 M22:T22 M13:AG21 M23:AG56">
    <cfRule type="cellIs" dxfId="2" priority="79" operator="greaterThan">
      <formula>0</formula>
    </cfRule>
  </conditionalFormatting>
  <conditionalFormatting sqref="U22">
    <cfRule type="cellIs" dxfId="1" priority="19" operator="greaterThan">
      <formula>0</formula>
    </cfRule>
  </conditionalFormatting>
  <conditionalFormatting sqref="V2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08F8A69D-79C2-48AE-864E-25CE5B5013E3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purl.org/dc/terms/"/>
    <ds:schemaRef ds:uri="http://www.w3.org/XML/1998/namespace"/>
    <ds:schemaRef ds:uri="http://purl.org/dc/dcmitype/"/>
    <ds:schemaRef ds:uri="6ea7b29d-57ec-408d-9ea9-cf73b04f66d5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Status Resumo</vt:lpstr>
      <vt:lpstr>2. Status Detalhe Campos</vt:lpstr>
      <vt:lpstr>Plano Campos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Joana Rita Bentinho Silva</cp:lastModifiedBy>
  <cp:revision/>
  <dcterms:created xsi:type="dcterms:W3CDTF">2024-07-02T08:46:04Z</dcterms:created>
  <dcterms:modified xsi:type="dcterms:W3CDTF">2024-12-16T23:34:30Z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