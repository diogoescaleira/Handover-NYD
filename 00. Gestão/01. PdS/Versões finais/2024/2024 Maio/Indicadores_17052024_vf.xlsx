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2. Green Dashboard/2. Testes/01. Testes Dados/PdS - Indicadores/Versões finais/"/>
    </mc:Choice>
  </mc:AlternateContent>
  <bookViews>
    <workbookView xWindow="0" yWindow="0" windowWidth="23040" windowHeight="9192"/>
  </bookViews>
  <sheets>
    <sheet name="Dashboard" sheetId="1" r:id="rId1"/>
    <sheet name="Resumo GD" sheetId="2" r:id="rId2"/>
    <sheet name="Resumo Modelo Verde" sheetId="3" r:id="rId3"/>
    <sheet name="Resumo Bens Imóveis" sheetId="4" r:id="rId4"/>
  </sheets>
  <externalReferences>
    <externalReference r:id="rId5"/>
  </externalReferenc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0" i="4" l="1"/>
  <c r="I290" i="4"/>
  <c r="H290" i="4"/>
  <c r="K289" i="4"/>
  <c r="I289" i="4"/>
  <c r="H289" i="4"/>
  <c r="K288" i="4"/>
  <c r="I288" i="4"/>
  <c r="H288" i="4"/>
  <c r="K287" i="4"/>
  <c r="I287" i="4"/>
  <c r="H287" i="4"/>
  <c r="K286" i="4"/>
  <c r="I286" i="4"/>
  <c r="H286" i="4"/>
  <c r="K285" i="4"/>
  <c r="I285" i="4"/>
  <c r="H285" i="4"/>
  <c r="K284" i="4"/>
  <c r="I284" i="4"/>
  <c r="H284" i="4"/>
  <c r="K283" i="4"/>
  <c r="I283" i="4"/>
  <c r="H283" i="4"/>
  <c r="K282" i="4"/>
  <c r="I282" i="4"/>
  <c r="H282" i="4"/>
  <c r="K281" i="4"/>
  <c r="I281" i="4"/>
  <c r="H281" i="4"/>
  <c r="K280" i="4"/>
  <c r="I280" i="4"/>
  <c r="H280" i="4"/>
  <c r="K279" i="4"/>
  <c r="I279" i="4"/>
  <c r="H279" i="4"/>
  <c r="K277" i="4"/>
  <c r="I277" i="4"/>
  <c r="H277" i="4"/>
  <c r="K276" i="4"/>
  <c r="I276" i="4"/>
  <c r="H276" i="4"/>
  <c r="K275" i="4"/>
  <c r="I275" i="4"/>
  <c r="H275" i="4"/>
  <c r="K274" i="4"/>
  <c r="I274" i="4"/>
  <c r="H274" i="4"/>
  <c r="K273" i="4"/>
  <c r="I273" i="4"/>
  <c r="H273" i="4"/>
  <c r="K272" i="4"/>
  <c r="I272" i="4"/>
  <c r="H272" i="4"/>
  <c r="K271" i="4"/>
  <c r="I271" i="4"/>
  <c r="H271" i="4"/>
  <c r="K270" i="4"/>
  <c r="I270" i="4"/>
  <c r="H270" i="4"/>
  <c r="K269" i="4"/>
  <c r="I269" i="4"/>
  <c r="H269" i="4"/>
  <c r="K268" i="4"/>
  <c r="I268" i="4"/>
  <c r="H268" i="4"/>
  <c r="K267" i="4"/>
  <c r="I267" i="4"/>
  <c r="H267" i="4"/>
  <c r="K266" i="4"/>
  <c r="I266" i="4"/>
  <c r="H266" i="4"/>
  <c r="K265" i="4"/>
  <c r="I265" i="4"/>
  <c r="H265" i="4"/>
  <c r="K264" i="4"/>
  <c r="I264" i="4"/>
  <c r="H264" i="4"/>
  <c r="K263" i="4"/>
  <c r="I263" i="4"/>
  <c r="H263" i="4"/>
  <c r="K262" i="4"/>
  <c r="I262" i="4"/>
  <c r="H262" i="4"/>
  <c r="K261" i="4"/>
  <c r="I261" i="4"/>
  <c r="H261" i="4"/>
  <c r="K260" i="4"/>
  <c r="I260" i="4"/>
  <c r="H260" i="4"/>
  <c r="K259" i="4"/>
  <c r="I259" i="4"/>
  <c r="H259" i="4"/>
  <c r="K258" i="4"/>
  <c r="I258" i="4"/>
  <c r="H258" i="4"/>
  <c r="K257" i="4"/>
  <c r="I257" i="4"/>
  <c r="H257" i="4"/>
  <c r="K256" i="4"/>
  <c r="I256" i="4"/>
  <c r="H256" i="4"/>
  <c r="K255" i="4"/>
  <c r="I255" i="4"/>
  <c r="H255" i="4"/>
  <c r="K254" i="4"/>
  <c r="I254" i="4"/>
  <c r="H254" i="4"/>
  <c r="K253" i="4"/>
  <c r="I253" i="4"/>
  <c r="H253" i="4"/>
  <c r="K252" i="4"/>
  <c r="I252" i="4"/>
  <c r="H252" i="4"/>
  <c r="K251" i="4"/>
  <c r="I251" i="4"/>
  <c r="H251" i="4"/>
  <c r="K250" i="4"/>
  <c r="I250" i="4"/>
  <c r="H250" i="4"/>
  <c r="K249" i="4"/>
  <c r="I249" i="4"/>
  <c r="H249" i="4"/>
  <c r="K248" i="4"/>
  <c r="I248" i="4"/>
  <c r="H248" i="4"/>
  <c r="K247" i="4"/>
  <c r="I247" i="4"/>
  <c r="H247" i="4"/>
  <c r="K241" i="4"/>
  <c r="I241" i="4"/>
  <c r="H241" i="4"/>
  <c r="S240" i="4"/>
  <c r="R240" i="4"/>
  <c r="Q240" i="4"/>
  <c r="K240" i="4"/>
  <c r="I240" i="4"/>
  <c r="H240" i="4"/>
  <c r="K239" i="4"/>
  <c r="I239" i="4"/>
  <c r="H239" i="4"/>
  <c r="K238" i="4"/>
  <c r="I238" i="4"/>
  <c r="H238" i="4"/>
  <c r="K237" i="4"/>
  <c r="I237" i="4"/>
  <c r="H237" i="4"/>
  <c r="K236" i="4"/>
  <c r="I236" i="4"/>
  <c r="H236" i="4"/>
  <c r="K235" i="4"/>
  <c r="I235" i="4"/>
  <c r="H235" i="4"/>
  <c r="K234" i="4"/>
  <c r="I234" i="4"/>
  <c r="H234" i="4"/>
  <c r="K233" i="4"/>
  <c r="I233" i="4"/>
  <c r="H233" i="4"/>
  <c r="U232" i="4"/>
  <c r="T232" i="4"/>
  <c r="S232" i="4"/>
  <c r="L232" i="4"/>
  <c r="K232" i="4"/>
  <c r="I232" i="4"/>
  <c r="H232" i="4"/>
  <c r="K231" i="4"/>
  <c r="I231" i="4"/>
  <c r="H231" i="4"/>
  <c r="K230" i="4"/>
  <c r="I230" i="4"/>
  <c r="H230" i="4"/>
  <c r="U229" i="4"/>
  <c r="L229" i="4"/>
  <c r="K229" i="4"/>
  <c r="I229" i="4"/>
  <c r="H229" i="4"/>
  <c r="K228" i="4"/>
  <c r="I228" i="4"/>
  <c r="H228" i="4"/>
  <c r="K227" i="4"/>
  <c r="I227" i="4"/>
  <c r="H227" i="4"/>
  <c r="K226" i="4"/>
  <c r="I226" i="4"/>
  <c r="H226" i="4"/>
  <c r="K225" i="4"/>
  <c r="I225" i="4"/>
  <c r="H225" i="4"/>
  <c r="K224" i="4"/>
  <c r="I224" i="4"/>
  <c r="H224" i="4"/>
  <c r="K223" i="4"/>
  <c r="I223" i="4"/>
  <c r="H223" i="4"/>
  <c r="K222" i="4"/>
  <c r="I222" i="4"/>
  <c r="H222" i="4"/>
  <c r="K221" i="4"/>
  <c r="I221" i="4"/>
  <c r="H221" i="4"/>
  <c r="K220" i="4"/>
  <c r="I220" i="4"/>
  <c r="H220" i="4"/>
  <c r="K219" i="4"/>
  <c r="I219" i="4"/>
  <c r="H219" i="4"/>
  <c r="K218" i="4"/>
  <c r="I218" i="4"/>
  <c r="H218" i="4"/>
  <c r="K217" i="4"/>
  <c r="I217" i="4"/>
  <c r="H217" i="4"/>
  <c r="M215" i="4"/>
  <c r="K215" i="4"/>
  <c r="I215" i="4"/>
  <c r="H215" i="4"/>
  <c r="M214" i="4"/>
  <c r="K214" i="4"/>
  <c r="I214" i="4"/>
  <c r="H214" i="4"/>
  <c r="M213" i="4"/>
  <c r="K213" i="4"/>
  <c r="I213" i="4"/>
  <c r="H213" i="4"/>
  <c r="M212" i="4"/>
  <c r="K212" i="4"/>
  <c r="I212" i="4"/>
  <c r="H212" i="4"/>
  <c r="M211" i="4"/>
  <c r="K211" i="4"/>
  <c r="I211" i="4"/>
  <c r="H211" i="4"/>
  <c r="M210" i="4"/>
  <c r="K210" i="4"/>
  <c r="I210" i="4"/>
  <c r="H210" i="4"/>
  <c r="M209" i="4"/>
  <c r="K209" i="4"/>
  <c r="I209" i="4"/>
  <c r="H209" i="4"/>
  <c r="M208" i="4"/>
  <c r="K208" i="4"/>
  <c r="I208" i="4"/>
  <c r="H208" i="4"/>
  <c r="M207" i="4"/>
  <c r="K207" i="4"/>
  <c r="I207" i="4"/>
  <c r="H207" i="4"/>
  <c r="M206" i="4"/>
  <c r="K206" i="4"/>
  <c r="I206" i="4"/>
  <c r="H206" i="4"/>
  <c r="M205" i="4"/>
  <c r="K205" i="4"/>
  <c r="I205" i="4"/>
  <c r="H205" i="4"/>
  <c r="M204" i="4"/>
  <c r="K204" i="4"/>
  <c r="I204" i="4"/>
  <c r="H204" i="4"/>
  <c r="I197" i="4"/>
  <c r="H197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I183" i="4"/>
  <c r="H183" i="4"/>
  <c r="I182" i="4"/>
  <c r="H182" i="4"/>
  <c r="I181" i="4"/>
  <c r="H181" i="4"/>
  <c r="I180" i="4"/>
  <c r="H180" i="4"/>
  <c r="I179" i="4"/>
  <c r="H179" i="4"/>
  <c r="I178" i="4"/>
  <c r="H178" i="4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Z32" i="4"/>
  <c r="Y32" i="4"/>
  <c r="O19" i="4"/>
  <c r="M19" i="4"/>
  <c r="Q16" i="4"/>
  <c r="Q19" i="4" s="1"/>
  <c r="O16" i="4"/>
  <c r="M16" i="4"/>
  <c r="K335" i="3"/>
  <c r="I335" i="3"/>
  <c r="H335" i="3"/>
  <c r="K334" i="3"/>
  <c r="I334" i="3"/>
  <c r="H334" i="3"/>
  <c r="K333" i="3"/>
  <c r="I333" i="3"/>
  <c r="H333" i="3"/>
  <c r="K332" i="3"/>
  <c r="I332" i="3"/>
  <c r="H332" i="3"/>
  <c r="K331" i="3"/>
  <c r="I331" i="3"/>
  <c r="H331" i="3"/>
  <c r="K330" i="3"/>
  <c r="I330" i="3"/>
  <c r="H330" i="3"/>
  <c r="K329" i="3"/>
  <c r="I329" i="3"/>
  <c r="H329" i="3"/>
  <c r="K328" i="3"/>
  <c r="I328" i="3"/>
  <c r="H328" i="3"/>
  <c r="K327" i="3"/>
  <c r="I327" i="3"/>
  <c r="H327" i="3"/>
  <c r="K326" i="3"/>
  <c r="I326" i="3"/>
  <c r="H326" i="3"/>
  <c r="K325" i="3"/>
  <c r="I325" i="3"/>
  <c r="H325" i="3"/>
  <c r="K324" i="3"/>
  <c r="I324" i="3"/>
  <c r="H324" i="3"/>
  <c r="K322" i="3"/>
  <c r="I322" i="3"/>
  <c r="H322" i="3"/>
  <c r="K321" i="3"/>
  <c r="I321" i="3"/>
  <c r="H321" i="3"/>
  <c r="K320" i="3"/>
  <c r="I320" i="3"/>
  <c r="H320" i="3"/>
  <c r="K319" i="3"/>
  <c r="I319" i="3"/>
  <c r="H319" i="3"/>
  <c r="K318" i="3"/>
  <c r="I318" i="3"/>
  <c r="H318" i="3"/>
  <c r="K317" i="3"/>
  <c r="I317" i="3"/>
  <c r="H317" i="3"/>
  <c r="K316" i="3"/>
  <c r="I316" i="3"/>
  <c r="H316" i="3"/>
  <c r="K315" i="3"/>
  <c r="I315" i="3"/>
  <c r="H315" i="3"/>
  <c r="K314" i="3"/>
  <c r="I314" i="3"/>
  <c r="H314" i="3"/>
  <c r="K313" i="3"/>
  <c r="I313" i="3"/>
  <c r="H313" i="3"/>
  <c r="K312" i="3"/>
  <c r="I312" i="3"/>
  <c r="H312" i="3"/>
  <c r="K311" i="3"/>
  <c r="I311" i="3"/>
  <c r="H311" i="3"/>
  <c r="K310" i="3"/>
  <c r="I310" i="3"/>
  <c r="H310" i="3"/>
  <c r="K309" i="3"/>
  <c r="I309" i="3"/>
  <c r="H309" i="3"/>
  <c r="K308" i="3"/>
  <c r="I308" i="3"/>
  <c r="H308" i="3"/>
  <c r="K307" i="3"/>
  <c r="I307" i="3"/>
  <c r="H307" i="3"/>
  <c r="K306" i="3"/>
  <c r="I306" i="3"/>
  <c r="H306" i="3"/>
  <c r="K305" i="3"/>
  <c r="I305" i="3"/>
  <c r="H305" i="3"/>
  <c r="K304" i="3"/>
  <c r="I304" i="3"/>
  <c r="H304" i="3"/>
  <c r="K303" i="3"/>
  <c r="I303" i="3"/>
  <c r="H303" i="3"/>
  <c r="K302" i="3"/>
  <c r="I302" i="3"/>
  <c r="H302" i="3"/>
  <c r="K301" i="3"/>
  <c r="I301" i="3"/>
  <c r="H301" i="3"/>
  <c r="K300" i="3"/>
  <c r="I300" i="3"/>
  <c r="H300" i="3"/>
  <c r="K299" i="3"/>
  <c r="I299" i="3"/>
  <c r="H299" i="3"/>
  <c r="K298" i="3"/>
  <c r="I298" i="3"/>
  <c r="H298" i="3"/>
  <c r="K297" i="3"/>
  <c r="I297" i="3"/>
  <c r="H297" i="3"/>
  <c r="K296" i="3"/>
  <c r="I296" i="3"/>
  <c r="H296" i="3"/>
  <c r="K295" i="3"/>
  <c r="I295" i="3"/>
  <c r="H295" i="3"/>
  <c r="K294" i="3"/>
  <c r="I294" i="3"/>
  <c r="H294" i="3"/>
  <c r="K293" i="3"/>
  <c r="I293" i="3"/>
  <c r="H293" i="3"/>
  <c r="K292" i="3"/>
  <c r="I292" i="3"/>
  <c r="H292" i="3"/>
  <c r="K286" i="3"/>
  <c r="I286" i="3"/>
  <c r="H286" i="3"/>
  <c r="S285" i="3"/>
  <c r="R285" i="3"/>
  <c r="Q285" i="3"/>
  <c r="K285" i="3"/>
  <c r="I285" i="3"/>
  <c r="H285" i="3"/>
  <c r="K284" i="3"/>
  <c r="I284" i="3"/>
  <c r="H284" i="3"/>
  <c r="K283" i="3"/>
  <c r="I283" i="3"/>
  <c r="H283" i="3"/>
  <c r="K282" i="3"/>
  <c r="I282" i="3"/>
  <c r="H282" i="3"/>
  <c r="K281" i="3"/>
  <c r="I281" i="3"/>
  <c r="H281" i="3"/>
  <c r="K280" i="3"/>
  <c r="I280" i="3"/>
  <c r="H280" i="3"/>
  <c r="K279" i="3"/>
  <c r="I279" i="3"/>
  <c r="H279" i="3"/>
  <c r="K278" i="3"/>
  <c r="I278" i="3"/>
  <c r="H278" i="3"/>
  <c r="T277" i="3"/>
  <c r="S277" i="3"/>
  <c r="K277" i="3"/>
  <c r="I277" i="3"/>
  <c r="H277" i="3"/>
  <c r="K276" i="3"/>
  <c r="I276" i="3"/>
  <c r="H276" i="3"/>
  <c r="K275" i="3"/>
  <c r="I275" i="3"/>
  <c r="H275" i="3"/>
  <c r="U274" i="3"/>
  <c r="U277" i="3" s="1"/>
  <c r="L274" i="3"/>
  <c r="L277" i="3" s="1"/>
  <c r="K274" i="3"/>
  <c r="I274" i="3"/>
  <c r="H274" i="3"/>
  <c r="K273" i="3"/>
  <c r="I273" i="3"/>
  <c r="H273" i="3"/>
  <c r="K272" i="3"/>
  <c r="I272" i="3"/>
  <c r="H272" i="3"/>
  <c r="K271" i="3"/>
  <c r="I271" i="3"/>
  <c r="H271" i="3"/>
  <c r="K270" i="3"/>
  <c r="I270" i="3"/>
  <c r="H270" i="3"/>
  <c r="K269" i="3"/>
  <c r="I269" i="3"/>
  <c r="H269" i="3"/>
  <c r="K268" i="3"/>
  <c r="I268" i="3"/>
  <c r="H268" i="3"/>
  <c r="K267" i="3"/>
  <c r="I267" i="3"/>
  <c r="H267" i="3"/>
  <c r="K266" i="3"/>
  <c r="I266" i="3"/>
  <c r="H266" i="3"/>
  <c r="K265" i="3"/>
  <c r="I265" i="3"/>
  <c r="H265" i="3"/>
  <c r="K264" i="3"/>
  <c r="I264" i="3"/>
  <c r="H264" i="3"/>
  <c r="K263" i="3"/>
  <c r="I263" i="3"/>
  <c r="H263" i="3"/>
  <c r="K262" i="3"/>
  <c r="I262" i="3"/>
  <c r="H262" i="3"/>
  <c r="M260" i="3"/>
  <c r="K260" i="3"/>
  <c r="I260" i="3"/>
  <c r="H260" i="3"/>
  <c r="M259" i="3"/>
  <c r="K259" i="3"/>
  <c r="I259" i="3"/>
  <c r="H259" i="3"/>
  <c r="M258" i="3"/>
  <c r="K258" i="3"/>
  <c r="I258" i="3"/>
  <c r="H258" i="3"/>
  <c r="M257" i="3"/>
  <c r="K257" i="3"/>
  <c r="I257" i="3"/>
  <c r="H257" i="3"/>
  <c r="M256" i="3"/>
  <c r="K256" i="3"/>
  <c r="I256" i="3"/>
  <c r="H256" i="3"/>
  <c r="M255" i="3"/>
  <c r="K255" i="3"/>
  <c r="I255" i="3"/>
  <c r="H255" i="3"/>
  <c r="M254" i="3"/>
  <c r="K254" i="3"/>
  <c r="I254" i="3"/>
  <c r="H254" i="3"/>
  <c r="M253" i="3"/>
  <c r="K253" i="3"/>
  <c r="I253" i="3"/>
  <c r="H253" i="3"/>
  <c r="M252" i="3"/>
  <c r="K252" i="3"/>
  <c r="I252" i="3"/>
  <c r="H252" i="3"/>
  <c r="M251" i="3"/>
  <c r="K251" i="3"/>
  <c r="I251" i="3"/>
  <c r="H251" i="3"/>
  <c r="M250" i="3"/>
  <c r="K250" i="3"/>
  <c r="I250" i="3"/>
  <c r="H250" i="3"/>
  <c r="M249" i="3"/>
  <c r="K249" i="3"/>
  <c r="I249" i="3"/>
  <c r="H249" i="3"/>
  <c r="M248" i="3"/>
  <c r="K248" i="3"/>
  <c r="I248" i="3"/>
  <c r="H248" i="3"/>
  <c r="M247" i="3"/>
  <c r="K247" i="3"/>
  <c r="I247" i="3"/>
  <c r="H247" i="3"/>
  <c r="M246" i="3"/>
  <c r="K246" i="3"/>
  <c r="I246" i="3"/>
  <c r="H246" i="3"/>
  <c r="M245" i="3"/>
  <c r="K245" i="3"/>
  <c r="I245" i="3"/>
  <c r="H245" i="3"/>
  <c r="M244" i="3"/>
  <c r="K244" i="3"/>
  <c r="I244" i="3"/>
  <c r="H244" i="3"/>
  <c r="M243" i="3"/>
  <c r="K243" i="3"/>
  <c r="I243" i="3"/>
  <c r="H243" i="3"/>
  <c r="M242" i="3"/>
  <c r="K242" i="3"/>
  <c r="I242" i="3"/>
  <c r="H242" i="3"/>
  <c r="M241" i="3"/>
  <c r="K241" i="3"/>
  <c r="I241" i="3"/>
  <c r="H241" i="3"/>
  <c r="M240" i="3"/>
  <c r="K240" i="3"/>
  <c r="I240" i="3"/>
  <c r="H240" i="3"/>
  <c r="M239" i="3"/>
  <c r="K239" i="3"/>
  <c r="I239" i="3"/>
  <c r="H239" i="3"/>
  <c r="M238" i="3"/>
  <c r="K238" i="3"/>
  <c r="I238" i="3"/>
  <c r="H238" i="3"/>
  <c r="M237" i="3"/>
  <c r="K237" i="3"/>
  <c r="I237" i="3"/>
  <c r="H237" i="3"/>
  <c r="M236" i="3"/>
  <c r="K236" i="3"/>
  <c r="I236" i="3"/>
  <c r="H236" i="3"/>
  <c r="M235" i="3"/>
  <c r="K235" i="3"/>
  <c r="I235" i="3"/>
  <c r="H235" i="3"/>
  <c r="M234" i="3"/>
  <c r="K234" i="3"/>
  <c r="I234" i="3"/>
  <c r="H234" i="3"/>
  <c r="M233" i="3"/>
  <c r="K233" i="3"/>
  <c r="I233" i="3"/>
  <c r="H233" i="3"/>
  <c r="M232" i="3"/>
  <c r="K232" i="3"/>
  <c r="I232" i="3"/>
  <c r="H232" i="3"/>
  <c r="M231" i="3"/>
  <c r="K231" i="3"/>
  <c r="I231" i="3"/>
  <c r="H231" i="3"/>
  <c r="M230" i="3"/>
  <c r="K230" i="3"/>
  <c r="I230" i="3"/>
  <c r="H230" i="3"/>
  <c r="M229" i="3"/>
  <c r="K229" i="3"/>
  <c r="I229" i="3"/>
  <c r="H229" i="3"/>
  <c r="M228" i="3"/>
  <c r="K228" i="3"/>
  <c r="I228" i="3"/>
  <c r="H228" i="3"/>
  <c r="M227" i="3"/>
  <c r="K227" i="3"/>
  <c r="I227" i="3"/>
  <c r="H227" i="3"/>
  <c r="M226" i="3"/>
  <c r="K226" i="3"/>
  <c r="I226" i="3"/>
  <c r="H226" i="3"/>
  <c r="M225" i="3"/>
  <c r="K225" i="3"/>
  <c r="I225" i="3"/>
  <c r="H225" i="3"/>
  <c r="M224" i="3"/>
  <c r="K224" i="3"/>
  <c r="I224" i="3"/>
  <c r="H224" i="3"/>
  <c r="M223" i="3"/>
  <c r="K223" i="3"/>
  <c r="I223" i="3"/>
  <c r="H223" i="3"/>
  <c r="M222" i="3"/>
  <c r="K222" i="3"/>
  <c r="I222" i="3"/>
  <c r="H222" i="3"/>
  <c r="M221" i="3"/>
  <c r="K221" i="3"/>
  <c r="I221" i="3"/>
  <c r="H221" i="3"/>
  <c r="M220" i="3"/>
  <c r="K220" i="3"/>
  <c r="I220" i="3"/>
  <c r="H220" i="3"/>
  <c r="M219" i="3"/>
  <c r="K219" i="3"/>
  <c r="I219" i="3"/>
  <c r="H219" i="3"/>
  <c r="M218" i="3"/>
  <c r="K218" i="3"/>
  <c r="I218" i="3"/>
  <c r="H218" i="3"/>
  <c r="M217" i="3"/>
  <c r="K217" i="3"/>
  <c r="I217" i="3"/>
  <c r="H217" i="3"/>
  <c r="M216" i="3"/>
  <c r="K216" i="3"/>
  <c r="I216" i="3"/>
  <c r="H216" i="3"/>
  <c r="M215" i="3"/>
  <c r="K215" i="3"/>
  <c r="I215" i="3"/>
  <c r="H215" i="3"/>
  <c r="M214" i="3"/>
  <c r="K214" i="3"/>
  <c r="I214" i="3"/>
  <c r="H214" i="3"/>
  <c r="M213" i="3"/>
  <c r="K213" i="3"/>
  <c r="I213" i="3"/>
  <c r="H213" i="3"/>
  <c r="M212" i="3"/>
  <c r="K212" i="3"/>
  <c r="I212" i="3"/>
  <c r="H212" i="3"/>
  <c r="M211" i="3"/>
  <c r="K211" i="3"/>
  <c r="I211" i="3"/>
  <c r="H211" i="3"/>
  <c r="M210" i="3"/>
  <c r="K210" i="3"/>
  <c r="I210" i="3"/>
  <c r="H210" i="3"/>
  <c r="M209" i="3"/>
  <c r="K209" i="3"/>
  <c r="I209" i="3"/>
  <c r="H209" i="3"/>
  <c r="M208" i="3"/>
  <c r="K208" i="3"/>
  <c r="I208" i="3"/>
  <c r="H208" i="3"/>
  <c r="M207" i="3"/>
  <c r="K207" i="3"/>
  <c r="I207" i="3"/>
  <c r="H207" i="3"/>
  <c r="M206" i="3"/>
  <c r="K206" i="3"/>
  <c r="I206" i="3"/>
  <c r="H206" i="3"/>
  <c r="M205" i="3"/>
  <c r="K205" i="3"/>
  <c r="I205" i="3"/>
  <c r="H205" i="3"/>
  <c r="M204" i="3"/>
  <c r="K204" i="3"/>
  <c r="I204" i="3"/>
  <c r="H204" i="3"/>
  <c r="M203" i="3"/>
  <c r="K203" i="3"/>
  <c r="I203" i="3"/>
  <c r="H203" i="3"/>
  <c r="M202" i="3"/>
  <c r="K202" i="3"/>
  <c r="I202" i="3"/>
  <c r="H202" i="3"/>
  <c r="M201" i="3"/>
  <c r="K201" i="3"/>
  <c r="I201" i="3"/>
  <c r="H201" i="3"/>
  <c r="M200" i="3"/>
  <c r="K200" i="3"/>
  <c r="I200" i="3"/>
  <c r="H200" i="3"/>
  <c r="M199" i="3"/>
  <c r="K199" i="3"/>
  <c r="I199" i="3"/>
  <c r="H199" i="3"/>
  <c r="M198" i="3"/>
  <c r="K198" i="3"/>
  <c r="I198" i="3"/>
  <c r="H198" i="3"/>
  <c r="M197" i="3"/>
  <c r="K197" i="3"/>
  <c r="I197" i="3"/>
  <c r="H197" i="3"/>
  <c r="M196" i="3"/>
  <c r="K196" i="3"/>
  <c r="I196" i="3"/>
  <c r="H196" i="3"/>
  <c r="M195" i="3"/>
  <c r="K195" i="3"/>
  <c r="I195" i="3"/>
  <c r="H195" i="3"/>
  <c r="M194" i="3"/>
  <c r="K194" i="3"/>
  <c r="I194" i="3"/>
  <c r="H194" i="3"/>
  <c r="M193" i="3"/>
  <c r="K193" i="3"/>
  <c r="I193" i="3"/>
  <c r="H193" i="3"/>
  <c r="M192" i="3"/>
  <c r="K192" i="3"/>
  <c r="I192" i="3"/>
  <c r="H192" i="3"/>
  <c r="M191" i="3"/>
  <c r="K191" i="3"/>
  <c r="I191" i="3"/>
  <c r="H191" i="3"/>
  <c r="M190" i="3"/>
  <c r="K190" i="3"/>
  <c r="I190" i="3"/>
  <c r="H190" i="3"/>
  <c r="M189" i="3"/>
  <c r="K189" i="3"/>
  <c r="I189" i="3"/>
  <c r="H189" i="3"/>
  <c r="M188" i="3"/>
  <c r="K188" i="3"/>
  <c r="I188" i="3"/>
  <c r="H188" i="3"/>
  <c r="M187" i="3"/>
  <c r="K187" i="3"/>
  <c r="I187" i="3"/>
  <c r="H187" i="3"/>
  <c r="M186" i="3"/>
  <c r="K186" i="3"/>
  <c r="I186" i="3"/>
  <c r="H186" i="3"/>
  <c r="M185" i="3"/>
  <c r="K185" i="3"/>
  <c r="I185" i="3"/>
  <c r="H185" i="3"/>
  <c r="M184" i="3"/>
  <c r="K184" i="3"/>
  <c r="I184" i="3"/>
  <c r="H184" i="3"/>
  <c r="M183" i="3"/>
  <c r="K183" i="3"/>
  <c r="I183" i="3"/>
  <c r="H183" i="3"/>
  <c r="M182" i="3"/>
  <c r="K182" i="3"/>
  <c r="I182" i="3"/>
  <c r="H182" i="3"/>
  <c r="M181" i="3"/>
  <c r="K181" i="3"/>
  <c r="I181" i="3"/>
  <c r="H181" i="3"/>
  <c r="M180" i="3"/>
  <c r="K180" i="3"/>
  <c r="I180" i="3"/>
  <c r="H180" i="3"/>
  <c r="M179" i="3"/>
  <c r="K179" i="3"/>
  <c r="I179" i="3"/>
  <c r="H179" i="3"/>
  <c r="M178" i="3"/>
  <c r="K178" i="3"/>
  <c r="I178" i="3"/>
  <c r="H178" i="3"/>
  <c r="M177" i="3"/>
  <c r="K177" i="3"/>
  <c r="I177" i="3"/>
  <c r="H177" i="3"/>
  <c r="M176" i="3"/>
  <c r="K176" i="3"/>
  <c r="I176" i="3"/>
  <c r="H176" i="3"/>
  <c r="M175" i="3"/>
  <c r="K175" i="3"/>
  <c r="I175" i="3"/>
  <c r="H175" i="3"/>
  <c r="M174" i="3"/>
  <c r="K174" i="3"/>
  <c r="I174" i="3"/>
  <c r="H174" i="3"/>
  <c r="M173" i="3"/>
  <c r="K173" i="3"/>
  <c r="I173" i="3"/>
  <c r="H173" i="3"/>
  <c r="M172" i="3"/>
  <c r="K172" i="3"/>
  <c r="I172" i="3"/>
  <c r="H172" i="3"/>
  <c r="M171" i="3"/>
  <c r="K171" i="3"/>
  <c r="I171" i="3"/>
  <c r="H171" i="3"/>
  <c r="M170" i="3"/>
  <c r="K170" i="3"/>
  <c r="I170" i="3"/>
  <c r="H170" i="3"/>
  <c r="M169" i="3"/>
  <c r="K169" i="3"/>
  <c r="I169" i="3"/>
  <c r="H169" i="3"/>
  <c r="M168" i="3"/>
  <c r="K168" i="3"/>
  <c r="I168" i="3"/>
  <c r="H168" i="3"/>
  <c r="M167" i="3"/>
  <c r="K167" i="3"/>
  <c r="I167" i="3"/>
  <c r="H167" i="3"/>
  <c r="M166" i="3"/>
  <c r="K166" i="3"/>
  <c r="I166" i="3"/>
  <c r="H166" i="3"/>
  <c r="M165" i="3"/>
  <c r="K165" i="3"/>
  <c r="I165" i="3"/>
  <c r="H165" i="3"/>
  <c r="M164" i="3"/>
  <c r="K164" i="3"/>
  <c r="I164" i="3"/>
  <c r="H164" i="3"/>
  <c r="M163" i="3"/>
  <c r="K163" i="3"/>
  <c r="I163" i="3"/>
  <c r="H163" i="3"/>
  <c r="M162" i="3"/>
  <c r="K162" i="3"/>
  <c r="I162" i="3"/>
  <c r="H162" i="3"/>
  <c r="M161" i="3"/>
  <c r="K161" i="3"/>
  <c r="I161" i="3"/>
  <c r="H161" i="3"/>
  <c r="M160" i="3"/>
  <c r="K160" i="3"/>
  <c r="I160" i="3"/>
  <c r="H160" i="3"/>
  <c r="M159" i="3"/>
  <c r="K159" i="3"/>
  <c r="I159" i="3"/>
  <c r="H159" i="3"/>
  <c r="M158" i="3"/>
  <c r="K158" i="3"/>
  <c r="I158" i="3"/>
  <c r="H158" i="3"/>
  <c r="M157" i="3"/>
  <c r="K157" i="3"/>
  <c r="I157" i="3"/>
  <c r="H157" i="3"/>
  <c r="M156" i="3"/>
  <c r="K156" i="3"/>
  <c r="I156" i="3"/>
  <c r="H156" i="3"/>
  <c r="M155" i="3"/>
  <c r="K155" i="3"/>
  <c r="I155" i="3"/>
  <c r="H155" i="3"/>
  <c r="M154" i="3"/>
  <c r="K154" i="3"/>
  <c r="I154" i="3"/>
  <c r="H154" i="3"/>
  <c r="M153" i="3"/>
  <c r="K153" i="3"/>
  <c r="I153" i="3"/>
  <c r="H153" i="3"/>
  <c r="M152" i="3"/>
  <c r="K152" i="3"/>
  <c r="I152" i="3"/>
  <c r="H152" i="3"/>
  <c r="M151" i="3"/>
  <c r="K151" i="3"/>
  <c r="I151" i="3"/>
  <c r="H151" i="3"/>
  <c r="M150" i="3"/>
  <c r="K150" i="3"/>
  <c r="I150" i="3"/>
  <c r="H150" i="3"/>
  <c r="M149" i="3"/>
  <c r="K149" i="3"/>
  <c r="I149" i="3"/>
  <c r="H149" i="3"/>
  <c r="M148" i="3"/>
  <c r="K148" i="3"/>
  <c r="I148" i="3"/>
  <c r="H148" i="3"/>
  <c r="M147" i="3"/>
  <c r="K147" i="3"/>
  <c r="I147" i="3"/>
  <c r="H147" i="3"/>
  <c r="M146" i="3"/>
  <c r="K146" i="3"/>
  <c r="I146" i="3"/>
  <c r="H146" i="3"/>
  <c r="M145" i="3"/>
  <c r="K145" i="3"/>
  <c r="I145" i="3"/>
  <c r="H145" i="3"/>
  <c r="M144" i="3"/>
  <c r="K144" i="3"/>
  <c r="I144" i="3"/>
  <c r="H144" i="3"/>
  <c r="M143" i="3"/>
  <c r="K143" i="3"/>
  <c r="I143" i="3"/>
  <c r="H143" i="3"/>
  <c r="M142" i="3"/>
  <c r="K142" i="3"/>
  <c r="I142" i="3"/>
  <c r="H142" i="3"/>
  <c r="M141" i="3"/>
  <c r="K141" i="3"/>
  <c r="I141" i="3"/>
  <c r="H141" i="3"/>
  <c r="M140" i="3"/>
  <c r="K140" i="3"/>
  <c r="I140" i="3"/>
  <c r="H140" i="3"/>
  <c r="M139" i="3"/>
  <c r="K139" i="3"/>
  <c r="I139" i="3"/>
  <c r="H139" i="3"/>
  <c r="M138" i="3"/>
  <c r="K138" i="3"/>
  <c r="I138" i="3"/>
  <c r="H138" i="3"/>
  <c r="M137" i="3"/>
  <c r="K137" i="3"/>
  <c r="I137" i="3"/>
  <c r="H137" i="3"/>
  <c r="M136" i="3"/>
  <c r="K136" i="3"/>
  <c r="I136" i="3"/>
  <c r="H136" i="3"/>
  <c r="M135" i="3"/>
  <c r="K135" i="3"/>
  <c r="I135" i="3"/>
  <c r="H135" i="3"/>
  <c r="M134" i="3"/>
  <c r="K134" i="3"/>
  <c r="I134" i="3"/>
  <c r="H134" i="3"/>
  <c r="M133" i="3"/>
  <c r="K133" i="3"/>
  <c r="I133" i="3"/>
  <c r="H133" i="3"/>
  <c r="M132" i="3"/>
  <c r="K132" i="3"/>
  <c r="I132" i="3"/>
  <c r="H132" i="3"/>
  <c r="M131" i="3"/>
  <c r="K131" i="3"/>
  <c r="I131" i="3"/>
  <c r="H131" i="3"/>
  <c r="M130" i="3"/>
  <c r="K130" i="3"/>
  <c r="I130" i="3"/>
  <c r="H130" i="3"/>
  <c r="M129" i="3"/>
  <c r="K129" i="3"/>
  <c r="I129" i="3"/>
  <c r="H129" i="3"/>
  <c r="M128" i="3"/>
  <c r="K128" i="3"/>
  <c r="I128" i="3"/>
  <c r="H128" i="3"/>
  <c r="M127" i="3"/>
  <c r="K127" i="3"/>
  <c r="I127" i="3"/>
  <c r="H127" i="3"/>
  <c r="M126" i="3"/>
  <c r="K126" i="3"/>
  <c r="I126" i="3"/>
  <c r="H126" i="3"/>
  <c r="M125" i="3"/>
  <c r="K125" i="3"/>
  <c r="I125" i="3"/>
  <c r="H125" i="3"/>
  <c r="M124" i="3"/>
  <c r="K124" i="3"/>
  <c r="I124" i="3"/>
  <c r="H124" i="3"/>
  <c r="M123" i="3"/>
  <c r="K123" i="3"/>
  <c r="I123" i="3"/>
  <c r="H123" i="3"/>
  <c r="M122" i="3"/>
  <c r="K122" i="3"/>
  <c r="I122" i="3"/>
  <c r="H122" i="3"/>
  <c r="M121" i="3"/>
  <c r="K121" i="3"/>
  <c r="I121" i="3"/>
  <c r="H121" i="3"/>
  <c r="M120" i="3"/>
  <c r="K120" i="3"/>
  <c r="I120" i="3"/>
  <c r="H120" i="3"/>
  <c r="M119" i="3"/>
  <c r="K119" i="3"/>
  <c r="I119" i="3"/>
  <c r="H119" i="3"/>
  <c r="M118" i="3"/>
  <c r="K118" i="3"/>
  <c r="I118" i="3"/>
  <c r="H118" i="3"/>
  <c r="M117" i="3"/>
  <c r="K117" i="3"/>
  <c r="I117" i="3"/>
  <c r="H117" i="3"/>
  <c r="M116" i="3"/>
  <c r="K116" i="3"/>
  <c r="I116" i="3"/>
  <c r="H116" i="3"/>
  <c r="M115" i="3"/>
  <c r="K115" i="3"/>
  <c r="I115" i="3"/>
  <c r="H115" i="3"/>
  <c r="M114" i="3"/>
  <c r="K114" i="3"/>
  <c r="I114" i="3"/>
  <c r="H114" i="3"/>
  <c r="M113" i="3"/>
  <c r="K113" i="3"/>
  <c r="I113" i="3"/>
  <c r="H113" i="3"/>
  <c r="M112" i="3"/>
  <c r="K112" i="3"/>
  <c r="I112" i="3"/>
  <c r="H112" i="3"/>
  <c r="M111" i="3"/>
  <c r="K111" i="3"/>
  <c r="I111" i="3"/>
  <c r="H111" i="3"/>
  <c r="M110" i="3"/>
  <c r="K110" i="3"/>
  <c r="I110" i="3"/>
  <c r="H110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O19" i="3"/>
  <c r="M19" i="3"/>
  <c r="Q16" i="3"/>
  <c r="Q19" i="3" s="1"/>
  <c r="O16" i="3"/>
  <c r="M16" i="3"/>
  <c r="S129" i="2"/>
  <c r="R129" i="2"/>
  <c r="Q129" i="2"/>
  <c r="G129" i="2"/>
  <c r="F129" i="2"/>
  <c r="E129" i="2"/>
  <c r="T121" i="2"/>
  <c r="S121" i="2"/>
  <c r="J121" i="2"/>
  <c r="G121" i="2"/>
  <c r="U118" i="2"/>
  <c r="U121" i="2" s="1"/>
  <c r="L118" i="2"/>
  <c r="L121" i="2" s="1"/>
  <c r="O104" i="2"/>
  <c r="L104" i="2"/>
  <c r="J104" i="2"/>
  <c r="H104" i="2"/>
  <c r="O103" i="2"/>
  <c r="L103" i="2"/>
  <c r="J103" i="2"/>
  <c r="H103" i="2"/>
  <c r="O102" i="2"/>
  <c r="L102" i="2"/>
  <c r="J102" i="2"/>
  <c r="H102" i="2"/>
  <c r="O101" i="2"/>
  <c r="L101" i="2"/>
  <c r="J101" i="2"/>
  <c r="H101" i="2"/>
  <c r="O100" i="2"/>
  <c r="L100" i="2"/>
  <c r="J100" i="2"/>
  <c r="H100" i="2"/>
  <c r="O99" i="2"/>
  <c r="L99" i="2"/>
  <c r="J99" i="2"/>
  <c r="H99" i="2"/>
  <c r="O98" i="2"/>
  <c r="L98" i="2"/>
  <c r="J98" i="2"/>
  <c r="H98" i="2"/>
  <c r="O97" i="2"/>
  <c r="L97" i="2"/>
  <c r="J97" i="2"/>
  <c r="H97" i="2"/>
  <c r="O96" i="2"/>
  <c r="L96" i="2"/>
  <c r="J96" i="2"/>
  <c r="H96" i="2"/>
  <c r="O95" i="2"/>
  <c r="L95" i="2"/>
  <c r="J95" i="2"/>
  <c r="H95" i="2"/>
  <c r="O94" i="2"/>
  <c r="L94" i="2"/>
  <c r="J94" i="2"/>
  <c r="H94" i="2"/>
  <c r="O93" i="2"/>
  <c r="L93" i="2"/>
  <c r="J93" i="2"/>
  <c r="H93" i="2"/>
  <c r="O92" i="2"/>
  <c r="L92" i="2"/>
  <c r="J92" i="2"/>
  <c r="H92" i="2"/>
  <c r="O91" i="2"/>
  <c r="L91" i="2"/>
  <c r="J91" i="2"/>
  <c r="H91" i="2"/>
  <c r="O90" i="2"/>
  <c r="L90" i="2"/>
  <c r="J90" i="2"/>
  <c r="H90" i="2"/>
  <c r="O89" i="2"/>
  <c r="L89" i="2"/>
  <c r="J89" i="2"/>
  <c r="H89" i="2"/>
  <c r="O88" i="2"/>
  <c r="L88" i="2"/>
  <c r="J88" i="2"/>
  <c r="H88" i="2"/>
  <c r="O87" i="2"/>
  <c r="L87" i="2"/>
  <c r="J87" i="2"/>
  <c r="H87" i="2"/>
  <c r="O86" i="2"/>
  <c r="L86" i="2"/>
  <c r="J86" i="2"/>
  <c r="H86" i="2"/>
  <c r="O85" i="2"/>
  <c r="L85" i="2"/>
  <c r="J85" i="2"/>
  <c r="H85" i="2"/>
  <c r="O84" i="2"/>
  <c r="L84" i="2"/>
  <c r="J84" i="2"/>
  <c r="H84" i="2"/>
  <c r="O83" i="2"/>
  <c r="L83" i="2"/>
  <c r="J83" i="2"/>
  <c r="H83" i="2"/>
  <c r="O82" i="2"/>
  <c r="L82" i="2"/>
  <c r="J82" i="2"/>
  <c r="H82" i="2"/>
  <c r="O81" i="2"/>
  <c r="L81" i="2"/>
  <c r="J81" i="2"/>
  <c r="H81" i="2"/>
  <c r="J74" i="2"/>
  <c r="H74" i="2"/>
  <c r="J73" i="2"/>
  <c r="H73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O32" i="2"/>
  <c r="M32" i="2"/>
  <c r="Q29" i="2"/>
  <c r="Q32" i="2" s="1"/>
  <c r="O29" i="2"/>
  <c r="M29" i="2"/>
  <c r="K550" i="1"/>
  <c r="I550" i="1"/>
  <c r="H550" i="1"/>
  <c r="K549" i="1"/>
  <c r="I549" i="1"/>
  <c r="H549" i="1"/>
  <c r="K548" i="1"/>
  <c r="I548" i="1"/>
  <c r="H548" i="1"/>
  <c r="K547" i="1"/>
  <c r="I547" i="1"/>
  <c r="H547" i="1"/>
  <c r="K546" i="1"/>
  <c r="I546" i="1"/>
  <c r="H546" i="1"/>
  <c r="K545" i="1"/>
  <c r="I545" i="1"/>
  <c r="H545" i="1"/>
  <c r="K544" i="1"/>
  <c r="I544" i="1"/>
  <c r="H544" i="1"/>
  <c r="K543" i="1"/>
  <c r="I543" i="1"/>
  <c r="H543" i="1"/>
  <c r="K542" i="1"/>
  <c r="I542" i="1"/>
  <c r="H542" i="1"/>
  <c r="K541" i="1"/>
  <c r="I541" i="1"/>
  <c r="H541" i="1"/>
  <c r="K540" i="1"/>
  <c r="I540" i="1"/>
  <c r="H540" i="1"/>
  <c r="K539" i="1"/>
  <c r="I539" i="1"/>
  <c r="H539" i="1"/>
  <c r="K537" i="1"/>
  <c r="I537" i="1"/>
  <c r="H537" i="1"/>
  <c r="K536" i="1"/>
  <c r="I536" i="1"/>
  <c r="H536" i="1"/>
  <c r="K535" i="1"/>
  <c r="I535" i="1"/>
  <c r="H535" i="1"/>
  <c r="K534" i="1"/>
  <c r="I534" i="1"/>
  <c r="H534" i="1"/>
  <c r="K533" i="1"/>
  <c r="I533" i="1"/>
  <c r="H533" i="1"/>
  <c r="K532" i="1"/>
  <c r="I532" i="1"/>
  <c r="H532" i="1"/>
  <c r="K531" i="1"/>
  <c r="I531" i="1"/>
  <c r="H531" i="1"/>
  <c r="K530" i="1"/>
  <c r="I530" i="1"/>
  <c r="H530" i="1"/>
  <c r="K529" i="1"/>
  <c r="I529" i="1"/>
  <c r="H529" i="1"/>
  <c r="K528" i="1"/>
  <c r="I528" i="1"/>
  <c r="H528" i="1"/>
  <c r="K527" i="1"/>
  <c r="I527" i="1"/>
  <c r="H527" i="1"/>
  <c r="K526" i="1"/>
  <c r="I526" i="1"/>
  <c r="H526" i="1"/>
  <c r="K525" i="1"/>
  <c r="I525" i="1"/>
  <c r="H525" i="1"/>
  <c r="K524" i="1"/>
  <c r="I524" i="1"/>
  <c r="H524" i="1"/>
  <c r="K523" i="1"/>
  <c r="I523" i="1"/>
  <c r="H523" i="1"/>
  <c r="K522" i="1"/>
  <c r="I522" i="1"/>
  <c r="H522" i="1"/>
  <c r="K521" i="1"/>
  <c r="I521" i="1"/>
  <c r="H521" i="1"/>
  <c r="K520" i="1"/>
  <c r="I520" i="1"/>
  <c r="H520" i="1"/>
  <c r="K519" i="1"/>
  <c r="I519" i="1"/>
  <c r="H519" i="1"/>
  <c r="K518" i="1"/>
  <c r="I518" i="1"/>
  <c r="H518" i="1"/>
  <c r="K517" i="1"/>
  <c r="I517" i="1"/>
  <c r="H517" i="1"/>
  <c r="K516" i="1"/>
  <c r="I516" i="1"/>
  <c r="H516" i="1"/>
  <c r="K515" i="1"/>
  <c r="I515" i="1"/>
  <c r="H515" i="1"/>
  <c r="K514" i="1"/>
  <c r="I514" i="1"/>
  <c r="H514" i="1"/>
  <c r="K513" i="1"/>
  <c r="I513" i="1"/>
  <c r="H513" i="1"/>
  <c r="K512" i="1"/>
  <c r="I512" i="1"/>
  <c r="H512" i="1"/>
  <c r="K511" i="1"/>
  <c r="I511" i="1"/>
  <c r="H511" i="1"/>
  <c r="K510" i="1"/>
  <c r="I510" i="1"/>
  <c r="H510" i="1"/>
  <c r="K509" i="1"/>
  <c r="I509" i="1"/>
  <c r="H509" i="1"/>
  <c r="K508" i="1"/>
  <c r="I508" i="1"/>
  <c r="H508" i="1"/>
  <c r="K507" i="1"/>
  <c r="I507" i="1"/>
  <c r="H507" i="1"/>
  <c r="K501" i="1"/>
  <c r="I501" i="1"/>
  <c r="H501" i="1"/>
  <c r="S500" i="1"/>
  <c r="R500" i="1"/>
  <c r="Q500" i="1"/>
  <c r="K500" i="1"/>
  <c r="I500" i="1"/>
  <c r="H500" i="1"/>
  <c r="K499" i="1"/>
  <c r="I499" i="1"/>
  <c r="H499" i="1"/>
  <c r="K498" i="1"/>
  <c r="I498" i="1"/>
  <c r="H498" i="1"/>
  <c r="K497" i="1"/>
  <c r="I497" i="1"/>
  <c r="H497" i="1"/>
  <c r="K496" i="1"/>
  <c r="I496" i="1"/>
  <c r="H496" i="1"/>
  <c r="K495" i="1"/>
  <c r="I495" i="1"/>
  <c r="H495" i="1"/>
  <c r="K494" i="1"/>
  <c r="I494" i="1"/>
  <c r="H494" i="1"/>
  <c r="K493" i="1"/>
  <c r="I493" i="1"/>
  <c r="H493" i="1"/>
  <c r="T492" i="1"/>
  <c r="S492" i="1"/>
  <c r="K492" i="1"/>
  <c r="I492" i="1"/>
  <c r="H492" i="1"/>
  <c r="K491" i="1"/>
  <c r="I491" i="1"/>
  <c r="H491" i="1"/>
  <c r="K490" i="1"/>
  <c r="I490" i="1"/>
  <c r="H490" i="1"/>
  <c r="U489" i="1"/>
  <c r="U492" i="1" s="1"/>
  <c r="L489" i="1"/>
  <c r="L492" i="1" s="1"/>
  <c r="K489" i="1"/>
  <c r="I489" i="1"/>
  <c r="H489" i="1"/>
  <c r="K488" i="1"/>
  <c r="I488" i="1"/>
  <c r="H488" i="1"/>
  <c r="K487" i="1"/>
  <c r="I487" i="1"/>
  <c r="H487" i="1"/>
  <c r="K486" i="1"/>
  <c r="I486" i="1"/>
  <c r="H486" i="1"/>
  <c r="K485" i="1"/>
  <c r="I485" i="1"/>
  <c r="H485" i="1"/>
  <c r="K484" i="1"/>
  <c r="I484" i="1"/>
  <c r="H484" i="1"/>
  <c r="K483" i="1"/>
  <c r="I483" i="1"/>
  <c r="H483" i="1"/>
  <c r="K482" i="1"/>
  <c r="I482" i="1"/>
  <c r="H482" i="1"/>
  <c r="K481" i="1"/>
  <c r="I481" i="1"/>
  <c r="H481" i="1"/>
  <c r="K480" i="1"/>
  <c r="I480" i="1"/>
  <c r="H480" i="1"/>
  <c r="K479" i="1"/>
  <c r="I479" i="1"/>
  <c r="H479" i="1"/>
  <c r="K478" i="1"/>
  <c r="I478" i="1"/>
  <c r="H478" i="1"/>
  <c r="K477" i="1"/>
  <c r="I477" i="1"/>
  <c r="H477" i="1"/>
  <c r="O475" i="1"/>
  <c r="M475" i="1"/>
  <c r="K475" i="1"/>
  <c r="I475" i="1"/>
  <c r="O474" i="1"/>
  <c r="M474" i="1"/>
  <c r="K474" i="1"/>
  <c r="I474" i="1"/>
  <c r="O473" i="1"/>
  <c r="M473" i="1"/>
  <c r="K473" i="1"/>
  <c r="I473" i="1"/>
  <c r="O472" i="1"/>
  <c r="M472" i="1"/>
  <c r="K472" i="1"/>
  <c r="I472" i="1"/>
  <c r="O471" i="1"/>
  <c r="M471" i="1"/>
  <c r="K471" i="1"/>
  <c r="I471" i="1"/>
  <c r="O470" i="1"/>
  <c r="M470" i="1"/>
  <c r="K470" i="1"/>
  <c r="I470" i="1"/>
  <c r="O469" i="1"/>
  <c r="M469" i="1"/>
  <c r="K469" i="1"/>
  <c r="I469" i="1"/>
  <c r="O468" i="1"/>
  <c r="M468" i="1"/>
  <c r="K468" i="1"/>
  <c r="I468" i="1"/>
  <c r="O467" i="1"/>
  <c r="M467" i="1"/>
  <c r="K467" i="1"/>
  <c r="I467" i="1"/>
  <c r="O466" i="1"/>
  <c r="M466" i="1"/>
  <c r="K466" i="1"/>
  <c r="I466" i="1"/>
  <c r="O465" i="1"/>
  <c r="M465" i="1"/>
  <c r="K465" i="1"/>
  <c r="I465" i="1"/>
  <c r="O464" i="1"/>
  <c r="M464" i="1"/>
  <c r="K464" i="1"/>
  <c r="I464" i="1"/>
  <c r="O463" i="1"/>
  <c r="M463" i="1"/>
  <c r="K463" i="1"/>
  <c r="I463" i="1"/>
  <c r="O462" i="1"/>
  <c r="M462" i="1"/>
  <c r="K462" i="1"/>
  <c r="I462" i="1"/>
  <c r="O461" i="1"/>
  <c r="M461" i="1"/>
  <c r="K461" i="1"/>
  <c r="I461" i="1"/>
  <c r="O460" i="1"/>
  <c r="M460" i="1"/>
  <c r="K460" i="1"/>
  <c r="I460" i="1"/>
  <c r="O459" i="1"/>
  <c r="M459" i="1"/>
  <c r="K459" i="1"/>
  <c r="I459" i="1"/>
  <c r="O458" i="1"/>
  <c r="M458" i="1"/>
  <c r="K458" i="1"/>
  <c r="I458" i="1"/>
  <c r="O457" i="1"/>
  <c r="M457" i="1"/>
  <c r="K457" i="1"/>
  <c r="I457" i="1"/>
  <c r="O456" i="1"/>
  <c r="M456" i="1"/>
  <c r="K456" i="1"/>
  <c r="I456" i="1"/>
  <c r="O455" i="1"/>
  <c r="M455" i="1"/>
  <c r="K455" i="1"/>
  <c r="I455" i="1"/>
  <c r="O454" i="1"/>
  <c r="M454" i="1"/>
  <c r="K454" i="1"/>
  <c r="I454" i="1"/>
  <c r="O453" i="1"/>
  <c r="M453" i="1"/>
  <c r="K453" i="1"/>
  <c r="I453" i="1"/>
  <c r="O452" i="1"/>
  <c r="M452" i="1"/>
  <c r="K452" i="1"/>
  <c r="I452" i="1"/>
  <c r="O451" i="1"/>
  <c r="M451" i="1"/>
  <c r="K451" i="1"/>
  <c r="I451" i="1"/>
  <c r="O450" i="1"/>
  <c r="M450" i="1"/>
  <c r="K450" i="1"/>
  <c r="I450" i="1"/>
  <c r="O449" i="1"/>
  <c r="M449" i="1"/>
  <c r="K449" i="1"/>
  <c r="I449" i="1"/>
  <c r="O448" i="1"/>
  <c r="M448" i="1"/>
  <c r="K448" i="1"/>
  <c r="I448" i="1"/>
  <c r="O447" i="1"/>
  <c r="M447" i="1"/>
  <c r="K447" i="1"/>
  <c r="I447" i="1"/>
  <c r="O446" i="1"/>
  <c r="M446" i="1"/>
  <c r="K446" i="1"/>
  <c r="I446" i="1"/>
  <c r="O445" i="1"/>
  <c r="M445" i="1"/>
  <c r="K445" i="1"/>
  <c r="I445" i="1"/>
  <c r="O444" i="1"/>
  <c r="M444" i="1"/>
  <c r="K444" i="1"/>
  <c r="I444" i="1"/>
  <c r="O443" i="1"/>
  <c r="M443" i="1"/>
  <c r="K443" i="1"/>
  <c r="I443" i="1"/>
  <c r="O442" i="1"/>
  <c r="M442" i="1"/>
  <c r="K442" i="1"/>
  <c r="I442" i="1"/>
  <c r="O441" i="1"/>
  <c r="M441" i="1"/>
  <c r="K441" i="1"/>
  <c r="I441" i="1"/>
  <c r="O440" i="1"/>
  <c r="M440" i="1"/>
  <c r="K440" i="1"/>
  <c r="I440" i="1"/>
  <c r="O439" i="1"/>
  <c r="M439" i="1"/>
  <c r="K439" i="1"/>
  <c r="I439" i="1"/>
  <c r="O438" i="1"/>
  <c r="M438" i="1"/>
  <c r="K438" i="1"/>
  <c r="I438" i="1"/>
  <c r="O437" i="1"/>
  <c r="M437" i="1"/>
  <c r="K437" i="1"/>
  <c r="I437" i="1"/>
  <c r="O436" i="1"/>
  <c r="M436" i="1"/>
  <c r="K436" i="1"/>
  <c r="I436" i="1"/>
  <c r="O435" i="1"/>
  <c r="M435" i="1"/>
  <c r="K435" i="1"/>
  <c r="I435" i="1"/>
  <c r="O434" i="1"/>
  <c r="M434" i="1"/>
  <c r="K434" i="1"/>
  <c r="I434" i="1"/>
  <c r="O433" i="1"/>
  <c r="M433" i="1"/>
  <c r="K433" i="1"/>
  <c r="I433" i="1"/>
  <c r="O432" i="1"/>
  <c r="M432" i="1"/>
  <c r="K432" i="1"/>
  <c r="I432" i="1"/>
  <c r="O431" i="1"/>
  <c r="M431" i="1"/>
  <c r="K431" i="1"/>
  <c r="I431" i="1"/>
  <c r="O430" i="1"/>
  <c r="M430" i="1"/>
  <c r="K430" i="1"/>
  <c r="I430" i="1"/>
  <c r="O429" i="1"/>
  <c r="M429" i="1"/>
  <c r="K429" i="1"/>
  <c r="I429" i="1"/>
  <c r="O428" i="1"/>
  <c r="M428" i="1"/>
  <c r="K428" i="1"/>
  <c r="I428" i="1"/>
  <c r="O427" i="1"/>
  <c r="M427" i="1"/>
  <c r="K427" i="1"/>
  <c r="I427" i="1"/>
  <c r="O426" i="1"/>
  <c r="M426" i="1"/>
  <c r="K426" i="1"/>
  <c r="I426" i="1"/>
  <c r="O425" i="1"/>
  <c r="M425" i="1"/>
  <c r="K425" i="1"/>
  <c r="I425" i="1"/>
  <c r="O424" i="1"/>
  <c r="M424" i="1"/>
  <c r="K424" i="1"/>
  <c r="I424" i="1"/>
  <c r="O423" i="1"/>
  <c r="M423" i="1"/>
  <c r="K423" i="1"/>
  <c r="I423" i="1"/>
  <c r="O422" i="1"/>
  <c r="M422" i="1"/>
  <c r="K422" i="1"/>
  <c r="I422" i="1"/>
  <c r="O421" i="1"/>
  <c r="M421" i="1"/>
  <c r="K421" i="1"/>
  <c r="I421" i="1"/>
  <c r="O420" i="1"/>
  <c r="M420" i="1"/>
  <c r="K420" i="1"/>
  <c r="I420" i="1"/>
  <c r="O419" i="1"/>
  <c r="M419" i="1"/>
  <c r="K419" i="1"/>
  <c r="I419" i="1"/>
  <c r="O418" i="1"/>
  <c r="M418" i="1"/>
  <c r="K418" i="1"/>
  <c r="I418" i="1"/>
  <c r="O417" i="1"/>
  <c r="M417" i="1"/>
  <c r="K417" i="1"/>
  <c r="I417" i="1"/>
  <c r="O416" i="1"/>
  <c r="M416" i="1"/>
  <c r="K416" i="1"/>
  <c r="I416" i="1"/>
  <c r="O415" i="1"/>
  <c r="M415" i="1"/>
  <c r="K415" i="1"/>
  <c r="I415" i="1"/>
  <c r="O414" i="1"/>
  <c r="M414" i="1"/>
  <c r="K414" i="1"/>
  <c r="I414" i="1"/>
  <c r="O413" i="1"/>
  <c r="M413" i="1"/>
  <c r="K413" i="1"/>
  <c r="I413" i="1"/>
  <c r="O412" i="1"/>
  <c r="M412" i="1"/>
  <c r="K412" i="1"/>
  <c r="I412" i="1"/>
  <c r="O411" i="1"/>
  <c r="M411" i="1"/>
  <c r="K411" i="1"/>
  <c r="I411" i="1"/>
  <c r="O410" i="1"/>
  <c r="M410" i="1"/>
  <c r="K410" i="1"/>
  <c r="I410" i="1"/>
  <c r="O409" i="1"/>
  <c r="M409" i="1"/>
  <c r="K409" i="1"/>
  <c r="I409" i="1"/>
  <c r="O408" i="1"/>
  <c r="M408" i="1"/>
  <c r="K408" i="1"/>
  <c r="I408" i="1"/>
  <c r="O407" i="1"/>
  <c r="M407" i="1"/>
  <c r="K407" i="1"/>
  <c r="I407" i="1"/>
  <c r="O406" i="1"/>
  <c r="M406" i="1"/>
  <c r="K406" i="1"/>
  <c r="I406" i="1"/>
  <c r="O405" i="1"/>
  <c r="M405" i="1"/>
  <c r="K405" i="1"/>
  <c r="I405" i="1"/>
  <c r="O404" i="1"/>
  <c r="M404" i="1"/>
  <c r="K404" i="1"/>
  <c r="I404" i="1"/>
  <c r="O403" i="1"/>
  <c r="M403" i="1"/>
  <c r="K403" i="1"/>
  <c r="I403" i="1"/>
  <c r="O402" i="1"/>
  <c r="M402" i="1"/>
  <c r="K402" i="1"/>
  <c r="I402" i="1"/>
  <c r="O401" i="1"/>
  <c r="M401" i="1"/>
  <c r="K401" i="1"/>
  <c r="I401" i="1"/>
  <c r="O400" i="1"/>
  <c r="M400" i="1"/>
  <c r="K400" i="1"/>
  <c r="I400" i="1"/>
  <c r="O399" i="1"/>
  <c r="M399" i="1"/>
  <c r="K399" i="1"/>
  <c r="I399" i="1"/>
  <c r="O398" i="1"/>
  <c r="M398" i="1"/>
  <c r="K398" i="1"/>
  <c r="I398" i="1"/>
  <c r="O397" i="1"/>
  <c r="M397" i="1"/>
  <c r="K397" i="1"/>
  <c r="I397" i="1"/>
  <c r="O396" i="1"/>
  <c r="M396" i="1"/>
  <c r="K396" i="1"/>
  <c r="I396" i="1"/>
  <c r="O395" i="1"/>
  <c r="M395" i="1"/>
  <c r="K395" i="1"/>
  <c r="I395" i="1"/>
  <c r="O394" i="1"/>
  <c r="M394" i="1"/>
  <c r="K394" i="1"/>
  <c r="I394" i="1"/>
  <c r="O393" i="1"/>
  <c r="M393" i="1"/>
  <c r="K393" i="1"/>
  <c r="I393" i="1"/>
  <c r="O392" i="1"/>
  <c r="M392" i="1"/>
  <c r="K392" i="1"/>
  <c r="I392" i="1"/>
  <c r="O391" i="1"/>
  <c r="M391" i="1"/>
  <c r="K391" i="1"/>
  <c r="I391" i="1"/>
  <c r="O390" i="1"/>
  <c r="M390" i="1"/>
  <c r="K390" i="1"/>
  <c r="I390" i="1"/>
  <c r="O389" i="1"/>
  <c r="M389" i="1"/>
  <c r="K389" i="1"/>
  <c r="I389" i="1"/>
  <c r="O388" i="1"/>
  <c r="M388" i="1"/>
  <c r="K388" i="1"/>
  <c r="I388" i="1"/>
  <c r="O387" i="1"/>
  <c r="M387" i="1"/>
  <c r="K387" i="1"/>
  <c r="I387" i="1"/>
  <c r="O386" i="1"/>
  <c r="M386" i="1"/>
  <c r="K386" i="1"/>
  <c r="I386" i="1"/>
  <c r="O385" i="1"/>
  <c r="M385" i="1"/>
  <c r="K385" i="1"/>
  <c r="I385" i="1"/>
  <c r="O384" i="1"/>
  <c r="M384" i="1"/>
  <c r="K384" i="1"/>
  <c r="I384" i="1"/>
  <c r="O383" i="1"/>
  <c r="M383" i="1"/>
  <c r="K383" i="1"/>
  <c r="I383" i="1"/>
  <c r="O382" i="1"/>
  <c r="M382" i="1"/>
  <c r="K382" i="1"/>
  <c r="I382" i="1"/>
  <c r="O381" i="1"/>
  <c r="M381" i="1"/>
  <c r="K381" i="1"/>
  <c r="I381" i="1"/>
  <c r="O380" i="1"/>
  <c r="M380" i="1"/>
  <c r="K380" i="1"/>
  <c r="I380" i="1"/>
  <c r="O379" i="1"/>
  <c r="M379" i="1"/>
  <c r="K379" i="1"/>
  <c r="I379" i="1"/>
  <c r="O378" i="1"/>
  <c r="M378" i="1"/>
  <c r="K378" i="1"/>
  <c r="I378" i="1"/>
  <c r="O377" i="1"/>
  <c r="M377" i="1"/>
  <c r="K377" i="1"/>
  <c r="I377" i="1"/>
  <c r="O376" i="1"/>
  <c r="M376" i="1"/>
  <c r="K376" i="1"/>
  <c r="I376" i="1"/>
  <c r="O375" i="1"/>
  <c r="M375" i="1"/>
  <c r="K375" i="1"/>
  <c r="I375" i="1"/>
  <c r="O374" i="1"/>
  <c r="M374" i="1"/>
  <c r="K374" i="1"/>
  <c r="I374" i="1"/>
  <c r="O373" i="1"/>
  <c r="M373" i="1"/>
  <c r="K373" i="1"/>
  <c r="I373" i="1"/>
  <c r="O372" i="1"/>
  <c r="M372" i="1"/>
  <c r="K372" i="1"/>
  <c r="I372" i="1"/>
  <c r="O371" i="1"/>
  <c r="M371" i="1"/>
  <c r="K371" i="1"/>
  <c r="I371" i="1"/>
  <c r="O370" i="1"/>
  <c r="M370" i="1"/>
  <c r="K370" i="1"/>
  <c r="I370" i="1"/>
  <c r="O369" i="1"/>
  <c r="M369" i="1"/>
  <c r="K369" i="1"/>
  <c r="I369" i="1"/>
  <c r="O368" i="1"/>
  <c r="M368" i="1"/>
  <c r="K368" i="1"/>
  <c r="I368" i="1"/>
  <c r="O367" i="1"/>
  <c r="M367" i="1"/>
  <c r="K367" i="1"/>
  <c r="I367" i="1"/>
  <c r="O366" i="1"/>
  <c r="M366" i="1"/>
  <c r="K366" i="1"/>
  <c r="I366" i="1"/>
  <c r="O365" i="1"/>
  <c r="M365" i="1"/>
  <c r="K365" i="1"/>
  <c r="I365" i="1"/>
  <c r="O364" i="1"/>
  <c r="M364" i="1"/>
  <c r="K364" i="1"/>
  <c r="I364" i="1"/>
  <c r="O363" i="1"/>
  <c r="M363" i="1"/>
  <c r="K363" i="1"/>
  <c r="I363" i="1"/>
  <c r="O362" i="1"/>
  <c r="M362" i="1"/>
  <c r="K362" i="1"/>
  <c r="I362" i="1"/>
  <c r="O361" i="1"/>
  <c r="M361" i="1"/>
  <c r="K361" i="1"/>
  <c r="I361" i="1"/>
  <c r="O360" i="1"/>
  <c r="M360" i="1"/>
  <c r="K360" i="1"/>
  <c r="I360" i="1"/>
  <c r="O359" i="1"/>
  <c r="M359" i="1"/>
  <c r="K359" i="1"/>
  <c r="I359" i="1"/>
  <c r="O358" i="1"/>
  <c r="M358" i="1"/>
  <c r="K358" i="1"/>
  <c r="I358" i="1"/>
  <c r="O357" i="1"/>
  <c r="M357" i="1"/>
  <c r="K357" i="1"/>
  <c r="I357" i="1"/>
  <c r="O356" i="1"/>
  <c r="M356" i="1"/>
  <c r="K356" i="1"/>
  <c r="I356" i="1"/>
  <c r="O355" i="1"/>
  <c r="M355" i="1"/>
  <c r="K355" i="1"/>
  <c r="I355" i="1"/>
  <c r="O354" i="1"/>
  <c r="M354" i="1"/>
  <c r="K354" i="1"/>
  <c r="I354" i="1"/>
  <c r="O353" i="1"/>
  <c r="M353" i="1"/>
  <c r="K353" i="1"/>
  <c r="I353" i="1"/>
  <c r="O352" i="1"/>
  <c r="M352" i="1"/>
  <c r="K352" i="1"/>
  <c r="I352" i="1"/>
  <c r="O351" i="1"/>
  <c r="M351" i="1"/>
  <c r="K351" i="1"/>
  <c r="I351" i="1"/>
  <c r="O350" i="1"/>
  <c r="M350" i="1"/>
  <c r="K350" i="1"/>
  <c r="I350" i="1"/>
  <c r="O349" i="1"/>
  <c r="M349" i="1"/>
  <c r="K349" i="1"/>
  <c r="I349" i="1"/>
  <c r="O348" i="1"/>
  <c r="M348" i="1"/>
  <c r="K348" i="1"/>
  <c r="I348" i="1"/>
  <c r="O347" i="1"/>
  <c r="M347" i="1"/>
  <c r="K347" i="1"/>
  <c r="I347" i="1"/>
  <c r="O346" i="1"/>
  <c r="M346" i="1"/>
  <c r="K346" i="1"/>
  <c r="I346" i="1"/>
  <c r="O345" i="1"/>
  <c r="M345" i="1"/>
  <c r="K345" i="1"/>
  <c r="I345" i="1"/>
  <c r="O344" i="1"/>
  <c r="M344" i="1"/>
  <c r="K344" i="1"/>
  <c r="I344" i="1"/>
  <c r="O343" i="1"/>
  <c r="M343" i="1"/>
  <c r="K343" i="1"/>
  <c r="I343" i="1"/>
  <c r="O342" i="1"/>
  <c r="M342" i="1"/>
  <c r="K342" i="1"/>
  <c r="I342" i="1"/>
  <c r="O341" i="1"/>
  <c r="M341" i="1"/>
  <c r="K341" i="1"/>
  <c r="I341" i="1"/>
  <c r="O340" i="1"/>
  <c r="M340" i="1"/>
  <c r="K340" i="1"/>
  <c r="I340" i="1"/>
  <c r="O339" i="1"/>
  <c r="M339" i="1"/>
  <c r="K339" i="1"/>
  <c r="I339" i="1"/>
  <c r="O338" i="1"/>
  <c r="M338" i="1"/>
  <c r="K338" i="1"/>
  <c r="I338" i="1"/>
  <c r="O337" i="1"/>
  <c r="M337" i="1"/>
  <c r="K337" i="1"/>
  <c r="I337" i="1"/>
  <c r="O336" i="1"/>
  <c r="M336" i="1"/>
  <c r="K336" i="1"/>
  <c r="I336" i="1"/>
  <c r="O335" i="1"/>
  <c r="M335" i="1"/>
  <c r="K335" i="1"/>
  <c r="I335" i="1"/>
  <c r="O334" i="1"/>
  <c r="M334" i="1"/>
  <c r="K334" i="1"/>
  <c r="I334" i="1"/>
  <c r="O333" i="1"/>
  <c r="M333" i="1"/>
  <c r="K333" i="1"/>
  <c r="I333" i="1"/>
  <c r="O332" i="1"/>
  <c r="M332" i="1"/>
  <c r="K332" i="1"/>
  <c r="I332" i="1"/>
  <c r="O331" i="1"/>
  <c r="M331" i="1"/>
  <c r="K331" i="1"/>
  <c r="I331" i="1"/>
  <c r="O330" i="1"/>
  <c r="M330" i="1"/>
  <c r="K330" i="1"/>
  <c r="I330" i="1"/>
  <c r="O329" i="1"/>
  <c r="M329" i="1"/>
  <c r="K329" i="1"/>
  <c r="I329" i="1"/>
  <c r="O328" i="1"/>
  <c r="M328" i="1"/>
  <c r="K328" i="1"/>
  <c r="I328" i="1"/>
  <c r="O327" i="1"/>
  <c r="M327" i="1"/>
  <c r="K327" i="1"/>
  <c r="I327" i="1"/>
  <c r="O326" i="1"/>
  <c r="M326" i="1"/>
  <c r="K326" i="1"/>
  <c r="I326" i="1"/>
  <c r="O325" i="1"/>
  <c r="M325" i="1"/>
  <c r="K325" i="1"/>
  <c r="I325" i="1"/>
  <c r="O324" i="1"/>
  <c r="M324" i="1"/>
  <c r="K324" i="1"/>
  <c r="I324" i="1"/>
  <c r="O323" i="1"/>
  <c r="M323" i="1"/>
  <c r="K323" i="1"/>
  <c r="I323" i="1"/>
  <c r="O322" i="1"/>
  <c r="M322" i="1"/>
  <c r="K322" i="1"/>
  <c r="I322" i="1"/>
  <c r="O321" i="1"/>
  <c r="M321" i="1"/>
  <c r="K321" i="1"/>
  <c r="I321" i="1"/>
  <c r="O320" i="1"/>
  <c r="M320" i="1"/>
  <c r="K320" i="1"/>
  <c r="I320" i="1"/>
  <c r="O319" i="1"/>
  <c r="M319" i="1"/>
  <c r="K319" i="1"/>
  <c r="I319" i="1"/>
  <c r="O318" i="1"/>
  <c r="M318" i="1"/>
  <c r="K318" i="1"/>
  <c r="I318" i="1"/>
  <c r="O317" i="1"/>
  <c r="M317" i="1"/>
  <c r="K317" i="1"/>
  <c r="I317" i="1"/>
  <c r="O316" i="1"/>
  <c r="M316" i="1"/>
  <c r="K316" i="1"/>
  <c r="I316" i="1"/>
  <c r="O315" i="1"/>
  <c r="M315" i="1"/>
  <c r="K315" i="1"/>
  <c r="I315" i="1"/>
  <c r="O314" i="1"/>
  <c r="M314" i="1"/>
  <c r="K314" i="1"/>
  <c r="I314" i="1"/>
  <c r="O313" i="1"/>
  <c r="M313" i="1"/>
  <c r="K313" i="1"/>
  <c r="I313" i="1"/>
  <c r="O312" i="1"/>
  <c r="M312" i="1"/>
  <c r="K312" i="1"/>
  <c r="I312" i="1"/>
  <c r="O311" i="1"/>
  <c r="M311" i="1"/>
  <c r="K311" i="1"/>
  <c r="I311" i="1"/>
  <c r="O310" i="1"/>
  <c r="M310" i="1"/>
  <c r="K310" i="1"/>
  <c r="I310" i="1"/>
  <c r="O309" i="1"/>
  <c r="M309" i="1"/>
  <c r="K309" i="1"/>
  <c r="I309" i="1"/>
  <c r="O308" i="1"/>
  <c r="M308" i="1"/>
  <c r="K308" i="1"/>
  <c r="I308" i="1"/>
  <c r="O307" i="1"/>
  <c r="M307" i="1"/>
  <c r="K307" i="1"/>
  <c r="I307" i="1"/>
  <c r="O306" i="1"/>
  <c r="M306" i="1"/>
  <c r="K306" i="1"/>
  <c r="I306" i="1"/>
  <c r="O305" i="1"/>
  <c r="M305" i="1"/>
  <c r="K305" i="1"/>
  <c r="I305" i="1"/>
  <c r="O304" i="1"/>
  <c r="M304" i="1"/>
  <c r="K304" i="1"/>
  <c r="I304" i="1"/>
  <c r="O303" i="1"/>
  <c r="M303" i="1"/>
  <c r="K303" i="1"/>
  <c r="I303" i="1"/>
  <c r="O302" i="1"/>
  <c r="M302" i="1"/>
  <c r="K302" i="1"/>
  <c r="I302" i="1"/>
  <c r="O301" i="1"/>
  <c r="M301" i="1"/>
  <c r="K301" i="1"/>
  <c r="I301" i="1"/>
  <c r="O300" i="1"/>
  <c r="M300" i="1"/>
  <c r="K300" i="1"/>
  <c r="I300" i="1"/>
  <c r="O299" i="1"/>
  <c r="M299" i="1"/>
  <c r="K299" i="1"/>
  <c r="I299" i="1"/>
  <c r="O298" i="1"/>
  <c r="M298" i="1"/>
  <c r="K298" i="1"/>
  <c r="I298" i="1"/>
  <c r="O297" i="1"/>
  <c r="M297" i="1"/>
  <c r="K297" i="1"/>
  <c r="I297" i="1"/>
  <c r="O296" i="1"/>
  <c r="M296" i="1"/>
  <c r="K296" i="1"/>
  <c r="I296" i="1"/>
  <c r="O295" i="1"/>
  <c r="M295" i="1"/>
  <c r="K295" i="1"/>
  <c r="I295" i="1"/>
  <c r="O294" i="1"/>
  <c r="M294" i="1"/>
  <c r="K294" i="1"/>
  <c r="I294" i="1"/>
  <c r="O293" i="1"/>
  <c r="M293" i="1"/>
  <c r="K293" i="1"/>
  <c r="I293" i="1"/>
  <c r="O292" i="1"/>
  <c r="M292" i="1"/>
  <c r="K292" i="1"/>
  <c r="I292" i="1"/>
  <c r="O291" i="1"/>
  <c r="M291" i="1"/>
  <c r="K291" i="1"/>
  <c r="I291" i="1"/>
  <c r="O290" i="1"/>
  <c r="M290" i="1"/>
  <c r="K290" i="1"/>
  <c r="I290" i="1"/>
  <c r="O289" i="1"/>
  <c r="M289" i="1"/>
  <c r="K289" i="1"/>
  <c r="I289" i="1"/>
  <c r="O288" i="1"/>
  <c r="M288" i="1"/>
  <c r="K288" i="1"/>
  <c r="I288" i="1"/>
  <c r="O287" i="1"/>
  <c r="M287" i="1"/>
  <c r="K287" i="1"/>
  <c r="I287" i="1"/>
  <c r="O286" i="1"/>
  <c r="M286" i="1"/>
  <c r="K286" i="1"/>
  <c r="I286" i="1"/>
  <c r="O285" i="1"/>
  <c r="M285" i="1"/>
  <c r="K285" i="1"/>
  <c r="I285" i="1"/>
  <c r="O284" i="1"/>
  <c r="M284" i="1"/>
  <c r="K284" i="1"/>
  <c r="I284" i="1"/>
  <c r="O283" i="1"/>
  <c r="M283" i="1"/>
  <c r="K283" i="1"/>
  <c r="I283" i="1"/>
  <c r="O282" i="1"/>
  <c r="M282" i="1"/>
  <c r="K282" i="1"/>
  <c r="I282" i="1"/>
  <c r="O281" i="1"/>
  <c r="M281" i="1"/>
  <c r="K281" i="1"/>
  <c r="I281" i="1"/>
  <c r="O280" i="1"/>
  <c r="M280" i="1"/>
  <c r="K280" i="1"/>
  <c r="I280" i="1"/>
  <c r="O279" i="1"/>
  <c r="M279" i="1"/>
  <c r="K279" i="1"/>
  <c r="I279" i="1"/>
  <c r="O278" i="1"/>
  <c r="M278" i="1"/>
  <c r="K278" i="1"/>
  <c r="I278" i="1"/>
  <c r="O277" i="1"/>
  <c r="M277" i="1"/>
  <c r="K277" i="1"/>
  <c r="I277" i="1"/>
  <c r="O276" i="1"/>
  <c r="M276" i="1"/>
  <c r="K276" i="1"/>
  <c r="I276" i="1"/>
  <c r="O275" i="1"/>
  <c r="M275" i="1"/>
  <c r="K275" i="1"/>
  <c r="I275" i="1"/>
  <c r="O274" i="1"/>
  <c r="M274" i="1"/>
  <c r="K274" i="1"/>
  <c r="I274" i="1"/>
  <c r="O273" i="1"/>
  <c r="M273" i="1"/>
  <c r="K273" i="1"/>
  <c r="I273" i="1"/>
  <c r="O272" i="1"/>
  <c r="M272" i="1"/>
  <c r="K272" i="1"/>
  <c r="I272" i="1"/>
  <c r="O271" i="1"/>
  <c r="M271" i="1"/>
  <c r="K271" i="1"/>
  <c r="I271" i="1"/>
  <c r="O270" i="1"/>
  <c r="M270" i="1"/>
  <c r="K270" i="1"/>
  <c r="I270" i="1"/>
  <c r="O269" i="1"/>
  <c r="M269" i="1"/>
  <c r="K269" i="1"/>
  <c r="I269" i="1"/>
  <c r="O268" i="1"/>
  <c r="M268" i="1"/>
  <c r="K268" i="1"/>
  <c r="I268" i="1"/>
  <c r="O267" i="1"/>
  <c r="M267" i="1"/>
  <c r="K267" i="1"/>
  <c r="I267" i="1"/>
  <c r="O266" i="1"/>
  <c r="M266" i="1"/>
  <c r="K266" i="1"/>
  <c r="I266" i="1"/>
  <c r="O265" i="1"/>
  <c r="M265" i="1"/>
  <c r="K265" i="1"/>
  <c r="I265" i="1"/>
  <c r="O264" i="1"/>
  <c r="M264" i="1"/>
  <c r="K264" i="1"/>
  <c r="I264" i="1"/>
  <c r="O263" i="1"/>
  <c r="M263" i="1"/>
  <c r="K263" i="1"/>
  <c r="I263" i="1"/>
  <c r="O262" i="1"/>
  <c r="M262" i="1"/>
  <c r="K262" i="1"/>
  <c r="I262" i="1"/>
  <c r="O261" i="1"/>
  <c r="M261" i="1"/>
  <c r="K261" i="1"/>
  <c r="I261" i="1"/>
  <c r="O260" i="1"/>
  <c r="M260" i="1"/>
  <c r="K260" i="1"/>
  <c r="I260" i="1"/>
  <c r="O259" i="1"/>
  <c r="M259" i="1"/>
  <c r="K259" i="1"/>
  <c r="I259" i="1"/>
  <c r="O258" i="1"/>
  <c r="M258" i="1"/>
  <c r="K258" i="1"/>
  <c r="I258" i="1"/>
  <c r="O257" i="1"/>
  <c r="M257" i="1"/>
  <c r="K257" i="1"/>
  <c r="I257" i="1"/>
  <c r="O256" i="1"/>
  <c r="M256" i="1"/>
  <c r="K256" i="1"/>
  <c r="I256" i="1"/>
  <c r="O255" i="1"/>
  <c r="M255" i="1"/>
  <c r="K255" i="1"/>
  <c r="I255" i="1"/>
  <c r="O254" i="1"/>
  <c r="M254" i="1"/>
  <c r="K254" i="1"/>
  <c r="I254" i="1"/>
  <c r="O253" i="1"/>
  <c r="M253" i="1"/>
  <c r="K253" i="1"/>
  <c r="I253" i="1"/>
  <c r="O252" i="1"/>
  <c r="M252" i="1"/>
  <c r="K252" i="1"/>
  <c r="I252" i="1"/>
  <c r="O251" i="1"/>
  <c r="M251" i="1"/>
  <c r="K251" i="1"/>
  <c r="I251" i="1"/>
  <c r="O250" i="1"/>
  <c r="M250" i="1"/>
  <c r="K250" i="1"/>
  <c r="I250" i="1"/>
  <c r="O249" i="1"/>
  <c r="M249" i="1"/>
  <c r="K249" i="1"/>
  <c r="I249" i="1"/>
  <c r="O248" i="1"/>
  <c r="M248" i="1"/>
  <c r="K248" i="1"/>
  <c r="I248" i="1"/>
  <c r="O247" i="1"/>
  <c r="M247" i="1"/>
  <c r="K247" i="1"/>
  <c r="I247" i="1"/>
  <c r="O246" i="1"/>
  <c r="M246" i="1"/>
  <c r="K246" i="1"/>
  <c r="I246" i="1"/>
  <c r="O245" i="1"/>
  <c r="M245" i="1"/>
  <c r="K245" i="1"/>
  <c r="I245" i="1"/>
  <c r="O244" i="1"/>
  <c r="M244" i="1"/>
  <c r="K244" i="1"/>
  <c r="I244" i="1"/>
  <c r="O243" i="1"/>
  <c r="M243" i="1"/>
  <c r="K243" i="1"/>
  <c r="I243" i="1"/>
  <c r="O242" i="1"/>
  <c r="M242" i="1"/>
  <c r="K242" i="1"/>
  <c r="I242" i="1"/>
  <c r="O241" i="1"/>
  <c r="M241" i="1"/>
  <c r="K241" i="1"/>
  <c r="I241" i="1"/>
  <c r="O240" i="1"/>
  <c r="M240" i="1"/>
  <c r="K240" i="1"/>
  <c r="I240" i="1"/>
  <c r="O239" i="1"/>
  <c r="M239" i="1"/>
  <c r="K239" i="1"/>
  <c r="I239" i="1"/>
  <c r="O238" i="1"/>
  <c r="M238" i="1"/>
  <c r="K238" i="1"/>
  <c r="I238" i="1"/>
  <c r="O237" i="1"/>
  <c r="M237" i="1"/>
  <c r="K237" i="1"/>
  <c r="I237" i="1"/>
  <c r="O236" i="1"/>
  <c r="M236" i="1"/>
  <c r="K236" i="1"/>
  <c r="I236" i="1"/>
  <c r="O235" i="1"/>
  <c r="M235" i="1"/>
  <c r="K235" i="1"/>
  <c r="I235" i="1"/>
  <c r="O234" i="1"/>
  <c r="M234" i="1"/>
  <c r="K234" i="1"/>
  <c r="I234" i="1"/>
  <c r="O233" i="1"/>
  <c r="M233" i="1"/>
  <c r="K233" i="1"/>
  <c r="I233" i="1"/>
  <c r="O232" i="1"/>
  <c r="M232" i="1"/>
  <c r="K232" i="1"/>
  <c r="I232" i="1"/>
  <c r="O231" i="1"/>
  <c r="M231" i="1"/>
  <c r="K231" i="1"/>
  <c r="I231" i="1"/>
  <c r="O230" i="1"/>
  <c r="M230" i="1"/>
  <c r="K230" i="1"/>
  <c r="I230" i="1"/>
  <c r="O229" i="1"/>
  <c r="M229" i="1"/>
  <c r="K229" i="1"/>
  <c r="I229" i="1"/>
  <c r="O228" i="1"/>
  <c r="M228" i="1"/>
  <c r="K228" i="1"/>
  <c r="I228" i="1"/>
  <c r="O227" i="1"/>
  <c r="M227" i="1"/>
  <c r="K227" i="1"/>
  <c r="I227" i="1"/>
  <c r="O226" i="1"/>
  <c r="M226" i="1"/>
  <c r="K226" i="1"/>
  <c r="I226" i="1"/>
  <c r="O225" i="1"/>
  <c r="M225" i="1"/>
  <c r="K225" i="1"/>
  <c r="I225" i="1"/>
  <c r="O224" i="1"/>
  <c r="M224" i="1"/>
  <c r="K224" i="1"/>
  <c r="I224" i="1"/>
  <c r="O223" i="1"/>
  <c r="M223" i="1"/>
  <c r="K223" i="1"/>
  <c r="I223" i="1"/>
  <c r="O222" i="1"/>
  <c r="M222" i="1"/>
  <c r="K222" i="1"/>
  <c r="I222" i="1"/>
  <c r="O221" i="1"/>
  <c r="M221" i="1"/>
  <c r="K221" i="1"/>
  <c r="I221" i="1"/>
  <c r="O220" i="1"/>
  <c r="M220" i="1"/>
  <c r="K220" i="1"/>
  <c r="I220" i="1"/>
  <c r="O219" i="1"/>
  <c r="M219" i="1"/>
  <c r="K219" i="1"/>
  <c r="I219" i="1"/>
  <c r="O218" i="1"/>
  <c r="M218" i="1"/>
  <c r="K218" i="1"/>
  <c r="I218" i="1"/>
  <c r="O217" i="1"/>
  <c r="M217" i="1"/>
  <c r="K217" i="1"/>
  <c r="I217" i="1"/>
  <c r="O216" i="1"/>
  <c r="M216" i="1"/>
  <c r="K216" i="1"/>
  <c r="I216" i="1"/>
  <c r="O215" i="1"/>
  <c r="M215" i="1"/>
  <c r="K215" i="1"/>
  <c r="I215" i="1"/>
  <c r="O214" i="1"/>
  <c r="M214" i="1"/>
  <c r="K214" i="1"/>
  <c r="I214" i="1"/>
  <c r="O213" i="1"/>
  <c r="M213" i="1"/>
  <c r="K213" i="1"/>
  <c r="I213" i="1"/>
  <c r="O212" i="1"/>
  <c r="M212" i="1"/>
  <c r="K212" i="1"/>
  <c r="I212" i="1"/>
  <c r="O211" i="1"/>
  <c r="M211" i="1"/>
  <c r="K211" i="1"/>
  <c r="I211" i="1"/>
  <c r="O210" i="1"/>
  <c r="M210" i="1"/>
  <c r="K210" i="1"/>
  <c r="I210" i="1"/>
  <c r="O209" i="1"/>
  <c r="M209" i="1"/>
  <c r="K209" i="1"/>
  <c r="I209" i="1"/>
  <c r="O208" i="1"/>
  <c r="M208" i="1"/>
  <c r="K208" i="1"/>
  <c r="I208" i="1"/>
  <c r="O207" i="1"/>
  <c r="M207" i="1"/>
  <c r="K207" i="1"/>
  <c r="I207" i="1"/>
  <c r="O206" i="1"/>
  <c r="M206" i="1"/>
  <c r="K206" i="1"/>
  <c r="I206" i="1"/>
  <c r="O205" i="1"/>
  <c r="M205" i="1"/>
  <c r="K205" i="1"/>
  <c r="I205" i="1"/>
  <c r="O204" i="1"/>
  <c r="M204" i="1"/>
  <c r="K204" i="1"/>
  <c r="I204" i="1"/>
  <c r="O203" i="1"/>
  <c r="M203" i="1"/>
  <c r="K203" i="1"/>
  <c r="I203" i="1"/>
  <c r="O202" i="1"/>
  <c r="M202" i="1"/>
  <c r="K202" i="1"/>
  <c r="I202" i="1"/>
  <c r="O201" i="1"/>
  <c r="M201" i="1"/>
  <c r="K201" i="1"/>
  <c r="I201" i="1"/>
  <c r="O200" i="1"/>
  <c r="M200" i="1"/>
  <c r="K200" i="1"/>
  <c r="I200" i="1"/>
  <c r="O199" i="1"/>
  <c r="M199" i="1"/>
  <c r="K199" i="1"/>
  <c r="I199" i="1"/>
  <c r="O198" i="1"/>
  <c r="M198" i="1"/>
  <c r="K198" i="1"/>
  <c r="I198" i="1"/>
  <c r="O197" i="1"/>
  <c r="M197" i="1"/>
  <c r="K197" i="1"/>
  <c r="I197" i="1"/>
  <c r="O196" i="1"/>
  <c r="M196" i="1"/>
  <c r="K196" i="1"/>
  <c r="I196" i="1"/>
  <c r="O195" i="1"/>
  <c r="M195" i="1"/>
  <c r="K195" i="1"/>
  <c r="I195" i="1"/>
  <c r="O194" i="1"/>
  <c r="M194" i="1"/>
  <c r="K194" i="1"/>
  <c r="I194" i="1"/>
  <c r="O193" i="1"/>
  <c r="M193" i="1"/>
  <c r="K193" i="1"/>
  <c r="I193" i="1"/>
  <c r="O192" i="1"/>
  <c r="M192" i="1"/>
  <c r="K192" i="1"/>
  <c r="I192" i="1"/>
  <c r="O191" i="1"/>
  <c r="M191" i="1"/>
  <c r="K191" i="1"/>
  <c r="I191" i="1"/>
  <c r="O190" i="1"/>
  <c r="M190" i="1"/>
  <c r="K190" i="1"/>
  <c r="I190" i="1"/>
  <c r="O189" i="1"/>
  <c r="M189" i="1"/>
  <c r="K189" i="1"/>
  <c r="I189" i="1"/>
  <c r="O188" i="1"/>
  <c r="M188" i="1"/>
  <c r="K188" i="1"/>
  <c r="I188" i="1"/>
  <c r="O187" i="1"/>
  <c r="M187" i="1"/>
  <c r="K187" i="1"/>
  <c r="I187" i="1"/>
  <c r="O186" i="1"/>
  <c r="M186" i="1"/>
  <c r="K186" i="1"/>
  <c r="I186" i="1"/>
  <c r="O185" i="1"/>
  <c r="M185" i="1"/>
  <c r="K185" i="1"/>
  <c r="I185" i="1"/>
  <c r="O184" i="1"/>
  <c r="M184" i="1"/>
  <c r="K184" i="1"/>
  <c r="I184" i="1"/>
  <c r="O183" i="1"/>
  <c r="M183" i="1"/>
  <c r="K183" i="1"/>
  <c r="I183" i="1"/>
  <c r="O182" i="1"/>
  <c r="M182" i="1"/>
  <c r="K182" i="1"/>
  <c r="I182" i="1"/>
  <c r="O181" i="1"/>
  <c r="M181" i="1"/>
  <c r="K181" i="1"/>
  <c r="I181" i="1"/>
  <c r="O180" i="1"/>
  <c r="M180" i="1"/>
  <c r="K180" i="1"/>
  <c r="I180" i="1"/>
  <c r="O179" i="1"/>
  <c r="M179" i="1"/>
  <c r="K179" i="1"/>
  <c r="I179" i="1"/>
  <c r="O178" i="1"/>
  <c r="M178" i="1"/>
  <c r="K178" i="1"/>
  <c r="I178" i="1"/>
  <c r="O177" i="1"/>
  <c r="M177" i="1"/>
  <c r="K177" i="1"/>
  <c r="I177" i="1"/>
  <c r="O176" i="1"/>
  <c r="M176" i="1"/>
  <c r="K176" i="1"/>
  <c r="I176" i="1"/>
  <c r="O175" i="1"/>
  <c r="M175" i="1"/>
  <c r="K175" i="1"/>
  <c r="I175" i="1"/>
  <c r="O174" i="1"/>
  <c r="M174" i="1"/>
  <c r="K174" i="1"/>
  <c r="I174" i="1"/>
  <c r="O173" i="1"/>
  <c r="M173" i="1"/>
  <c r="K173" i="1"/>
  <c r="I173" i="1"/>
  <c r="O172" i="1"/>
  <c r="M172" i="1"/>
  <c r="K172" i="1"/>
  <c r="I172" i="1"/>
  <c r="O171" i="1"/>
  <c r="M171" i="1"/>
  <c r="K171" i="1"/>
  <c r="I171" i="1"/>
  <c r="O170" i="1"/>
  <c r="M170" i="1"/>
  <c r="K170" i="1"/>
  <c r="I170" i="1"/>
  <c r="O169" i="1"/>
  <c r="M169" i="1"/>
  <c r="K169" i="1"/>
  <c r="I169" i="1"/>
  <c r="O168" i="1"/>
  <c r="M168" i="1"/>
  <c r="K168" i="1"/>
  <c r="I168" i="1"/>
  <c r="O167" i="1"/>
  <c r="M167" i="1"/>
  <c r="K167" i="1"/>
  <c r="I167" i="1"/>
  <c r="O166" i="1"/>
  <c r="M166" i="1"/>
  <c r="K166" i="1"/>
  <c r="I166" i="1"/>
  <c r="O165" i="1"/>
  <c r="M165" i="1"/>
  <c r="K165" i="1"/>
  <c r="I165" i="1"/>
  <c r="O164" i="1"/>
  <c r="M164" i="1"/>
  <c r="K164" i="1"/>
  <c r="I164" i="1"/>
  <c r="O163" i="1"/>
  <c r="M163" i="1"/>
  <c r="K163" i="1"/>
  <c r="I163" i="1"/>
  <c r="O162" i="1"/>
  <c r="M162" i="1"/>
  <c r="K162" i="1"/>
  <c r="I162" i="1"/>
  <c r="O161" i="1"/>
  <c r="M161" i="1"/>
  <c r="K161" i="1"/>
  <c r="I161" i="1"/>
  <c r="O160" i="1"/>
  <c r="M160" i="1"/>
  <c r="K160" i="1"/>
  <c r="I160" i="1"/>
  <c r="O159" i="1"/>
  <c r="M159" i="1"/>
  <c r="K159" i="1"/>
  <c r="I159" i="1"/>
  <c r="O158" i="1"/>
  <c r="M158" i="1"/>
  <c r="K158" i="1"/>
  <c r="I158" i="1"/>
  <c r="O157" i="1"/>
  <c r="M157" i="1"/>
  <c r="K157" i="1"/>
  <c r="I157" i="1"/>
  <c r="O156" i="1"/>
  <c r="M156" i="1"/>
  <c r="K156" i="1"/>
  <c r="I156" i="1"/>
  <c r="O155" i="1"/>
  <c r="M155" i="1"/>
  <c r="K155" i="1"/>
  <c r="I155" i="1"/>
  <c r="O154" i="1"/>
  <c r="M154" i="1"/>
  <c r="K154" i="1"/>
  <c r="I154" i="1"/>
  <c r="O153" i="1"/>
  <c r="M153" i="1"/>
  <c r="K153" i="1"/>
  <c r="I153" i="1"/>
  <c r="O152" i="1"/>
  <c r="M152" i="1"/>
  <c r="K152" i="1"/>
  <c r="I152" i="1"/>
  <c r="O151" i="1"/>
  <c r="M151" i="1"/>
  <c r="K151" i="1"/>
  <c r="I151" i="1"/>
  <c r="O150" i="1"/>
  <c r="M150" i="1"/>
  <c r="K150" i="1"/>
  <c r="I150" i="1"/>
  <c r="O149" i="1"/>
  <c r="M149" i="1"/>
  <c r="K149" i="1"/>
  <c r="I149" i="1"/>
  <c r="O148" i="1"/>
  <c r="M148" i="1"/>
  <c r="K148" i="1"/>
  <c r="I148" i="1"/>
  <c r="O147" i="1"/>
  <c r="M147" i="1"/>
  <c r="K147" i="1"/>
  <c r="I147" i="1"/>
  <c r="O146" i="1"/>
  <c r="M146" i="1"/>
  <c r="K146" i="1"/>
  <c r="I146" i="1"/>
  <c r="O145" i="1"/>
  <c r="M145" i="1"/>
  <c r="K145" i="1"/>
  <c r="I145" i="1"/>
  <c r="O144" i="1"/>
  <c r="M144" i="1"/>
  <c r="K144" i="1"/>
  <c r="I144" i="1"/>
  <c r="O143" i="1"/>
  <c r="M143" i="1"/>
  <c r="K143" i="1"/>
  <c r="I143" i="1"/>
  <c r="O142" i="1"/>
  <c r="M142" i="1"/>
  <c r="K142" i="1"/>
  <c r="I142" i="1"/>
  <c r="O141" i="1"/>
  <c r="M141" i="1"/>
  <c r="K141" i="1"/>
  <c r="I141" i="1"/>
  <c r="O140" i="1"/>
  <c r="M140" i="1"/>
  <c r="K140" i="1"/>
  <c r="I140" i="1"/>
  <c r="K133" i="1"/>
  <c r="I133" i="1"/>
  <c r="K132" i="1"/>
  <c r="I132" i="1"/>
  <c r="K131" i="1"/>
  <c r="I131" i="1"/>
  <c r="K130" i="1"/>
  <c r="I130" i="1"/>
  <c r="K129" i="1"/>
  <c r="I129" i="1"/>
  <c r="K128" i="1"/>
  <c r="I128" i="1"/>
  <c r="K127" i="1"/>
  <c r="I127" i="1"/>
  <c r="K126" i="1"/>
  <c r="I126" i="1"/>
  <c r="K125" i="1"/>
  <c r="I125" i="1"/>
  <c r="K124" i="1"/>
  <c r="I124" i="1"/>
  <c r="K123" i="1"/>
  <c r="I123" i="1"/>
  <c r="K122" i="1"/>
  <c r="I122" i="1"/>
  <c r="K121" i="1"/>
  <c r="I121" i="1"/>
  <c r="K120" i="1"/>
  <c r="I120" i="1"/>
  <c r="K119" i="1"/>
  <c r="I119" i="1"/>
  <c r="K118" i="1"/>
  <c r="I118" i="1"/>
  <c r="K117" i="1"/>
  <c r="I117" i="1"/>
  <c r="K116" i="1"/>
  <c r="I116" i="1"/>
  <c r="K115" i="1"/>
  <c r="I115" i="1"/>
  <c r="K114" i="1"/>
  <c r="I114" i="1"/>
  <c r="K113" i="1"/>
  <c r="I113" i="1"/>
  <c r="K112" i="1"/>
  <c r="I112" i="1"/>
  <c r="K111" i="1"/>
  <c r="I111" i="1"/>
  <c r="K110" i="1"/>
  <c r="I110" i="1"/>
  <c r="K109" i="1"/>
  <c r="I109" i="1"/>
  <c r="K108" i="1"/>
  <c r="I108" i="1"/>
  <c r="K107" i="1"/>
  <c r="I107" i="1"/>
  <c r="K106" i="1"/>
  <c r="I106" i="1"/>
  <c r="K105" i="1"/>
  <c r="I105" i="1"/>
  <c r="K104" i="1"/>
  <c r="I104" i="1"/>
  <c r="K103" i="1"/>
  <c r="I103" i="1"/>
  <c r="K102" i="1"/>
  <c r="I102" i="1"/>
  <c r="K101" i="1"/>
  <c r="I101" i="1"/>
  <c r="K100" i="1"/>
  <c r="I100" i="1"/>
  <c r="K99" i="1"/>
  <c r="I99" i="1"/>
  <c r="K98" i="1"/>
  <c r="I98" i="1"/>
  <c r="K97" i="1"/>
  <c r="I97" i="1"/>
  <c r="K96" i="1"/>
  <c r="I96" i="1"/>
  <c r="K95" i="1"/>
  <c r="I95" i="1"/>
  <c r="K94" i="1"/>
  <c r="I94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O19" i="1"/>
  <c r="M19" i="1"/>
  <c r="Q16" i="1"/>
  <c r="Q19" i="1" s="1"/>
  <c r="O16" i="1"/>
  <c r="M16" i="1"/>
</calcChain>
</file>

<file path=xl/sharedStrings.xml><?xml version="1.0" encoding="utf-8"?>
<sst xmlns="http://schemas.openxmlformats.org/spreadsheetml/2006/main" count="3523" uniqueCount="421">
  <si>
    <r>
      <rPr>
        <b/>
        <i/>
        <sz val="16"/>
        <color theme="1"/>
        <rFont val="Santander Headline"/>
        <family val="2"/>
      </rPr>
      <t>Status</t>
    </r>
    <r>
      <rPr>
        <b/>
        <sz val="16"/>
        <color theme="1"/>
        <rFont val="Santander Headline"/>
        <family val="2"/>
      </rPr>
      <t xml:space="preserve"> Testes GD &amp; Pilar 3 </t>
    </r>
  </si>
  <si>
    <t>Concluídos</t>
  </si>
  <si>
    <t>Em teste</t>
  </si>
  <si>
    <t>Pendentes</t>
  </si>
  <si>
    <t>Δ</t>
  </si>
  <si>
    <t>ÂMBITO</t>
  </si>
  <si>
    <t>ORIGEM</t>
  </si>
  <si>
    <t>CAMPOS</t>
  </si>
  <si>
    <t>OBS</t>
  </si>
  <si>
    <t>Modelo Verde</t>
  </si>
  <si>
    <t xml:space="preserve">Tabela de Clientes 
(MODESG_OUT_EMPR_INFO_NFIN) </t>
  </si>
  <si>
    <t>6 campos</t>
  </si>
  <si>
    <t>Terminado</t>
  </si>
  <si>
    <t>Green Dashboard</t>
  </si>
  <si>
    <t>RENTABILIDADE</t>
  </si>
  <si>
    <t>AVRG_BLNC, 
AVRG_BLNC_OFF_BLNC, NT_LN_LSS_PRVSN, NT_LN_LSS_PRVSN_OFF_BLNC</t>
  </si>
  <si>
    <t>Fecho de Especificação</t>
  </si>
  <si>
    <t>Tabela Input KM Médios
(MODESG_INP_KM_MEDIOS_EMSS_VCLS)</t>
  </si>
  <si>
    <t>8 campos</t>
  </si>
  <si>
    <t xml:space="preserve">Tabela de Veículos 
(MODESG_OUT_EMSS_VCLS) </t>
  </si>
  <si>
    <t>15 campos</t>
  </si>
  <si>
    <t>Tabela Input Risco Físico
(MODESG_INP_RISCO_FISICO)</t>
  </si>
  <si>
    <t xml:space="preserve">6 campos </t>
  </si>
  <si>
    <t xml:space="preserve">6 de 6 campos testados
Reunião de especificação (COD_NACE_ESG)
</t>
  </si>
  <si>
    <t>Tabela de Bens Imóveis
(MODESG_OUT_BENS_IMOVEIS)</t>
  </si>
  <si>
    <t>18 campos</t>
  </si>
  <si>
    <t>Bens Imóveis</t>
  </si>
  <si>
    <t>Tabela input Certificados
(CD_IMV_INP_CERTIF_ESTIMATIVA)</t>
  </si>
  <si>
    <t>12 campos</t>
  </si>
  <si>
    <t xml:space="preserve">15 de 15 campos testados
Implementação de testes / SQL
Testes sobre o Universo
</t>
  </si>
  <si>
    <t>Tabela de Bens
(CD_IMV_OUT_BENS)</t>
  </si>
  <si>
    <t>32 campos</t>
  </si>
  <si>
    <t>A Iniciar</t>
  </si>
  <si>
    <t>18 de 18 campos testados
Implementação de testes / SQL
Testes sobre o Universo
Reunião de especificação (SCP)</t>
  </si>
  <si>
    <t>Âmbito</t>
  </si>
  <si>
    <t>Origem</t>
  </si>
  <si>
    <t>Campo</t>
  </si>
  <si>
    <r>
      <rPr>
        <b/>
        <i/>
        <sz val="12"/>
        <rFont val="Arial"/>
        <family val="2"/>
      </rPr>
      <t>Status</t>
    </r>
    <r>
      <rPr>
        <b/>
        <sz val="12"/>
        <rFont val="Arial"/>
        <family val="2"/>
      </rPr>
      <t xml:space="preserve"> Campo</t>
    </r>
  </si>
  <si>
    <t>LT ESTR</t>
  </si>
  <si>
    <t>DFLT_STTS_INSTRMNT</t>
  </si>
  <si>
    <t>ACCMLTD_CHNGS_FV_CR_INSTRMNT</t>
  </si>
  <si>
    <t>ACCMLTD_IMPRMNT_INSTRMNT</t>
  </si>
  <si>
    <t>ACCNTNG_CLSSFCTN</t>
  </si>
  <si>
    <t>COD_SOC</t>
  </si>
  <si>
    <t>DT_RFRNC</t>
  </si>
  <si>
    <t>GRSS_CRRYNG_AMNT_INSTRMNT</t>
  </si>
  <si>
    <t>IDCMB</t>
  </si>
  <si>
    <t>IMPRMNT_STTS</t>
  </si>
  <si>
    <t>INSTRMNT_ID</t>
  </si>
  <si>
    <t>LCL_INSTMRNT_ID</t>
  </si>
  <si>
    <t>OFF_BLNC_SHT_AMNT_INSTRMNT</t>
  </si>
  <si>
    <t>PRFRMNG_STTS</t>
  </si>
  <si>
    <t>PRVSNS_OFF_BLNC_SHT</t>
  </si>
  <si>
    <t>SUBPORTFOLIO_ID</t>
  </si>
  <si>
    <t>TYP_INSTRMNT</t>
  </si>
  <si>
    <t>RWA</t>
  </si>
  <si>
    <t>COD_SOC_INTRGRP</t>
  </si>
  <si>
    <t>Corporativo</t>
  </si>
  <si>
    <t>BSNSS_AREA_DSTNTN</t>
  </si>
  <si>
    <t>FLG_INTRBSNSS</t>
  </si>
  <si>
    <t>INTRBSNSS_ADJ_COD</t>
  </si>
  <si>
    <t>COD_SOC_DSTNTN</t>
  </si>
  <si>
    <t>RWA_OFF_BLNC</t>
  </si>
  <si>
    <t>Rentabilidade</t>
  </si>
  <si>
    <t>INTRNL_TRNSFR_RT_OFF_BLNC</t>
  </si>
  <si>
    <t>MODESG_OUT_EMPR_INFO_NFIN</t>
  </si>
  <si>
    <t>ZCLIENTE</t>
  </si>
  <si>
    <t>REF_DATE</t>
  </si>
  <si>
    <t>MODESG_OUT_BENS_IMOVEIS</t>
  </si>
  <si>
    <t>CEMPBEM</t>
  </si>
  <si>
    <t>CKBALBEM</t>
  </si>
  <si>
    <t>CKCTABEM</t>
  </si>
  <si>
    <t>CKREFBEM</t>
  </si>
  <si>
    <t>ORIGEM_SCP3_EMSS</t>
  </si>
  <si>
    <t>SCP3_EMSS</t>
  </si>
  <si>
    <t>MODESG_OUT_EMSS_VCLS</t>
  </si>
  <si>
    <t>UNIDADE_FUNCIONAL_SCP1_EMSS</t>
  </si>
  <si>
    <t>UNIDADE_FUNCIONAL_SCP2_EMSS</t>
  </si>
  <si>
    <t>UNIDADE_FUNCIONAL_SCP3_EMSS</t>
  </si>
  <si>
    <t>Data testes</t>
  </si>
  <si>
    <t>Observações</t>
  </si>
  <si>
    <t>SSTNBL_CTGRY</t>
  </si>
  <si>
    <t>SSTNBL_INDCTR</t>
  </si>
  <si>
    <t>MODESG_OUT_SFCS_TAXON_EUROPEIA</t>
  </si>
  <si>
    <t>CEMPRESA</t>
  </si>
  <si>
    <t>CBALCAO</t>
  </si>
  <si>
    <t>CNUMECTA</t>
  </si>
  <si>
    <t>ZDEPOSIT</t>
  </si>
  <si>
    <t>COD_REGRA</t>
  </si>
  <si>
    <t>NOME_CTGR_SFCS</t>
  </si>
  <si>
    <t>NOME_PURPOSE_ESG</t>
  </si>
  <si>
    <t>NOME_GENERAL_SPECIFIC_PURPOSE</t>
  </si>
  <si>
    <t>NOME_SPECIFIC_ELIGIBLE</t>
  </si>
  <si>
    <t>NOME_SPECIFIC_SUSTAINABLE</t>
  </si>
  <si>
    <t>MONTANTE_PNDRC</t>
  </si>
  <si>
    <t>MODESG_PARAM_SFCS_TAXON_EUROPEIA</t>
  </si>
  <si>
    <t>DOMINIO</t>
  </si>
  <si>
    <t>DSCRC</t>
  </si>
  <si>
    <t>COMITE</t>
  </si>
  <si>
    <t>DATA_APRVC</t>
  </si>
  <si>
    <t>DATA_INICIAL</t>
  </si>
  <si>
    <t>DATA_FINAL</t>
  </si>
  <si>
    <t>CKMETAMIS</t>
  </si>
  <si>
    <t>CKPRODMI</t>
  </si>
  <si>
    <t>CMETANSEG</t>
  </si>
  <si>
    <t>EPC</t>
  </si>
  <si>
    <t>COD_LEASE</t>
  </si>
  <si>
    <t>CNSM_CO2</t>
  </si>
  <si>
    <t>Owner</t>
  </si>
  <si>
    <t>Data Entrega</t>
  </si>
  <si>
    <t>FLG_RSC_FSC_AGD</t>
  </si>
  <si>
    <t>Dependente do campo Cod_Nace_ESG</t>
  </si>
  <si>
    <t>FLG_RSC_FSC_CRNC</t>
  </si>
  <si>
    <t>SCP1_EMSS</t>
  </si>
  <si>
    <t>Carregamento de informação incorreto via input (modesg_inp_emss_scib) para o output</t>
  </si>
  <si>
    <t>SCP2_EMSS</t>
  </si>
  <si>
    <t>COD_NACE_ESG</t>
  </si>
  <si>
    <t xml:space="preserve">Validar se é para considerar clientes cujo campo msaldo final seja negativo </t>
  </si>
  <si>
    <t>Input a NULL e output com 0</t>
  </si>
  <si>
    <t>Caracteres especiais</t>
  </si>
  <si>
    <t>ORIGEM_SCP1_EMSS</t>
  </si>
  <si>
    <t>Depende do SCP1</t>
  </si>
  <si>
    <t>ORIGEM_SCP2_EMSS</t>
  </si>
  <si>
    <t>Depende do SCP2</t>
  </si>
  <si>
    <t>Depende do SCP3</t>
  </si>
  <si>
    <t xml:space="preserve">Encontra-se tudo aprovisionado a 1 </t>
  </si>
  <si>
    <t>ORIGEM_FLG_RSC_FSC_AGD</t>
  </si>
  <si>
    <t>Encontra-se tudo com "Corporação" ao contrário da EF (incorreto para Janeiro) - Validar o que colocar quando o valor é 0</t>
  </si>
  <si>
    <t>ORIGEM_FLG_RSC_FSC_CRNC</t>
  </si>
  <si>
    <t>Aprovisionamente da tabela de bens imóveis caso não exista EPC associado (validação funcional)</t>
  </si>
  <si>
    <t>Todos os clientes aprovisionados com 'TC02/M2', ao contrário da EF:  as variáveis scp1_emss e scp2_emss tenham um valor &lt;&gt; 0</t>
  </si>
  <si>
    <t>Na AE está pendente do SCP1 e SCP2</t>
  </si>
  <si>
    <t>Todos os clientes aprovisionados com 'PCAF', ao contrário da EF:  as variáveis scp1_emss e scp2_emss tenham um valor &lt;&gt; 0</t>
  </si>
  <si>
    <t>AVRG_BLNC</t>
  </si>
  <si>
    <t>1) Metodologia de Cálculo</t>
  </si>
  <si>
    <t>NT_LN_LSS_PRVSN</t>
  </si>
  <si>
    <t>MNGMNT_PRDCT</t>
  </si>
  <si>
    <t>1) Carregamneto da tabela de parametrização 875</t>
  </si>
  <si>
    <t>NT_LN_LSS_PRVSN_OFF_BLNC</t>
  </si>
  <si>
    <t>1) Metodologia Cálculo N-1; 2) Factoring</t>
  </si>
  <si>
    <t>AVRG_BLNC_OFF_BLNC</t>
  </si>
  <si>
    <t>NW_BSNSS</t>
  </si>
  <si>
    <t xml:space="preserve">1) Metodologia Cálculo N-1; 2) Metodologia de substrações de Bsnss_Area); </t>
  </si>
  <si>
    <t>GRSS_INTRST_INCM_CCRR</t>
  </si>
  <si>
    <t>BSNSS_AREA</t>
  </si>
  <si>
    <t>1) Metodologia de Cálculo; 2) Cartões; 3) Factoring; 4) MISS vs Bsnss Area quando não tem ativo (passivo)</t>
  </si>
  <si>
    <t>BSNSS_AREA_CCRR</t>
  </si>
  <si>
    <t>1) Metodologia de Cálculo; 2) Miss vs Bsnss_Area_CCRR quando não tem ativo (passivo)</t>
  </si>
  <si>
    <t>GRSS_CMMSSN_INCM_OFF_BLNC</t>
  </si>
  <si>
    <t>1) Metodologia Cálculo N-1; 2) Metodologia de substrações de Bsnss_Area); 3) Factoring</t>
  </si>
  <si>
    <t>GRSS_CMMSSN_EXPNS_OFF_BLNC_CCRR</t>
  </si>
  <si>
    <t>GRSS_CMMSSN_EXPNS_OFF_BLNC</t>
  </si>
  <si>
    <t>GRSS_CMMSSN_INCM_OFF_BLNC_CCRR</t>
  </si>
  <si>
    <t>GRSS_INTRST_INCM</t>
  </si>
  <si>
    <t>Calculado</t>
  </si>
  <si>
    <t>CNCLLD_INSTRMNT_STTS</t>
  </si>
  <si>
    <t>Falta o novo universo</t>
  </si>
  <si>
    <t>GRSS_CMMSSN_INCM</t>
  </si>
  <si>
    <t>GRSS_CMMSSN_INCM_CCRR</t>
  </si>
  <si>
    <t>INTRNL_TRNSFR_RT</t>
  </si>
  <si>
    <t>GRSS_CMMSSN_EXPNS</t>
  </si>
  <si>
    <t>GRSS_CMMSSN_EXPNS_CCRR</t>
  </si>
  <si>
    <t>GRSS_INTRST_EXPNS</t>
  </si>
  <si>
    <t>1) Metodologia Cálculo N-1</t>
  </si>
  <si>
    <t>GRSS_INTRST_EXPNS_CCRR</t>
  </si>
  <si>
    <t>GNS_FNNCL_TRNSCTN_EXCHNG_DFFRNCS</t>
  </si>
  <si>
    <t>GNS_FNNCL_TRNSCTN_EXCHNG_CCRR</t>
  </si>
  <si>
    <t>FLG_NFRD</t>
  </si>
  <si>
    <t>ORIGEM_FLG_NFRD</t>
  </si>
  <si>
    <t>FLG_EMPRS_EXCL_PARIS</t>
  </si>
  <si>
    <t>ORIGEM_FLG_EMPRS_EXCL_PARIS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</si>
  <si>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</si>
  <si>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</si>
  <si>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</si>
  <si>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</si>
  <si>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</si>
  <si>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</si>
  <si>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</si>
  <si>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</si>
  <si>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</si>
  <si>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</si>
  <si>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</si>
  <si>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</si>
  <si>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</si>
  <si>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</si>
  <si>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ORIGEM_ALINHAMENTOS</t>
  </si>
  <si>
    <t>MODESG_INP_EMPR_EXCL_PARIS</t>
  </si>
  <si>
    <t xml:space="preserve">Desenvolvimento concluído, dependente da disponibilização de front-end para testes </t>
  </si>
  <si>
    <t>ISIN</t>
  </si>
  <si>
    <t>CLEI</t>
  </si>
  <si>
    <t xml:space="preserve">CCLI_KGL </t>
  </si>
  <si>
    <t>NOME_ENTIDADE</t>
  </si>
  <si>
    <t>FLG_SCIB</t>
  </si>
  <si>
    <t>NOME_PAIS</t>
  </si>
  <si>
    <t>MODESG_INP_EMSS_NACE</t>
  </si>
  <si>
    <t>COD_CLASS_INDUST</t>
  </si>
  <si>
    <t>AREA_ATIVIDADE</t>
  </si>
  <si>
    <t>TIPO_ATIVIDADE</t>
  </si>
  <si>
    <t>SUB_TIPO_ATIVIDADE_1</t>
  </si>
  <si>
    <t>SUB_TIPO_ATIVIDADE_2</t>
  </si>
  <si>
    <t>UNIDADE_FUNCIONAL</t>
  </si>
  <si>
    <t>UNIDADES_UNIDADE_FUNCIONAL</t>
  </si>
  <si>
    <t>FATOR_EMISSAO</t>
  </si>
  <si>
    <t>UNIDADES_FATOR DE EMISSAO</t>
  </si>
  <si>
    <t>SCP1_FTR_EMSS</t>
  </si>
  <si>
    <t>SCP2_FTR_EMSS</t>
  </si>
  <si>
    <t>SCP3_FTR_EMSS</t>
  </si>
  <si>
    <t>SCORE_QUALIDADE</t>
  </si>
  <si>
    <t>MODESG_INP_EMSS_SCIB</t>
  </si>
  <si>
    <t>NOME_GRUPO</t>
  </si>
  <si>
    <t>SCORE_SCP1</t>
  </si>
  <si>
    <t>SCORE_SCP2</t>
  </si>
  <si>
    <t>SCORE_SCP3</t>
  </si>
  <si>
    <t>ANO_INFO</t>
  </si>
  <si>
    <t>ORIGEM_SCP1</t>
  </si>
  <si>
    <t>ORIGEM_SCP2</t>
  </si>
  <si>
    <t>ORIGEM_SCP3</t>
  </si>
  <si>
    <t>DIVIDA_TOTAL</t>
  </si>
  <si>
    <t>CAPITAL_PROPRIO</t>
  </si>
  <si>
    <t>MODESG_INP_NFRD_ALINHAMENTO_TAX</t>
  </si>
  <si>
    <t>PERM_ID</t>
  </si>
  <si>
    <t>MODESG_INP_RISCO_FISICO</t>
  </si>
  <si>
    <t>COD_PAIS</t>
  </si>
  <si>
    <t>COD_NUTIII</t>
  </si>
  <si>
    <t>MODESG_INP_EMSS_BENS_IMOVEIS</t>
  </si>
  <si>
    <t>NOME_ESTADO</t>
  </si>
  <si>
    <t>TIPO_BEM</t>
  </si>
  <si>
    <t>TIPO_FINALIDADE_BEM</t>
  </si>
  <si>
    <t>NOME_UNIDADE_FUNCIONAL</t>
  </si>
  <si>
    <t>NOME_FATOR_EMISSAO</t>
  </si>
  <si>
    <t>UNIDADE_FATOR DE EMISSAO</t>
  </si>
  <si>
    <t>MODESG_INP_EMSS_VCLS</t>
  </si>
  <si>
    <t>NOME_REGIAO</t>
  </si>
  <si>
    <t>TIPO_VEICULO</t>
  </si>
  <si>
    <t>TIPO_MOTOR</t>
  </si>
  <si>
    <t>MODELO</t>
  </si>
  <si>
    <t>MARCA</t>
  </si>
  <si>
    <t>MODESG_INP_KM_MEDIOS_EMSS_VCLS</t>
  </si>
  <si>
    <t>TIPO_VCL</t>
  </si>
  <si>
    <t>MEDIA_KM</t>
  </si>
  <si>
    <t>MEDIA_SCP1_EMSS</t>
  </si>
  <si>
    <t>MEDIA_SCP2_EMSS</t>
  </si>
  <si>
    <t>MEDIA_SCP3_EMSS</t>
  </si>
  <si>
    <t>CD_IMV_INP_CERTIF_ESTIMATIVA</t>
  </si>
  <si>
    <t>DATA_EXTRACCAO_INFO</t>
  </si>
  <si>
    <t>CHAVE_ENCRIPTADA</t>
  </si>
  <si>
    <t>FORNECEDOR</t>
  </si>
  <si>
    <t>VLR_EMSS_ANO</t>
  </si>
  <si>
    <t>VLR_CNSM_ANO</t>
  </si>
  <si>
    <t>METODO_INFO</t>
  </si>
  <si>
    <t>CD_IMV_OUT_BENS</t>
  </si>
  <si>
    <t>Campo em especificação para alteração de nome + reespecificação</t>
  </si>
  <si>
    <t>COD_BEM</t>
  </si>
  <si>
    <t>COD_TP_BEM</t>
  </si>
  <si>
    <t>COD_DISCONF</t>
  </si>
  <si>
    <t>LOCALID</t>
  </si>
  <si>
    <t>URBANIZ</t>
  </si>
  <si>
    <t>COD_MORADA</t>
  </si>
  <si>
    <t>MORADA</t>
  </si>
  <si>
    <t>NUM</t>
  </si>
  <si>
    <t>LOTE</t>
  </si>
  <si>
    <t>ID_FRAC</t>
  </si>
  <si>
    <t>COD_IDD_PRED</t>
  </si>
  <si>
    <t>PERC_OBRA</t>
  </si>
  <si>
    <t>COD_ART_MATR</t>
  </si>
  <si>
    <t>COD_FIN_BEM</t>
  </si>
  <si>
    <t>COD_POST</t>
  </si>
  <si>
    <t>MONTANTE_AVL</t>
  </si>
  <si>
    <t>DATA_AVL</t>
  </si>
  <si>
    <t>MONTANTE_AVL_DIST</t>
  </si>
  <si>
    <t>COD_AVL</t>
  </si>
  <si>
    <t>FICHA</t>
  </si>
  <si>
    <t>MONTANTE_VND_RAP</t>
  </si>
  <si>
    <t>PREALCONS</t>
  </si>
  <si>
    <t>DATA_LIC_UTIL</t>
  </si>
  <si>
    <t>AREA_UTIL</t>
  </si>
  <si>
    <t>ANO_CONSTRUCAO</t>
  </si>
  <si>
    <t>CD_IMV_OUT_TRZ_CRED_PRC</t>
  </si>
  <si>
    <t>CEMPRESP</t>
  </si>
  <si>
    <t>CKBALRES</t>
  </si>
  <si>
    <t>CKCTARES</t>
  </si>
  <si>
    <t>CKREFRESP</t>
  </si>
  <si>
    <t>CKBALCAO</t>
  </si>
  <si>
    <t>CKNUMCTA</t>
  </si>
  <si>
    <t>COMP_ID_GAR</t>
  </si>
  <si>
    <t>COD_SIT</t>
  </si>
  <si>
    <t>DATA_INICIO</t>
  </si>
  <si>
    <t>DATA_FIM</t>
  </si>
  <si>
    <t>DATA_VCMT</t>
  </si>
  <si>
    <t>COD_PRD_RESP</t>
  </si>
  <si>
    <t>COD_SPRD_RESP</t>
  </si>
  <si>
    <t>COD_FNLD</t>
  </si>
  <si>
    <t>NUM_PROP</t>
  </si>
  <si>
    <t>COD_OCUPACAO</t>
  </si>
  <si>
    <t>IDETGAR</t>
  </si>
  <si>
    <t>CD_IMV_OUT_TRZ_PRC_BENS_IMV</t>
  </si>
  <si>
    <t>DATA_ASSC</t>
  </si>
  <si>
    <t>FLG_FIN</t>
  </si>
  <si>
    <t>FLG_ADJ</t>
  </si>
  <si>
    <t>FLG_COL</t>
  </si>
  <si>
    <t>FLG_PRO</t>
  </si>
  <si>
    <t>CD_IMV_OUT_PRC</t>
  </si>
  <si>
    <t>COD_PRD_GRNT</t>
  </si>
  <si>
    <t>COD_SPRD_GRNT</t>
  </si>
  <si>
    <t>COD_TIPO</t>
  </si>
  <si>
    <t>COD_MOEDA</t>
  </si>
  <si>
    <t>MONTANTE_EUR</t>
  </si>
  <si>
    <t>MONTANTE_ORG</t>
  </si>
  <si>
    <t>COD_GRT</t>
  </si>
  <si>
    <t>COD_ESTD_PRCS</t>
  </si>
  <si>
    <t>COD_OBSERVACAO</t>
  </si>
  <si>
    <t>CD_IMV_OUT_CERTIF</t>
  </si>
  <si>
    <t>DATA_EPC</t>
  </si>
  <si>
    <t>DATA_EXPRC_EPC</t>
  </si>
  <si>
    <t>VLR_ENRG_RENEW</t>
  </si>
  <si>
    <t>FLG_NZEB</t>
  </si>
  <si>
    <t>NVL_EFCC_ENRG</t>
  </si>
  <si>
    <t>TP_CRTFCD</t>
  </si>
  <si>
    <t>COD_SCE</t>
  </si>
  <si>
    <t>COD_CNSRVTR_RGST_PRDL</t>
  </si>
  <si>
    <t>COD_INSCRC</t>
  </si>
  <si>
    <t>VLR_EMSS_CO2</t>
  </si>
  <si>
    <t>VLR_AQCMNT_AMBNT_RFRC</t>
  </si>
  <si>
    <t>VLR_AQCMNT_AMBNT_EDFC</t>
  </si>
  <si>
    <t>VLR_AQCMNT_AMBNT_RNVV</t>
  </si>
  <si>
    <t>VLR_ARRFCMNT_AMBNT_RFRC</t>
  </si>
  <si>
    <t>VLR_ARRFCMNT_AMBNT_EDFC</t>
  </si>
  <si>
    <t>VLR_ARRFCMNT_AMBNT_RENVV</t>
  </si>
  <si>
    <t>VLR_AGUA_QNT_SNTR_RFRC</t>
  </si>
  <si>
    <t>VLR_AGUA_QNT_SANT_EDFC</t>
  </si>
  <si>
    <t>VLR_AGUA_QNT_SNT_RNVV</t>
  </si>
  <si>
    <t>VLR_NCSSDD_ENRG_PRMR</t>
  </si>
  <si>
    <t>VLR_NCSSDD_ENRG_UTL_AQCD</t>
  </si>
  <si>
    <t>VLR_ENRG_UTL_ARRFCMNT</t>
  </si>
  <si>
    <t>VLR_ENRG_UTL_AGUA_QT_SNT</t>
  </si>
  <si>
    <t>VLR_ENRG_ELTC_VNTLDR</t>
  </si>
  <si>
    <t>VLR_ENRG_FNTS_RNVV_REGL</t>
  </si>
  <si>
    <t>VLR_ENRG_FNTS_RNVV_OTR_USO</t>
  </si>
  <si>
    <t>FLG_EFCNC_ENRGTC</t>
  </si>
  <si>
    <t>FLG_EFCC_ENRG_CNSM_TP_S</t>
  </si>
  <si>
    <t>FLG_EFCNC_ENRG_CNSM_TP_T</t>
  </si>
  <si>
    <t>FLG_EFCNC_ENRGTC_RNVV</t>
  </si>
  <si>
    <t>VLR_CST_TTL_INVSTMNT_ESTMD</t>
  </si>
  <si>
    <t>VLR_RDC_ANL_ESTMD_FTR</t>
  </si>
  <si>
    <t>VLR_CLASS_ENRG_APS_MDD</t>
  </si>
  <si>
    <t>VLR_ALTTT</t>
  </si>
  <si>
    <t>VLR_GRS_DIA</t>
  </si>
  <si>
    <t>VLR_TMPRTR_MD_EXTRR</t>
  </si>
  <si>
    <t>ZN_CLMTC_INVRN</t>
  </si>
  <si>
    <t>ZN_CLMTC_VR</t>
  </si>
  <si>
    <t>VLR_DRC_ESTC_AQCMNT</t>
  </si>
  <si>
    <t>VLR_DRC_ESTC_ARRFCMNT</t>
  </si>
  <si>
    <t>VLR_COMP_TRMC_PRDS</t>
  </si>
  <si>
    <t>VLR_COMP_TRMC_CBRTRS</t>
  </si>
  <si>
    <t>VLR_COMP_TRMC_PVMNTS</t>
  </si>
  <si>
    <t>VLR_COMP_TRMC_JNLS</t>
  </si>
  <si>
    <t>VLR_COMP_TRMC_SSTMTCN_VNTLD</t>
  </si>
  <si>
    <t>VLR_PRDS_GNHS_INVRN_RFC</t>
  </si>
  <si>
    <t>VLR_PRDS_GNHS_INVRN_JNL</t>
  </si>
  <si>
    <t>VLR_PRDS_GNHS_INVRN_VNTNH</t>
  </si>
  <si>
    <t>VLR_PRDS_GNHS_INVRN_CBRTR</t>
  </si>
  <si>
    <t>VLR_PRD_GNH_INVRN_PRD_PRT</t>
  </si>
  <si>
    <t>VLR_PRD_GNH_INVRN_PVMNT</t>
  </si>
  <si>
    <t>VLR_PRDS_GNHS_VR_RFRC</t>
  </si>
  <si>
    <t>VLR_PRDS_GNHS_VR_JNL</t>
  </si>
  <si>
    <t>VLR_PRDS_GNHS_VR_CBRTR</t>
  </si>
  <si>
    <t>VLR_PRDS_GNHS_VR_PRD_PRT</t>
  </si>
  <si>
    <t>Tipologia</t>
  </si>
  <si>
    <t># C. Por Justificar</t>
  </si>
  <si>
    <t># Incid. Totais</t>
  </si>
  <si>
    <t># Incid. AQR</t>
  </si>
  <si>
    <t xml:space="preserve"># Campos AQR </t>
  </si>
  <si>
    <t># C. Justificados</t>
  </si>
  <si>
    <t>Completness (null)</t>
  </si>
  <si>
    <t>Duplicates</t>
  </si>
  <si>
    <t>Format</t>
  </si>
  <si>
    <t>Integrity</t>
  </si>
  <si>
    <t>Outllier</t>
  </si>
  <si>
    <t>Relational</t>
  </si>
  <si>
    <t>Reconciliation</t>
  </si>
  <si>
    <t>NOK</t>
  </si>
  <si>
    <t>-</t>
  </si>
  <si>
    <t>Em curso</t>
  </si>
  <si>
    <t>total campos</t>
  </si>
  <si>
    <t>Missing (%)</t>
  </si>
  <si>
    <t># Campos Total</t>
  </si>
  <si>
    <t># Campos AQR</t>
  </si>
  <si>
    <t># Endereçados</t>
  </si>
  <si>
    <t>Notas</t>
  </si>
  <si>
    <t>0</t>
  </si>
  <si>
    <t>Data maturidade</t>
  </si>
  <si>
    <t>]0;10]</t>
  </si>
  <si>
    <r>
      <t>Sindicados, Reestr., R</t>
    </r>
    <r>
      <rPr>
        <i/>
        <sz val="10"/>
        <rFont val="Santander Text"/>
        <family val="2"/>
      </rPr>
      <t>atings</t>
    </r>
    <r>
      <rPr>
        <sz val="10"/>
        <rFont val="Santander Text"/>
        <family val="2"/>
      </rPr>
      <t>, Dem. Finan.</t>
    </r>
  </si>
  <si>
    <t>]10;20]</t>
  </si>
  <si>
    <t>]20;80]</t>
  </si>
  <si>
    <t>]20;50]</t>
  </si>
  <si>
    <r>
      <t>Sindicados, C</t>
    </r>
    <r>
      <rPr>
        <i/>
        <sz val="10"/>
        <rFont val="Santander Text"/>
        <family val="2"/>
      </rPr>
      <t>ovenants,</t>
    </r>
    <r>
      <rPr>
        <sz val="10"/>
        <rFont val="Santander Text"/>
        <family val="2"/>
      </rPr>
      <t xml:space="preserve"> Tipo amortização</t>
    </r>
  </si>
  <si>
    <t>]80;100]</t>
  </si>
  <si>
    <r>
      <rPr>
        <i/>
        <sz val="10"/>
        <rFont val="Santander Text"/>
        <family val="2"/>
      </rPr>
      <t>Ratings</t>
    </r>
    <r>
      <rPr>
        <sz val="10"/>
        <rFont val="Santander Text"/>
        <family val="2"/>
      </rPr>
      <t xml:space="preserve"> e Reestruturados</t>
    </r>
  </si>
  <si>
    <t>total</t>
  </si>
  <si>
    <t>Existe um total de 21 campos que não estão a ser endereçados (&lt;20% de missing)</t>
  </si>
  <si>
    <r>
      <rPr>
        <b/>
        <i/>
        <sz val="16"/>
        <color theme="1"/>
        <rFont val="Santander Headline"/>
        <family val="2"/>
      </rPr>
      <t>Status</t>
    </r>
    <r>
      <rPr>
        <b/>
        <sz val="16"/>
        <color theme="1"/>
        <rFont val="Santander Headline"/>
        <family val="2"/>
      </rPr>
      <t xml:space="preserve"> Testes GD </t>
    </r>
  </si>
  <si>
    <t>CAMPO</t>
  </si>
  <si>
    <t xml:space="preserve">Reuniões de especificação funcional  - Fecho da especificação funcional
Análise ckmetamis a pedido do CDG </t>
  </si>
  <si>
    <t>AVRG_BLNC, 
AVRG_BLNC_OFF_BLNC,
NT_LN_LSS_PRVSN,
NT_LN_LSS_PRVSN_OFF_BLNC</t>
  </si>
  <si>
    <t>Fecho da Especificação</t>
  </si>
  <si>
    <t>Reuniões de especificação funcional  - Fecho de uma componente da especificação</t>
  </si>
  <si>
    <r>
      <t>Sindicados, Reestr., R</t>
    </r>
    <r>
      <rPr>
        <i/>
        <sz val="10"/>
        <rFont val="Santander Text"/>
        <family val="2"/>
      </rPr>
      <t>atings</t>
    </r>
    <r>
      <rPr>
        <sz val="10"/>
        <rFont val="Santander Text"/>
        <family val="2"/>
      </rPr>
      <t>, D.F., Data mat.</t>
    </r>
  </si>
  <si>
    <r>
      <t>Sindicados e C</t>
    </r>
    <r>
      <rPr>
        <i/>
        <sz val="10"/>
        <rFont val="Santander Text"/>
        <family val="2"/>
      </rPr>
      <t>ovenants</t>
    </r>
  </si>
  <si>
    <t>Tipo de amortização</t>
  </si>
  <si>
    <r>
      <rPr>
        <b/>
        <i/>
        <sz val="16"/>
        <color theme="1"/>
        <rFont val="Santander Headline"/>
        <family val="2"/>
      </rPr>
      <t>Status</t>
    </r>
    <r>
      <rPr>
        <b/>
        <sz val="16"/>
        <color theme="1"/>
        <rFont val="Santander Headline"/>
        <family val="2"/>
      </rPr>
      <t xml:space="preserve"> Testes Modelo Verde</t>
    </r>
  </si>
  <si>
    <t>TABELA</t>
  </si>
  <si>
    <t>Terminar</t>
  </si>
  <si>
    <t>15 campos testados
Implementação de testes / SQL
Testes sobre o Universo</t>
  </si>
  <si>
    <t>18 campos testados
Implementação de testes / SQL
Testes sobre o Universo</t>
  </si>
  <si>
    <t>Tabela</t>
  </si>
  <si>
    <t>Encontra-se tudo com "Corporação" ao contrário da EF (incorreto para Janeiro e por coincidência correto para março)</t>
  </si>
  <si>
    <r>
      <rPr>
        <b/>
        <i/>
        <sz val="16"/>
        <color theme="1"/>
        <rFont val="Santander Headline"/>
        <family val="2"/>
      </rPr>
      <t>Status</t>
    </r>
    <r>
      <rPr>
        <b/>
        <sz val="16"/>
        <color theme="1"/>
        <rFont val="Santander Headline"/>
        <family val="2"/>
      </rPr>
      <t xml:space="preserve"> Testes Bens Imóveis</t>
    </r>
  </si>
  <si>
    <r>
      <rPr>
        <b/>
        <u/>
        <sz val="11"/>
        <color theme="1"/>
        <rFont val="Arial"/>
        <family val="2"/>
      </rPr>
      <t>Nota:</t>
    </r>
    <r>
      <rPr>
        <sz val="11"/>
        <color theme="1"/>
        <rFont val="Arial"/>
        <family val="2"/>
      </rPr>
      <t xml:space="preserve"> Os 149 campos em teste vão ter alteração de nome</t>
    </r>
  </si>
  <si>
    <t>A iniciar</t>
  </si>
  <si>
    <t xml:space="preserve">Campo em especificação para alteração de nome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</si>
</sst>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#,##0\ &quot;€&quot;;[Red]\-#,##0\ &quot;€&quot;"/>
    <numFmt numFmtId="164" formatCode="0.0%"/>
    <numFmt numFmtId="165" formatCode="[$-816]d/mmm;@"/>
    <numFmt numFmtId="166" formatCode="#,##0\ &quot;€&quot;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Santander Headline"/>
      <family val="2"/>
    </font>
    <font>
      <b/>
      <i/>
      <sz val="16"/>
      <color theme="1"/>
      <name val="Santander Headline"/>
      <family val="2"/>
    </font>
    <font>
      <sz val="26"/>
      <color theme="1"/>
      <name val="Arial"/>
      <family val="2"/>
    </font>
    <font>
      <b/>
      <i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rgb="FF009242"/>
      <name val="Arial"/>
      <family val="2"/>
    </font>
    <font>
      <sz val="11"/>
      <color rgb="FFFFD937"/>
      <name val="Arial"/>
      <family val="2"/>
    </font>
    <font>
      <sz val="11"/>
      <color rgb="FFC00000"/>
      <name val="Arial"/>
      <family val="2"/>
    </font>
    <font>
      <b/>
      <u/>
      <sz val="10"/>
      <color rgb="FF00B05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Santander Text"/>
      <family val="2"/>
    </font>
    <font>
      <sz val="11"/>
      <name val="Santander Text"/>
      <family val="2"/>
    </font>
    <font>
      <sz val="10"/>
      <color theme="1"/>
      <name val="Santander Text"/>
      <family val="2"/>
    </font>
    <font>
      <sz val="11"/>
      <color theme="1"/>
      <name val="Santander Headline"/>
      <family val="2"/>
    </font>
    <font>
      <b/>
      <sz val="14"/>
      <name val="Arial"/>
      <family val="2"/>
    </font>
    <font>
      <sz val="9"/>
      <color theme="1"/>
      <name val="Santander Headline"/>
      <family val="2"/>
    </font>
    <font>
      <sz val="9"/>
      <color theme="1"/>
      <name val="Arial"/>
      <family val="2"/>
    </font>
    <font>
      <b/>
      <sz val="14"/>
      <color theme="1"/>
      <name val="Santader Text"/>
    </font>
    <font>
      <b/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i/>
      <sz val="12"/>
      <name val="Arial"/>
      <family val="2"/>
    </font>
    <font>
      <b/>
      <sz val="12"/>
      <name val="Arial"/>
      <family val="2"/>
    </font>
    <font>
      <sz val="12"/>
      <color theme="1"/>
      <name val="Santander Text"/>
      <family val="2"/>
    </font>
    <font>
      <sz val="11"/>
      <color rgb="FF00B050"/>
      <name val="Santander Text"/>
      <family val="2"/>
    </font>
    <font>
      <b/>
      <sz val="12"/>
      <color theme="1"/>
      <name val="Santander Text"/>
      <family val="2"/>
    </font>
    <font>
      <sz val="12"/>
      <color theme="1"/>
      <name val="Calibri"/>
      <family val="2"/>
      <scheme val="minor"/>
    </font>
    <font>
      <sz val="12"/>
      <color theme="7"/>
      <name val="Santander Text"/>
      <family val="2"/>
    </font>
    <font>
      <sz val="11"/>
      <color rgb="FFFFD937"/>
      <name val="Santander Text"/>
      <family val="2"/>
    </font>
    <font>
      <sz val="11"/>
      <color rgb="FFC00000"/>
      <name val="Calibri"/>
      <family val="2"/>
      <scheme val="minor"/>
    </font>
    <font>
      <sz val="11"/>
      <color rgb="FFC00000"/>
      <name val="Santander Text"/>
      <family val="2"/>
    </font>
    <font>
      <b/>
      <sz val="11"/>
      <color theme="1"/>
      <name val="Santander Text"/>
      <family val="2"/>
    </font>
    <font>
      <sz val="11"/>
      <color rgb="FF000000"/>
      <name val="Santander Text"/>
      <family val="2"/>
    </font>
    <font>
      <sz val="11"/>
      <color theme="7"/>
      <name val="Santander Text"/>
      <family val="2"/>
    </font>
    <font>
      <b/>
      <sz val="11"/>
      <color theme="0"/>
      <name val="Santander Text"/>
      <family val="2"/>
    </font>
    <font>
      <sz val="11"/>
      <color theme="7" tint="-0.249977111117893"/>
      <name val="Santander Text"/>
      <family val="2"/>
    </font>
    <font>
      <b/>
      <sz val="11"/>
      <name val="Santander Text"/>
      <family val="2"/>
    </font>
    <font>
      <sz val="10"/>
      <name val="Santander Text"/>
      <family val="2"/>
    </font>
    <font>
      <i/>
      <sz val="10"/>
      <name val="Santander Text"/>
      <family val="2"/>
    </font>
    <font>
      <sz val="8"/>
      <color theme="0" tint="-0.34998626667073579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B050"/>
      <name val="Santander Text"/>
      <family val="2"/>
    </font>
    <font>
      <b/>
      <i/>
      <sz val="11"/>
      <color theme="1"/>
      <name val="Santander Text"/>
      <family val="2"/>
    </font>
    <font>
      <b/>
      <i/>
      <sz val="11"/>
      <color theme="0"/>
      <name val="Santander Text"/>
      <family val="2"/>
    </font>
    <font>
      <sz val="9"/>
      <color rgb="FF00B050"/>
      <name val="Arial"/>
      <family val="2"/>
    </font>
    <font>
      <sz val="9"/>
      <color theme="1"/>
      <name val="Santander Text"/>
      <family val="2"/>
    </font>
    <font>
      <sz val="9"/>
      <color rgb="FFFFD937"/>
      <name val="Santander Text"/>
      <family val="2"/>
    </font>
    <font>
      <sz val="9"/>
      <color rgb="FF00B050"/>
      <name val="Santander Text"/>
      <family val="2"/>
    </font>
    <font>
      <sz val="12"/>
      <name val="Santander Text"/>
      <family val="2"/>
    </font>
    <font>
      <b/>
      <u/>
      <sz val="11"/>
      <color theme="1"/>
      <name val="Arial"/>
      <family val="2"/>
    </font>
    <font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93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 tint="-0.249977111117893"/>
      </left>
      <right style="double">
        <color rgb="FF00B050"/>
      </right>
      <top/>
      <bottom/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/>
      <diagonal/>
    </border>
    <border>
      <left style="double">
        <color rgb="FFFFD937"/>
      </left>
      <right style="double">
        <color rgb="FFFFD937"/>
      </right>
      <top style="double">
        <color rgb="FFFFD937"/>
      </top>
      <bottom/>
      <diagonal/>
    </border>
    <border>
      <left style="double">
        <color rgb="FFC00000"/>
      </left>
      <right style="double">
        <color rgb="FFC00000"/>
      </right>
      <top style="double">
        <color rgb="FFC00000"/>
      </top>
      <bottom/>
      <diagonal/>
    </border>
    <border>
      <left/>
      <right style="double">
        <color rgb="FF00B050"/>
      </right>
      <top/>
      <bottom style="double">
        <color rgb="FF00B050"/>
      </bottom>
      <diagonal/>
    </border>
    <border>
      <left style="double">
        <color rgb="FFFFD937"/>
      </left>
      <right style="double">
        <color rgb="FFFFD937"/>
      </right>
      <top/>
      <bottom style="double">
        <color rgb="FFFFD937"/>
      </bottom>
      <diagonal/>
    </border>
    <border>
      <left style="double">
        <color rgb="FFC00000"/>
      </left>
      <right style="double">
        <color rgb="FFC00000"/>
      </right>
      <top/>
      <bottom style="double">
        <color rgb="FFC00000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 style="double">
        <color rgb="FFFFD937"/>
      </top>
      <bottom style="double">
        <color rgb="FFFFD937"/>
      </bottom>
      <diagonal/>
    </border>
    <border>
      <left/>
      <right/>
      <top/>
      <bottom style="thick">
        <color theme="0"/>
      </bottom>
      <diagonal/>
    </border>
    <border>
      <left style="double">
        <color rgb="FFC00000"/>
      </left>
      <right/>
      <top style="double">
        <color rgb="FFC00000"/>
      </top>
      <bottom/>
      <diagonal/>
    </border>
    <border>
      <left style="double">
        <color rgb="FFC00000"/>
      </left>
      <right style="thin">
        <color theme="0" tint="-0.249977111117893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double">
        <color rgb="FF00B050"/>
      </top>
      <bottom/>
      <diagonal/>
    </border>
    <border>
      <left/>
      <right/>
      <top style="double">
        <color rgb="FFFFD937"/>
      </top>
      <bottom/>
      <diagonal/>
    </border>
    <border>
      <left/>
      <right/>
      <top style="double">
        <color rgb="FFC00000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 style="dotted">
        <color theme="0" tint="-0.14996795556505021"/>
      </top>
      <bottom style="dotted">
        <color theme="0" tint="-0.24994659260841701"/>
      </bottom>
      <diagonal/>
    </border>
    <border>
      <left/>
      <right/>
      <top style="dotted">
        <color theme="0" tint="-0.1499679555650502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21">
    <xf numFmtId="0" fontId="0" fillId="0" borderId="0" xfId="0"/>
    <xf numFmtId="0" fontId="0" fillId="0" borderId="0" xfId="0" applyBorder="1"/>
    <xf numFmtId="0" fontId="0" fillId="2" borderId="0" xfId="0" applyFill="1"/>
    <xf numFmtId="0" fontId="4" fillId="0" borderId="0" xfId="2" applyFont="1" applyProtection="1">
      <protection hidden="1"/>
    </xf>
    <xf numFmtId="0" fontId="4" fillId="0" borderId="0" xfId="2" applyFont="1" applyBorder="1" applyProtection="1">
      <protection hidden="1"/>
    </xf>
    <xf numFmtId="0" fontId="0" fillId="0" borderId="0" xfId="0" applyProtection="1">
      <protection hidden="1"/>
    </xf>
    <xf numFmtId="0" fontId="5" fillId="0" borderId="0" xfId="2" applyFont="1" applyAlignment="1" applyProtection="1">
      <alignment horizontal="left"/>
      <protection hidden="1"/>
    </xf>
    <xf numFmtId="0" fontId="4" fillId="0" borderId="0" xfId="2" applyFont="1" applyAlignment="1" applyProtection="1">
      <alignment horizontal="centerContinuous"/>
      <protection hidden="1"/>
    </xf>
    <xf numFmtId="14" fontId="6" fillId="0" borderId="0" xfId="0" applyNumberFormat="1" applyFont="1" applyAlignment="1" applyProtection="1">
      <alignment vertical="top"/>
      <protection hidden="1"/>
    </xf>
    <xf numFmtId="14" fontId="6" fillId="0" borderId="0" xfId="0" applyNumberFormat="1" applyFont="1" applyBorder="1" applyAlignment="1" applyProtection="1">
      <alignment vertical="top"/>
      <protection hidden="1"/>
    </xf>
    <xf numFmtId="0" fontId="7" fillId="3" borderId="0" xfId="2" applyFont="1" applyFill="1" applyProtection="1">
      <protection hidden="1"/>
    </xf>
    <xf numFmtId="0" fontId="7" fillId="3" borderId="0" xfId="2" applyFont="1" applyFill="1" applyBorder="1" applyProtection="1">
      <protection hidden="1"/>
    </xf>
    <xf numFmtId="0" fontId="0" fillId="2" borderId="0" xfId="0" applyFill="1" applyBorder="1"/>
    <xf numFmtId="0" fontId="4" fillId="2" borderId="0" xfId="0" applyFont="1" applyFill="1" applyProtection="1">
      <protection hidden="1"/>
    </xf>
    <xf numFmtId="0" fontId="8" fillId="2" borderId="0" xfId="0" applyFont="1" applyFill="1" applyBorder="1" applyProtection="1">
      <protection hidden="1"/>
    </xf>
    <xf numFmtId="0" fontId="4" fillId="2" borderId="0" xfId="0" applyFont="1" applyFill="1" applyBorder="1" applyProtection="1">
      <protection hidden="1"/>
    </xf>
    <xf numFmtId="0" fontId="10" fillId="2" borderId="0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Protection="1">
      <protection hidden="1"/>
    </xf>
    <xf numFmtId="0" fontId="0" fillId="2" borderId="1" xfId="0" applyFill="1" applyBorder="1"/>
    <xf numFmtId="0" fontId="4" fillId="2" borderId="2" xfId="0" applyFont="1" applyFill="1" applyBorder="1" applyProtection="1">
      <protection hidden="1"/>
    </xf>
    <xf numFmtId="0" fontId="4" fillId="0" borderId="3" xfId="0" applyFont="1" applyBorder="1" applyProtection="1">
      <protection hidden="1"/>
    </xf>
    <xf numFmtId="0" fontId="4" fillId="0" borderId="4" xfId="0" applyFont="1" applyBorder="1" applyProtection="1">
      <protection hidden="1"/>
    </xf>
    <xf numFmtId="0" fontId="4" fillId="4" borderId="0" xfId="0" applyFont="1" applyFill="1" applyBorder="1" applyProtection="1">
      <protection hidden="1"/>
    </xf>
    <xf numFmtId="0" fontId="4" fillId="4" borderId="5" xfId="0" applyFont="1" applyFill="1" applyBorder="1" applyProtection="1">
      <protection hidden="1"/>
    </xf>
    <xf numFmtId="0" fontId="4" fillId="2" borderId="6" xfId="0" applyFont="1" applyFill="1" applyBorder="1" applyProtection="1">
      <protection hidden="1"/>
    </xf>
    <xf numFmtId="0" fontId="4" fillId="0" borderId="0" xfId="0" applyFont="1" applyBorder="1" applyProtection="1">
      <protection hidden="1"/>
    </xf>
    <xf numFmtId="0" fontId="0" fillId="0" borderId="5" xfId="0" applyBorder="1"/>
    <xf numFmtId="0" fontId="4" fillId="2" borderId="7" xfId="0" applyFont="1" applyFill="1" applyBorder="1" applyProtection="1">
      <protection hidden="1"/>
    </xf>
    <xf numFmtId="0" fontId="4" fillId="0" borderId="0" xfId="0" applyFont="1" applyProtection="1">
      <protection hidden="1"/>
    </xf>
    <xf numFmtId="0" fontId="4" fillId="4" borderId="6" xfId="0" applyFont="1" applyFill="1" applyBorder="1" applyProtection="1">
      <protection hidden="1"/>
    </xf>
    <xf numFmtId="0" fontId="0" fillId="0" borderId="6" xfId="0" applyBorder="1"/>
    <xf numFmtId="0" fontId="4" fillId="4" borderId="0" xfId="0" applyFont="1" applyFill="1" applyProtection="1">
      <protection hidden="1"/>
    </xf>
    <xf numFmtId="0" fontId="0" fillId="4" borderId="6" xfId="0" applyFill="1" applyBorder="1"/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4" fillId="4" borderId="6" xfId="0" applyFont="1" applyFill="1" applyBorder="1"/>
    <xf numFmtId="0" fontId="0" fillId="0" borderId="10" xfId="0" applyBorder="1"/>
    <xf numFmtId="0" fontId="10" fillId="4" borderId="11" xfId="0" applyFont="1" applyFill="1" applyBorder="1" applyAlignment="1" applyProtection="1">
      <alignment horizontal="center" vertical="center"/>
      <protection hidden="1"/>
    </xf>
    <xf numFmtId="0" fontId="10" fillId="4" borderId="12" xfId="0" applyFont="1" applyFill="1" applyBorder="1" applyAlignment="1" applyProtection="1">
      <alignment horizontal="center" vertical="center"/>
      <protection hidden="1"/>
    </xf>
    <xf numFmtId="0" fontId="10" fillId="4" borderId="13" xfId="0" applyFont="1" applyFill="1" applyBorder="1" applyAlignment="1" applyProtection="1">
      <alignment horizontal="center" vertical="center"/>
      <protection hidden="1"/>
    </xf>
    <xf numFmtId="164" fontId="12" fillId="4" borderId="0" xfId="1" applyNumberFormat="1" applyFont="1" applyFill="1" applyAlignment="1">
      <alignment horizontal="center"/>
    </xf>
    <xf numFmtId="0" fontId="13" fillId="4" borderId="14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14" fillId="4" borderId="15" xfId="0" applyFont="1" applyFill="1" applyBorder="1" applyAlignment="1" applyProtection="1">
      <alignment horizontal="center" vertical="center"/>
      <protection hidden="1"/>
    </xf>
    <xf numFmtId="0" fontId="15" fillId="4" borderId="16" xfId="0" applyFont="1" applyFill="1" applyBorder="1" applyAlignment="1" applyProtection="1">
      <alignment horizontal="center" vertical="center"/>
      <protection hidden="1"/>
    </xf>
    <xf numFmtId="164" fontId="16" fillId="4" borderId="0" xfId="0" applyNumberFormat="1" applyFont="1" applyFill="1" applyAlignment="1">
      <alignment horizontal="center"/>
    </xf>
    <xf numFmtId="0" fontId="17" fillId="4" borderId="6" xfId="0" applyFont="1" applyFill="1" applyBorder="1"/>
    <xf numFmtId="0" fontId="0" fillId="0" borderId="17" xfId="0" applyBorder="1"/>
    <xf numFmtId="0" fontId="4" fillId="4" borderId="18" xfId="0" applyFont="1" applyFill="1" applyBorder="1" applyAlignment="1" applyProtection="1">
      <alignment horizontal="center"/>
      <protection hidden="1"/>
    </xf>
    <xf numFmtId="0" fontId="4" fillId="4" borderId="19" xfId="0" applyFont="1" applyFill="1" applyBorder="1" applyAlignment="1" applyProtection="1">
      <alignment horizontal="center"/>
      <protection hidden="1"/>
    </xf>
    <xf numFmtId="0" fontId="4" fillId="4" borderId="0" xfId="0" applyFont="1" applyFill="1" applyBorder="1" applyAlignment="1" applyProtection="1">
      <alignment horizontal="center"/>
      <protection hidden="1"/>
    </xf>
    <xf numFmtId="0" fontId="3" fillId="4" borderId="0" xfId="0" applyFont="1" applyFill="1"/>
    <xf numFmtId="9" fontId="3" fillId="4" borderId="0" xfId="1" applyFont="1" applyFill="1"/>
    <xf numFmtId="0" fontId="18" fillId="4" borderId="0" xfId="0" applyFont="1" applyFill="1"/>
    <xf numFmtId="0" fontId="19" fillId="0" borderId="0" xfId="0" applyFont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1" fontId="20" fillId="0" borderId="20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" fontId="20" fillId="0" borderId="21" xfId="0" applyNumberFormat="1" applyFont="1" applyBorder="1" applyAlignment="1">
      <alignment horizontal="center" vertical="center"/>
    </xf>
    <xf numFmtId="0" fontId="0" fillId="4" borderId="22" xfId="0" applyFill="1" applyBorder="1"/>
    <xf numFmtId="0" fontId="0" fillId="4" borderId="0" xfId="0" applyFill="1"/>
    <xf numFmtId="0" fontId="4" fillId="0" borderId="23" xfId="0" applyFont="1" applyBorder="1" applyProtection="1">
      <protection hidden="1"/>
    </xf>
    <xf numFmtId="0" fontId="3" fillId="4" borderId="2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4" borderId="23" xfId="0" applyFont="1" applyFill="1" applyBorder="1" applyProtection="1">
      <protection hidden="1"/>
    </xf>
    <xf numFmtId="0" fontId="4" fillId="0" borderId="6" xfId="0" applyFont="1" applyBorder="1" applyProtection="1">
      <protection hidden="1"/>
    </xf>
    <xf numFmtId="0" fontId="4" fillId="4" borderId="1" xfId="0" applyFont="1" applyFill="1" applyBorder="1" applyProtection="1">
      <protection hidden="1"/>
    </xf>
    <xf numFmtId="0" fontId="4" fillId="4" borderId="27" xfId="0" applyFont="1" applyFill="1" applyBorder="1" applyProtection="1">
      <protection hidden="1"/>
    </xf>
    <xf numFmtId="0" fontId="0" fillId="4" borderId="27" xfId="0" applyFill="1" applyBorder="1"/>
    <xf numFmtId="0" fontId="4" fillId="0" borderId="28" xfId="0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4" fillId="2" borderId="17" xfId="0" applyFont="1" applyFill="1" applyBorder="1" applyProtection="1">
      <protection hidden="1"/>
    </xf>
    <xf numFmtId="0" fontId="4" fillId="2" borderId="29" xfId="0" applyFont="1" applyFill="1" applyBorder="1" applyProtection="1">
      <protection hidden="1"/>
    </xf>
    <xf numFmtId="0" fontId="4" fillId="4" borderId="30" xfId="0" applyFont="1" applyFill="1" applyBorder="1" applyProtection="1">
      <protection hidden="1"/>
    </xf>
    <xf numFmtId="0" fontId="21" fillId="4" borderId="0" xfId="0" applyFont="1" applyFill="1"/>
    <xf numFmtId="0" fontId="4" fillId="0" borderId="5" xfId="0" applyFont="1" applyBorder="1" applyProtection="1">
      <protection hidden="1"/>
    </xf>
    <xf numFmtId="0" fontId="12" fillId="4" borderId="0" xfId="0" applyFont="1" applyFill="1" applyBorder="1" applyAlignment="1">
      <alignment horizontal="left"/>
    </xf>
    <xf numFmtId="0" fontId="12" fillId="4" borderId="0" xfId="0" applyFont="1" applyFill="1" applyBorder="1" applyAlignment="1"/>
    <xf numFmtId="0" fontId="5" fillId="4" borderId="6" xfId="0" applyFont="1" applyFill="1" applyBorder="1" applyAlignment="1"/>
    <xf numFmtId="0" fontId="21" fillId="4" borderId="0" xfId="0" applyFont="1" applyFill="1" applyAlignment="1">
      <alignment horizontal="left" vertical="center" wrapText="1"/>
    </xf>
    <xf numFmtId="0" fontId="21" fillId="4" borderId="0" xfId="0" applyFont="1" applyFill="1" applyBorder="1" applyAlignment="1">
      <alignment vertical="center" wrapText="1"/>
    </xf>
    <xf numFmtId="0" fontId="21" fillId="4" borderId="0" xfId="0" applyFont="1" applyFill="1" applyAlignment="1">
      <alignment vertical="center" wrapText="1"/>
    </xf>
    <xf numFmtId="0" fontId="21" fillId="4" borderId="0" xfId="0" applyFont="1" applyFill="1" applyBorder="1"/>
    <xf numFmtId="0" fontId="21" fillId="4" borderId="0" xfId="0" applyFont="1" applyFill="1" applyBorder="1" applyAlignment="1">
      <alignment vertical="center"/>
    </xf>
    <xf numFmtId="0" fontId="4" fillId="4" borderId="0" xfId="0" applyFont="1" applyFill="1" applyAlignment="1" applyProtection="1">
      <alignment vertical="center"/>
      <protection hidden="1"/>
    </xf>
    <xf numFmtId="0" fontId="0" fillId="2" borderId="6" xfId="0" applyFill="1" applyBorder="1"/>
    <xf numFmtId="0" fontId="0" fillId="4" borderId="0" xfId="0" applyFill="1" applyBorder="1"/>
    <xf numFmtId="0" fontId="0" fillId="4" borderId="0" xfId="0" applyFill="1" applyAlignment="1">
      <alignment vertical="center"/>
    </xf>
    <xf numFmtId="0" fontId="21" fillId="4" borderId="0" xfId="0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 wrapText="1"/>
    </xf>
    <xf numFmtId="0" fontId="22" fillId="4" borderId="0" xfId="0" applyFont="1" applyFill="1"/>
    <xf numFmtId="0" fontId="23" fillId="4" borderId="0" xfId="0" applyFont="1" applyFill="1" applyAlignment="1">
      <alignment vertical="top" wrapText="1"/>
    </xf>
    <xf numFmtId="0" fontId="24" fillId="0" borderId="0" xfId="0" applyFont="1" applyAlignment="1">
      <alignment vertical="center"/>
    </xf>
    <xf numFmtId="0" fontId="21" fillId="4" borderId="0" xfId="0" applyFont="1" applyFill="1" applyAlignment="1">
      <alignment vertical="center"/>
    </xf>
    <xf numFmtId="0" fontId="0" fillId="4" borderId="28" xfId="0" applyFill="1" applyBorder="1"/>
    <xf numFmtId="0" fontId="0" fillId="4" borderId="1" xfId="0" applyFill="1" applyBorder="1"/>
    <xf numFmtId="0" fontId="21" fillId="4" borderId="31" xfId="0" applyFont="1" applyFill="1" applyBorder="1"/>
    <xf numFmtId="0" fontId="25" fillId="4" borderId="1" xfId="0" applyFont="1" applyFill="1" applyBorder="1" applyAlignment="1">
      <alignment horizontal="left"/>
    </xf>
    <xf numFmtId="0" fontId="21" fillId="0" borderId="0" xfId="0" applyFont="1" applyFill="1" applyAlignment="1">
      <alignment horizontal="left" vertical="center"/>
    </xf>
    <xf numFmtId="0" fontId="0" fillId="0" borderId="1" xfId="0" applyBorder="1"/>
    <xf numFmtId="0" fontId="26" fillId="0" borderId="0" xfId="0" applyFont="1" applyAlignment="1">
      <alignment vertical="center"/>
    </xf>
    <xf numFmtId="0" fontId="0" fillId="0" borderId="27" xfId="0" applyBorder="1"/>
    <xf numFmtId="0" fontId="0" fillId="2" borderId="29" xfId="0" applyFill="1" applyBorder="1"/>
    <xf numFmtId="0" fontId="27" fillId="2" borderId="29" xfId="0" applyFont="1" applyFill="1" applyBorder="1"/>
    <xf numFmtId="0" fontId="28" fillId="2" borderId="0" xfId="0" applyFont="1" applyFill="1" applyAlignment="1">
      <alignment horizontal="left"/>
    </xf>
    <xf numFmtId="0" fontId="27" fillId="2" borderId="0" xfId="0" applyFont="1" applyFill="1" applyBorder="1"/>
    <xf numFmtId="0" fontId="0" fillId="5" borderId="3" xfId="0" applyFill="1" applyBorder="1"/>
    <xf numFmtId="0" fontId="0" fillId="0" borderId="4" xfId="0" applyBorder="1"/>
    <xf numFmtId="0" fontId="29" fillId="0" borderId="4" xfId="0" applyFont="1" applyBorder="1"/>
    <xf numFmtId="0" fontId="30" fillId="0" borderId="4" xfId="0" applyFont="1" applyBorder="1"/>
    <xf numFmtId="0" fontId="0" fillId="0" borderId="29" xfId="0" applyBorder="1"/>
    <xf numFmtId="0" fontId="0" fillId="4" borderId="29" xfId="0" applyFill="1" applyBorder="1"/>
    <xf numFmtId="0" fontId="0" fillId="5" borderId="23" xfId="0" applyFill="1" applyBorder="1"/>
    <xf numFmtId="0" fontId="2" fillId="4" borderId="0" xfId="0" applyFont="1" applyFill="1"/>
    <xf numFmtId="0" fontId="12" fillId="0" borderId="0" xfId="0" applyFont="1" applyBorder="1" applyAlignment="1">
      <alignment horizontal="left"/>
    </xf>
    <xf numFmtId="0" fontId="33" fillId="4" borderId="0" xfId="0" applyFont="1" applyFill="1" applyBorder="1" applyAlignment="1">
      <alignment horizontal="left" vertical="center"/>
    </xf>
    <xf numFmtId="0" fontId="21" fillId="0" borderId="0" xfId="0" applyFont="1"/>
    <xf numFmtId="10" fontId="34" fillId="0" borderId="0" xfId="1" applyNumberFormat="1" applyFont="1" applyFill="1" applyBorder="1" applyAlignment="1"/>
    <xf numFmtId="10" fontId="34" fillId="4" borderId="0" xfId="1" applyNumberFormat="1" applyFont="1" applyFill="1" applyBorder="1" applyAlignment="1"/>
    <xf numFmtId="0" fontId="33" fillId="4" borderId="0" xfId="0" applyFont="1" applyFill="1"/>
    <xf numFmtId="0" fontId="35" fillId="4" borderId="0" xfId="0" applyFont="1" applyFill="1" applyBorder="1" applyAlignment="1">
      <alignment horizontal="left" vertical="center"/>
    </xf>
    <xf numFmtId="0" fontId="33" fillId="6" borderId="0" xfId="0" applyFont="1" applyFill="1"/>
    <xf numFmtId="0" fontId="33" fillId="6" borderId="0" xfId="0" applyFont="1" applyFill="1" applyBorder="1" applyAlignment="1">
      <alignment horizontal="left" vertical="center"/>
    </xf>
    <xf numFmtId="0" fontId="35" fillId="6" borderId="0" xfId="0" applyFont="1" applyFill="1" applyBorder="1" applyAlignment="1">
      <alignment horizontal="left" vertical="center"/>
    </xf>
    <xf numFmtId="10" fontId="34" fillId="6" borderId="0" xfId="1" applyNumberFormat="1" applyFont="1" applyFill="1" applyBorder="1" applyAlignment="1"/>
    <xf numFmtId="0" fontId="0" fillId="5" borderId="32" xfId="0" applyFill="1" applyBorder="1" applyAlignment="1">
      <alignment horizontal="left" indent="3"/>
    </xf>
    <xf numFmtId="0" fontId="0" fillId="0" borderId="31" xfId="0" applyBorder="1" applyAlignment="1">
      <alignment horizontal="left" indent="3"/>
    </xf>
    <xf numFmtId="0" fontId="21" fillId="0" borderId="31" xfId="0" applyFont="1" applyBorder="1" applyAlignment="1">
      <alignment horizontal="left" indent="2"/>
    </xf>
    <xf numFmtId="0" fontId="21" fillId="0" borderId="31" xfId="0" applyFont="1" applyBorder="1"/>
    <xf numFmtId="0" fontId="21" fillId="0" borderId="31" xfId="0" applyFont="1" applyBorder="1" applyAlignment="1">
      <alignment horizontal="center"/>
    </xf>
    <xf numFmtId="0" fontId="0" fillId="7" borderId="0" xfId="0" applyFill="1" applyBorder="1"/>
    <xf numFmtId="0" fontId="2" fillId="7" borderId="0" xfId="0" applyFont="1" applyFill="1" applyBorder="1" applyAlignment="1">
      <alignment horizontal="left" indent="3"/>
    </xf>
    <xf numFmtId="0" fontId="0" fillId="0" borderId="0" xfId="0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6" fillId="4" borderId="0" xfId="0" applyFont="1" applyFill="1" applyBorder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0" xfId="0" applyFont="1"/>
    <xf numFmtId="0" fontId="35" fillId="0" borderId="0" xfId="0" applyFont="1" applyBorder="1" applyAlignment="1">
      <alignment horizontal="left" vertical="center"/>
    </xf>
    <xf numFmtId="0" fontId="37" fillId="0" borderId="0" xfId="0" applyFont="1" applyBorder="1" applyAlignment="1">
      <alignment horizontal="left" vertical="center"/>
    </xf>
    <xf numFmtId="16" fontId="33" fillId="4" borderId="0" xfId="0" applyNumberFormat="1" applyFont="1" applyFill="1" applyBorder="1" applyAlignment="1">
      <alignment horizontal="left"/>
    </xf>
    <xf numFmtId="0" fontId="0" fillId="7" borderId="0" xfId="0" applyFill="1" applyBorder="1" applyAlignment="1">
      <alignment horizontal="left" indent="3"/>
    </xf>
    <xf numFmtId="10" fontId="38" fillId="4" borderId="1" xfId="1" applyNumberFormat="1" applyFont="1" applyFill="1" applyBorder="1" applyAlignment="1"/>
    <xf numFmtId="0" fontId="0" fillId="4" borderId="1" xfId="0" applyFont="1" applyFill="1" applyBorder="1"/>
    <xf numFmtId="10" fontId="34" fillId="4" borderId="1" xfId="1" applyNumberFormat="1" applyFont="1" applyFill="1" applyBorder="1" applyAlignment="1"/>
    <xf numFmtId="16" fontId="0" fillId="4" borderId="0" xfId="0" applyNumberFormat="1" applyFill="1" applyBorder="1" applyAlignment="1">
      <alignment horizontal="left"/>
    </xf>
    <xf numFmtId="0" fontId="0" fillId="4" borderId="0" xfId="0" applyFill="1" applyBorder="1" applyAlignment="1">
      <alignment vertical="center"/>
    </xf>
    <xf numFmtId="0" fontId="0" fillId="0" borderId="31" xfId="0" applyBorder="1"/>
    <xf numFmtId="0" fontId="0" fillId="2" borderId="0" xfId="0" applyFont="1" applyFill="1" applyBorder="1"/>
    <xf numFmtId="0" fontId="0" fillId="2" borderId="0" xfId="0" applyFont="1" applyFill="1"/>
    <xf numFmtId="0" fontId="0" fillId="8" borderId="33" xfId="0" applyFill="1" applyBorder="1"/>
    <xf numFmtId="0" fontId="0" fillId="0" borderId="34" xfId="0" applyBorder="1"/>
    <xf numFmtId="0" fontId="0" fillId="8" borderId="35" xfId="0" applyFill="1" applyBorder="1"/>
    <xf numFmtId="0" fontId="39" fillId="0" borderId="0" xfId="0" applyFont="1" applyBorder="1"/>
    <xf numFmtId="0" fontId="0" fillId="0" borderId="0" xfId="0" applyBorder="1" applyAlignment="1">
      <alignment horizontal="left"/>
    </xf>
    <xf numFmtId="10" fontId="40" fillId="6" borderId="0" xfId="1" applyNumberFormat="1" applyFont="1" applyFill="1" applyBorder="1" applyAlignment="1">
      <alignment horizontal="left"/>
    </xf>
    <xf numFmtId="0" fontId="21" fillId="6" borderId="0" xfId="0" applyFont="1" applyFill="1" applyBorder="1" applyAlignment="1">
      <alignment horizontal="left"/>
    </xf>
    <xf numFmtId="0" fontId="0" fillId="6" borderId="0" xfId="0" applyFill="1"/>
    <xf numFmtId="16" fontId="21" fillId="6" borderId="0" xfId="0" applyNumberFormat="1" applyFont="1" applyFill="1" applyBorder="1" applyAlignment="1">
      <alignment horizontal="left"/>
    </xf>
    <xf numFmtId="16" fontId="33" fillId="6" borderId="0" xfId="0" applyNumberFormat="1" applyFont="1" applyFill="1" applyBorder="1" applyAlignment="1">
      <alignment horizontal="left"/>
    </xf>
    <xf numFmtId="10" fontId="40" fillId="4" borderId="0" xfId="1" applyNumberFormat="1" applyFont="1" applyFill="1" applyBorder="1" applyAlignment="1">
      <alignment horizontal="left"/>
    </xf>
    <xf numFmtId="16" fontId="21" fillId="0" borderId="0" xfId="0" applyNumberFormat="1" applyFont="1" applyFill="1" applyBorder="1" applyAlignment="1">
      <alignment horizontal="left"/>
    </xf>
    <xf numFmtId="0" fontId="33" fillId="4" borderId="0" xfId="0" applyFont="1" applyFill="1" applyBorder="1"/>
    <xf numFmtId="0" fontId="21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/>
    </xf>
    <xf numFmtId="0" fontId="0" fillId="4" borderId="0" xfId="0" applyFont="1" applyFill="1"/>
    <xf numFmtId="16" fontId="21" fillId="4" borderId="0" xfId="0" applyNumberFormat="1" applyFont="1" applyFill="1" applyBorder="1" applyAlignment="1">
      <alignment horizontal="left"/>
    </xf>
    <xf numFmtId="0" fontId="0" fillId="0" borderId="0" xfId="0" applyFont="1"/>
    <xf numFmtId="0" fontId="0" fillId="0" borderId="0" xfId="0" applyFont="1" applyBorder="1"/>
    <xf numFmtId="10" fontId="38" fillId="4" borderId="0" xfId="1" applyNumberFormat="1" applyFont="1" applyFill="1" applyBorder="1" applyAlignment="1"/>
    <xf numFmtId="0" fontId="40" fillId="0" borderId="0" xfId="0" applyFont="1" applyBorder="1"/>
    <xf numFmtId="0" fontId="42" fillId="4" borderId="0" xfId="0" applyFont="1" applyFill="1" applyBorder="1" applyAlignment="1">
      <alignment horizontal="left" vertical="center" wrapText="1" readingOrder="1"/>
    </xf>
    <xf numFmtId="0" fontId="42" fillId="0" borderId="0" xfId="0" applyFont="1" applyBorder="1" applyAlignment="1">
      <alignment horizontal="left" vertical="center" wrapText="1" readingOrder="1"/>
    </xf>
    <xf numFmtId="0" fontId="22" fillId="0" borderId="0" xfId="0" applyFont="1" applyBorder="1" applyAlignment="1">
      <alignment horizontal="left" vertical="center" wrapText="1" readingOrder="1"/>
    </xf>
    <xf numFmtId="0" fontId="22" fillId="0" borderId="0" xfId="0" applyFont="1" applyBorder="1" applyAlignment="1">
      <alignment vertical="center"/>
    </xf>
    <xf numFmtId="0" fontId="43" fillId="0" borderId="0" xfId="0" applyFont="1" applyBorder="1"/>
    <xf numFmtId="0" fontId="21" fillId="0" borderId="0" xfId="0" applyFont="1" applyBorder="1"/>
    <xf numFmtId="0" fontId="0" fillId="0" borderId="33" xfId="0" applyBorder="1"/>
    <xf numFmtId="0" fontId="0" fillId="0" borderId="36" xfId="0" applyBorder="1"/>
    <xf numFmtId="0" fontId="0" fillId="0" borderId="35" xfId="0" applyBorder="1"/>
    <xf numFmtId="0" fontId="0" fillId="0" borderId="37" xfId="0" applyBorder="1"/>
    <xf numFmtId="17" fontId="0" fillId="0" borderId="0" xfId="0" applyNumberFormat="1" applyBorder="1"/>
    <xf numFmtId="0" fontId="44" fillId="9" borderId="0" xfId="0" applyFont="1" applyFill="1" applyProtection="1">
      <protection hidden="1"/>
    </xf>
    <xf numFmtId="0" fontId="44" fillId="9" borderId="0" xfId="0" applyFont="1" applyFill="1" applyAlignment="1" applyProtection="1">
      <alignment horizontal="center"/>
      <protection hidden="1"/>
    </xf>
    <xf numFmtId="0" fontId="44" fillId="9" borderId="0" xfId="0" applyFont="1" applyFill="1" applyBorder="1" applyAlignment="1" applyProtection="1">
      <alignment horizontal="right"/>
      <protection hidden="1"/>
    </xf>
    <xf numFmtId="0" fontId="44" fillId="9" borderId="0" xfId="0" applyFont="1" applyFill="1" applyBorder="1" applyAlignment="1" applyProtection="1">
      <alignment horizontal="center"/>
      <protection hidden="1"/>
    </xf>
    <xf numFmtId="0" fontId="22" fillId="0" borderId="38" xfId="0" applyFont="1" applyBorder="1" applyAlignment="1" applyProtection="1">
      <alignment vertical="center"/>
      <protection hidden="1"/>
    </xf>
    <xf numFmtId="0" fontId="22" fillId="10" borderId="38" xfId="0" applyFont="1" applyFill="1" applyBorder="1" applyAlignment="1" applyProtection="1">
      <alignment horizontal="center" vertical="center"/>
      <protection hidden="1"/>
    </xf>
    <xf numFmtId="3" fontId="22" fillId="0" borderId="0" xfId="0" applyNumberFormat="1" applyFont="1" applyBorder="1" applyAlignment="1" applyProtection="1">
      <alignment vertical="center"/>
      <protection hidden="1"/>
    </xf>
    <xf numFmtId="0" fontId="45" fillId="11" borderId="0" xfId="0" applyFont="1" applyFill="1" applyBorder="1" applyAlignment="1" applyProtection="1">
      <alignment horizontal="center" vertical="center"/>
      <protection hidden="1"/>
    </xf>
    <xf numFmtId="0" fontId="22" fillId="10" borderId="0" xfId="0" applyFont="1" applyFill="1" applyBorder="1" applyAlignment="1" applyProtection="1">
      <alignment horizontal="center" vertical="center"/>
      <protection hidden="1"/>
    </xf>
    <xf numFmtId="0" fontId="22" fillId="0" borderId="39" xfId="0" applyFont="1" applyBorder="1" applyAlignment="1" applyProtection="1">
      <alignment vertical="center"/>
      <protection hidden="1"/>
    </xf>
    <xf numFmtId="6" fontId="22" fillId="10" borderId="39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Border="1" applyAlignment="1" applyProtection="1">
      <alignment horizontal="right" vertical="center"/>
      <protection hidden="1"/>
    </xf>
    <xf numFmtId="6" fontId="45" fillId="11" borderId="0" xfId="0" applyNumberFormat="1" applyFont="1" applyFill="1" applyBorder="1" applyAlignment="1" applyProtection="1">
      <alignment horizontal="center" vertical="center"/>
      <protection hidden="1"/>
    </xf>
    <xf numFmtId="3" fontId="41" fillId="0" borderId="34" xfId="0" applyNumberFormat="1" applyFont="1" applyBorder="1"/>
    <xf numFmtId="0" fontId="46" fillId="0" borderId="0" xfId="0" applyFont="1" applyBorder="1" applyAlignment="1" applyProtection="1">
      <alignment horizontal="right" vertical="center"/>
      <protection hidden="1"/>
    </xf>
    <xf numFmtId="3" fontId="41" fillId="0" borderId="0" xfId="0" applyNumberFormat="1" applyFont="1" applyBorder="1"/>
    <xf numFmtId="0" fontId="44" fillId="9" borderId="0" xfId="0" applyFont="1" applyFill="1" applyBorder="1" applyAlignment="1" applyProtection="1">
      <alignment horizontal="left" indent="1"/>
      <protection hidden="1"/>
    </xf>
    <xf numFmtId="0" fontId="44" fillId="9" borderId="0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center" vertical="center"/>
      <protection hidden="1"/>
    </xf>
    <xf numFmtId="3" fontId="22" fillId="0" borderId="38" xfId="0" applyNumberFormat="1" applyFont="1" applyBorder="1" applyAlignment="1" applyProtection="1">
      <alignment vertical="center"/>
      <protection hidden="1"/>
    </xf>
    <xf numFmtId="3" fontId="47" fillId="0" borderId="0" xfId="0" applyNumberFormat="1" applyFont="1" applyBorder="1" applyAlignment="1" applyProtection="1">
      <alignment horizontal="left" vertical="center" indent="1"/>
      <protection hidden="1"/>
    </xf>
    <xf numFmtId="3" fontId="0" fillId="0" borderId="37" xfId="0" applyNumberFormat="1" applyBorder="1"/>
    <xf numFmtId="3" fontId="22" fillId="0" borderId="0" xfId="0" applyNumberFormat="1" applyFont="1" applyBorder="1" applyAlignment="1" applyProtection="1">
      <alignment horizontal="right" vertical="center"/>
      <protection hidden="1"/>
    </xf>
    <xf numFmtId="0" fontId="21" fillId="0" borderId="6" xfId="0" applyFont="1" applyBorder="1"/>
    <xf numFmtId="0" fontId="21" fillId="2" borderId="0" xfId="0" applyFont="1" applyFill="1"/>
    <xf numFmtId="0" fontId="22" fillId="0" borderId="39" xfId="0" applyFont="1" applyBorder="1" applyAlignment="1" applyProtection="1">
      <alignment horizontal="center" vertical="center"/>
      <protection hidden="1"/>
    </xf>
    <xf numFmtId="3" fontId="22" fillId="0" borderId="39" xfId="0" applyNumberFormat="1" applyFont="1" applyBorder="1" applyAlignment="1" applyProtection="1">
      <alignment vertical="center"/>
      <protection hidden="1"/>
    </xf>
    <xf numFmtId="0" fontId="21" fillId="0" borderId="35" xfId="0" applyFont="1" applyBorder="1"/>
    <xf numFmtId="0" fontId="46" fillId="0" borderId="34" xfId="0" applyFont="1" applyBorder="1" applyAlignment="1" applyProtection="1">
      <alignment horizontal="right" vertical="center"/>
      <protection hidden="1"/>
    </xf>
    <xf numFmtId="0" fontId="21" fillId="0" borderId="34" xfId="0" applyFont="1" applyBorder="1"/>
    <xf numFmtId="0" fontId="21" fillId="0" borderId="37" xfId="0" applyFont="1" applyBorder="1"/>
    <xf numFmtId="0" fontId="49" fillId="0" borderId="0" xfId="0" applyFont="1" applyAlignment="1">
      <alignment horizontal="left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4" fillId="4" borderId="29" xfId="0" applyFont="1" applyFill="1" applyBorder="1" applyProtection="1">
      <protection hidden="1"/>
    </xf>
    <xf numFmtId="0" fontId="50" fillId="4" borderId="0" xfId="0" applyFont="1" applyFill="1" applyBorder="1" applyAlignment="1"/>
    <xf numFmtId="0" fontId="5" fillId="4" borderId="0" xfId="0" applyFont="1" applyFill="1" applyBorder="1" applyAlignment="1">
      <alignment horizontal="left"/>
    </xf>
    <xf numFmtId="0" fontId="10" fillId="2" borderId="6" xfId="0" applyFont="1" applyFill="1" applyBorder="1" applyAlignment="1" applyProtection="1">
      <alignment horizontal="center" vertical="center"/>
      <protection hidden="1"/>
    </xf>
    <xf numFmtId="0" fontId="0" fillId="2" borderId="7" xfId="0" applyFill="1" applyBorder="1"/>
    <xf numFmtId="0" fontId="21" fillId="4" borderId="0" xfId="0" applyFont="1" applyFill="1" applyAlignment="1"/>
    <xf numFmtId="0" fontId="4" fillId="2" borderId="6" xfId="0" applyFont="1" applyFill="1" applyBorder="1" applyAlignment="1" applyProtection="1">
      <alignment horizontal="center"/>
      <protection hidden="1"/>
    </xf>
    <xf numFmtId="0" fontId="21" fillId="4" borderId="6" xfId="0" applyFont="1" applyFill="1" applyBorder="1" applyAlignment="1">
      <alignment horizontal="left" vertical="center" wrapText="1"/>
    </xf>
    <xf numFmtId="10" fontId="22" fillId="4" borderId="0" xfId="1" applyNumberFormat="1" applyFont="1" applyFill="1" applyBorder="1" applyAlignment="1">
      <alignment horizontal="left" vertical="center" wrapText="1"/>
    </xf>
    <xf numFmtId="10" fontId="22" fillId="4" borderId="6" xfId="1" applyNumberFormat="1" applyFont="1" applyFill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10" fontId="51" fillId="4" borderId="0" xfId="1" applyNumberFormat="1" applyFont="1" applyFill="1" applyBorder="1" applyAlignment="1">
      <alignment vertical="center" wrapText="1"/>
    </xf>
    <xf numFmtId="10" fontId="22" fillId="4" borderId="0" xfId="1" applyNumberFormat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5" fillId="4" borderId="0" xfId="0" applyFont="1" applyFill="1" applyBorder="1" applyAlignment="1">
      <alignment horizontal="left"/>
    </xf>
    <xf numFmtId="0" fontId="25" fillId="4" borderId="6" xfId="0" applyFont="1" applyFill="1" applyBorder="1" applyAlignment="1">
      <alignment horizontal="left"/>
    </xf>
    <xf numFmtId="0" fontId="25" fillId="2" borderId="6" xfId="0" applyFont="1" applyFill="1" applyBorder="1" applyAlignment="1">
      <alignment horizontal="left"/>
    </xf>
    <xf numFmtId="14" fontId="22" fillId="0" borderId="0" xfId="0" applyNumberFormat="1" applyFont="1" applyBorder="1" applyAlignment="1">
      <alignment horizontal="left"/>
    </xf>
    <xf numFmtId="0" fontId="52" fillId="4" borderId="0" xfId="0" applyFont="1" applyFill="1" applyBorder="1" applyAlignment="1">
      <alignment horizontal="left" indent="2"/>
    </xf>
    <xf numFmtId="0" fontId="0" fillId="5" borderId="23" xfId="0" applyFill="1" applyBorder="1" applyAlignment="1">
      <alignment horizontal="left" indent="3"/>
    </xf>
    <xf numFmtId="0" fontId="0" fillId="0" borderId="0" xfId="0" applyBorder="1" applyAlignment="1">
      <alignment horizontal="left" indent="3"/>
    </xf>
    <xf numFmtId="0" fontId="44" fillId="4" borderId="0" xfId="0" applyFont="1" applyFill="1" applyBorder="1" applyAlignment="1">
      <alignment horizontal="centerContinuous"/>
    </xf>
    <xf numFmtId="0" fontId="53" fillId="4" borderId="0" xfId="0" applyFont="1" applyFill="1" applyBorder="1" applyProtection="1">
      <protection hidden="1"/>
    </xf>
    <xf numFmtId="0" fontId="44" fillId="4" borderId="0" xfId="0" applyFont="1" applyFill="1" applyBorder="1" applyProtection="1">
      <protection hidden="1"/>
    </xf>
    <xf numFmtId="0" fontId="44" fillId="4" borderId="0" xfId="0" applyFont="1" applyFill="1" applyBorder="1" applyAlignment="1" applyProtection="1">
      <alignment horizontal="center"/>
      <protection hidden="1"/>
    </xf>
    <xf numFmtId="165" fontId="44" fillId="4" borderId="0" xfId="0" applyNumberFormat="1" applyFont="1" applyFill="1" applyBorder="1" applyAlignment="1">
      <alignment horizontal="center"/>
    </xf>
    <xf numFmtId="0" fontId="46" fillId="4" borderId="0" xfId="0" applyFont="1" applyFill="1" applyBorder="1" applyAlignment="1" applyProtection="1">
      <alignment horizontal="left" vertical="center" indent="1"/>
      <protection hidden="1"/>
    </xf>
    <xf numFmtId="0" fontId="22" fillId="4" borderId="0" xfId="0" applyFont="1" applyFill="1" applyBorder="1" applyAlignment="1" applyProtection="1">
      <alignment vertical="center"/>
      <protection hidden="1"/>
    </xf>
    <xf numFmtId="14" fontId="46" fillId="4" borderId="0" xfId="0" applyNumberFormat="1" applyFont="1" applyFill="1" applyBorder="1" applyAlignment="1" applyProtection="1">
      <alignment horizontal="center" vertical="center"/>
      <protection hidden="1"/>
    </xf>
    <xf numFmtId="0" fontId="21" fillId="4" borderId="0" xfId="0" applyFont="1" applyFill="1" applyBorder="1" applyAlignment="1">
      <alignment horizontal="center"/>
    </xf>
    <xf numFmtId="0" fontId="21" fillId="4" borderId="0" xfId="0" applyFont="1" applyFill="1" applyBorder="1" applyAlignment="1">
      <alignment horizontal="left" vertical="center" indent="1"/>
    </xf>
    <xf numFmtId="14" fontId="22" fillId="4" borderId="0" xfId="0" applyNumberFormat="1" applyFont="1" applyFill="1" applyBorder="1" applyAlignment="1" applyProtection="1">
      <alignment horizontal="center" vertical="center"/>
      <protection hidden="1"/>
    </xf>
    <xf numFmtId="0" fontId="46" fillId="4" borderId="0" xfId="0" applyFont="1" applyFill="1" applyBorder="1" applyAlignment="1" applyProtection="1">
      <alignment vertical="center"/>
      <protection hidden="1"/>
    </xf>
    <xf numFmtId="10" fontId="54" fillId="0" borderId="0" xfId="1" applyNumberFormat="1" applyFont="1" applyFill="1" applyBorder="1" applyAlignment="1">
      <alignment horizontal="left" indent="1"/>
    </xf>
    <xf numFmtId="14" fontId="22" fillId="4" borderId="0" xfId="0" applyNumberFormat="1" applyFont="1" applyFill="1" applyBorder="1" applyAlignment="1">
      <alignment horizontal="left"/>
    </xf>
    <xf numFmtId="10" fontId="40" fillId="0" borderId="0" xfId="1" applyNumberFormat="1" applyFont="1" applyFill="1" applyBorder="1" applyAlignment="1">
      <alignment horizontal="left"/>
    </xf>
    <xf numFmtId="10" fontId="43" fillId="0" borderId="0" xfId="1" applyNumberFormat="1" applyFont="1" applyFill="1" applyBorder="1" applyAlignment="1">
      <alignment horizontal="left"/>
    </xf>
    <xf numFmtId="10" fontId="43" fillId="4" borderId="0" xfId="1" applyNumberFormat="1" applyFont="1" applyFill="1" applyBorder="1" applyAlignment="1">
      <alignment horizontal="left"/>
    </xf>
    <xf numFmtId="0" fontId="55" fillId="4" borderId="1" xfId="0" applyFont="1" applyFill="1" applyBorder="1"/>
    <xf numFmtId="10" fontId="56" fillId="4" borderId="1" xfId="1" applyNumberFormat="1" applyFont="1" applyFill="1" applyBorder="1" applyAlignment="1"/>
    <xf numFmtId="10" fontId="57" fillId="4" borderId="1" xfId="1" applyNumberFormat="1" applyFont="1" applyFill="1" applyBorder="1" applyAlignment="1"/>
    <xf numFmtId="10" fontId="40" fillId="4" borderId="0" xfId="1" applyNumberFormat="1" applyFont="1" applyFill="1" applyBorder="1" applyAlignment="1"/>
    <xf numFmtId="0" fontId="21" fillId="4" borderId="0" xfId="0" applyFont="1" applyFill="1" applyAlignment="1">
      <alignment horizontal="left" vertical="center"/>
    </xf>
    <xf numFmtId="0" fontId="21" fillId="4" borderId="0" xfId="0" applyFont="1" applyFill="1" applyAlignment="1">
      <alignment horizontal="center" vertical="center" wrapText="1"/>
    </xf>
    <xf numFmtId="10" fontId="22" fillId="4" borderId="0" xfId="1" applyNumberFormat="1" applyFont="1" applyFill="1" applyBorder="1" applyAlignment="1"/>
    <xf numFmtId="0" fontId="4" fillId="0" borderId="1" xfId="0" applyFont="1" applyBorder="1"/>
    <xf numFmtId="14" fontId="0" fillId="0" borderId="1" xfId="0" applyNumberFormat="1" applyFont="1" applyBorder="1" applyAlignment="1">
      <alignment horizontal="left"/>
    </xf>
    <xf numFmtId="0" fontId="0" fillId="0" borderId="1" xfId="0" applyFont="1" applyBorder="1"/>
    <xf numFmtId="17" fontId="0" fillId="0" borderId="0" xfId="0" applyNumberFormat="1"/>
    <xf numFmtId="0" fontId="44" fillId="9" borderId="0" xfId="0" applyFont="1" applyFill="1" applyAlignment="1" applyProtection="1">
      <alignment horizontal="right"/>
      <protection hidden="1"/>
    </xf>
    <xf numFmtId="0" fontId="45" fillId="11" borderId="38" xfId="0" applyFont="1" applyFill="1" applyBorder="1" applyAlignment="1" applyProtection="1">
      <alignment horizontal="center" vertical="center"/>
      <protection hidden="1"/>
    </xf>
    <xf numFmtId="0" fontId="22" fillId="0" borderId="39" xfId="0" applyFont="1" applyBorder="1" applyAlignment="1" applyProtection="1">
      <alignment horizontal="right" vertical="center"/>
      <protection hidden="1"/>
    </xf>
    <xf numFmtId="166" fontId="45" fillId="11" borderId="39" xfId="0" applyNumberFormat="1" applyFont="1" applyFill="1" applyBorder="1" applyAlignment="1" applyProtection="1">
      <alignment horizontal="center" vertical="center"/>
      <protection hidden="1"/>
    </xf>
    <xf numFmtId="166" fontId="45" fillId="11" borderId="0" xfId="0" applyNumberFormat="1" applyFont="1" applyFill="1" applyBorder="1" applyAlignment="1" applyProtection="1">
      <alignment horizontal="center" vertical="center"/>
      <protection hidden="1"/>
    </xf>
    <xf numFmtId="0" fontId="44" fillId="9" borderId="0" xfId="0" applyFont="1" applyFill="1" applyAlignment="1" applyProtection="1">
      <alignment horizontal="left" indent="1"/>
      <protection hidden="1"/>
    </xf>
    <xf numFmtId="3" fontId="58" fillId="0" borderId="38" xfId="0" applyNumberFormat="1" applyFont="1" applyBorder="1" applyAlignment="1" applyProtection="1">
      <alignment horizontal="right" vertical="center"/>
      <protection hidden="1"/>
    </xf>
    <xf numFmtId="3" fontId="47" fillId="0" borderId="38" xfId="0" applyNumberFormat="1" applyFont="1" applyBorder="1" applyAlignment="1" applyProtection="1">
      <alignment horizontal="left" vertical="center" indent="1"/>
      <protection hidden="1"/>
    </xf>
    <xf numFmtId="3" fontId="58" fillId="0" borderId="39" xfId="0" applyNumberFormat="1" applyFont="1" applyBorder="1" applyAlignment="1" applyProtection="1">
      <alignment horizontal="right" vertical="center"/>
      <protection hidden="1"/>
    </xf>
    <xf numFmtId="3" fontId="47" fillId="0" borderId="39" xfId="0" applyNumberFormat="1" applyFont="1" applyBorder="1" applyAlignment="1" applyProtection="1">
      <alignment horizontal="left" vertical="center" indent="1"/>
      <protection hidden="1"/>
    </xf>
    <xf numFmtId="3" fontId="41" fillId="0" borderId="0" xfId="0" applyNumberFormat="1" applyFont="1"/>
    <xf numFmtId="0" fontId="5" fillId="4" borderId="0" xfId="0" applyFont="1" applyFill="1" applyBorder="1" applyAlignment="1">
      <alignment horizontal="right"/>
    </xf>
    <xf numFmtId="0" fontId="41" fillId="4" borderId="0" xfId="0" applyFont="1" applyFill="1" applyAlignment="1">
      <alignment horizontal="right"/>
    </xf>
    <xf numFmtId="16" fontId="21" fillId="4" borderId="0" xfId="0" applyNumberFormat="1" applyFont="1" applyFill="1"/>
    <xf numFmtId="0" fontId="5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21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34" fillId="2" borderId="0" xfId="0" applyFont="1" applyFill="1" applyBorder="1" applyAlignment="1">
      <alignment horizontal="left" vertical="center"/>
    </xf>
    <xf numFmtId="0" fontId="43" fillId="0" borderId="0" xfId="0" applyFont="1" applyBorder="1" applyAlignment="1">
      <alignment horizontal="left" vertical="center"/>
    </xf>
    <xf numFmtId="0" fontId="40" fillId="2" borderId="0" xfId="0" applyFont="1" applyFill="1" applyBorder="1"/>
    <xf numFmtId="0" fontId="21" fillId="2" borderId="0" xfId="0" applyFont="1" applyFill="1" applyBorder="1" applyAlignment="1">
      <alignment horizontal="left"/>
    </xf>
    <xf numFmtId="16" fontId="21" fillId="2" borderId="0" xfId="0" applyNumberFormat="1" applyFont="1" applyFill="1" applyBorder="1" applyAlignment="1">
      <alignment horizontal="left"/>
    </xf>
    <xf numFmtId="0" fontId="0" fillId="0" borderId="0" xfId="0" applyFill="1" applyBorder="1"/>
    <xf numFmtId="0" fontId="60" fillId="0" borderId="0" xfId="0" applyFont="1" applyProtection="1">
      <protection hidden="1"/>
    </xf>
    <xf numFmtId="0" fontId="36" fillId="0" borderId="0" xfId="0" applyFont="1"/>
    <xf numFmtId="0" fontId="43" fillId="0" borderId="0" xfId="0" applyFont="1" applyBorder="1" applyAlignment="1"/>
    <xf numFmtId="0" fontId="21" fillId="4" borderId="0" xfId="0" applyFont="1" applyFill="1" applyAlignment="1">
      <alignment horizontal="left" vertical="center" wrapText="1"/>
    </xf>
    <xf numFmtId="0" fontId="4" fillId="4" borderId="0" xfId="0" applyFont="1" applyFill="1" applyAlignment="1" applyProtection="1">
      <alignment horizontal="left" vertical="center"/>
      <protection hidden="1"/>
    </xf>
    <xf numFmtId="0" fontId="21" fillId="4" borderId="0" xfId="0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 wrapText="1"/>
    </xf>
    <xf numFmtId="0" fontId="22" fillId="4" borderId="0" xfId="0" applyFont="1" applyFill="1" applyAlignment="1">
      <alignment horizontal="left" vertical="center"/>
    </xf>
    <xf numFmtId="0" fontId="21" fillId="4" borderId="0" xfId="0" applyFont="1" applyFill="1" applyBorder="1" applyAlignment="1">
      <alignment horizontal="left" wrapText="1"/>
    </xf>
    <xf numFmtId="0" fontId="10" fillId="2" borderId="0" xfId="0" applyFont="1" applyFill="1" applyBorder="1" applyAlignment="1" applyProtection="1">
      <alignment horizontal="center" vertical="center"/>
      <protection hidden="1"/>
    </xf>
    <xf numFmtId="0" fontId="12" fillId="4" borderId="0" xfId="0" applyFont="1" applyFill="1" applyBorder="1" applyAlignment="1">
      <alignment horizontal="left"/>
    </xf>
    <xf numFmtId="10" fontId="22" fillId="4" borderId="0" xfId="1" applyNumberFormat="1" applyFont="1" applyFill="1" applyBorder="1" applyAlignment="1">
      <alignment horizontal="left" vertical="center" wrapText="1"/>
    </xf>
    <xf numFmtId="10" fontId="22" fillId="4" borderId="0" xfId="1" applyNumberFormat="1" applyFont="1" applyFill="1" applyBorder="1" applyAlignment="1">
      <alignment horizontal="left" vertical="center"/>
    </xf>
    <xf numFmtId="0" fontId="23" fillId="4" borderId="0" xfId="0" applyFont="1" applyFill="1" applyAlignment="1">
      <alignment horizontal="left" vertical="center" wrapText="1"/>
    </xf>
    <xf numFmtId="0" fontId="21" fillId="4" borderId="0" xfId="0" applyFont="1" applyFill="1" applyAlignment="1">
      <alignment horizontal="left" wrapText="1"/>
    </xf>
    <xf numFmtId="0" fontId="21" fillId="4" borderId="6" xfId="0" applyFont="1" applyFill="1" applyBorder="1" applyAlignment="1">
      <alignment horizontal="left" wrapText="1"/>
    </xf>
    <xf numFmtId="0" fontId="12" fillId="4" borderId="6" xfId="0" applyFont="1" applyFill="1" applyBorder="1" applyAlignment="1">
      <alignment horizontal="left"/>
    </xf>
    <xf numFmtId="0" fontId="21" fillId="4" borderId="6" xfId="0" applyFont="1" applyFill="1" applyBorder="1" applyAlignment="1">
      <alignment horizontal="left" vertical="center" wrapText="1"/>
    </xf>
    <xf numFmtId="0" fontId="23" fillId="4" borderId="0" xfId="0" applyFont="1" applyFill="1" applyAlignment="1">
      <alignment horizontal="left" vertical="top" wrapText="1"/>
    </xf>
    <xf numFmtId="0" fontId="21" fillId="4" borderId="0" xfId="0" applyFont="1" applyFill="1" applyBorder="1" applyAlignment="1">
      <alignment horizontal="center" vertical="center"/>
    </xf>
    <xf numFmtId="0" fontId="4" fillId="4" borderId="0" xfId="0" applyFont="1" applyFill="1" applyAlignment="1" applyProtection="1">
      <alignment horizontal="right" vertical="center"/>
      <protection hidden="1"/>
    </xf>
    <xf numFmtId="0" fontId="33" fillId="4" borderId="0" xfId="0" applyFont="1" applyFill="1" applyAlignment="1">
      <alignment horizontal="left" wrapText="1"/>
    </xf>
    <xf numFmtId="0" fontId="33" fillId="4" borderId="0" xfId="0" applyFont="1" applyFill="1" applyAlignment="1">
      <alignment horizontal="left" vertical="center" wrapText="1"/>
    </xf>
    <xf numFmtId="0" fontId="33" fillId="4" borderId="0" xfId="0" applyFont="1" applyFill="1" applyBorder="1" applyAlignment="1">
      <alignment horizontal="left" vertical="center"/>
    </xf>
  </cellXfs>
  <cellStyles count="3">
    <cellStyle name="Normal" xfId="0" builtinId="0"/>
    <cellStyle name="Normal 3" xfId="2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rgbClr val="E2F7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615203640392153"/>
          <c:y val="0.11985797336080653"/>
          <c:w val="0.66640428638473181"/>
          <c:h val="0.78980609316358819"/>
        </c:manualLayout>
      </c:layout>
      <c:barChart>
        <c:barDir val="bar"/>
        <c:grouping val="stacked"/>
        <c:varyColors val="0"/>
        <c:ser>
          <c:idx val="0"/>
          <c:order val="0"/>
          <c:tx>
            <c:v>Bens Imóveis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08-4921-B448-A09B476B49C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08-4921-B448-A09B476B49C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08-4921-B448-A09B476B49C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E08-4921-B448-A09B476B49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Concluído</c:v>
              </c:pt>
              <c:pt idx="1">
                <c:v>Em Implementação</c:v>
              </c:pt>
              <c:pt idx="2">
                <c:v>Em Implementação - Alteração EF</c:v>
              </c:pt>
              <c:pt idx="3">
                <c:v>Em Teste</c:v>
              </c:pt>
              <c:pt idx="4">
                <c:v>Validação EF</c:v>
              </c:pt>
              <c:pt idx="5">
                <c:v>Em Teste - Alteração EF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12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149</c:v>
              </c:pt>
            </c:numLit>
          </c:val>
          <c:extLst>
            <c:ext xmlns:c16="http://schemas.microsoft.com/office/drawing/2014/chart" uri="{C3380CC4-5D6E-409C-BE32-E72D297353CC}">
              <c16:uniqueId val="{00000000-9E08-4921-B448-A09B476B49CD}"/>
            </c:ext>
          </c:extLst>
        </c:ser>
        <c:ser>
          <c:idx val="1"/>
          <c:order val="1"/>
          <c:tx>
            <c:v>Green Dashboard</c:v>
          </c:tx>
          <c:spPr>
            <a:solidFill>
              <a:srgbClr val="1AB2BB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E08-4921-B448-A09B476B49C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08-4921-B448-A09B476B49C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E08-4921-B448-A09B476B49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Concluído</c:v>
              </c:pt>
              <c:pt idx="1">
                <c:v>Em Implementação</c:v>
              </c:pt>
              <c:pt idx="2">
                <c:v>Em Implementação - Alteração EF</c:v>
              </c:pt>
              <c:pt idx="3">
                <c:v>Em Teste</c:v>
              </c:pt>
              <c:pt idx="4">
                <c:v>Validação EF</c:v>
              </c:pt>
              <c:pt idx="5">
                <c:v>Em Teste - Alteração EF</c:v>
              </c:pt>
            </c:strLit>
          </c:cat>
          <c:val>
            <c:numLit>
              <c:formatCode>General</c:formatCode>
              <c:ptCount val="6"/>
              <c:pt idx="0">
                <c:v>24</c:v>
              </c:pt>
              <c:pt idx="1">
                <c:v>0</c:v>
              </c:pt>
              <c:pt idx="2">
                <c:v>24</c:v>
              </c:pt>
              <c:pt idx="3">
                <c:v>2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E08-4921-B448-A09B476B49CD}"/>
            </c:ext>
          </c:extLst>
        </c:ser>
        <c:ser>
          <c:idx val="2"/>
          <c:order val="2"/>
          <c:tx>
            <c:v>Modelo Verde</c:v>
          </c:tx>
          <c:spPr>
            <a:solidFill>
              <a:srgbClr val="E2F7D9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E08-4921-B448-A09B476B49C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08-4921-B448-A09B476B49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Concluído</c:v>
              </c:pt>
              <c:pt idx="1">
                <c:v>Em Implementação</c:v>
              </c:pt>
              <c:pt idx="2">
                <c:v>Em Implementação - Alteração EF</c:v>
              </c:pt>
              <c:pt idx="3">
                <c:v>Em Teste</c:v>
              </c:pt>
              <c:pt idx="4">
                <c:v>Validação EF</c:v>
              </c:pt>
              <c:pt idx="5">
                <c:v>Em Teste - Alteração EF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103</c:v>
              </c:pt>
              <c:pt idx="2">
                <c:v>0</c:v>
              </c:pt>
              <c:pt idx="3">
                <c:v>38</c:v>
              </c:pt>
              <c:pt idx="4">
                <c:v>19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9E08-4921-B448-A09B476B4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4834447"/>
        <c:axId val="514852751"/>
      </c:barChart>
      <c:catAx>
        <c:axId val="5148344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(Body)"/>
                <a:ea typeface="+mn-ea"/>
                <a:cs typeface="+mn-cs"/>
              </a:defRPr>
            </a:pPr>
            <a:endParaRPr lang="pt-PT"/>
          </a:p>
        </c:txPr>
        <c:crossAx val="514852751"/>
        <c:crosses val="autoZero"/>
        <c:auto val="1"/>
        <c:lblAlgn val="ctr"/>
        <c:lblOffset val="100"/>
        <c:noMultiLvlLbl val="0"/>
      </c:catAx>
      <c:valAx>
        <c:axId val="514852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483444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2494778451483275"/>
          <c:y val="0.34290388058969262"/>
          <c:w val="0.17505221548516722"/>
          <c:h val="0.391215014595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(Body)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8181"/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818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427205272685651"/>
          <c:y val="0.12214098237720285"/>
          <c:w val="0.50830141468084877"/>
          <c:h val="0.78580239970003751"/>
        </c:manualLayout>
      </c:layout>
      <c:barChart>
        <c:barDir val="bar"/>
        <c:grouping val="stacked"/>
        <c:varyColors val="0"/>
        <c:ser>
          <c:idx val="0"/>
          <c:order val="0"/>
          <c:tx>
            <c:v>CDO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BF-45C2-B4D7-3943A4000A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BF-45C2-B4D7-3943A4000A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BF-45C2-B4D7-3943A4000A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BF-45C2-B4D7-3943A4000A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Em Implementação</c:v>
              </c:pt>
              <c:pt idx="1">
                <c:v>Em Implementação - Alteração EF</c:v>
              </c:pt>
              <c:pt idx="2">
                <c:v>Em Teste</c:v>
              </c:pt>
              <c:pt idx="3">
                <c:v>Em Correção</c:v>
              </c:pt>
              <c:pt idx="4">
                <c:v>Validação EF</c:v>
              </c:pt>
              <c:pt idx="5">
                <c:v>Em Teste - Alteração EF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149</c:v>
              </c:pt>
            </c:numLit>
          </c:val>
          <c:extLst>
            <c:ext xmlns:c16="http://schemas.microsoft.com/office/drawing/2014/chart" uri="{C3380CC4-5D6E-409C-BE32-E72D297353CC}">
              <c16:uniqueId val="{00000000-88BF-45C2-B4D7-3943A4000A65}"/>
            </c:ext>
          </c:extLst>
        </c:ser>
        <c:ser>
          <c:idx val="1"/>
          <c:order val="1"/>
          <c:tx>
            <c:v>IT</c:v>
          </c:tx>
          <c:spPr>
            <a:solidFill>
              <a:srgbClr val="FF8181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F-45C2-B4D7-3943A4000A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Em Implementação</c:v>
              </c:pt>
              <c:pt idx="1">
                <c:v>Em Implementação - Alteração EF</c:v>
              </c:pt>
              <c:pt idx="2">
                <c:v>Em Teste</c:v>
              </c:pt>
              <c:pt idx="3">
                <c:v>Em Correção</c:v>
              </c:pt>
              <c:pt idx="4">
                <c:v>Validação EF</c:v>
              </c:pt>
              <c:pt idx="5">
                <c:v>Em Teste - Alteração EF</c:v>
              </c:pt>
            </c:strLit>
          </c:cat>
          <c:val>
            <c:numLit>
              <c:formatCode>General</c:formatCode>
              <c:ptCount val="6"/>
              <c:pt idx="0">
                <c:v>115</c:v>
              </c:pt>
              <c:pt idx="1">
                <c:v>24</c:v>
              </c:pt>
              <c:pt idx="2">
                <c:v>2</c:v>
              </c:pt>
              <c:pt idx="3">
                <c:v>29</c:v>
              </c:pt>
              <c:pt idx="4">
                <c:v>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8BF-45C2-B4D7-3943A4000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4858575"/>
        <c:axId val="514835695"/>
      </c:barChart>
      <c:catAx>
        <c:axId val="51485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(Body)"/>
                <a:ea typeface="+mn-ea"/>
                <a:cs typeface="+mn-cs"/>
              </a:defRPr>
            </a:pPr>
            <a:endParaRPr lang="pt-PT"/>
          </a:p>
        </c:txPr>
        <c:crossAx val="514835695"/>
        <c:crosses val="autoZero"/>
        <c:auto val="1"/>
        <c:lblAlgn val="ctr"/>
        <c:lblOffset val="100"/>
        <c:noMultiLvlLbl val="0"/>
      </c:catAx>
      <c:valAx>
        <c:axId val="5148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485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902513285277406"/>
          <c:y val="0.38910854893138358"/>
          <c:w val="7.3959264575677794E-2"/>
          <c:h val="0.21940101237345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(Body)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227126067644229"/>
          <c:y val="7.9128884216404696E-2"/>
          <c:w val="0.36726879116579619"/>
          <c:h val="0.88705384579841595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FFD9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EF-48BD-855A-8F3760355DE7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EF-48BD-855A-8F3760355DE7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EF-48BD-855A-8F3760355D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EF-48BD-855A-8F3760355D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EF-48BD-855A-8F3760355D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Em Teste</c:v>
              </c:pt>
              <c:pt idx="1">
                <c:v>Concluído</c:v>
              </c:pt>
              <c:pt idx="2">
                <c:v>Alteração EF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24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A-A3EF-48BD-855A-8F3760355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251278438343774"/>
          <c:y val="0.25368311432745833"/>
          <c:w val="0.32022391429621205"/>
          <c:h val="0.40954894882990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rgbClr val="1AB2BB"/>
          </a:solidFill>
          <a:ln>
            <a:noFill/>
          </a:ln>
          <a:effectLst/>
        </c:spPr>
      </c:pivotFmt>
      <c:pivotFmt>
        <c:idx val="28"/>
        <c:spPr>
          <a:solidFill>
            <a:srgbClr val="DEEDF1"/>
          </a:solidFill>
          <a:ln>
            <a:noFill/>
          </a:ln>
          <a:effectLst/>
        </c:spPr>
      </c:pivotFmt>
      <c:pivotFmt>
        <c:idx val="29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E2F7D9"/>
          </a:solidFill>
          <a:ln>
            <a:noFill/>
          </a:ln>
          <a:effectLst/>
        </c:spPr>
      </c:pivotFmt>
      <c:pivotFmt>
        <c:idx val="40"/>
        <c:spPr>
          <a:solidFill>
            <a:srgbClr val="A6A6A6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rgbClr val="1AB2BB"/>
          </a:solidFill>
          <a:ln>
            <a:noFill/>
          </a:ln>
          <a:effectLst/>
        </c:spPr>
      </c:pivotFmt>
      <c:pivotFmt>
        <c:idx val="47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D9D9D9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2F0D9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E2F7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439877054832757"/>
          <c:y val="6.4460399269903504E-2"/>
          <c:w val="0.61355187568621716"/>
          <c:h val="0.88330682603907085"/>
        </c:manualLayout>
      </c:layout>
      <c:barChart>
        <c:barDir val="bar"/>
        <c:grouping val="stacked"/>
        <c:varyColors val="0"/>
        <c:ser>
          <c:idx val="0"/>
          <c:order val="0"/>
          <c:tx>
            <c:v>Corporativo</c:v>
          </c:tx>
          <c:spPr>
            <a:solidFill>
              <a:srgbClr val="1AB2BB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68A-40EC-82C7-3E7E8333924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8A-40EC-82C7-3E7E833392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Concluído</c:v>
              </c:pt>
              <c:pt idx="1">
                <c:v>Em Teste</c:v>
              </c:pt>
              <c:pt idx="2">
                <c:v>Alteração EF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8A-40EC-82C7-3E7E83339244}"/>
            </c:ext>
          </c:extLst>
        </c:ser>
        <c:ser>
          <c:idx val="1"/>
          <c:order val="1"/>
          <c:tx>
            <c:v>LT ESTR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8A-40EC-82C7-3E7E8333924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8A-40EC-82C7-3E7E833392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Concluído</c:v>
              </c:pt>
              <c:pt idx="1">
                <c:v>Em Teste</c:v>
              </c:pt>
              <c:pt idx="2">
                <c:v>Alteração EF</c:v>
              </c:pt>
            </c:strLit>
          </c:cat>
          <c:val>
            <c:numLit>
              <c:formatCode>General</c:formatCode>
              <c:ptCount val="3"/>
              <c:pt idx="0">
                <c:v>18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8A-40EC-82C7-3E7E83339244}"/>
            </c:ext>
          </c:extLst>
        </c:ser>
        <c:ser>
          <c:idx val="2"/>
          <c:order val="2"/>
          <c:tx>
            <c:v>Modelo Verde</c:v>
          </c:tx>
          <c:spPr>
            <a:solidFill>
              <a:srgbClr val="E2F7D9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68A-40EC-82C7-3E7E8333924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8A-40EC-82C7-3E7E833392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Concluído</c:v>
              </c:pt>
              <c:pt idx="1">
                <c:v>Em Teste</c:v>
              </c:pt>
              <c:pt idx="2">
                <c:v>Alteração EF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2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8A-40EC-82C7-3E7E83339244}"/>
            </c:ext>
          </c:extLst>
        </c:ser>
        <c:ser>
          <c:idx val="3"/>
          <c:order val="3"/>
          <c:tx>
            <c:v>Rentabilidade</c:v>
          </c:tx>
          <c:spPr>
            <a:solidFill>
              <a:srgbClr val="DEEDF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68A-40EC-82C7-3E7E833392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Concluído</c:v>
              </c:pt>
              <c:pt idx="1">
                <c:v>Em Teste</c:v>
              </c:pt>
              <c:pt idx="2">
                <c:v>Alteração EF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0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3-B68A-40EC-82C7-3E7E833392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9032159"/>
        <c:axId val="79032575"/>
      </c:barChart>
      <c:catAx>
        <c:axId val="790321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79032575"/>
        <c:crosses val="autoZero"/>
        <c:auto val="1"/>
        <c:lblAlgn val="ctr"/>
        <c:lblOffset val="100"/>
        <c:noMultiLvlLbl val="0"/>
      </c:catAx>
      <c:valAx>
        <c:axId val="79032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0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7430344434164"/>
          <c:y val="0.23847036810913463"/>
          <c:w val="0.22940653341959838"/>
          <c:h val="0.519250908956636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268130702465385"/>
          <c:y val="0"/>
          <c:w val="0.35430725270871055"/>
          <c:h val="0.7901054454344481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32-4101-8B65-46EC6C63688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32-4101-8B65-46EC6C63688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32-4101-8B65-46EC6C63688F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32-4101-8B65-46EC6C6368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32-4101-8B65-46EC6C63688F}"/>
              </c:ext>
            </c:extLst>
          </c:dPt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E32-4101-8B65-46EC6C6368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[1]aux!$B$59:$F$59</c:f>
              <c:strCache>
                <c:ptCount val="5"/>
                <c:pt idx="0">
                  <c:v>OK</c:v>
                </c:pt>
                <c:pt idx="1">
                  <c:v>NOK</c:v>
                </c:pt>
                <c:pt idx="2">
                  <c:v>WIP</c:v>
                </c:pt>
                <c:pt idx="3">
                  <c:v>NS</c:v>
                </c:pt>
                <c:pt idx="4">
                  <c:v>NA</c:v>
                </c:pt>
              </c:strCache>
            </c:strRef>
          </c:cat>
          <c:val>
            <c:numRef>
              <c:f>[1]aux!$B$60:$F$60</c:f>
              <c:numCache>
                <c:formatCode>General</c:formatCode>
                <c:ptCount val="5"/>
                <c:pt idx="0">
                  <c:v>0.93931505466479137</c:v>
                </c:pt>
                <c:pt idx="1">
                  <c:v>2.0684945335208441E-2</c:v>
                </c:pt>
                <c:pt idx="2">
                  <c:v>0</c:v>
                </c:pt>
                <c:pt idx="3">
                  <c:v>0.04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32-4101-8B65-46EC6C636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0.82879758292932881"/>
          <c:y val="0.1093670658046795"/>
          <c:w val="0.12605122873784266"/>
          <c:h val="0.708890926286380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423772609819122E-2"/>
          <c:y val="1.282051282051282E-2"/>
          <c:w val="0.9431524547803618"/>
          <c:h val="0.987179487179487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B7-49C8-9E24-147F34A3BFE7}"/>
              </c:ext>
            </c:extLst>
          </c:dPt>
          <c:dLbls>
            <c:dLbl>
              <c:idx val="1"/>
              <c:layout>
                <c:manualLayout>
                  <c:x val="3.0519440883843008E-6"/>
                  <c:y val="-6.55301788511273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4B7-49C8-9E24-147F34A3BFE7}"/>
                </c:ext>
              </c:extLst>
            </c:dLbl>
            <c:dLbl>
              <c:idx val="2"/>
              <c:layout>
                <c:manualLayout>
                  <c:x val="-2.2340954239969188E-6"/>
                  <c:y val="-6.86083916693546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4B7-49C8-9E24-147F34A3BFE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[1]aux!$B$59:$E$59</c:f>
              <c:strCache>
                <c:ptCount val="4"/>
                <c:pt idx="0">
                  <c:v>OK</c:v>
                </c:pt>
                <c:pt idx="1">
                  <c:v>NOK</c:v>
                </c:pt>
                <c:pt idx="2">
                  <c:v>WIP</c:v>
                </c:pt>
                <c:pt idx="3">
                  <c:v>NS</c:v>
                </c:pt>
              </c:strCache>
            </c:strRef>
          </c:cat>
          <c:val>
            <c:numRef>
              <c:f>[1]aux!$B$61:$E$61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B7-49C8-9E24-147F34A3BF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500735"/>
        <c:axId val="151484511"/>
      </c:barChart>
      <c:dateAx>
        <c:axId val="151500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  <a:alpha val="92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51484511"/>
        <c:crosses val="autoZero"/>
        <c:auto val="0"/>
        <c:lblOffset val="100"/>
        <c:baseTimeUnit val="days"/>
      </c:dateAx>
      <c:valAx>
        <c:axId val="1514845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15007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818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8181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7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FF818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5D-4A96-B117-686F81F58AB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5D-4A96-B117-686F81F58AB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5D-4A96-B117-686F81F58AB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5D-4A96-B117-686F81F58AB7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5D-4A96-B117-686F81F58A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Em Implementação</c:v>
              </c:pt>
              <c:pt idx="1">
                <c:v>Em Teste</c:v>
              </c:pt>
              <c:pt idx="2">
                <c:v>Concluído</c:v>
              </c:pt>
              <c:pt idx="3">
                <c:v>Em Correção</c:v>
              </c:pt>
              <c:pt idx="4">
                <c:v>Validação EF</c:v>
              </c:pt>
            </c:strLit>
          </c:cat>
          <c:val>
            <c:numLit>
              <c:formatCode>General</c:formatCode>
              <c:ptCount val="5"/>
              <c:pt idx="0">
                <c:v>103</c:v>
              </c:pt>
              <c:pt idx="1">
                <c:v>38</c:v>
              </c:pt>
              <c:pt idx="2">
                <c:v>17</c:v>
              </c:pt>
              <c:pt idx="3">
                <c:v>33</c:v>
              </c:pt>
              <c:pt idx="4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A-B25D-4A96-B117-686F81F58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17688698003656"/>
          <c:y val="0.35874550607644634"/>
          <c:w val="0.27616810136495173"/>
          <c:h val="0.4252941727872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1AB2BB"/>
          </a:solidFill>
          <a:ln>
            <a:noFill/>
          </a:ln>
          <a:effectLst/>
        </c:spPr>
      </c:pivotFmt>
      <c:pivotFmt>
        <c:idx val="14"/>
        <c:spPr>
          <a:solidFill>
            <a:srgbClr val="DEF7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671645312997029"/>
          <c:y val="0.12768943212338152"/>
          <c:w val="0.4726099771672933"/>
          <c:h val="0.82667686701287735"/>
        </c:manualLayout>
      </c:layout>
      <c:barChart>
        <c:barDir val="bar"/>
        <c:grouping val="stacked"/>
        <c:varyColors val="0"/>
        <c:ser>
          <c:idx val="0"/>
          <c:order val="0"/>
          <c:tx>
            <c:v>Input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AB2B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35-4B75-863A-705B312225D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35-4B75-863A-705B312225D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35-4B75-863A-705B312225D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635-4B75-863A-705B312225D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635-4B75-863A-705B312225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Em Implementação</c:v>
              </c:pt>
              <c:pt idx="1">
                <c:v>Em Teste</c:v>
              </c:pt>
              <c:pt idx="2">
                <c:v>Concluído</c:v>
              </c:pt>
              <c:pt idx="3">
                <c:v>Em Correção</c:v>
              </c:pt>
              <c:pt idx="4">
                <c:v>Validação EF</c:v>
              </c:pt>
            </c:strLit>
          </c:cat>
          <c:val>
            <c:numLit>
              <c:formatCode>General</c:formatCode>
              <c:ptCount val="5"/>
              <c:pt idx="0">
                <c:v>103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635-4B75-863A-705B312225DF}"/>
            </c:ext>
          </c:extLst>
        </c:ser>
        <c:ser>
          <c:idx val="1"/>
          <c:order val="1"/>
          <c:tx>
            <c:v>Output</c:v>
          </c:tx>
          <c:spPr>
            <a:solidFill>
              <a:srgbClr val="DEF7E7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35-4B75-863A-705B312225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Em Implementação</c:v>
              </c:pt>
              <c:pt idx="1">
                <c:v>Em Teste</c:v>
              </c:pt>
              <c:pt idx="2">
                <c:v>Concluído</c:v>
              </c:pt>
              <c:pt idx="3">
                <c:v>Em Correção</c:v>
              </c:pt>
              <c:pt idx="4">
                <c:v>Validação EF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13</c:v>
              </c:pt>
              <c:pt idx="2">
                <c:v>17</c:v>
              </c:pt>
              <c:pt idx="3">
                <c:v>33</c:v>
              </c:pt>
              <c:pt idx="4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3-4635-4B75-863A-705B312225DF}"/>
            </c:ext>
          </c:extLst>
        </c:ser>
        <c:ser>
          <c:idx val="2"/>
          <c:order val="2"/>
          <c:tx>
            <c:v>Parametrização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35-4B75-863A-705B312225D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35-4B75-863A-705B312225D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35-4B75-863A-705B312225D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35-4B75-863A-705B312225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Em Implementação</c:v>
              </c:pt>
              <c:pt idx="1">
                <c:v>Em Teste</c:v>
              </c:pt>
              <c:pt idx="2">
                <c:v>Concluído</c:v>
              </c:pt>
              <c:pt idx="3">
                <c:v>Em Correção</c:v>
              </c:pt>
              <c:pt idx="4">
                <c:v>Validação EF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25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4635-4B75-863A-705B31222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238736"/>
        <c:axId val="1286238320"/>
      </c:barChart>
      <c:catAx>
        <c:axId val="128623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"/>
                <a:ea typeface="+mn-ea"/>
                <a:cs typeface="+mn-cs"/>
              </a:defRPr>
            </a:pPr>
            <a:endParaRPr lang="pt-PT"/>
          </a:p>
        </c:txPr>
        <c:crossAx val="1286238320"/>
        <c:crosses val="autoZero"/>
        <c:auto val="1"/>
        <c:lblAlgn val="ctr"/>
        <c:lblOffset val="100"/>
        <c:noMultiLvlLbl val="0"/>
      </c:catAx>
      <c:valAx>
        <c:axId val="1286238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623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FF818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8A-473E-BA3C-07D9B590D84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8A-473E-BA3C-07D9B590D841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8A-473E-BA3C-07D9B590D841}"/>
                </c:ext>
              </c:extLst>
            </c:dLbl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8A-473E-BA3C-07D9B590D8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Em Implementação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12</c:v>
              </c:pt>
              <c:pt idx="1">
                <c:v>149</c:v>
              </c:pt>
            </c:numLit>
          </c:val>
          <c:extLst>
            <c:ext xmlns:c16="http://schemas.microsoft.com/office/drawing/2014/chart" uri="{C3380CC4-5D6E-409C-BE32-E72D297353CC}">
              <c16:uniqueId val="{00000004-A48A-473E-BA3C-07D9B590D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DEF7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17917125644268"/>
          <c:y val="0.13289951450369222"/>
          <c:w val="0.46210123345980714"/>
          <c:h val="0.76693525355962633"/>
        </c:manualLayout>
      </c:layout>
      <c:barChart>
        <c:barDir val="bar"/>
        <c:grouping val="stacked"/>
        <c:varyColors val="0"/>
        <c:ser>
          <c:idx val="0"/>
          <c:order val="0"/>
          <c:tx>
            <c:v>CD_IMV_INP_CERTIF_ESTIMATIVA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9FE-4FF0-95D4-9D9EC0B32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Em Implementação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12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9FE-4FF0-95D4-9D9EC0B32979}"/>
            </c:ext>
          </c:extLst>
        </c:ser>
        <c:ser>
          <c:idx val="1"/>
          <c:order val="1"/>
          <c:tx>
            <c:v>CD_IMV_OUT_BENS</c:v>
          </c:tx>
          <c:spPr>
            <a:solidFill>
              <a:srgbClr val="1AB2BB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9FE-4FF0-95D4-9D9EC0B32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Em Implementação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32</c:v>
              </c:pt>
            </c:numLit>
          </c:val>
          <c:extLst>
            <c:ext xmlns:c16="http://schemas.microsoft.com/office/drawing/2014/chart" uri="{C3380CC4-5D6E-409C-BE32-E72D297353CC}">
              <c16:uniqueId val="{00000001-99FE-4FF0-95D4-9D9EC0B32979}"/>
            </c:ext>
          </c:extLst>
        </c:ser>
        <c:ser>
          <c:idx val="2"/>
          <c:order val="2"/>
          <c:tx>
            <c:v>CD_IMV_OUT_CERTIF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9FE-4FF0-95D4-9D9EC0B32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Em Implementação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65</c:v>
              </c:pt>
            </c:numLit>
          </c:val>
          <c:extLst>
            <c:ext xmlns:c16="http://schemas.microsoft.com/office/drawing/2014/chart" uri="{C3380CC4-5D6E-409C-BE32-E72D297353CC}">
              <c16:uniqueId val="{00000002-99FE-4FF0-95D4-9D9EC0B32979}"/>
            </c:ext>
          </c:extLst>
        </c:ser>
        <c:ser>
          <c:idx val="3"/>
          <c:order val="3"/>
          <c:tx>
            <c:v>CD_IMV_OUT_PRC</c:v>
          </c:tx>
          <c:spPr>
            <a:solidFill>
              <a:srgbClr val="DEF7E7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FE-4FF0-95D4-9D9EC0B32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Em Implementação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3-99FE-4FF0-95D4-9D9EC0B32979}"/>
            </c:ext>
          </c:extLst>
        </c:ser>
        <c:ser>
          <c:idx val="4"/>
          <c:order val="4"/>
          <c:tx>
            <c:v>CD_IMV_OUT_TRZ_CRED_PRC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9FE-4FF0-95D4-9D9EC0B32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Em Implementação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4-99FE-4FF0-95D4-9D9EC0B32979}"/>
            </c:ext>
          </c:extLst>
        </c:ser>
        <c:ser>
          <c:idx val="5"/>
          <c:order val="5"/>
          <c:tx>
            <c:v>CD_IMV_OUT_TRZ_PRC_BENS_IMV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9FE-4FF0-95D4-9D9EC0B32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Em Implementação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5-99FE-4FF0-95D4-9D9EC0B329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7013184"/>
        <c:axId val="2087020256"/>
      </c:barChart>
      <c:catAx>
        <c:axId val="2087013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87020256"/>
        <c:crosses val="autoZero"/>
        <c:auto val="1"/>
        <c:lblAlgn val="ctr"/>
        <c:lblOffset val="100"/>
        <c:noMultiLvlLbl val="0"/>
      </c:catAx>
      <c:valAx>
        <c:axId val="2087020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701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123258903820171"/>
          <c:y val="0.15995437422653774"/>
          <c:w val="0.45876741096179835"/>
          <c:h val="0.76549474385649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sv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.png"/><Relationship Id="rId7" Type="http://schemas.openxmlformats.org/officeDocument/2006/relationships/chart" Target="../charts/chart6.xml"/><Relationship Id="rId2" Type="http://schemas.openxmlformats.org/officeDocument/2006/relationships/image" Target="../media/image3.sv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svg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svg"/><Relationship Id="rId1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45025</xdr:colOff>
      <xdr:row>1</xdr:row>
      <xdr:rowOff>125983</xdr:rowOff>
    </xdr:from>
    <xdr:to>
      <xdr:col>4</xdr:col>
      <xdr:colOff>694812</xdr:colOff>
      <xdr:row>2</xdr:row>
      <xdr:rowOff>96846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4854630-F638-4E46-97BF-1D1E7570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563185" y="331723"/>
          <a:ext cx="863147" cy="153743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479</xdr:row>
      <xdr:rowOff>929</xdr:rowOff>
    </xdr:from>
    <xdr:to>
      <xdr:col>5</xdr:col>
      <xdr:colOff>130967</xdr:colOff>
      <xdr:row>481</xdr:row>
      <xdr:rowOff>23812</xdr:rowOff>
    </xdr:to>
    <xdr:sp macro="" textlink="">
      <xdr:nvSpPr>
        <xdr:cNvPr id="3" name="Rectangle: Rounded Corners 23">
          <a:extLst>
            <a:ext uri="{FF2B5EF4-FFF2-40B4-BE49-F238E27FC236}">
              <a16:creationId xmlns:a16="http://schemas.microsoft.com/office/drawing/2014/main" id="{C7FE7E5F-EDE2-4C0C-BFAA-15508D983A9E}"/>
            </a:ext>
          </a:extLst>
        </xdr:cNvPr>
        <xdr:cNvSpPr/>
      </xdr:nvSpPr>
      <xdr:spPr>
        <a:xfrm>
          <a:off x="518160" y="95250000"/>
          <a:ext cx="2500787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Jun23</a:t>
          </a:r>
        </a:p>
      </xdr:txBody>
    </xdr:sp>
    <xdr:clientData/>
  </xdr:twoCellAnchor>
  <xdr:twoCellAnchor>
    <xdr:from>
      <xdr:col>14</xdr:col>
      <xdr:colOff>190500</xdr:colOff>
      <xdr:row>479</xdr:row>
      <xdr:rowOff>929</xdr:rowOff>
    </xdr:from>
    <xdr:to>
      <xdr:col>17</xdr:col>
      <xdr:colOff>130967</xdr:colOff>
      <xdr:row>481</xdr:row>
      <xdr:rowOff>23812</xdr:rowOff>
    </xdr:to>
    <xdr:sp macro="" textlink="">
      <xdr:nvSpPr>
        <xdr:cNvPr id="4" name="Rectangle: Rounded Corners 24">
          <a:extLst>
            <a:ext uri="{FF2B5EF4-FFF2-40B4-BE49-F238E27FC236}">
              <a16:creationId xmlns:a16="http://schemas.microsoft.com/office/drawing/2014/main" id="{9992DB88-DB30-4AAD-A02E-197AF1AC9BCC}"/>
            </a:ext>
          </a:extLst>
        </xdr:cNvPr>
        <xdr:cNvSpPr/>
      </xdr:nvSpPr>
      <xdr:spPr>
        <a:xfrm>
          <a:off x="18059400" y="95250000"/>
          <a:ext cx="2727960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Jun22</a:t>
          </a:r>
        </a:p>
      </xdr:txBody>
    </xdr:sp>
    <xdr:clientData/>
  </xdr:twoCellAnchor>
  <xdr:twoCellAnchor>
    <xdr:from>
      <xdr:col>11</xdr:col>
      <xdr:colOff>215856</xdr:colOff>
      <xdr:row>11</xdr:row>
      <xdr:rowOff>61854</xdr:rowOff>
    </xdr:from>
    <xdr:to>
      <xdr:col>14</xdr:col>
      <xdr:colOff>680856</xdr:colOff>
      <xdr:row>12</xdr:row>
      <xdr:rowOff>264108</xdr:rowOff>
    </xdr:to>
    <xdr:sp macro="" textlink="">
      <xdr:nvSpPr>
        <xdr:cNvPr id="5" name="Rectangle: Rounded Corners 8">
          <a:extLst>
            <a:ext uri="{FF2B5EF4-FFF2-40B4-BE49-F238E27FC236}">
              <a16:creationId xmlns:a16="http://schemas.microsoft.com/office/drawing/2014/main" id="{59020EA6-B62C-4CFB-9BDA-894AF585650D}"/>
            </a:ext>
          </a:extLst>
        </xdr:cNvPr>
        <xdr:cNvSpPr/>
      </xdr:nvSpPr>
      <xdr:spPr>
        <a:xfrm>
          <a:off x="15257736" y="1326774"/>
          <a:ext cx="3292020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sz="1400" b="1" i="1">
              <a:latin typeface="Santander Text" panose="020B0504020201020104" pitchFamily="34" charset="0"/>
            </a:rPr>
            <a:t>Status</a:t>
          </a:r>
          <a:r>
            <a:rPr lang="pt-PT" sz="1400" b="1" i="0">
              <a:latin typeface="Santander Text" panose="020B0504020201020104" pitchFamily="34" charset="0"/>
            </a:rPr>
            <a:t> dos campos</a:t>
          </a:r>
        </a:p>
      </xdr:txBody>
    </xdr:sp>
    <xdr:clientData/>
  </xdr:twoCellAnchor>
  <xdr:twoCellAnchor>
    <xdr:from>
      <xdr:col>3</xdr:col>
      <xdr:colOff>194084</xdr:colOff>
      <xdr:row>24</xdr:row>
      <xdr:rowOff>68009</xdr:rowOff>
    </xdr:from>
    <xdr:to>
      <xdr:col>5</xdr:col>
      <xdr:colOff>937844</xdr:colOff>
      <xdr:row>25</xdr:row>
      <xdr:rowOff>228700</xdr:rowOff>
    </xdr:to>
    <xdr:sp macro="" textlink="">
      <xdr:nvSpPr>
        <xdr:cNvPr id="6" name="Rectangle: Rounded Corners 9">
          <a:extLst>
            <a:ext uri="{FF2B5EF4-FFF2-40B4-BE49-F238E27FC236}">
              <a16:creationId xmlns:a16="http://schemas.microsoft.com/office/drawing/2014/main" id="{624A1871-C90A-4162-8812-82A849CF24B1}"/>
            </a:ext>
          </a:extLst>
        </xdr:cNvPr>
        <xdr:cNvSpPr/>
      </xdr:nvSpPr>
      <xdr:spPr>
        <a:xfrm>
          <a:off x="712244" y="5508689"/>
          <a:ext cx="3113580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</a:t>
          </a:r>
          <a:r>
            <a:rPr lang="pt-PT" sz="1400" b="1" i="0" baseline="0">
              <a:latin typeface="Santander Text" panose="020B0504020201020104" pitchFamily="34" charset="0"/>
            </a:rPr>
            <a:t> planeados </a:t>
          </a:r>
          <a:r>
            <a:rPr lang="pt-PT" sz="1400" b="1" i="0">
              <a:latin typeface="Santander Text" panose="020B0504020201020104" pitchFamily="34" charset="0"/>
            </a:rPr>
            <a:t>na</a:t>
          </a:r>
          <a:r>
            <a:rPr lang="pt-PT" sz="1400" b="1" i="0" baseline="0">
              <a:latin typeface="Santander Text" panose="020B0504020201020104" pitchFamily="34" charset="0"/>
            </a:rPr>
            <a:t> semana 17/05</a:t>
          </a:r>
          <a:r>
            <a:rPr lang="pt-PT" sz="1400" b="1" i="0">
              <a:latin typeface="Santander Text" panose="020B0504020201020104" pitchFamily="34" charset="0"/>
            </a:rPr>
            <a:t> </a:t>
          </a:r>
        </a:p>
      </xdr:txBody>
    </xdr:sp>
    <xdr:clientData/>
  </xdr:twoCellAnchor>
  <xdr:twoCellAnchor>
    <xdr:from>
      <xdr:col>24</xdr:col>
      <xdr:colOff>21194</xdr:colOff>
      <xdr:row>11</xdr:row>
      <xdr:rowOff>61854</xdr:rowOff>
    </xdr:from>
    <xdr:to>
      <xdr:col>25</xdr:col>
      <xdr:colOff>1492034</xdr:colOff>
      <xdr:row>12</xdr:row>
      <xdr:rowOff>264108</xdr:rowOff>
    </xdr:to>
    <xdr:sp macro="" textlink="">
      <xdr:nvSpPr>
        <xdr:cNvPr id="7" name="Rectangle: Rounded Corners 10">
          <a:extLst>
            <a:ext uri="{FF2B5EF4-FFF2-40B4-BE49-F238E27FC236}">
              <a16:creationId xmlns:a16="http://schemas.microsoft.com/office/drawing/2014/main" id="{1C651064-CC93-42DE-82AF-B477EF02AC44}"/>
            </a:ext>
          </a:extLst>
        </xdr:cNvPr>
        <xdr:cNvSpPr/>
      </xdr:nvSpPr>
      <xdr:spPr>
        <a:xfrm>
          <a:off x="23025974" y="1326774"/>
          <a:ext cx="3124380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Campos</a:t>
          </a:r>
          <a:r>
            <a:rPr lang="pt-PT" sz="1400" b="1" i="0" baseline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 Pendentes</a:t>
          </a:r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 por </a:t>
          </a:r>
          <a:r>
            <a:rPr lang="pt-PT" sz="1400" b="1" i="0" baseline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Owner</a:t>
          </a:r>
          <a:endParaRPr lang="pt-PT" sz="1400" b="1" i="0">
            <a:solidFill>
              <a:schemeClr val="lt1"/>
            </a:solidFill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114020</xdr:colOff>
      <xdr:row>24</xdr:row>
      <xdr:rowOff>68009</xdr:rowOff>
    </xdr:from>
    <xdr:to>
      <xdr:col>25</xdr:col>
      <xdr:colOff>1584860</xdr:colOff>
      <xdr:row>25</xdr:row>
      <xdr:rowOff>228700</xdr:rowOff>
    </xdr:to>
    <xdr:sp macro="" textlink="">
      <xdr:nvSpPr>
        <xdr:cNvPr id="8" name="Rectangle: Rounded Corners 11">
          <a:extLst>
            <a:ext uri="{FF2B5EF4-FFF2-40B4-BE49-F238E27FC236}">
              <a16:creationId xmlns:a16="http://schemas.microsoft.com/office/drawing/2014/main" id="{8927D69F-338E-4CF9-BBE6-4C7816DB7497}"/>
            </a:ext>
          </a:extLst>
        </xdr:cNvPr>
        <xdr:cNvSpPr/>
      </xdr:nvSpPr>
      <xdr:spPr>
        <a:xfrm>
          <a:off x="23118800" y="5508689"/>
          <a:ext cx="3124380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Campos a testar na semana 24/05</a:t>
          </a:r>
        </a:p>
      </xdr:txBody>
    </xdr:sp>
    <xdr:clientData/>
  </xdr:twoCellAnchor>
  <xdr:twoCellAnchor>
    <xdr:from>
      <xdr:col>3</xdr:col>
      <xdr:colOff>194084</xdr:colOff>
      <xdr:row>40</xdr:row>
      <xdr:rowOff>96707</xdr:rowOff>
    </xdr:from>
    <xdr:to>
      <xdr:col>5</xdr:col>
      <xdr:colOff>937844</xdr:colOff>
      <xdr:row>42</xdr:row>
      <xdr:rowOff>174271</xdr:rowOff>
    </xdr:to>
    <xdr:sp macro="" textlink="">
      <xdr:nvSpPr>
        <xdr:cNvPr id="9" name="Rectangle: Rounded Corners 13">
          <a:extLst>
            <a:ext uri="{FF2B5EF4-FFF2-40B4-BE49-F238E27FC236}">
              <a16:creationId xmlns:a16="http://schemas.microsoft.com/office/drawing/2014/main" id="{F4E401D4-0CA6-4ED9-975B-F96315D7270C}"/>
            </a:ext>
          </a:extLst>
        </xdr:cNvPr>
        <xdr:cNvSpPr/>
      </xdr:nvSpPr>
      <xdr:spPr>
        <a:xfrm>
          <a:off x="712244" y="12143927"/>
          <a:ext cx="3113580" cy="496664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Concluídos</a:t>
          </a:r>
        </a:p>
      </xdr:txBody>
    </xdr:sp>
    <xdr:clientData/>
  </xdr:twoCellAnchor>
  <xdr:twoCellAnchor>
    <xdr:from>
      <xdr:col>3</xdr:col>
      <xdr:colOff>194084</xdr:colOff>
      <xdr:row>88</xdr:row>
      <xdr:rowOff>45247</xdr:rowOff>
    </xdr:from>
    <xdr:to>
      <xdr:col>5</xdr:col>
      <xdr:colOff>937844</xdr:colOff>
      <xdr:row>90</xdr:row>
      <xdr:rowOff>150520</xdr:rowOff>
    </xdr:to>
    <xdr:sp macro="" textlink="">
      <xdr:nvSpPr>
        <xdr:cNvPr id="10" name="Rectangle: Rounded Corners 14">
          <a:extLst>
            <a:ext uri="{FF2B5EF4-FFF2-40B4-BE49-F238E27FC236}">
              <a16:creationId xmlns:a16="http://schemas.microsoft.com/office/drawing/2014/main" id="{408BCA09-02E8-453F-AB3D-7FA821B13884}"/>
            </a:ext>
          </a:extLst>
        </xdr:cNvPr>
        <xdr:cNvSpPr/>
      </xdr:nvSpPr>
      <xdr:spPr>
        <a:xfrm>
          <a:off x="712244" y="21259327"/>
          <a:ext cx="3113580" cy="486273"/>
        </a:xfrm>
        <a:prstGeom prst="roundRect">
          <a:avLst/>
        </a:prstGeom>
        <a:solidFill>
          <a:srgbClr val="FFD937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em Teste</a:t>
          </a:r>
        </a:p>
      </xdr:txBody>
    </xdr:sp>
    <xdr:clientData/>
  </xdr:twoCellAnchor>
  <xdr:twoCellAnchor>
    <xdr:from>
      <xdr:col>3</xdr:col>
      <xdr:colOff>194084</xdr:colOff>
      <xdr:row>134</xdr:row>
      <xdr:rowOff>110562</xdr:rowOff>
    </xdr:from>
    <xdr:to>
      <xdr:col>5</xdr:col>
      <xdr:colOff>937844</xdr:colOff>
      <xdr:row>136</xdr:row>
      <xdr:rowOff>215835</xdr:rowOff>
    </xdr:to>
    <xdr:sp macro="" textlink="">
      <xdr:nvSpPr>
        <xdr:cNvPr id="11" name="Rectangle: Rounded Corners 15">
          <a:extLst>
            <a:ext uri="{FF2B5EF4-FFF2-40B4-BE49-F238E27FC236}">
              <a16:creationId xmlns:a16="http://schemas.microsoft.com/office/drawing/2014/main" id="{C85F98E5-E0EC-4498-9671-7EE8E2BE594D}"/>
            </a:ext>
          </a:extLst>
        </xdr:cNvPr>
        <xdr:cNvSpPr/>
      </xdr:nvSpPr>
      <xdr:spPr>
        <a:xfrm>
          <a:off x="712244" y="30110502"/>
          <a:ext cx="3113580" cy="486273"/>
        </a:xfrm>
        <a:prstGeom prst="roundRect">
          <a:avLst/>
        </a:prstGeom>
        <a:solidFill>
          <a:srgbClr val="C0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Pendentes</a:t>
          </a:r>
        </a:p>
      </xdr:txBody>
    </xdr:sp>
    <xdr:clientData/>
  </xdr:twoCellAnchor>
  <xdr:twoCellAnchor>
    <xdr:from>
      <xdr:col>24</xdr:col>
      <xdr:colOff>125175</xdr:colOff>
      <xdr:row>17</xdr:row>
      <xdr:rowOff>38099</xdr:rowOff>
    </xdr:from>
    <xdr:to>
      <xdr:col>24</xdr:col>
      <xdr:colOff>838616</xdr:colOff>
      <xdr:row>18</xdr:row>
      <xdr:rowOff>0</xdr:rowOff>
    </xdr:to>
    <xdr:sp macro="" textlink="">
      <xdr:nvSpPr>
        <xdr:cNvPr id="12" name="Rectangle 11"/>
        <xdr:cNvSpPr/>
      </xdr:nvSpPr>
      <xdr:spPr>
        <a:xfrm>
          <a:off x="23129955" y="3383279"/>
          <a:ext cx="713441" cy="31242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997527</xdr:colOff>
      <xdr:row>0</xdr:row>
      <xdr:rowOff>193964</xdr:rowOff>
    </xdr:from>
    <xdr:to>
      <xdr:col>4</xdr:col>
      <xdr:colOff>1981501</xdr:colOff>
      <xdr:row>3</xdr:row>
      <xdr:rowOff>48948</xdr:rowOff>
    </xdr:to>
    <xdr:pic>
      <xdr:nvPicPr>
        <xdr:cNvPr id="13" name="Graphic 267">
          <a:extLst>
            <a:ext uri="{FF2B5EF4-FFF2-40B4-BE49-F238E27FC236}">
              <a16:creationId xmlns:a16="http://schemas.microsoft.com/office/drawing/2014/main" id="{54FAF8A4-9A8F-432C-AFEE-8DF0B37A2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047" y="193964"/>
          <a:ext cx="983974" cy="426484"/>
        </a:xfrm>
        <a:prstGeom prst="rect">
          <a:avLst/>
        </a:prstGeom>
      </xdr:spPr>
    </xdr:pic>
    <xdr:clientData/>
  </xdr:twoCellAnchor>
  <xdr:twoCellAnchor>
    <xdr:from>
      <xdr:col>23</xdr:col>
      <xdr:colOff>122613</xdr:colOff>
      <xdr:row>25</xdr:row>
      <xdr:rowOff>235526</xdr:rowOff>
    </xdr:from>
    <xdr:to>
      <xdr:col>23</xdr:col>
      <xdr:colOff>122613</xdr:colOff>
      <xdr:row>39</xdr:row>
      <xdr:rowOff>27708</xdr:rowOff>
    </xdr:to>
    <xdr:cxnSp macro="">
      <xdr:nvCxnSpPr>
        <xdr:cNvPr id="14" name="Straight Connector 13"/>
        <xdr:cNvCxnSpPr/>
      </xdr:nvCxnSpPr>
      <xdr:spPr>
        <a:xfrm>
          <a:off x="22891173" y="6011486"/>
          <a:ext cx="0" cy="588056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219075</xdr:colOff>
      <xdr:row>17</xdr:row>
      <xdr:rowOff>161926</xdr:rowOff>
    </xdr:from>
    <xdr:to>
      <xdr:col>24</xdr:col>
      <xdr:colOff>1104900</xdr:colOff>
      <xdr:row>18</xdr:row>
      <xdr:rowOff>76201</xdr:rowOff>
    </xdr:to>
    <xdr:sp macro="" textlink="">
      <xdr:nvSpPr>
        <xdr:cNvPr id="15" name="Rectangle 14"/>
        <xdr:cNvSpPr/>
      </xdr:nvSpPr>
      <xdr:spPr>
        <a:xfrm>
          <a:off x="22987635" y="3507106"/>
          <a:ext cx="1122045" cy="2647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1543050</xdr:colOff>
      <xdr:row>14</xdr:row>
      <xdr:rowOff>295276</xdr:rowOff>
    </xdr:from>
    <xdr:to>
      <xdr:col>29</xdr:col>
      <xdr:colOff>1038225</xdr:colOff>
      <xdr:row>15</xdr:row>
      <xdr:rowOff>161288</xdr:rowOff>
    </xdr:to>
    <xdr:sp macro="" textlink="">
      <xdr:nvSpPr>
        <xdr:cNvPr id="16" name="Rectangle 15"/>
        <xdr:cNvSpPr/>
      </xdr:nvSpPr>
      <xdr:spPr>
        <a:xfrm>
          <a:off x="28784550" y="2535556"/>
          <a:ext cx="3838575" cy="2089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152400</xdr:colOff>
      <xdr:row>13</xdr:row>
      <xdr:rowOff>259080</xdr:rowOff>
    </xdr:from>
    <xdr:to>
      <xdr:col>24</xdr:col>
      <xdr:colOff>1082040</xdr:colOff>
      <xdr:row>14</xdr:row>
      <xdr:rowOff>167640</xdr:rowOff>
    </xdr:to>
    <xdr:sp macro="" textlink="">
      <xdr:nvSpPr>
        <xdr:cNvPr id="17" name="Rectangle 16"/>
        <xdr:cNvSpPr/>
      </xdr:nvSpPr>
      <xdr:spPr>
        <a:xfrm>
          <a:off x="22920960" y="2156460"/>
          <a:ext cx="1165860" cy="2514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23</xdr:col>
      <xdr:colOff>45720</xdr:colOff>
      <xdr:row>17</xdr:row>
      <xdr:rowOff>243840</xdr:rowOff>
    </xdr:from>
    <xdr:to>
      <xdr:col>24</xdr:col>
      <xdr:colOff>838200</xdr:colOff>
      <xdr:row>18</xdr:row>
      <xdr:rowOff>137160</xdr:rowOff>
    </xdr:to>
    <xdr:sp macro="" textlink="">
      <xdr:nvSpPr>
        <xdr:cNvPr id="18" name="Rectangle 17"/>
        <xdr:cNvSpPr/>
      </xdr:nvSpPr>
      <xdr:spPr>
        <a:xfrm>
          <a:off x="22814280" y="3589020"/>
          <a:ext cx="1028700" cy="24384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28</xdr:col>
      <xdr:colOff>441960</xdr:colOff>
      <xdr:row>16</xdr:row>
      <xdr:rowOff>152400</xdr:rowOff>
    </xdr:from>
    <xdr:to>
      <xdr:col>29</xdr:col>
      <xdr:colOff>838200</xdr:colOff>
      <xdr:row>17</xdr:row>
      <xdr:rowOff>91440</xdr:rowOff>
    </xdr:to>
    <xdr:sp macro="" textlink="">
      <xdr:nvSpPr>
        <xdr:cNvPr id="19" name="Rectangle 18"/>
        <xdr:cNvSpPr/>
      </xdr:nvSpPr>
      <xdr:spPr>
        <a:xfrm>
          <a:off x="30891480" y="3154680"/>
          <a:ext cx="1531620" cy="28194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7</xdr:col>
      <xdr:colOff>2087880</xdr:colOff>
      <xdr:row>25</xdr:row>
      <xdr:rowOff>167640</xdr:rowOff>
    </xdr:from>
    <xdr:to>
      <xdr:col>7</xdr:col>
      <xdr:colOff>2087880</xdr:colOff>
      <xdr:row>39</xdr:row>
      <xdr:rowOff>15240</xdr:rowOff>
    </xdr:to>
    <xdr:cxnSp macro="">
      <xdr:nvCxnSpPr>
        <xdr:cNvPr id="20" name="Straight Connector 19"/>
        <xdr:cNvCxnSpPr/>
      </xdr:nvCxnSpPr>
      <xdr:spPr>
        <a:xfrm>
          <a:off x="10241280" y="5943600"/>
          <a:ext cx="0" cy="593598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3196364</xdr:colOff>
      <xdr:row>24</xdr:row>
      <xdr:rowOff>68009</xdr:rowOff>
    </xdr:from>
    <xdr:to>
      <xdr:col>10</xdr:col>
      <xdr:colOff>186644</xdr:colOff>
      <xdr:row>25</xdr:row>
      <xdr:rowOff>228700</xdr:rowOff>
    </xdr:to>
    <xdr:sp macro="" textlink="">
      <xdr:nvSpPr>
        <xdr:cNvPr id="21" name="Rectangle: Rounded Corners 9">
          <a:extLst>
            <a:ext uri="{FF2B5EF4-FFF2-40B4-BE49-F238E27FC236}">
              <a16:creationId xmlns:a16="http://schemas.microsoft.com/office/drawing/2014/main" id="{624A1871-C90A-4162-8812-82A849CF24B1}"/>
            </a:ext>
          </a:extLst>
        </xdr:cNvPr>
        <xdr:cNvSpPr/>
      </xdr:nvSpPr>
      <xdr:spPr>
        <a:xfrm>
          <a:off x="11349764" y="5508689"/>
          <a:ext cx="3292020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</a:t>
          </a:r>
          <a:r>
            <a:rPr lang="pt-PT" sz="1400" b="1" i="0" baseline="0">
              <a:latin typeface="Santander Text" panose="020B0504020201020104" pitchFamily="34" charset="0"/>
            </a:rPr>
            <a:t> testados </a:t>
          </a:r>
          <a:r>
            <a:rPr lang="pt-PT" sz="1400" b="1" i="0">
              <a:latin typeface="Santander Text" panose="020B0504020201020104" pitchFamily="34" charset="0"/>
            </a:rPr>
            <a:t>na</a:t>
          </a:r>
          <a:r>
            <a:rPr lang="pt-PT" sz="1400" b="1" i="0" baseline="0">
              <a:latin typeface="Santander Text" panose="020B0504020201020104" pitchFamily="34" charset="0"/>
            </a:rPr>
            <a:t> semana 17/05</a:t>
          </a:r>
          <a:r>
            <a:rPr lang="pt-PT" sz="1400" b="1" i="0">
              <a:latin typeface="Santander Text" panose="020B0504020201020104" pitchFamily="34" charset="0"/>
            </a:rPr>
            <a:t> </a:t>
          </a:r>
        </a:p>
      </xdr:txBody>
    </xdr:sp>
    <xdr:clientData/>
  </xdr:twoCellAnchor>
  <xdr:twoCellAnchor>
    <xdr:from>
      <xdr:col>4</xdr:col>
      <xdr:colOff>1021080</xdr:colOff>
      <xdr:row>12</xdr:row>
      <xdr:rowOff>274320</xdr:rowOff>
    </xdr:from>
    <xdr:to>
      <xdr:col>9</xdr:col>
      <xdr:colOff>152400</xdr:colOff>
      <xdr:row>22</xdr:row>
      <xdr:rowOff>15240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1005840</xdr:colOff>
      <xdr:row>12</xdr:row>
      <xdr:rowOff>304800</xdr:rowOff>
    </xdr:from>
    <xdr:to>
      <xdr:col>5</xdr:col>
      <xdr:colOff>213360</xdr:colOff>
      <xdr:row>13</xdr:row>
      <xdr:rowOff>274320</xdr:rowOff>
    </xdr:to>
    <xdr:sp macro="" textlink="">
      <xdr:nvSpPr>
        <xdr:cNvPr id="23" name="Rectangle 22"/>
        <xdr:cNvSpPr/>
      </xdr:nvSpPr>
      <xdr:spPr>
        <a:xfrm>
          <a:off x="1737360" y="1866900"/>
          <a:ext cx="1363980" cy="3048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</xdr:col>
      <xdr:colOff>117884</xdr:colOff>
      <xdr:row>11</xdr:row>
      <xdr:rowOff>61854</xdr:rowOff>
    </xdr:from>
    <xdr:to>
      <xdr:col>5</xdr:col>
      <xdr:colOff>861644</xdr:colOff>
      <xdr:row>12</xdr:row>
      <xdr:rowOff>264108</xdr:rowOff>
    </xdr:to>
    <xdr:sp macro="" textlink="">
      <xdr:nvSpPr>
        <xdr:cNvPr id="24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636044" y="1326774"/>
          <a:ext cx="3113580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Âmbito</a:t>
          </a:r>
        </a:p>
      </xdr:txBody>
    </xdr:sp>
    <xdr:clientData/>
  </xdr:twoCellAnchor>
  <xdr:twoCellAnchor>
    <xdr:from>
      <xdr:col>4</xdr:col>
      <xdr:colOff>762000</xdr:colOff>
      <xdr:row>16</xdr:row>
      <xdr:rowOff>335280</xdr:rowOff>
    </xdr:from>
    <xdr:to>
      <xdr:col>4</xdr:col>
      <xdr:colOff>2133600</xdr:colOff>
      <xdr:row>17</xdr:row>
      <xdr:rowOff>289560</xdr:rowOff>
    </xdr:to>
    <xdr:sp macro="" textlink="">
      <xdr:nvSpPr>
        <xdr:cNvPr id="25" name="Rectangle 24"/>
        <xdr:cNvSpPr/>
      </xdr:nvSpPr>
      <xdr:spPr>
        <a:xfrm>
          <a:off x="1493520" y="3337560"/>
          <a:ext cx="1371600" cy="2971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7</xdr:col>
      <xdr:colOff>2849880</xdr:colOff>
      <xdr:row>15</xdr:row>
      <xdr:rowOff>167640</xdr:rowOff>
    </xdr:from>
    <xdr:to>
      <xdr:col>9</xdr:col>
      <xdr:colOff>320040</xdr:colOff>
      <xdr:row>16</xdr:row>
      <xdr:rowOff>0</xdr:rowOff>
    </xdr:to>
    <xdr:sp macro="" textlink="">
      <xdr:nvSpPr>
        <xdr:cNvPr id="26" name="Rectangle 25"/>
        <xdr:cNvSpPr/>
      </xdr:nvSpPr>
      <xdr:spPr>
        <a:xfrm>
          <a:off x="11033760" y="2788920"/>
          <a:ext cx="2407920" cy="2590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24</xdr:col>
      <xdr:colOff>266700</xdr:colOff>
      <xdr:row>13</xdr:row>
      <xdr:rowOff>91440</xdr:rowOff>
    </xdr:from>
    <xdr:to>
      <xdr:col>29</xdr:col>
      <xdr:colOff>259079</xdr:colOff>
      <xdr:row>22</xdr:row>
      <xdr:rowOff>91440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283210</xdr:colOff>
      <xdr:row>17</xdr:row>
      <xdr:rowOff>247650</xdr:rowOff>
    </xdr:from>
    <xdr:to>
      <xdr:col>24</xdr:col>
      <xdr:colOff>1395730</xdr:colOff>
      <xdr:row>18</xdr:row>
      <xdr:rowOff>140970</xdr:rowOff>
    </xdr:to>
    <xdr:sp macro="" textlink="">
      <xdr:nvSpPr>
        <xdr:cNvPr id="28" name="Rectangle 27"/>
        <xdr:cNvSpPr/>
      </xdr:nvSpPr>
      <xdr:spPr>
        <a:xfrm>
          <a:off x="23287990" y="3592830"/>
          <a:ext cx="1112520" cy="24384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24</xdr:col>
      <xdr:colOff>299720</xdr:colOff>
      <xdr:row>13</xdr:row>
      <xdr:rowOff>119380</xdr:rowOff>
    </xdr:from>
    <xdr:to>
      <xdr:col>24</xdr:col>
      <xdr:colOff>1638300</xdr:colOff>
      <xdr:row>13</xdr:row>
      <xdr:rowOff>330200</xdr:rowOff>
    </xdr:to>
    <xdr:sp macro="" textlink="">
      <xdr:nvSpPr>
        <xdr:cNvPr id="29" name="Rectangle 28"/>
        <xdr:cNvSpPr/>
      </xdr:nvSpPr>
      <xdr:spPr>
        <a:xfrm>
          <a:off x="23304500" y="2016760"/>
          <a:ext cx="1338580" cy="210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28</xdr:col>
      <xdr:colOff>274320</xdr:colOff>
      <xdr:row>15</xdr:row>
      <xdr:rowOff>396240</xdr:rowOff>
    </xdr:from>
    <xdr:to>
      <xdr:col>29</xdr:col>
      <xdr:colOff>243840</xdr:colOff>
      <xdr:row>16</xdr:row>
      <xdr:rowOff>213360</xdr:rowOff>
    </xdr:to>
    <xdr:sp macro="" textlink="">
      <xdr:nvSpPr>
        <xdr:cNvPr id="30" name="Rectangle 29"/>
        <xdr:cNvSpPr/>
      </xdr:nvSpPr>
      <xdr:spPr>
        <a:xfrm>
          <a:off x="30861000" y="3017520"/>
          <a:ext cx="1112520" cy="24384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45025</xdr:colOff>
      <xdr:row>1</xdr:row>
      <xdr:rowOff>125983</xdr:rowOff>
    </xdr:from>
    <xdr:to>
      <xdr:col>4</xdr:col>
      <xdr:colOff>694812</xdr:colOff>
      <xdr:row>2</xdr:row>
      <xdr:rowOff>96846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4854630-F638-4E46-97BF-1D1E7570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563185" y="331723"/>
          <a:ext cx="863147" cy="153743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108</xdr:row>
      <xdr:rowOff>929</xdr:rowOff>
    </xdr:from>
    <xdr:to>
      <xdr:col>5</xdr:col>
      <xdr:colOff>130967</xdr:colOff>
      <xdr:row>110</xdr:row>
      <xdr:rowOff>23812</xdr:rowOff>
    </xdr:to>
    <xdr:sp macro="" textlink="">
      <xdr:nvSpPr>
        <xdr:cNvPr id="3" name="Rectangle: Rounded Corners 23">
          <a:extLst>
            <a:ext uri="{FF2B5EF4-FFF2-40B4-BE49-F238E27FC236}">
              <a16:creationId xmlns:a16="http://schemas.microsoft.com/office/drawing/2014/main" id="{C7FE7E5F-EDE2-4C0C-BFAA-15508D983A9E}"/>
            </a:ext>
          </a:extLst>
        </xdr:cNvPr>
        <xdr:cNvSpPr/>
      </xdr:nvSpPr>
      <xdr:spPr>
        <a:xfrm>
          <a:off x="518160" y="23431500"/>
          <a:ext cx="1708307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Jun23</a:t>
          </a:r>
        </a:p>
      </xdr:txBody>
    </xdr:sp>
    <xdr:clientData/>
  </xdr:twoCellAnchor>
  <xdr:twoCellAnchor>
    <xdr:from>
      <xdr:col>14</xdr:col>
      <xdr:colOff>190500</xdr:colOff>
      <xdr:row>108</xdr:row>
      <xdr:rowOff>929</xdr:rowOff>
    </xdr:from>
    <xdr:to>
      <xdr:col>17</xdr:col>
      <xdr:colOff>130967</xdr:colOff>
      <xdr:row>110</xdr:row>
      <xdr:rowOff>23812</xdr:rowOff>
    </xdr:to>
    <xdr:sp macro="" textlink="">
      <xdr:nvSpPr>
        <xdr:cNvPr id="4" name="Rectangle: Rounded Corners 24">
          <a:extLst>
            <a:ext uri="{FF2B5EF4-FFF2-40B4-BE49-F238E27FC236}">
              <a16:creationId xmlns:a16="http://schemas.microsoft.com/office/drawing/2014/main" id="{9992DB88-DB30-4AAD-A02E-197AF1AC9BCC}"/>
            </a:ext>
          </a:extLst>
        </xdr:cNvPr>
        <xdr:cNvSpPr/>
      </xdr:nvSpPr>
      <xdr:spPr>
        <a:xfrm>
          <a:off x="12633960" y="23431500"/>
          <a:ext cx="2651760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Jun22</a:t>
          </a:r>
        </a:p>
      </xdr:txBody>
    </xdr:sp>
    <xdr:clientData/>
  </xdr:twoCellAnchor>
  <xdr:twoCellAnchor>
    <xdr:from>
      <xdr:col>4</xdr:col>
      <xdr:colOff>1038826</xdr:colOff>
      <xdr:row>0</xdr:row>
      <xdr:rowOff>194463</xdr:rowOff>
    </xdr:from>
    <xdr:to>
      <xdr:col>5</xdr:col>
      <xdr:colOff>665054</xdr:colOff>
      <xdr:row>3</xdr:row>
      <xdr:rowOff>49447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54FAF8A4-9A8F-432C-AFEE-8DF0B37A2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0346" y="194463"/>
          <a:ext cx="990208" cy="426484"/>
        </a:xfrm>
        <a:prstGeom prst="rect">
          <a:avLst/>
        </a:prstGeom>
      </xdr:spPr>
    </xdr:pic>
    <xdr:clientData/>
  </xdr:twoCellAnchor>
  <xdr:twoCellAnchor>
    <xdr:from>
      <xdr:col>3</xdr:col>
      <xdr:colOff>117884</xdr:colOff>
      <xdr:row>11</xdr:row>
      <xdr:rowOff>61854</xdr:rowOff>
    </xdr:from>
    <xdr:to>
      <xdr:col>6</xdr:col>
      <xdr:colOff>185170</xdr:colOff>
      <xdr:row>12</xdr:row>
      <xdr:rowOff>199940</xdr:rowOff>
    </xdr:to>
    <xdr:sp macro="" textlink="">
      <xdr:nvSpPr>
        <xdr:cNvPr id="6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636044" y="1326774"/>
          <a:ext cx="2947646" cy="435266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pt-PT" sz="1400" b="1" i="1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Status</a:t>
          </a:r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 dos testes por universo LT002</a:t>
          </a:r>
        </a:p>
      </xdr:txBody>
    </xdr:sp>
    <xdr:clientData/>
  </xdr:twoCellAnchor>
  <xdr:twoCellAnchor>
    <xdr:from>
      <xdr:col>11</xdr:col>
      <xdr:colOff>386661</xdr:colOff>
      <xdr:row>13</xdr:row>
      <xdr:rowOff>23446</xdr:rowOff>
    </xdr:from>
    <xdr:to>
      <xdr:col>21</xdr:col>
      <xdr:colOff>885825</xdr:colOff>
      <xdr:row>22</xdr:row>
      <xdr:rowOff>85724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D5F2B2C6-7406-4434-990E-C66AAB328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215856</xdr:colOff>
      <xdr:row>11</xdr:row>
      <xdr:rowOff>61854</xdr:rowOff>
    </xdr:from>
    <xdr:to>
      <xdr:col>14</xdr:col>
      <xdr:colOff>696798</xdr:colOff>
      <xdr:row>12</xdr:row>
      <xdr:rowOff>199940</xdr:rowOff>
    </xdr:to>
    <xdr:sp macro="" textlink="">
      <xdr:nvSpPr>
        <xdr:cNvPr id="8" name="Rectangle: Rounded Corners 8">
          <a:extLst>
            <a:ext uri="{FF2B5EF4-FFF2-40B4-BE49-F238E27FC236}">
              <a16:creationId xmlns:a16="http://schemas.microsoft.com/office/drawing/2014/main" id="{59020EA6-B62C-4CFB-9BDA-894AF585650D}"/>
            </a:ext>
          </a:extLst>
        </xdr:cNvPr>
        <xdr:cNvSpPr/>
      </xdr:nvSpPr>
      <xdr:spPr>
        <a:xfrm>
          <a:off x="10121856" y="1326774"/>
          <a:ext cx="3018402" cy="435266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sz="1400" b="1" i="0">
              <a:latin typeface="Santander Text" panose="020B0504020201020104" pitchFamily="34" charset="0"/>
            </a:rPr>
            <a:t># </a:t>
          </a:r>
          <a:r>
            <a:rPr lang="pt-PT" sz="1400" b="1" i="1">
              <a:latin typeface="Santander Text" panose="020B0504020201020104" pitchFamily="34" charset="0"/>
            </a:rPr>
            <a:t>Status</a:t>
          </a:r>
          <a:r>
            <a:rPr lang="pt-PT" sz="1400" b="1" i="0">
              <a:latin typeface="Santander Text" panose="020B0504020201020104" pitchFamily="34" charset="0"/>
            </a:rPr>
            <a:t> dos testes por campo</a:t>
          </a:r>
        </a:p>
      </xdr:txBody>
    </xdr:sp>
    <xdr:clientData/>
  </xdr:twoCellAnchor>
  <xdr:twoCellAnchor>
    <xdr:from>
      <xdr:col>3</xdr:col>
      <xdr:colOff>194084</xdr:colOff>
      <xdr:row>24</xdr:row>
      <xdr:rowOff>68009</xdr:rowOff>
    </xdr:from>
    <xdr:to>
      <xdr:col>6</xdr:col>
      <xdr:colOff>261370</xdr:colOff>
      <xdr:row>25</xdr:row>
      <xdr:rowOff>227866</xdr:rowOff>
    </xdr:to>
    <xdr:sp macro="" textlink="">
      <xdr:nvSpPr>
        <xdr:cNvPr id="9" name="Rectangle: Rounded Corners 9">
          <a:extLst>
            <a:ext uri="{FF2B5EF4-FFF2-40B4-BE49-F238E27FC236}">
              <a16:creationId xmlns:a16="http://schemas.microsoft.com/office/drawing/2014/main" id="{624A1871-C90A-4162-8812-82A849CF24B1}"/>
            </a:ext>
          </a:extLst>
        </xdr:cNvPr>
        <xdr:cNvSpPr/>
      </xdr:nvSpPr>
      <xdr:spPr>
        <a:xfrm>
          <a:off x="712244" y="5371529"/>
          <a:ext cx="2947646" cy="495137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a</a:t>
          </a:r>
          <a:r>
            <a:rPr lang="pt-PT" sz="1400" b="1" i="0" baseline="0">
              <a:latin typeface="Santander Text" panose="020B0504020201020104" pitchFamily="34" charset="0"/>
            </a:rPr>
            <a:t> testar</a:t>
          </a:r>
          <a:r>
            <a:rPr lang="pt-PT" sz="1400" b="1" i="0">
              <a:latin typeface="Santander Text" panose="020B0504020201020104" pitchFamily="34" charset="0"/>
            </a:rPr>
            <a:t> na</a:t>
          </a:r>
          <a:r>
            <a:rPr lang="pt-PT" sz="1400" b="1" i="0" baseline="0">
              <a:latin typeface="Santander Text" panose="020B0504020201020104" pitchFamily="34" charset="0"/>
            </a:rPr>
            <a:t> semana 10/05</a:t>
          </a:r>
          <a:r>
            <a:rPr lang="pt-PT" sz="1400" b="1" i="0">
              <a:latin typeface="Santander Text" panose="020B0504020201020104" pitchFamily="34" charset="0"/>
            </a:rPr>
            <a:t> </a:t>
          </a:r>
        </a:p>
      </xdr:txBody>
    </xdr:sp>
    <xdr:clientData/>
  </xdr:twoCellAnchor>
  <xdr:twoCellAnchor>
    <xdr:from>
      <xdr:col>24</xdr:col>
      <xdr:colOff>21194</xdr:colOff>
      <xdr:row>11</xdr:row>
      <xdr:rowOff>61854</xdr:rowOff>
    </xdr:from>
    <xdr:to>
      <xdr:col>26</xdr:col>
      <xdr:colOff>708966</xdr:colOff>
      <xdr:row>12</xdr:row>
      <xdr:rowOff>199940</xdr:rowOff>
    </xdr:to>
    <xdr:sp macro="" textlink="">
      <xdr:nvSpPr>
        <xdr:cNvPr id="10" name="Rectangle: Rounded Corners 10">
          <a:extLst>
            <a:ext uri="{FF2B5EF4-FFF2-40B4-BE49-F238E27FC236}">
              <a16:creationId xmlns:a16="http://schemas.microsoft.com/office/drawing/2014/main" id="{1C651064-CC93-42DE-82AF-B477EF02AC44}"/>
            </a:ext>
          </a:extLst>
        </xdr:cNvPr>
        <xdr:cNvSpPr/>
      </xdr:nvSpPr>
      <xdr:spPr>
        <a:xfrm>
          <a:off x="17387174" y="1326774"/>
          <a:ext cx="4093912" cy="435266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origem</a:t>
          </a:r>
        </a:p>
      </xdr:txBody>
    </xdr:sp>
    <xdr:clientData/>
  </xdr:twoCellAnchor>
  <xdr:twoCellAnchor>
    <xdr:from>
      <xdr:col>24</xdr:col>
      <xdr:colOff>21194</xdr:colOff>
      <xdr:row>24</xdr:row>
      <xdr:rowOff>68009</xdr:rowOff>
    </xdr:from>
    <xdr:to>
      <xdr:col>26</xdr:col>
      <xdr:colOff>708966</xdr:colOff>
      <xdr:row>25</xdr:row>
      <xdr:rowOff>227866</xdr:rowOff>
    </xdr:to>
    <xdr:sp macro="" textlink="">
      <xdr:nvSpPr>
        <xdr:cNvPr id="11" name="Rectangle: Rounded Corners 11">
          <a:extLst>
            <a:ext uri="{FF2B5EF4-FFF2-40B4-BE49-F238E27FC236}">
              <a16:creationId xmlns:a16="http://schemas.microsoft.com/office/drawing/2014/main" id="{8927D69F-338E-4CF9-BBE6-4C7816DB7497}"/>
            </a:ext>
          </a:extLst>
        </xdr:cNvPr>
        <xdr:cNvSpPr/>
      </xdr:nvSpPr>
      <xdr:spPr>
        <a:xfrm>
          <a:off x="17387174" y="5371529"/>
          <a:ext cx="4093912" cy="495137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Campos a testar na semana 17/05</a:t>
          </a:r>
        </a:p>
      </xdr:txBody>
    </xdr:sp>
    <xdr:clientData/>
  </xdr:twoCellAnchor>
  <xdr:twoCellAnchor>
    <xdr:from>
      <xdr:col>11</xdr:col>
      <xdr:colOff>215856</xdr:colOff>
      <xdr:row>24</xdr:row>
      <xdr:rowOff>68009</xdr:rowOff>
    </xdr:from>
    <xdr:to>
      <xdr:col>14</xdr:col>
      <xdr:colOff>696798</xdr:colOff>
      <xdr:row>25</xdr:row>
      <xdr:rowOff>227866</xdr:rowOff>
    </xdr:to>
    <xdr:sp macro="" textlink="">
      <xdr:nvSpPr>
        <xdr:cNvPr id="12" name="Rectangle: Rounded Corners 12">
          <a:extLst>
            <a:ext uri="{FF2B5EF4-FFF2-40B4-BE49-F238E27FC236}">
              <a16:creationId xmlns:a16="http://schemas.microsoft.com/office/drawing/2014/main" id="{9C9C4AB5-A20F-4268-BC36-F66EBA2AB656}"/>
            </a:ext>
          </a:extLst>
        </xdr:cNvPr>
        <xdr:cNvSpPr/>
      </xdr:nvSpPr>
      <xdr:spPr>
        <a:xfrm>
          <a:off x="10121856" y="5371529"/>
          <a:ext cx="3018402" cy="495137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1">
              <a:latin typeface="Santander Text" panose="020B0504020201020104" pitchFamily="34" charset="0"/>
            </a:rPr>
            <a:t>Status</a:t>
          </a:r>
          <a:r>
            <a:rPr lang="pt-PT" sz="1400" b="1" i="0">
              <a:latin typeface="Santander Text" panose="020B0504020201020104" pitchFamily="34" charset="0"/>
            </a:rPr>
            <a:t> dos campos</a:t>
          </a:r>
        </a:p>
      </xdr:txBody>
    </xdr:sp>
    <xdr:clientData/>
  </xdr:twoCellAnchor>
  <xdr:twoCellAnchor>
    <xdr:from>
      <xdr:col>3</xdr:col>
      <xdr:colOff>194084</xdr:colOff>
      <xdr:row>37</xdr:row>
      <xdr:rowOff>13582</xdr:rowOff>
    </xdr:from>
    <xdr:to>
      <xdr:col>6</xdr:col>
      <xdr:colOff>261370</xdr:colOff>
      <xdr:row>38</xdr:row>
      <xdr:rowOff>173439</xdr:rowOff>
    </xdr:to>
    <xdr:sp macro="" textlink="">
      <xdr:nvSpPr>
        <xdr:cNvPr id="13" name="Rectangle: Rounded Corners 13">
          <a:extLst>
            <a:ext uri="{FF2B5EF4-FFF2-40B4-BE49-F238E27FC236}">
              <a16:creationId xmlns:a16="http://schemas.microsoft.com/office/drawing/2014/main" id="{F4E401D4-0CA6-4ED9-975B-F96315D7270C}"/>
            </a:ext>
          </a:extLst>
        </xdr:cNvPr>
        <xdr:cNvSpPr/>
      </xdr:nvSpPr>
      <xdr:spPr>
        <a:xfrm>
          <a:off x="712244" y="10277722"/>
          <a:ext cx="2947646" cy="434177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Concluídos</a:t>
          </a:r>
        </a:p>
      </xdr:txBody>
    </xdr:sp>
    <xdr:clientData/>
  </xdr:twoCellAnchor>
  <xdr:twoCellAnchor>
    <xdr:from>
      <xdr:col>3</xdr:col>
      <xdr:colOff>194084</xdr:colOff>
      <xdr:row>67</xdr:row>
      <xdr:rowOff>100668</xdr:rowOff>
    </xdr:from>
    <xdr:to>
      <xdr:col>6</xdr:col>
      <xdr:colOff>261370</xdr:colOff>
      <xdr:row>69</xdr:row>
      <xdr:rowOff>140782</xdr:rowOff>
    </xdr:to>
    <xdr:sp macro="" textlink="">
      <xdr:nvSpPr>
        <xdr:cNvPr id="14" name="Rectangle: Rounded Corners 14">
          <a:extLst>
            <a:ext uri="{FF2B5EF4-FFF2-40B4-BE49-F238E27FC236}">
              <a16:creationId xmlns:a16="http://schemas.microsoft.com/office/drawing/2014/main" id="{408BCA09-02E8-453F-AB3D-7FA821B13884}"/>
            </a:ext>
          </a:extLst>
        </xdr:cNvPr>
        <xdr:cNvSpPr/>
      </xdr:nvSpPr>
      <xdr:spPr>
        <a:xfrm>
          <a:off x="712244" y="16178868"/>
          <a:ext cx="2947646" cy="421114"/>
        </a:xfrm>
        <a:prstGeom prst="roundRect">
          <a:avLst/>
        </a:prstGeom>
        <a:solidFill>
          <a:srgbClr val="FFD937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em Teste</a:t>
          </a:r>
        </a:p>
      </xdr:txBody>
    </xdr:sp>
    <xdr:clientData/>
  </xdr:twoCellAnchor>
  <xdr:twoCellAnchor>
    <xdr:from>
      <xdr:col>3</xdr:col>
      <xdr:colOff>194084</xdr:colOff>
      <xdr:row>75</xdr:row>
      <xdr:rowOff>165982</xdr:rowOff>
    </xdr:from>
    <xdr:to>
      <xdr:col>6</xdr:col>
      <xdr:colOff>261370</xdr:colOff>
      <xdr:row>77</xdr:row>
      <xdr:rowOff>198477</xdr:rowOff>
    </xdr:to>
    <xdr:sp macro="" textlink="">
      <xdr:nvSpPr>
        <xdr:cNvPr id="15" name="Rectangle: Rounded Corners 15">
          <a:extLst>
            <a:ext uri="{FF2B5EF4-FFF2-40B4-BE49-F238E27FC236}">
              <a16:creationId xmlns:a16="http://schemas.microsoft.com/office/drawing/2014/main" id="{C85F98E5-E0EC-4498-9671-7EE8E2BE594D}"/>
            </a:ext>
          </a:extLst>
        </xdr:cNvPr>
        <xdr:cNvSpPr/>
      </xdr:nvSpPr>
      <xdr:spPr>
        <a:xfrm>
          <a:off x="712244" y="17791042"/>
          <a:ext cx="2947646" cy="413495"/>
        </a:xfrm>
        <a:prstGeom prst="roundRect">
          <a:avLst/>
        </a:prstGeom>
        <a:solidFill>
          <a:srgbClr val="C0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Pendentes</a:t>
          </a:r>
        </a:p>
      </xdr:txBody>
    </xdr:sp>
    <xdr:clientData/>
  </xdr:twoCellAnchor>
  <xdr:twoCellAnchor>
    <xdr:from>
      <xdr:col>24</xdr:col>
      <xdr:colOff>89280</xdr:colOff>
      <xdr:row>12</xdr:row>
      <xdr:rowOff>232227</xdr:rowOff>
    </xdr:from>
    <xdr:to>
      <xdr:col>29</xdr:col>
      <xdr:colOff>867960</xdr:colOff>
      <xdr:row>22</xdr:row>
      <xdr:rowOff>955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125175</xdr:colOff>
      <xdr:row>17</xdr:row>
      <xdr:rowOff>38099</xdr:rowOff>
    </xdr:from>
    <xdr:to>
      <xdr:col>24</xdr:col>
      <xdr:colOff>838616</xdr:colOff>
      <xdr:row>18</xdr:row>
      <xdr:rowOff>0</xdr:rowOff>
    </xdr:to>
    <xdr:sp macro="" textlink="">
      <xdr:nvSpPr>
        <xdr:cNvPr id="17" name="Rectangle 16"/>
        <xdr:cNvSpPr/>
      </xdr:nvSpPr>
      <xdr:spPr>
        <a:xfrm>
          <a:off x="17491155" y="3284219"/>
          <a:ext cx="713441" cy="29718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24</xdr:col>
      <xdr:colOff>161365</xdr:colOff>
      <xdr:row>12</xdr:row>
      <xdr:rowOff>289112</xdr:rowOff>
    </xdr:from>
    <xdr:to>
      <xdr:col>24</xdr:col>
      <xdr:colOff>1066800</xdr:colOff>
      <xdr:row>13</xdr:row>
      <xdr:rowOff>292847</xdr:rowOff>
    </xdr:to>
    <xdr:sp macro="" textlink="">
      <xdr:nvSpPr>
        <xdr:cNvPr id="18" name="Rectangle 17"/>
        <xdr:cNvSpPr/>
      </xdr:nvSpPr>
      <xdr:spPr>
        <a:xfrm>
          <a:off x="17527345" y="1851212"/>
          <a:ext cx="905435" cy="33901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328707</xdr:colOff>
      <xdr:row>13</xdr:row>
      <xdr:rowOff>12371</xdr:rowOff>
    </xdr:from>
    <xdr:to>
      <xdr:col>9</xdr:col>
      <xdr:colOff>896471</xdr:colOff>
      <xdr:row>20</xdr:row>
      <xdr:rowOff>71719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647700</xdr:colOff>
      <xdr:row>19</xdr:row>
      <xdr:rowOff>299804</xdr:rowOff>
    </xdr:from>
    <xdr:to>
      <xdr:col>9</xdr:col>
      <xdr:colOff>647700</xdr:colOff>
      <xdr:row>22</xdr:row>
      <xdr:rowOff>215153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255193</xdr:colOff>
      <xdr:row>15</xdr:row>
      <xdr:rowOff>60556</xdr:rowOff>
    </xdr:from>
    <xdr:to>
      <xdr:col>8</xdr:col>
      <xdr:colOff>345142</xdr:colOff>
      <xdr:row>16</xdr:row>
      <xdr:rowOff>173953</xdr:rowOff>
    </xdr:to>
    <xdr:sp macro="" textlink="">
      <xdr:nvSpPr>
        <xdr:cNvPr id="21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5543473" y="2636116"/>
          <a:ext cx="1606329" cy="448677"/>
        </a:xfrm>
        <a:prstGeom prst="roundRect">
          <a:avLst/>
        </a:prstGeom>
        <a:noFill/>
        <a:ln>
          <a:noFill/>
        </a:ln>
        <a:effectLst>
          <a:outerShdw blurRad="12700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pt-PT" sz="1100" b="1" i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% Status </a:t>
          </a:r>
          <a:r>
            <a:rPr lang="pt-PT" sz="1100" b="1" i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dos testes (LT002)</a:t>
          </a:r>
        </a:p>
      </xdr:txBody>
    </xdr:sp>
    <xdr:clientData/>
  </xdr:twoCellAnchor>
  <xdr:twoCellAnchor>
    <xdr:from>
      <xdr:col>6</xdr:col>
      <xdr:colOff>1496804</xdr:colOff>
      <xdr:row>18</xdr:row>
      <xdr:rowOff>317444</xdr:rowOff>
    </xdr:from>
    <xdr:to>
      <xdr:col>8</xdr:col>
      <xdr:colOff>995083</xdr:colOff>
      <xdr:row>20</xdr:row>
      <xdr:rowOff>93562</xdr:rowOff>
    </xdr:to>
    <xdr:sp macro="" textlink="">
      <xdr:nvSpPr>
        <xdr:cNvPr id="22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4895324" y="3898844"/>
          <a:ext cx="2904419" cy="446678"/>
        </a:xfrm>
        <a:prstGeom prst="roundRect">
          <a:avLst/>
        </a:prstGeom>
        <a:noFill/>
        <a:ln>
          <a:noFill/>
        </a:ln>
        <a:effectLst>
          <a:outerShdw blurRad="12700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pt-PT" sz="1100" b="1" i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Variação</a:t>
          </a:r>
          <a:r>
            <a:rPr lang="pt-PT" sz="1100" b="1" i="1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face ao Pds anterior</a:t>
          </a:r>
          <a:endParaRPr lang="pt-PT" sz="1100" b="1" i="0">
            <a:solidFill>
              <a:schemeClr val="tx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190500</xdr:colOff>
      <xdr:row>13</xdr:row>
      <xdr:rowOff>111302</xdr:rowOff>
    </xdr:from>
    <xdr:to>
      <xdr:col>6</xdr:col>
      <xdr:colOff>370948</xdr:colOff>
      <xdr:row>21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8660" y="2008682"/>
          <a:ext cx="3060808" cy="25785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45025</xdr:colOff>
      <xdr:row>1</xdr:row>
      <xdr:rowOff>125983</xdr:rowOff>
    </xdr:from>
    <xdr:to>
      <xdr:col>4</xdr:col>
      <xdr:colOff>694812</xdr:colOff>
      <xdr:row>2</xdr:row>
      <xdr:rowOff>96846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4854630-F638-4E46-97BF-1D1E7570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563185" y="331723"/>
          <a:ext cx="863147" cy="153743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264</xdr:row>
      <xdr:rowOff>929</xdr:rowOff>
    </xdr:from>
    <xdr:to>
      <xdr:col>5</xdr:col>
      <xdr:colOff>130967</xdr:colOff>
      <xdr:row>266</xdr:row>
      <xdr:rowOff>23812</xdr:rowOff>
    </xdr:to>
    <xdr:sp macro="" textlink="">
      <xdr:nvSpPr>
        <xdr:cNvPr id="3" name="Rectangle: Rounded Corners 23">
          <a:extLst>
            <a:ext uri="{FF2B5EF4-FFF2-40B4-BE49-F238E27FC236}">
              <a16:creationId xmlns:a16="http://schemas.microsoft.com/office/drawing/2014/main" id="{C7FE7E5F-EDE2-4C0C-BFAA-15508D983A9E}"/>
            </a:ext>
          </a:extLst>
        </xdr:cNvPr>
        <xdr:cNvSpPr/>
      </xdr:nvSpPr>
      <xdr:spPr>
        <a:xfrm>
          <a:off x="518160" y="52738020"/>
          <a:ext cx="3765707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Jun23</a:t>
          </a:r>
        </a:p>
      </xdr:txBody>
    </xdr:sp>
    <xdr:clientData/>
  </xdr:twoCellAnchor>
  <xdr:twoCellAnchor>
    <xdr:from>
      <xdr:col>14</xdr:col>
      <xdr:colOff>190500</xdr:colOff>
      <xdr:row>264</xdr:row>
      <xdr:rowOff>929</xdr:rowOff>
    </xdr:from>
    <xdr:to>
      <xdr:col>17</xdr:col>
      <xdr:colOff>130967</xdr:colOff>
      <xdr:row>266</xdr:row>
      <xdr:rowOff>23812</xdr:rowOff>
    </xdr:to>
    <xdr:sp macro="" textlink="">
      <xdr:nvSpPr>
        <xdr:cNvPr id="4" name="Rectangle: Rounded Corners 24">
          <a:extLst>
            <a:ext uri="{FF2B5EF4-FFF2-40B4-BE49-F238E27FC236}">
              <a16:creationId xmlns:a16="http://schemas.microsoft.com/office/drawing/2014/main" id="{9992DB88-DB30-4AAD-A02E-197AF1AC9BCC}"/>
            </a:ext>
          </a:extLst>
        </xdr:cNvPr>
        <xdr:cNvSpPr/>
      </xdr:nvSpPr>
      <xdr:spPr>
        <a:xfrm>
          <a:off x="14950440" y="52738020"/>
          <a:ext cx="2651760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Jun22</a:t>
          </a:r>
        </a:p>
      </xdr:txBody>
    </xdr:sp>
    <xdr:clientData/>
  </xdr:twoCellAnchor>
  <xdr:twoCellAnchor>
    <xdr:from>
      <xdr:col>11</xdr:col>
      <xdr:colOff>215856</xdr:colOff>
      <xdr:row>11</xdr:row>
      <xdr:rowOff>61854</xdr:rowOff>
    </xdr:from>
    <xdr:to>
      <xdr:col>14</xdr:col>
      <xdr:colOff>668474</xdr:colOff>
      <xdr:row>12</xdr:row>
      <xdr:rowOff>264108</xdr:rowOff>
    </xdr:to>
    <xdr:sp macro="" textlink="">
      <xdr:nvSpPr>
        <xdr:cNvPr id="5" name="Rectangle: Rounded Corners 8">
          <a:extLst>
            <a:ext uri="{FF2B5EF4-FFF2-40B4-BE49-F238E27FC236}">
              <a16:creationId xmlns:a16="http://schemas.microsoft.com/office/drawing/2014/main" id="{59020EA6-B62C-4CFB-9BDA-894AF585650D}"/>
            </a:ext>
          </a:extLst>
        </xdr:cNvPr>
        <xdr:cNvSpPr/>
      </xdr:nvSpPr>
      <xdr:spPr>
        <a:xfrm>
          <a:off x="12438336" y="1326774"/>
          <a:ext cx="2990078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sz="1400" b="1" i="1">
              <a:latin typeface="Santander Text" panose="020B0504020201020104" pitchFamily="34" charset="0"/>
            </a:rPr>
            <a:t>Status</a:t>
          </a:r>
          <a:r>
            <a:rPr lang="pt-PT" sz="1400" b="1" i="0">
              <a:latin typeface="Santander Text" panose="020B0504020201020104" pitchFamily="34" charset="0"/>
            </a:rPr>
            <a:t> dos campos</a:t>
          </a:r>
        </a:p>
      </xdr:txBody>
    </xdr:sp>
    <xdr:clientData/>
  </xdr:twoCellAnchor>
  <xdr:twoCellAnchor>
    <xdr:from>
      <xdr:col>3</xdr:col>
      <xdr:colOff>194084</xdr:colOff>
      <xdr:row>24</xdr:row>
      <xdr:rowOff>68009</xdr:rowOff>
    </xdr:from>
    <xdr:to>
      <xdr:col>4</xdr:col>
      <xdr:colOff>2974266</xdr:colOff>
      <xdr:row>25</xdr:row>
      <xdr:rowOff>228700</xdr:rowOff>
    </xdr:to>
    <xdr:sp macro="" textlink="">
      <xdr:nvSpPr>
        <xdr:cNvPr id="6" name="Rectangle: Rounded Corners 9">
          <a:extLst>
            <a:ext uri="{FF2B5EF4-FFF2-40B4-BE49-F238E27FC236}">
              <a16:creationId xmlns:a16="http://schemas.microsoft.com/office/drawing/2014/main" id="{624A1871-C90A-4162-8812-82A849CF24B1}"/>
            </a:ext>
          </a:extLst>
        </xdr:cNvPr>
        <xdr:cNvSpPr/>
      </xdr:nvSpPr>
      <xdr:spPr>
        <a:xfrm>
          <a:off x="712244" y="5508689"/>
          <a:ext cx="2993542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a testar na</a:t>
          </a:r>
          <a:r>
            <a:rPr lang="pt-PT" sz="1400" b="1" i="0" baseline="0">
              <a:latin typeface="Santander Text" panose="020B0504020201020104" pitchFamily="34" charset="0"/>
            </a:rPr>
            <a:t> semana 17/05</a:t>
          </a:r>
          <a:r>
            <a:rPr lang="pt-PT" sz="1400" b="1" i="0">
              <a:latin typeface="Santander Text" panose="020B0504020201020104" pitchFamily="34" charset="0"/>
            </a:rPr>
            <a:t> </a:t>
          </a:r>
        </a:p>
      </xdr:txBody>
    </xdr:sp>
    <xdr:clientData/>
  </xdr:twoCellAnchor>
  <xdr:twoCellAnchor>
    <xdr:from>
      <xdr:col>24</xdr:col>
      <xdr:colOff>21194</xdr:colOff>
      <xdr:row>11</xdr:row>
      <xdr:rowOff>61854</xdr:rowOff>
    </xdr:from>
    <xdr:to>
      <xdr:col>26</xdr:col>
      <xdr:colOff>737048</xdr:colOff>
      <xdr:row>12</xdr:row>
      <xdr:rowOff>264108</xdr:rowOff>
    </xdr:to>
    <xdr:sp macro="" textlink="">
      <xdr:nvSpPr>
        <xdr:cNvPr id="7" name="Rectangle: Rounded Corners 10">
          <a:extLst>
            <a:ext uri="{FF2B5EF4-FFF2-40B4-BE49-F238E27FC236}">
              <a16:creationId xmlns:a16="http://schemas.microsoft.com/office/drawing/2014/main" id="{1C651064-CC93-42DE-82AF-B477EF02AC44}"/>
            </a:ext>
          </a:extLst>
        </xdr:cNvPr>
        <xdr:cNvSpPr/>
      </xdr:nvSpPr>
      <xdr:spPr>
        <a:xfrm>
          <a:off x="19703654" y="1326774"/>
          <a:ext cx="2986614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tipo</a:t>
          </a:r>
          <a:r>
            <a:rPr lang="pt-PT" sz="1400" b="1" i="0" baseline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 tabela</a:t>
          </a:r>
          <a:endParaRPr lang="pt-PT" sz="1400" b="1" i="0">
            <a:solidFill>
              <a:schemeClr val="lt1"/>
            </a:solidFill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1241780</xdr:colOff>
      <xdr:row>24</xdr:row>
      <xdr:rowOff>68009</xdr:rowOff>
    </xdr:from>
    <xdr:to>
      <xdr:col>16</xdr:col>
      <xdr:colOff>1136060</xdr:colOff>
      <xdr:row>25</xdr:row>
      <xdr:rowOff>228700</xdr:rowOff>
    </xdr:to>
    <xdr:sp macro="" textlink="">
      <xdr:nvSpPr>
        <xdr:cNvPr id="8" name="Rectangle: Rounded Corners 11">
          <a:extLst>
            <a:ext uri="{FF2B5EF4-FFF2-40B4-BE49-F238E27FC236}">
              <a16:creationId xmlns:a16="http://schemas.microsoft.com/office/drawing/2014/main" id="{8927D69F-338E-4CF9-BBE6-4C7816DB7497}"/>
            </a:ext>
          </a:extLst>
        </xdr:cNvPr>
        <xdr:cNvSpPr/>
      </xdr:nvSpPr>
      <xdr:spPr>
        <a:xfrm>
          <a:off x="14462480" y="5508689"/>
          <a:ext cx="2972760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Campos a testar na semana 24/05</a:t>
          </a:r>
        </a:p>
      </xdr:txBody>
    </xdr:sp>
    <xdr:clientData/>
  </xdr:twoCellAnchor>
  <xdr:twoCellAnchor>
    <xdr:from>
      <xdr:col>3</xdr:col>
      <xdr:colOff>194084</xdr:colOff>
      <xdr:row>36</xdr:row>
      <xdr:rowOff>96707</xdr:rowOff>
    </xdr:from>
    <xdr:to>
      <xdr:col>4</xdr:col>
      <xdr:colOff>3046266</xdr:colOff>
      <xdr:row>38</xdr:row>
      <xdr:rowOff>174271</xdr:rowOff>
    </xdr:to>
    <xdr:sp macro="" textlink="">
      <xdr:nvSpPr>
        <xdr:cNvPr id="9" name="Rectangle: Rounded Corners 13">
          <a:extLst>
            <a:ext uri="{FF2B5EF4-FFF2-40B4-BE49-F238E27FC236}">
              <a16:creationId xmlns:a16="http://schemas.microsoft.com/office/drawing/2014/main" id="{F4E401D4-0CA6-4ED9-975B-F96315D7270C}"/>
            </a:ext>
          </a:extLst>
        </xdr:cNvPr>
        <xdr:cNvSpPr/>
      </xdr:nvSpPr>
      <xdr:spPr>
        <a:xfrm>
          <a:off x="712244" y="9827447"/>
          <a:ext cx="3065542" cy="496664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Concluídos</a:t>
          </a:r>
        </a:p>
      </xdr:txBody>
    </xdr:sp>
    <xdr:clientData/>
  </xdr:twoCellAnchor>
  <xdr:twoCellAnchor>
    <xdr:from>
      <xdr:col>3</xdr:col>
      <xdr:colOff>194084</xdr:colOff>
      <xdr:row>60</xdr:row>
      <xdr:rowOff>45247</xdr:rowOff>
    </xdr:from>
    <xdr:to>
      <xdr:col>4</xdr:col>
      <xdr:colOff>3046266</xdr:colOff>
      <xdr:row>62</xdr:row>
      <xdr:rowOff>150520</xdr:rowOff>
    </xdr:to>
    <xdr:sp macro="" textlink="">
      <xdr:nvSpPr>
        <xdr:cNvPr id="10" name="Rectangle: Rounded Corners 14">
          <a:extLst>
            <a:ext uri="{FF2B5EF4-FFF2-40B4-BE49-F238E27FC236}">
              <a16:creationId xmlns:a16="http://schemas.microsoft.com/office/drawing/2014/main" id="{408BCA09-02E8-453F-AB3D-7FA821B13884}"/>
            </a:ext>
          </a:extLst>
        </xdr:cNvPr>
        <xdr:cNvSpPr/>
      </xdr:nvSpPr>
      <xdr:spPr>
        <a:xfrm>
          <a:off x="712244" y="14370847"/>
          <a:ext cx="3065542" cy="486273"/>
        </a:xfrm>
        <a:prstGeom prst="roundRect">
          <a:avLst/>
        </a:prstGeom>
        <a:solidFill>
          <a:srgbClr val="FFD937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em Teste</a:t>
          </a:r>
        </a:p>
      </xdr:txBody>
    </xdr:sp>
    <xdr:clientData/>
  </xdr:twoCellAnchor>
  <xdr:twoCellAnchor>
    <xdr:from>
      <xdr:col>3</xdr:col>
      <xdr:colOff>194084</xdr:colOff>
      <xdr:row>104</xdr:row>
      <xdr:rowOff>110562</xdr:rowOff>
    </xdr:from>
    <xdr:to>
      <xdr:col>4</xdr:col>
      <xdr:colOff>3046266</xdr:colOff>
      <xdr:row>106</xdr:row>
      <xdr:rowOff>215835</xdr:rowOff>
    </xdr:to>
    <xdr:sp macro="" textlink="">
      <xdr:nvSpPr>
        <xdr:cNvPr id="11" name="Rectangle: Rounded Corners 15">
          <a:extLst>
            <a:ext uri="{FF2B5EF4-FFF2-40B4-BE49-F238E27FC236}">
              <a16:creationId xmlns:a16="http://schemas.microsoft.com/office/drawing/2014/main" id="{C85F98E5-E0EC-4498-9671-7EE8E2BE594D}"/>
            </a:ext>
          </a:extLst>
        </xdr:cNvPr>
        <xdr:cNvSpPr/>
      </xdr:nvSpPr>
      <xdr:spPr>
        <a:xfrm>
          <a:off x="712244" y="22841022"/>
          <a:ext cx="3065542" cy="486273"/>
        </a:xfrm>
        <a:prstGeom prst="roundRect">
          <a:avLst/>
        </a:prstGeom>
        <a:solidFill>
          <a:srgbClr val="C0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Pendentes</a:t>
          </a:r>
        </a:p>
      </xdr:txBody>
    </xdr:sp>
    <xdr:clientData/>
  </xdr:twoCellAnchor>
  <xdr:twoCellAnchor>
    <xdr:from>
      <xdr:col>24</xdr:col>
      <xdr:colOff>125175</xdr:colOff>
      <xdr:row>17</xdr:row>
      <xdr:rowOff>38099</xdr:rowOff>
    </xdr:from>
    <xdr:to>
      <xdr:col>24</xdr:col>
      <xdr:colOff>838616</xdr:colOff>
      <xdr:row>18</xdr:row>
      <xdr:rowOff>0</xdr:rowOff>
    </xdr:to>
    <xdr:sp macro="" textlink="">
      <xdr:nvSpPr>
        <xdr:cNvPr id="12" name="Rectangle 11"/>
        <xdr:cNvSpPr/>
      </xdr:nvSpPr>
      <xdr:spPr>
        <a:xfrm>
          <a:off x="19807635" y="3383279"/>
          <a:ext cx="713441" cy="31242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997527</xdr:colOff>
      <xdr:row>0</xdr:row>
      <xdr:rowOff>193964</xdr:rowOff>
    </xdr:from>
    <xdr:to>
      <xdr:col>4</xdr:col>
      <xdr:colOff>1981501</xdr:colOff>
      <xdr:row>3</xdr:row>
      <xdr:rowOff>48948</xdr:rowOff>
    </xdr:to>
    <xdr:pic>
      <xdr:nvPicPr>
        <xdr:cNvPr id="13" name="Graphic 267">
          <a:extLst>
            <a:ext uri="{FF2B5EF4-FFF2-40B4-BE49-F238E27FC236}">
              <a16:creationId xmlns:a16="http://schemas.microsoft.com/office/drawing/2014/main" id="{54FAF8A4-9A8F-432C-AFEE-8DF0B37A2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047" y="193964"/>
          <a:ext cx="983974" cy="426484"/>
        </a:xfrm>
        <a:prstGeom prst="rect">
          <a:avLst/>
        </a:prstGeom>
      </xdr:spPr>
    </xdr:pic>
    <xdr:clientData/>
  </xdr:twoCellAnchor>
  <xdr:twoCellAnchor>
    <xdr:from>
      <xdr:col>12</xdr:col>
      <xdr:colOff>777933</xdr:colOff>
      <xdr:row>25</xdr:row>
      <xdr:rowOff>235526</xdr:rowOff>
    </xdr:from>
    <xdr:to>
      <xdr:col>12</xdr:col>
      <xdr:colOff>777933</xdr:colOff>
      <xdr:row>35</xdr:row>
      <xdr:rowOff>27708</xdr:rowOff>
    </xdr:to>
    <xdr:cxnSp macro="">
      <xdr:nvCxnSpPr>
        <xdr:cNvPr id="14" name="Straight Connector 13"/>
        <xdr:cNvCxnSpPr/>
      </xdr:nvCxnSpPr>
      <xdr:spPr>
        <a:xfrm>
          <a:off x="13998633" y="6011486"/>
          <a:ext cx="0" cy="35640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219075</xdr:colOff>
      <xdr:row>17</xdr:row>
      <xdr:rowOff>161926</xdr:rowOff>
    </xdr:from>
    <xdr:to>
      <xdr:col>24</xdr:col>
      <xdr:colOff>1104900</xdr:colOff>
      <xdr:row>18</xdr:row>
      <xdr:rowOff>76201</xdr:rowOff>
    </xdr:to>
    <xdr:sp macro="" textlink="">
      <xdr:nvSpPr>
        <xdr:cNvPr id="15" name="Rectangle 14"/>
        <xdr:cNvSpPr/>
      </xdr:nvSpPr>
      <xdr:spPr>
        <a:xfrm>
          <a:off x="19665315" y="3507106"/>
          <a:ext cx="1122045" cy="2647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1543050</xdr:colOff>
      <xdr:row>14</xdr:row>
      <xdr:rowOff>295276</xdr:rowOff>
    </xdr:from>
    <xdr:to>
      <xdr:col>29</xdr:col>
      <xdr:colOff>1038225</xdr:colOff>
      <xdr:row>15</xdr:row>
      <xdr:rowOff>161288</xdr:rowOff>
    </xdr:to>
    <xdr:sp macro="" textlink="">
      <xdr:nvSpPr>
        <xdr:cNvPr id="16" name="Rectangle 15"/>
        <xdr:cNvSpPr/>
      </xdr:nvSpPr>
      <xdr:spPr>
        <a:xfrm>
          <a:off x="23496270" y="2535556"/>
          <a:ext cx="3335655" cy="2089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1524000</xdr:colOff>
      <xdr:row>12</xdr:row>
      <xdr:rowOff>45720</xdr:rowOff>
    </xdr:from>
    <xdr:to>
      <xdr:col>7</xdr:col>
      <xdr:colOff>1097280</xdr:colOff>
      <xdr:row>22</xdr:row>
      <xdr:rowOff>137160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117884</xdr:colOff>
      <xdr:row>11</xdr:row>
      <xdr:rowOff>61854</xdr:rowOff>
    </xdr:from>
    <xdr:to>
      <xdr:col>4</xdr:col>
      <xdr:colOff>2898066</xdr:colOff>
      <xdr:row>12</xdr:row>
      <xdr:rowOff>264108</xdr:rowOff>
    </xdr:to>
    <xdr:sp macro="" textlink="">
      <xdr:nvSpPr>
        <xdr:cNvPr id="18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636044" y="1326774"/>
          <a:ext cx="2993542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campo</a:t>
          </a:r>
        </a:p>
      </xdr:txBody>
    </xdr:sp>
    <xdr:clientData/>
  </xdr:twoCellAnchor>
  <xdr:twoCellAnchor>
    <xdr:from>
      <xdr:col>23</xdr:col>
      <xdr:colOff>60960</xdr:colOff>
      <xdr:row>13</xdr:row>
      <xdr:rowOff>184786</xdr:rowOff>
    </xdr:from>
    <xdr:to>
      <xdr:col>29</xdr:col>
      <xdr:colOff>883919</xdr:colOff>
      <xdr:row>22</xdr:row>
      <xdr:rowOff>45720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152400</xdr:colOff>
      <xdr:row>13</xdr:row>
      <xdr:rowOff>259080</xdr:rowOff>
    </xdr:from>
    <xdr:to>
      <xdr:col>24</xdr:col>
      <xdr:colOff>1082040</xdr:colOff>
      <xdr:row>14</xdr:row>
      <xdr:rowOff>167640</xdr:rowOff>
    </xdr:to>
    <xdr:sp macro="" textlink="">
      <xdr:nvSpPr>
        <xdr:cNvPr id="20" name="Rectangle 19"/>
        <xdr:cNvSpPr/>
      </xdr:nvSpPr>
      <xdr:spPr>
        <a:xfrm>
          <a:off x="19598640" y="2156460"/>
          <a:ext cx="1165860" cy="2514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23</xdr:col>
      <xdr:colOff>45720</xdr:colOff>
      <xdr:row>17</xdr:row>
      <xdr:rowOff>243840</xdr:rowOff>
    </xdr:from>
    <xdr:to>
      <xdr:col>24</xdr:col>
      <xdr:colOff>838200</xdr:colOff>
      <xdr:row>18</xdr:row>
      <xdr:rowOff>137160</xdr:rowOff>
    </xdr:to>
    <xdr:sp macro="" textlink="">
      <xdr:nvSpPr>
        <xdr:cNvPr id="21" name="Rectangle 20"/>
        <xdr:cNvSpPr/>
      </xdr:nvSpPr>
      <xdr:spPr>
        <a:xfrm>
          <a:off x="19491960" y="3589020"/>
          <a:ext cx="1028700" cy="24384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45025</xdr:colOff>
      <xdr:row>1</xdr:row>
      <xdr:rowOff>125983</xdr:rowOff>
    </xdr:from>
    <xdr:to>
      <xdr:col>4</xdr:col>
      <xdr:colOff>694812</xdr:colOff>
      <xdr:row>2</xdr:row>
      <xdr:rowOff>96846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4854630-F638-4E46-97BF-1D1E7570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563185" y="331723"/>
          <a:ext cx="863147" cy="153743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219</xdr:row>
      <xdr:rowOff>929</xdr:rowOff>
    </xdr:from>
    <xdr:to>
      <xdr:col>5</xdr:col>
      <xdr:colOff>130967</xdr:colOff>
      <xdr:row>221</xdr:row>
      <xdr:rowOff>23812</xdr:rowOff>
    </xdr:to>
    <xdr:sp macro="" textlink="">
      <xdr:nvSpPr>
        <xdr:cNvPr id="3" name="Rectangle: Rounded Corners 23">
          <a:extLst>
            <a:ext uri="{FF2B5EF4-FFF2-40B4-BE49-F238E27FC236}">
              <a16:creationId xmlns:a16="http://schemas.microsoft.com/office/drawing/2014/main" id="{C7FE7E5F-EDE2-4C0C-BFAA-15508D983A9E}"/>
            </a:ext>
          </a:extLst>
        </xdr:cNvPr>
        <xdr:cNvSpPr/>
      </xdr:nvSpPr>
      <xdr:spPr>
        <a:xfrm>
          <a:off x="518160" y="44363640"/>
          <a:ext cx="3666647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Jun23</a:t>
          </a:r>
        </a:p>
      </xdr:txBody>
    </xdr:sp>
    <xdr:clientData/>
  </xdr:twoCellAnchor>
  <xdr:twoCellAnchor>
    <xdr:from>
      <xdr:col>14</xdr:col>
      <xdr:colOff>190500</xdr:colOff>
      <xdr:row>219</xdr:row>
      <xdr:rowOff>929</xdr:rowOff>
    </xdr:from>
    <xdr:to>
      <xdr:col>17</xdr:col>
      <xdr:colOff>130967</xdr:colOff>
      <xdr:row>221</xdr:row>
      <xdr:rowOff>23812</xdr:rowOff>
    </xdr:to>
    <xdr:sp macro="" textlink="">
      <xdr:nvSpPr>
        <xdr:cNvPr id="4" name="Rectangle: Rounded Corners 24">
          <a:extLst>
            <a:ext uri="{FF2B5EF4-FFF2-40B4-BE49-F238E27FC236}">
              <a16:creationId xmlns:a16="http://schemas.microsoft.com/office/drawing/2014/main" id="{9992DB88-DB30-4AAD-A02E-197AF1AC9BCC}"/>
            </a:ext>
          </a:extLst>
        </xdr:cNvPr>
        <xdr:cNvSpPr/>
      </xdr:nvSpPr>
      <xdr:spPr>
        <a:xfrm>
          <a:off x="14851380" y="44363640"/>
          <a:ext cx="2651760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Jun22</a:t>
          </a:r>
        </a:p>
      </xdr:txBody>
    </xdr:sp>
    <xdr:clientData/>
  </xdr:twoCellAnchor>
  <xdr:twoCellAnchor>
    <xdr:from>
      <xdr:col>11</xdr:col>
      <xdr:colOff>215856</xdr:colOff>
      <xdr:row>11</xdr:row>
      <xdr:rowOff>61854</xdr:rowOff>
    </xdr:from>
    <xdr:to>
      <xdr:col>14</xdr:col>
      <xdr:colOff>668474</xdr:colOff>
      <xdr:row>12</xdr:row>
      <xdr:rowOff>264108</xdr:rowOff>
    </xdr:to>
    <xdr:sp macro="" textlink="">
      <xdr:nvSpPr>
        <xdr:cNvPr id="5" name="Rectangle: Rounded Corners 8">
          <a:extLst>
            <a:ext uri="{FF2B5EF4-FFF2-40B4-BE49-F238E27FC236}">
              <a16:creationId xmlns:a16="http://schemas.microsoft.com/office/drawing/2014/main" id="{59020EA6-B62C-4CFB-9BDA-894AF585650D}"/>
            </a:ext>
          </a:extLst>
        </xdr:cNvPr>
        <xdr:cNvSpPr/>
      </xdr:nvSpPr>
      <xdr:spPr>
        <a:xfrm>
          <a:off x="12339276" y="1326774"/>
          <a:ext cx="2990078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sz="1400" b="1" i="1">
              <a:latin typeface="Santander Text" panose="020B0504020201020104" pitchFamily="34" charset="0"/>
            </a:rPr>
            <a:t>Status</a:t>
          </a:r>
          <a:r>
            <a:rPr lang="pt-PT" sz="1400" b="1" i="0">
              <a:latin typeface="Santander Text" panose="020B0504020201020104" pitchFamily="34" charset="0"/>
            </a:rPr>
            <a:t> dos campos</a:t>
          </a:r>
        </a:p>
      </xdr:txBody>
    </xdr:sp>
    <xdr:clientData/>
  </xdr:twoCellAnchor>
  <xdr:twoCellAnchor>
    <xdr:from>
      <xdr:col>3</xdr:col>
      <xdr:colOff>194084</xdr:colOff>
      <xdr:row>24</xdr:row>
      <xdr:rowOff>68009</xdr:rowOff>
    </xdr:from>
    <xdr:to>
      <xdr:col>4</xdr:col>
      <xdr:colOff>2974266</xdr:colOff>
      <xdr:row>25</xdr:row>
      <xdr:rowOff>228700</xdr:rowOff>
    </xdr:to>
    <xdr:sp macro="" textlink="">
      <xdr:nvSpPr>
        <xdr:cNvPr id="6" name="Rectangle: Rounded Corners 9">
          <a:extLst>
            <a:ext uri="{FF2B5EF4-FFF2-40B4-BE49-F238E27FC236}">
              <a16:creationId xmlns:a16="http://schemas.microsoft.com/office/drawing/2014/main" id="{624A1871-C90A-4162-8812-82A849CF24B1}"/>
            </a:ext>
          </a:extLst>
        </xdr:cNvPr>
        <xdr:cNvSpPr/>
      </xdr:nvSpPr>
      <xdr:spPr>
        <a:xfrm>
          <a:off x="712244" y="5508689"/>
          <a:ext cx="2993542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a testar na</a:t>
          </a:r>
          <a:r>
            <a:rPr lang="pt-PT" sz="1400" b="1" i="0" baseline="0">
              <a:latin typeface="Santander Text" panose="020B0504020201020104" pitchFamily="34" charset="0"/>
            </a:rPr>
            <a:t> semana 17/05</a:t>
          </a:r>
          <a:r>
            <a:rPr lang="pt-PT" sz="1400" b="1" i="0">
              <a:latin typeface="Santander Text" panose="020B0504020201020104" pitchFamily="34" charset="0"/>
            </a:rPr>
            <a:t> </a:t>
          </a:r>
        </a:p>
      </xdr:txBody>
    </xdr:sp>
    <xdr:clientData/>
  </xdr:twoCellAnchor>
  <xdr:twoCellAnchor>
    <xdr:from>
      <xdr:col>24</xdr:col>
      <xdr:colOff>21194</xdr:colOff>
      <xdr:row>11</xdr:row>
      <xdr:rowOff>61854</xdr:rowOff>
    </xdr:from>
    <xdr:to>
      <xdr:col>26</xdr:col>
      <xdr:colOff>737048</xdr:colOff>
      <xdr:row>12</xdr:row>
      <xdr:rowOff>264108</xdr:rowOff>
    </xdr:to>
    <xdr:sp macro="" textlink="">
      <xdr:nvSpPr>
        <xdr:cNvPr id="7" name="Rectangle: Rounded Corners 10">
          <a:extLst>
            <a:ext uri="{FF2B5EF4-FFF2-40B4-BE49-F238E27FC236}">
              <a16:creationId xmlns:a16="http://schemas.microsoft.com/office/drawing/2014/main" id="{1C651064-CC93-42DE-82AF-B477EF02AC44}"/>
            </a:ext>
          </a:extLst>
        </xdr:cNvPr>
        <xdr:cNvSpPr/>
      </xdr:nvSpPr>
      <xdr:spPr>
        <a:xfrm>
          <a:off x="19604594" y="1326774"/>
          <a:ext cx="2986614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tabela</a:t>
          </a:r>
        </a:p>
      </xdr:txBody>
    </xdr:sp>
    <xdr:clientData/>
  </xdr:twoCellAnchor>
  <xdr:twoCellAnchor>
    <xdr:from>
      <xdr:col>12</xdr:col>
      <xdr:colOff>1241780</xdr:colOff>
      <xdr:row>24</xdr:row>
      <xdr:rowOff>68009</xdr:rowOff>
    </xdr:from>
    <xdr:to>
      <xdr:col>16</xdr:col>
      <xdr:colOff>1136060</xdr:colOff>
      <xdr:row>25</xdr:row>
      <xdr:rowOff>228700</xdr:rowOff>
    </xdr:to>
    <xdr:sp macro="" textlink="">
      <xdr:nvSpPr>
        <xdr:cNvPr id="8" name="Rectangle: Rounded Corners 11">
          <a:extLst>
            <a:ext uri="{FF2B5EF4-FFF2-40B4-BE49-F238E27FC236}">
              <a16:creationId xmlns:a16="http://schemas.microsoft.com/office/drawing/2014/main" id="{8927D69F-338E-4CF9-BBE6-4C7816DB7497}"/>
            </a:ext>
          </a:extLst>
        </xdr:cNvPr>
        <xdr:cNvSpPr/>
      </xdr:nvSpPr>
      <xdr:spPr>
        <a:xfrm>
          <a:off x="14363420" y="5508689"/>
          <a:ext cx="2972760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Campos a testar na semana 24/05</a:t>
          </a:r>
        </a:p>
      </xdr:txBody>
    </xdr:sp>
    <xdr:clientData/>
  </xdr:twoCellAnchor>
  <xdr:twoCellAnchor>
    <xdr:from>
      <xdr:col>3</xdr:col>
      <xdr:colOff>194084</xdr:colOff>
      <xdr:row>36</xdr:row>
      <xdr:rowOff>96707</xdr:rowOff>
    </xdr:from>
    <xdr:to>
      <xdr:col>4</xdr:col>
      <xdr:colOff>3046266</xdr:colOff>
      <xdr:row>38</xdr:row>
      <xdr:rowOff>174271</xdr:rowOff>
    </xdr:to>
    <xdr:sp macro="" textlink="">
      <xdr:nvSpPr>
        <xdr:cNvPr id="9" name="Rectangle: Rounded Corners 13">
          <a:extLst>
            <a:ext uri="{FF2B5EF4-FFF2-40B4-BE49-F238E27FC236}">
              <a16:creationId xmlns:a16="http://schemas.microsoft.com/office/drawing/2014/main" id="{F4E401D4-0CA6-4ED9-975B-F96315D7270C}"/>
            </a:ext>
          </a:extLst>
        </xdr:cNvPr>
        <xdr:cNvSpPr/>
      </xdr:nvSpPr>
      <xdr:spPr>
        <a:xfrm>
          <a:off x="712244" y="10025567"/>
          <a:ext cx="3065542" cy="496664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Concluídos</a:t>
          </a:r>
        </a:p>
      </xdr:txBody>
    </xdr:sp>
    <xdr:clientData/>
  </xdr:twoCellAnchor>
  <xdr:twoCellAnchor>
    <xdr:from>
      <xdr:col>3</xdr:col>
      <xdr:colOff>194084</xdr:colOff>
      <xdr:row>43</xdr:row>
      <xdr:rowOff>45247</xdr:rowOff>
    </xdr:from>
    <xdr:to>
      <xdr:col>4</xdr:col>
      <xdr:colOff>3046266</xdr:colOff>
      <xdr:row>45</xdr:row>
      <xdr:rowOff>150520</xdr:rowOff>
    </xdr:to>
    <xdr:sp macro="" textlink="">
      <xdr:nvSpPr>
        <xdr:cNvPr id="10" name="Rectangle: Rounded Corners 14">
          <a:extLst>
            <a:ext uri="{FF2B5EF4-FFF2-40B4-BE49-F238E27FC236}">
              <a16:creationId xmlns:a16="http://schemas.microsoft.com/office/drawing/2014/main" id="{408BCA09-02E8-453F-AB3D-7FA821B13884}"/>
            </a:ext>
          </a:extLst>
        </xdr:cNvPr>
        <xdr:cNvSpPr/>
      </xdr:nvSpPr>
      <xdr:spPr>
        <a:xfrm>
          <a:off x="712244" y="11330467"/>
          <a:ext cx="3065542" cy="486273"/>
        </a:xfrm>
        <a:prstGeom prst="roundRect">
          <a:avLst/>
        </a:prstGeom>
        <a:solidFill>
          <a:srgbClr val="FFD937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em Teste</a:t>
          </a:r>
        </a:p>
      </xdr:txBody>
    </xdr:sp>
    <xdr:clientData/>
  </xdr:twoCellAnchor>
  <xdr:twoCellAnchor>
    <xdr:from>
      <xdr:col>3</xdr:col>
      <xdr:colOff>194084</xdr:colOff>
      <xdr:row>198</xdr:row>
      <xdr:rowOff>110562</xdr:rowOff>
    </xdr:from>
    <xdr:to>
      <xdr:col>4</xdr:col>
      <xdr:colOff>3046266</xdr:colOff>
      <xdr:row>200</xdr:row>
      <xdr:rowOff>215835</xdr:rowOff>
    </xdr:to>
    <xdr:sp macro="" textlink="">
      <xdr:nvSpPr>
        <xdr:cNvPr id="11" name="Rectangle: Rounded Corners 15">
          <a:extLst>
            <a:ext uri="{FF2B5EF4-FFF2-40B4-BE49-F238E27FC236}">
              <a16:creationId xmlns:a16="http://schemas.microsoft.com/office/drawing/2014/main" id="{C85F98E5-E0EC-4498-9671-7EE8E2BE594D}"/>
            </a:ext>
          </a:extLst>
        </xdr:cNvPr>
        <xdr:cNvSpPr/>
      </xdr:nvSpPr>
      <xdr:spPr>
        <a:xfrm>
          <a:off x="712244" y="40946142"/>
          <a:ext cx="3065542" cy="486273"/>
        </a:xfrm>
        <a:prstGeom prst="roundRect">
          <a:avLst/>
        </a:prstGeom>
        <a:solidFill>
          <a:srgbClr val="C0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Pendentes</a:t>
          </a:r>
        </a:p>
      </xdr:txBody>
    </xdr:sp>
    <xdr:clientData/>
  </xdr:twoCellAnchor>
  <xdr:twoCellAnchor>
    <xdr:from>
      <xdr:col>24</xdr:col>
      <xdr:colOff>125175</xdr:colOff>
      <xdr:row>17</xdr:row>
      <xdr:rowOff>38099</xdr:rowOff>
    </xdr:from>
    <xdr:to>
      <xdr:col>24</xdr:col>
      <xdr:colOff>838616</xdr:colOff>
      <xdr:row>18</xdr:row>
      <xdr:rowOff>0</xdr:rowOff>
    </xdr:to>
    <xdr:sp macro="" textlink="">
      <xdr:nvSpPr>
        <xdr:cNvPr id="12" name="Rectangle 11"/>
        <xdr:cNvSpPr/>
      </xdr:nvSpPr>
      <xdr:spPr>
        <a:xfrm>
          <a:off x="19708575" y="3383279"/>
          <a:ext cx="713441" cy="31242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997527</xdr:colOff>
      <xdr:row>0</xdr:row>
      <xdr:rowOff>193964</xdr:rowOff>
    </xdr:from>
    <xdr:to>
      <xdr:col>4</xdr:col>
      <xdr:colOff>1981501</xdr:colOff>
      <xdr:row>3</xdr:row>
      <xdr:rowOff>48948</xdr:rowOff>
    </xdr:to>
    <xdr:pic>
      <xdr:nvPicPr>
        <xdr:cNvPr id="13" name="Graphic 267">
          <a:extLst>
            <a:ext uri="{FF2B5EF4-FFF2-40B4-BE49-F238E27FC236}">
              <a16:creationId xmlns:a16="http://schemas.microsoft.com/office/drawing/2014/main" id="{54FAF8A4-9A8F-432C-AFEE-8DF0B37A2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047" y="193964"/>
          <a:ext cx="983974" cy="426484"/>
        </a:xfrm>
        <a:prstGeom prst="rect">
          <a:avLst/>
        </a:prstGeom>
      </xdr:spPr>
    </xdr:pic>
    <xdr:clientData/>
  </xdr:twoCellAnchor>
  <xdr:twoCellAnchor>
    <xdr:from>
      <xdr:col>12</xdr:col>
      <xdr:colOff>777933</xdr:colOff>
      <xdr:row>25</xdr:row>
      <xdr:rowOff>235526</xdr:rowOff>
    </xdr:from>
    <xdr:to>
      <xdr:col>12</xdr:col>
      <xdr:colOff>777933</xdr:colOff>
      <xdr:row>35</xdr:row>
      <xdr:rowOff>27708</xdr:rowOff>
    </xdr:to>
    <xdr:cxnSp macro="">
      <xdr:nvCxnSpPr>
        <xdr:cNvPr id="14" name="Straight Connector 13"/>
        <xdr:cNvCxnSpPr/>
      </xdr:nvCxnSpPr>
      <xdr:spPr>
        <a:xfrm>
          <a:off x="13899573" y="6011486"/>
          <a:ext cx="0" cy="37622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1493520</xdr:colOff>
      <xdr:row>11</xdr:row>
      <xdr:rowOff>289560</xdr:rowOff>
    </xdr:from>
    <xdr:to>
      <xdr:col>7</xdr:col>
      <xdr:colOff>1173120</xdr:colOff>
      <xdr:row>22</xdr:row>
      <xdr:rowOff>77880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117884</xdr:colOff>
      <xdr:row>11</xdr:row>
      <xdr:rowOff>61854</xdr:rowOff>
    </xdr:from>
    <xdr:to>
      <xdr:col>4</xdr:col>
      <xdr:colOff>2898066</xdr:colOff>
      <xdr:row>12</xdr:row>
      <xdr:rowOff>264108</xdr:rowOff>
    </xdr:to>
    <xdr:sp macro="" textlink="">
      <xdr:nvSpPr>
        <xdr:cNvPr id="16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636044" y="1326774"/>
          <a:ext cx="2993542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campo</a:t>
          </a:r>
        </a:p>
      </xdr:txBody>
    </xdr:sp>
    <xdr:clientData/>
  </xdr:twoCellAnchor>
  <xdr:twoCellAnchor>
    <xdr:from>
      <xdr:col>24</xdr:col>
      <xdr:colOff>19050</xdr:colOff>
      <xdr:row>13</xdr:row>
      <xdr:rowOff>228600</xdr:rowOff>
    </xdr:from>
    <xdr:to>
      <xdr:col>29</xdr:col>
      <xdr:colOff>1047750</xdr:colOff>
      <xdr:row>21</xdr:row>
      <xdr:rowOff>259080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219075</xdr:colOff>
      <xdr:row>17</xdr:row>
      <xdr:rowOff>161926</xdr:rowOff>
    </xdr:from>
    <xdr:to>
      <xdr:col>24</xdr:col>
      <xdr:colOff>1104900</xdr:colOff>
      <xdr:row>18</xdr:row>
      <xdr:rowOff>76201</xdr:rowOff>
    </xdr:to>
    <xdr:sp macro="" textlink="">
      <xdr:nvSpPr>
        <xdr:cNvPr id="18" name="Rectangle 17"/>
        <xdr:cNvSpPr/>
      </xdr:nvSpPr>
      <xdr:spPr>
        <a:xfrm>
          <a:off x="19566255" y="3507106"/>
          <a:ext cx="1122045" cy="2647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sz="1100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0.00173</cdr:x>
      <cdr:y>0</cdr:y>
    </cdr:from>
    <cdr:to>
      <cdr:x>0.29396</cdr:x>
      <cdr:y>0.09638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2700" y="0"/>
          <a:ext cx="2148840" cy="2755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PT" sz="1100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7780\Downloads\Indicadores_1752024_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 campo GD"/>
      <sheetName val="Reconciliação"/>
      <sheetName val="Histórico"/>
      <sheetName val="Plano"/>
      <sheetName val="Dashboard"/>
      <sheetName val="Resumo GD"/>
      <sheetName val="Resumo Modelo Verde"/>
      <sheetName val="Resumo Bens Imóveis"/>
      <sheetName val="MV+BI"/>
      <sheetName val="Status"/>
      <sheetName val="Plano (3)"/>
      <sheetName val="Reconciliação 11.04"/>
      <sheetName val="Temas Pendentes"/>
      <sheetName val="aux"/>
    </sheetNames>
    <sheetDataSet>
      <sheetData sheetId="0"/>
      <sheetData sheetId="1"/>
      <sheetData sheetId="2"/>
      <sheetData sheetId="3">
        <row r="7">
          <cell r="C7" t="str">
            <v>GRSS_INTRST_EXPNS</v>
          </cell>
          <cell r="D7" t="str">
            <v>GD</v>
          </cell>
          <cell r="E7" t="str">
            <v>INSTRUMENT</v>
          </cell>
          <cell r="F7" t="str">
            <v>Em Implementação - Alteração EF</v>
          </cell>
          <cell r="G7" t="str">
            <v>Alteração EF</v>
          </cell>
          <cell r="I7">
            <v>45435</v>
          </cell>
          <cell r="J7" t="str">
            <v>IT</v>
          </cell>
          <cell r="L7">
            <v>45464</v>
          </cell>
        </row>
        <row r="8">
          <cell r="C8" t="str">
            <v>GRSS_INTRST_EXPNS_CCRR</v>
          </cell>
          <cell r="D8" t="str">
            <v>GD</v>
          </cell>
          <cell r="E8" t="str">
            <v>INSTRUMENT</v>
          </cell>
          <cell r="F8" t="str">
            <v>Em Implementação - Alteração EF</v>
          </cell>
          <cell r="G8" t="str">
            <v>Alteração EF</v>
          </cell>
          <cell r="I8">
            <v>45435</v>
          </cell>
          <cell r="J8" t="str">
            <v>IT</v>
          </cell>
          <cell r="L8">
            <v>45471</v>
          </cell>
        </row>
        <row r="9">
          <cell r="C9" t="str">
            <v>GRSS_INTRST_INCM</v>
          </cell>
          <cell r="D9" t="str">
            <v>GD</v>
          </cell>
          <cell r="E9" t="str">
            <v>INSTRUMENT</v>
          </cell>
          <cell r="F9" t="str">
            <v>Em Implementação - Alteração EF</v>
          </cell>
          <cell r="G9" t="str">
            <v>Alteração EF</v>
          </cell>
          <cell r="I9">
            <v>45435</v>
          </cell>
          <cell r="J9" t="str">
            <v>IT</v>
          </cell>
          <cell r="L9">
            <v>45471</v>
          </cell>
        </row>
        <row r="10">
          <cell r="C10" t="str">
            <v>GRSS_INTRST_INCM_CCRR</v>
          </cell>
          <cell r="D10" t="str">
            <v>GD</v>
          </cell>
          <cell r="E10" t="str">
            <v>INSTRUMENT</v>
          </cell>
          <cell r="F10" t="str">
            <v>Em Implementação - Alteração EF</v>
          </cell>
          <cell r="G10" t="str">
            <v>Alteração EF</v>
          </cell>
          <cell r="I10">
            <v>45435</v>
          </cell>
          <cell r="J10" t="str">
            <v>IT</v>
          </cell>
          <cell r="L10">
            <v>45471</v>
          </cell>
        </row>
        <row r="11">
          <cell r="C11" t="str">
            <v>BSNSS_AREA</v>
          </cell>
          <cell r="D11" t="str">
            <v>GD</v>
          </cell>
          <cell r="E11" t="str">
            <v>INSTRUMENT</v>
          </cell>
          <cell r="F11" t="str">
            <v>Em Implementação - Alteração EF</v>
          </cell>
          <cell r="G11" t="str">
            <v>Alteração EF</v>
          </cell>
          <cell r="I11">
            <v>45435</v>
          </cell>
          <cell r="J11" t="str">
            <v>IT</v>
          </cell>
          <cell r="L11">
            <v>45450</v>
          </cell>
        </row>
        <row r="12">
          <cell r="C12" t="str">
            <v>GNS_FNNCL_TRNSCTN_EXCHNG_CCRR</v>
          </cell>
          <cell r="D12" t="str">
            <v>GD</v>
          </cell>
          <cell r="E12" t="str">
            <v>INSTRUMENT</v>
          </cell>
          <cell r="F12" t="str">
            <v>Em Implementação - Alteração EF</v>
          </cell>
          <cell r="G12" t="str">
            <v>Alteração EF</v>
          </cell>
          <cell r="I12">
            <v>45435</v>
          </cell>
          <cell r="J12" t="str">
            <v>IT</v>
          </cell>
          <cell r="L12">
            <v>45478</v>
          </cell>
        </row>
        <row r="13">
          <cell r="C13" t="str">
            <v>GNS_FNNCL_TRNSCTN_EXCHNG_DFFRNCS</v>
          </cell>
          <cell r="D13" t="str">
            <v>GD</v>
          </cell>
          <cell r="E13" t="str">
            <v>INSTRUMENT</v>
          </cell>
          <cell r="F13" t="str">
            <v>Em Implementação - Alteração EF</v>
          </cell>
          <cell r="G13" t="str">
            <v>Alteração EF</v>
          </cell>
          <cell r="I13">
            <v>45435</v>
          </cell>
          <cell r="J13" t="str">
            <v>IT</v>
          </cell>
          <cell r="L13">
            <v>45478</v>
          </cell>
        </row>
        <row r="14">
          <cell r="C14" t="str">
            <v>GRSS_CMMSSN_EXPNS</v>
          </cell>
          <cell r="D14" t="str">
            <v>GD</v>
          </cell>
          <cell r="E14" t="str">
            <v>INSTRUMENT</v>
          </cell>
          <cell r="F14" t="str">
            <v>Em Implementação - Alteração EF</v>
          </cell>
          <cell r="G14" t="str">
            <v>Alteração EF</v>
          </cell>
          <cell r="I14">
            <v>45435</v>
          </cell>
          <cell r="J14" t="str">
            <v>IT</v>
          </cell>
          <cell r="L14">
            <v>45478</v>
          </cell>
        </row>
        <row r="15">
          <cell r="C15" t="str">
            <v>GRSS_CMMSSN_EXPNS_CCRR</v>
          </cell>
          <cell r="D15" t="str">
            <v>GD</v>
          </cell>
          <cell r="E15" t="str">
            <v>INSTRUMENT</v>
          </cell>
          <cell r="F15" t="str">
            <v>Em Implementação - Alteração EF</v>
          </cell>
          <cell r="G15" t="str">
            <v>Alteração EF</v>
          </cell>
          <cell r="I15">
            <v>45435</v>
          </cell>
          <cell r="J15" t="str">
            <v>IT</v>
          </cell>
          <cell r="L15">
            <v>45478</v>
          </cell>
        </row>
        <row r="16">
          <cell r="C16" t="str">
            <v>GRSS_CMMSSN_INCM_OFF_BLNC</v>
          </cell>
          <cell r="D16" t="str">
            <v>GD</v>
          </cell>
          <cell r="E16" t="str">
            <v>INSTRUMENT</v>
          </cell>
          <cell r="F16" t="str">
            <v>Em Implementação - Alteração EF</v>
          </cell>
          <cell r="G16" t="str">
            <v>Alteração EF</v>
          </cell>
          <cell r="I16">
            <v>45435</v>
          </cell>
          <cell r="J16" t="str">
            <v>IT</v>
          </cell>
          <cell r="L16">
            <v>45485</v>
          </cell>
        </row>
        <row r="17">
          <cell r="C17" t="str">
            <v>GRSS_CMMSSN_INCM_OFF_BLNC_CCRR</v>
          </cell>
          <cell r="D17" t="str">
            <v>GD</v>
          </cell>
          <cell r="E17" t="str">
            <v>INSTRUMENT</v>
          </cell>
          <cell r="F17" t="str">
            <v>Em Implementação - Alteração EF</v>
          </cell>
          <cell r="G17" t="str">
            <v>Alteração EF</v>
          </cell>
          <cell r="I17">
            <v>45435</v>
          </cell>
          <cell r="J17" t="str">
            <v>IT</v>
          </cell>
          <cell r="L17">
            <v>45485</v>
          </cell>
        </row>
        <row r="18">
          <cell r="C18" t="str">
            <v>NW_BSNSS</v>
          </cell>
          <cell r="D18" t="str">
            <v>GD</v>
          </cell>
          <cell r="E18" t="str">
            <v>INSTRUMENT</v>
          </cell>
          <cell r="F18" t="str">
            <v>Em Implementação - Alteração EF</v>
          </cell>
          <cell r="G18" t="str">
            <v>Alteração EF</v>
          </cell>
          <cell r="I18">
            <v>45435</v>
          </cell>
          <cell r="J18" t="str">
            <v>IT</v>
          </cell>
          <cell r="L18">
            <v>45478</v>
          </cell>
        </row>
        <row r="19">
          <cell r="C19" t="str">
            <v>MNGMNT_PRDCT</v>
          </cell>
          <cell r="D19" t="str">
            <v>GD</v>
          </cell>
          <cell r="E19" t="str">
            <v>INSTRUMENT</v>
          </cell>
          <cell r="F19" t="str">
            <v>Em Implementação - Alteração EF</v>
          </cell>
          <cell r="G19" t="str">
            <v>Alteração EF</v>
          </cell>
          <cell r="I19">
            <v>45435</v>
          </cell>
          <cell r="J19" t="str">
            <v>IT</v>
          </cell>
          <cell r="L19">
            <v>45450</v>
          </cell>
        </row>
        <row r="20">
          <cell r="C20" t="str">
            <v>BSNSS_AREA_CCRR</v>
          </cell>
          <cell r="D20" t="str">
            <v>GD</v>
          </cell>
          <cell r="E20" t="str">
            <v>INSTRUMENT</v>
          </cell>
          <cell r="F20" t="str">
            <v>Em Implementação - Alteração EF</v>
          </cell>
          <cell r="G20" t="str">
            <v>Alteração EF</v>
          </cell>
          <cell r="I20">
            <v>45435</v>
          </cell>
          <cell r="J20" t="str">
            <v>IT</v>
          </cell>
          <cell r="L20">
            <v>45450</v>
          </cell>
        </row>
        <row r="21">
          <cell r="C21" t="str">
            <v>COD_SOC_INTRGRP</v>
          </cell>
          <cell r="D21" t="str">
            <v>GD</v>
          </cell>
          <cell r="E21" t="str">
            <v>INSTRUMENT</v>
          </cell>
          <cell r="F21" t="str">
            <v>Concluído</v>
          </cell>
          <cell r="G21" t="str">
            <v>Concluído p/ testes</v>
          </cell>
          <cell r="I21" t="str">
            <v>-</v>
          </cell>
          <cell r="L21">
            <v>45394</v>
          </cell>
        </row>
        <row r="22">
          <cell r="C22" t="str">
            <v>GRSS_CMMSSN_EXPNS_OFF_BLNC</v>
          </cell>
          <cell r="D22" t="str">
            <v>GD</v>
          </cell>
          <cell r="E22" t="str">
            <v>INSTRUMENT</v>
          </cell>
          <cell r="F22" t="str">
            <v>Em Implementação - Alteração EF</v>
          </cell>
          <cell r="G22" t="str">
            <v>Alteração EF</v>
          </cell>
          <cell r="I22">
            <v>45435</v>
          </cell>
          <cell r="J22" t="str">
            <v>IT</v>
          </cell>
          <cell r="L22">
            <v>45485</v>
          </cell>
        </row>
        <row r="23">
          <cell r="C23" t="str">
            <v>INTRNL_TRNSFR_RT_OFF_BLNC</v>
          </cell>
          <cell r="D23" t="str">
            <v>GD</v>
          </cell>
          <cell r="E23" t="str">
            <v>INSTRUMENT</v>
          </cell>
          <cell r="F23" t="str">
            <v>Concluído</v>
          </cell>
          <cell r="G23" t="str">
            <v>Concluído p/ testes</v>
          </cell>
          <cell r="I23" t="str">
            <v>-</v>
          </cell>
          <cell r="J23" t="str">
            <v>IT</v>
          </cell>
          <cell r="L23" t="str">
            <v>-</v>
          </cell>
        </row>
        <row r="24">
          <cell r="C24" t="str">
            <v>RWA_OFF_BLNC</v>
          </cell>
          <cell r="D24" t="str">
            <v>GD</v>
          </cell>
          <cell r="E24" t="str">
            <v>INSTRUMENT</v>
          </cell>
          <cell r="F24" t="str">
            <v>Concluído</v>
          </cell>
          <cell r="G24" t="str">
            <v>Concluído p/ testes</v>
          </cell>
          <cell r="I24" t="str">
            <v>-</v>
          </cell>
          <cell r="J24" t="str">
            <v>IT</v>
          </cell>
          <cell r="L24" t="str">
            <v>-</v>
          </cell>
        </row>
        <row r="25">
          <cell r="C25" t="str">
            <v>GRSS_CMMSSN_EXPNS_OFF_BLNC_CCRR</v>
          </cell>
          <cell r="D25" t="str">
            <v>GD</v>
          </cell>
          <cell r="E25" t="str">
            <v>INSTRUMENT</v>
          </cell>
          <cell r="F25" t="str">
            <v>Em Implementação - Alteração EF</v>
          </cell>
          <cell r="G25" t="str">
            <v>Alteração EF</v>
          </cell>
          <cell r="I25">
            <v>45435</v>
          </cell>
          <cell r="J25" t="str">
            <v>IT</v>
          </cell>
          <cell r="L25">
            <v>45485</v>
          </cell>
        </row>
        <row r="26">
          <cell r="C26" t="str">
            <v>NT_LN_LSS_PRVSN</v>
          </cell>
          <cell r="D26" t="str">
            <v>GD</v>
          </cell>
          <cell r="E26" t="str">
            <v>INSTRUMENT</v>
          </cell>
          <cell r="F26" t="str">
            <v>Em Implementação - Alteração EF</v>
          </cell>
          <cell r="G26" t="str">
            <v>Alteração EF</v>
          </cell>
          <cell r="I26">
            <v>45435</v>
          </cell>
          <cell r="J26" t="str">
            <v>IT</v>
          </cell>
          <cell r="L26">
            <v>45492</v>
          </cell>
        </row>
        <row r="27">
          <cell r="C27" t="str">
            <v>NT_LN_LSS_PRVSN_OFF_BLNC</v>
          </cell>
          <cell r="D27" t="str">
            <v>GD</v>
          </cell>
          <cell r="E27" t="str">
            <v>INSTRUMENT</v>
          </cell>
          <cell r="F27" t="str">
            <v>Em Implementação - Alteração EF</v>
          </cell>
          <cell r="G27" t="str">
            <v>Alteração EF</v>
          </cell>
          <cell r="I27">
            <v>45435</v>
          </cell>
          <cell r="J27" t="str">
            <v>IT</v>
          </cell>
          <cell r="L27">
            <v>45492</v>
          </cell>
        </row>
        <row r="28">
          <cell r="C28" t="str">
            <v>AVRG_BLNC_OFF_BLNC</v>
          </cell>
          <cell r="D28" t="str">
            <v>GD</v>
          </cell>
          <cell r="E28" t="str">
            <v>INSTRUMENT</v>
          </cell>
          <cell r="F28" t="str">
            <v>Em Implementação - Alteração EF</v>
          </cell>
          <cell r="G28" t="str">
            <v>Alteração EF</v>
          </cell>
          <cell r="I28">
            <v>45435</v>
          </cell>
          <cell r="J28" t="str">
            <v>IT</v>
          </cell>
          <cell r="L28">
            <v>45492</v>
          </cell>
        </row>
        <row r="29">
          <cell r="C29" t="str">
            <v>AVRG_BLNC</v>
          </cell>
          <cell r="D29" t="str">
            <v>GD</v>
          </cell>
          <cell r="E29" t="str">
            <v>INSTRUMENT</v>
          </cell>
          <cell r="F29" t="str">
            <v>Em Implementação - Alteração EF</v>
          </cell>
          <cell r="G29" t="str">
            <v>Alteração EF</v>
          </cell>
          <cell r="I29">
            <v>45435</v>
          </cell>
          <cell r="J29" t="str">
            <v>IT</v>
          </cell>
          <cell r="L29">
            <v>45492</v>
          </cell>
        </row>
        <row r="30">
          <cell r="C30" t="str">
            <v>INTRNL_TRNSFR_RT</v>
          </cell>
          <cell r="D30" t="str">
            <v>GD</v>
          </cell>
          <cell r="E30" t="str">
            <v>INSTRUMENT</v>
          </cell>
          <cell r="F30" t="str">
            <v>Em Implementação - Alteração EF</v>
          </cell>
          <cell r="G30" t="str">
            <v>Alteração EF</v>
          </cell>
          <cell r="I30">
            <v>45435</v>
          </cell>
          <cell r="J30" t="str">
            <v>IT</v>
          </cell>
          <cell r="L30">
            <v>45499</v>
          </cell>
        </row>
        <row r="31">
          <cell r="C31" t="str">
            <v>GRSS_CMMSSN_INCM</v>
          </cell>
          <cell r="D31" t="str">
            <v>GD</v>
          </cell>
          <cell r="E31" t="str">
            <v>INSTRUMENT</v>
          </cell>
          <cell r="F31" t="str">
            <v>Em Implementação - Alteração EF</v>
          </cell>
          <cell r="G31" t="str">
            <v>Alteração EF</v>
          </cell>
          <cell r="I31">
            <v>45435</v>
          </cell>
          <cell r="J31" t="str">
            <v>IT</v>
          </cell>
          <cell r="L31">
            <v>45499</v>
          </cell>
        </row>
        <row r="32">
          <cell r="C32" t="str">
            <v>GRSS_CMMSSN_INCM_CCRR</v>
          </cell>
          <cell r="D32" t="str">
            <v>GD</v>
          </cell>
          <cell r="E32" t="str">
            <v>INSTRUMENT</v>
          </cell>
          <cell r="F32" t="str">
            <v>Em Implementação - Alteração EF</v>
          </cell>
          <cell r="G32" t="str">
            <v>Alteração EF</v>
          </cell>
          <cell r="I32">
            <v>45435</v>
          </cell>
          <cell r="J32" t="str">
            <v>IT</v>
          </cell>
          <cell r="L32">
            <v>45499</v>
          </cell>
        </row>
        <row r="33">
          <cell r="C33" t="str">
            <v>CNCLLD_INSTRMNT_STTS</v>
          </cell>
          <cell r="D33" t="str">
            <v>GD</v>
          </cell>
          <cell r="E33" t="str">
            <v>INSTRUMENT</v>
          </cell>
          <cell r="F33" t="str">
            <v>Em Implementação - Alteração EF</v>
          </cell>
          <cell r="G33" t="str">
            <v>Alteração EF</v>
          </cell>
          <cell r="I33">
            <v>45435</v>
          </cell>
          <cell r="J33" t="str">
            <v>IT</v>
          </cell>
          <cell r="K33">
            <v>45464</v>
          </cell>
          <cell r="L33">
            <v>45506</v>
          </cell>
        </row>
        <row r="34">
          <cell r="C34" t="str">
            <v>DFLT_STTS_INSTRMNT</v>
          </cell>
          <cell r="D34" t="str">
            <v>GD</v>
          </cell>
          <cell r="E34" t="str">
            <v>INSTRUMENT</v>
          </cell>
          <cell r="F34" t="str">
            <v>Concluído</v>
          </cell>
          <cell r="G34" t="str">
            <v>Concluído p/ testes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</row>
        <row r="35">
          <cell r="C35" t="str">
            <v>ACCMLTD_CHNGS_FV_CR_INSTRMNT</v>
          </cell>
          <cell r="D35" t="str">
            <v>GD</v>
          </cell>
          <cell r="E35" t="str">
            <v>INSTRUMENT</v>
          </cell>
          <cell r="F35" t="str">
            <v>Concluído</v>
          </cell>
          <cell r="G35" t="str">
            <v>Concluído p/ testes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</row>
        <row r="36">
          <cell r="C36" t="str">
            <v>ACCMLTD_IMPRMNT_INSTRMNT</v>
          </cell>
          <cell r="D36" t="str">
            <v>GD</v>
          </cell>
          <cell r="E36" t="str">
            <v>INSTRUMENT</v>
          </cell>
          <cell r="F36" t="str">
            <v>Concluído</v>
          </cell>
          <cell r="G36" t="str">
            <v>Concluído p/ testes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</row>
        <row r="37">
          <cell r="C37" t="str">
            <v>ACCNTNG_CLSSFCTN</v>
          </cell>
          <cell r="D37" t="str">
            <v>GD</v>
          </cell>
          <cell r="E37" t="str">
            <v>INSTRUMENT</v>
          </cell>
          <cell r="F37" t="str">
            <v>Concluído</v>
          </cell>
          <cell r="G37" t="str">
            <v>Concluído p/ testes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</row>
        <row r="38">
          <cell r="C38" t="str">
            <v>BSNSS_AREA_DSTNTN</v>
          </cell>
          <cell r="D38" t="str">
            <v>GD</v>
          </cell>
          <cell r="E38" t="str">
            <v>INSTRUMENT</v>
          </cell>
          <cell r="F38" t="str">
            <v>Concluído</v>
          </cell>
          <cell r="G38" t="str">
            <v>Concluído p/ testes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</row>
        <row r="39">
          <cell r="C39" t="str">
            <v>COD_SOC</v>
          </cell>
          <cell r="D39" t="str">
            <v>GD</v>
          </cell>
          <cell r="E39" t="str">
            <v>INSTRUMENT</v>
          </cell>
          <cell r="F39" t="str">
            <v>Concluído</v>
          </cell>
          <cell r="G39" t="str">
            <v>Concluído p/ testes</v>
          </cell>
          <cell r="H39" t="str">
            <v>-</v>
          </cell>
          <cell r="I39" t="str">
            <v>-</v>
          </cell>
          <cell r="J39" t="str">
            <v>-</v>
          </cell>
          <cell r="K39" t="str">
            <v>-</v>
          </cell>
          <cell r="L39" t="str">
            <v>-</v>
          </cell>
        </row>
        <row r="40">
          <cell r="C40" t="str">
            <v>COD_SOC_DSTNTN</v>
          </cell>
          <cell r="D40" t="str">
            <v>GD</v>
          </cell>
          <cell r="E40" t="str">
            <v>INSTRUMENT</v>
          </cell>
          <cell r="F40" t="str">
            <v>Concluído</v>
          </cell>
          <cell r="G40" t="str">
            <v>Concluído p/ testes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</row>
        <row r="41">
          <cell r="C41" t="str">
            <v>DT_RFRNC</v>
          </cell>
          <cell r="D41" t="str">
            <v>GD</v>
          </cell>
          <cell r="E41" t="str">
            <v>INSTRUMENT</v>
          </cell>
          <cell r="F41" t="str">
            <v>Concluído</v>
          </cell>
          <cell r="G41" t="str">
            <v>Concluído p/ testes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</row>
        <row r="42">
          <cell r="C42" t="str">
            <v>FLG_INTRBSNSS</v>
          </cell>
          <cell r="D42" t="str">
            <v>GD</v>
          </cell>
          <cell r="E42" t="str">
            <v>INSTRUMENT</v>
          </cell>
          <cell r="F42" t="str">
            <v>Concluído</v>
          </cell>
          <cell r="G42" t="str">
            <v>Concluído p/ testes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</row>
        <row r="43">
          <cell r="C43" t="str">
            <v>GRSS_CRRYNG_AMNT_INSTRMNT</v>
          </cell>
          <cell r="D43" t="str">
            <v>GD</v>
          </cell>
          <cell r="E43" t="str">
            <v>INSTRUMENT</v>
          </cell>
          <cell r="F43" t="str">
            <v>Concluído</v>
          </cell>
          <cell r="G43" t="str">
            <v>Concluído p/ testes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</row>
        <row r="44">
          <cell r="C44" t="str">
            <v>IDCMB</v>
          </cell>
          <cell r="D44" t="str">
            <v>GD</v>
          </cell>
          <cell r="E44" t="str">
            <v>INSTRUMENT</v>
          </cell>
          <cell r="F44" t="str">
            <v>Concluído</v>
          </cell>
          <cell r="G44" t="str">
            <v>Concluído p/ testes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</row>
        <row r="45">
          <cell r="C45" t="str">
            <v>IMPRMNT_STTS</v>
          </cell>
          <cell r="D45" t="str">
            <v>GD</v>
          </cell>
          <cell r="E45" t="str">
            <v>INSTRUMENT</v>
          </cell>
          <cell r="F45" t="str">
            <v>Concluído</v>
          </cell>
          <cell r="G45" t="str">
            <v>Concluído p/ testes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</row>
        <row r="46">
          <cell r="C46" t="str">
            <v>INSTRMNT_ID</v>
          </cell>
          <cell r="D46" t="str">
            <v>GD</v>
          </cell>
          <cell r="E46" t="str">
            <v>INSTRUMENT</v>
          </cell>
          <cell r="F46" t="str">
            <v>Concluído</v>
          </cell>
          <cell r="G46" t="str">
            <v>Concluído p/ testes</v>
          </cell>
          <cell r="H46" t="str">
            <v>-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</row>
        <row r="47">
          <cell r="C47" t="str">
            <v>INTRBSNSS_ADJ_COD</v>
          </cell>
          <cell r="D47" t="str">
            <v>GD</v>
          </cell>
          <cell r="E47" t="str">
            <v>INSTRUMENT</v>
          </cell>
          <cell r="F47" t="str">
            <v>Concluído</v>
          </cell>
          <cell r="G47" t="str">
            <v>Concluído p/ testes</v>
          </cell>
          <cell r="H47" t="str">
            <v>-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</row>
        <row r="48">
          <cell r="C48" t="str">
            <v>LCL_INSTMRNT_ID</v>
          </cell>
          <cell r="D48" t="str">
            <v>GD</v>
          </cell>
          <cell r="E48" t="str">
            <v>INSTRUMENT</v>
          </cell>
          <cell r="F48" t="str">
            <v>Concluído</v>
          </cell>
          <cell r="G48" t="str">
            <v>Concluído p/ testes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 t="str">
            <v>-</v>
          </cell>
        </row>
        <row r="49">
          <cell r="C49" t="str">
            <v>OFF_BLNC_SHT_AMNT_INSTRMNT</v>
          </cell>
          <cell r="D49" t="str">
            <v>GD</v>
          </cell>
          <cell r="E49" t="str">
            <v>INSTRUMENT</v>
          </cell>
          <cell r="F49" t="str">
            <v>Concluído</v>
          </cell>
          <cell r="G49" t="str">
            <v>Concluído p/ testes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 t="str">
            <v>-</v>
          </cell>
        </row>
        <row r="50">
          <cell r="C50" t="str">
            <v>PRFRMNG_STTS</v>
          </cell>
          <cell r="D50" t="str">
            <v>GD</v>
          </cell>
          <cell r="E50" t="str">
            <v>INSTRUMENT</v>
          </cell>
          <cell r="F50" t="str">
            <v>Concluído</v>
          </cell>
          <cell r="G50" t="str">
            <v>Concluído p/ testes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</row>
        <row r="51">
          <cell r="C51" t="str">
            <v>PRVSNS_OFF_BLNC_SHT</v>
          </cell>
          <cell r="D51" t="str">
            <v>GD</v>
          </cell>
          <cell r="E51" t="str">
            <v>INSTRUMENT</v>
          </cell>
          <cell r="F51" t="str">
            <v>Concluído</v>
          </cell>
          <cell r="G51" t="str">
            <v>Concluído p/ testes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</row>
        <row r="52">
          <cell r="C52" t="str">
            <v>RWA</v>
          </cell>
          <cell r="D52" t="str">
            <v>GD</v>
          </cell>
          <cell r="E52" t="str">
            <v>INSTRUMENT</v>
          </cell>
          <cell r="F52" t="str">
            <v>Concluído</v>
          </cell>
          <cell r="G52" t="str">
            <v>Concluído p/ testes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</row>
        <row r="53">
          <cell r="C53" t="str">
            <v>SSTNBL_CTGRY</v>
          </cell>
          <cell r="D53" t="str">
            <v>GD</v>
          </cell>
          <cell r="E53" t="str">
            <v>INSTRUMENT</v>
          </cell>
          <cell r="F53" t="str">
            <v>Em Teste</v>
          </cell>
          <cell r="G53" t="str">
            <v>Concluído p/ testes</v>
          </cell>
          <cell r="I53" t="str">
            <v>-</v>
          </cell>
          <cell r="J53" t="str">
            <v>IT</v>
          </cell>
          <cell r="K53">
            <v>45534</v>
          </cell>
          <cell r="L53" t="str">
            <v>-</v>
          </cell>
        </row>
        <row r="54">
          <cell r="C54" t="str">
            <v>SSTNBL_INDCTR</v>
          </cell>
          <cell r="D54" t="str">
            <v>GD</v>
          </cell>
          <cell r="E54" t="str">
            <v>INSTRUMENT</v>
          </cell>
          <cell r="F54" t="str">
            <v>Em Teste</v>
          </cell>
          <cell r="G54" t="str">
            <v>Concluído p/ testes</v>
          </cell>
          <cell r="I54" t="str">
            <v>-</v>
          </cell>
          <cell r="J54" t="str">
            <v>IT</v>
          </cell>
          <cell r="K54">
            <v>45534</v>
          </cell>
          <cell r="L54" t="str">
            <v>-</v>
          </cell>
        </row>
        <row r="55">
          <cell r="C55" t="str">
            <v>SUBPORTFOLIO_ID</v>
          </cell>
          <cell r="D55" t="str">
            <v>GD</v>
          </cell>
          <cell r="E55" t="str">
            <v>INSTRUMENT</v>
          </cell>
          <cell r="F55" t="str">
            <v>Concluído</v>
          </cell>
          <cell r="G55" t="str">
            <v>Concluído p/ testes</v>
          </cell>
          <cell r="H55" t="str">
            <v>-</v>
          </cell>
          <cell r="I55" t="str">
            <v>-</v>
          </cell>
        </row>
        <row r="56">
          <cell r="C56" t="str">
            <v>TYP_INSTRMNT</v>
          </cell>
          <cell r="D56" t="str">
            <v>GD</v>
          </cell>
          <cell r="E56" t="str">
            <v>INSTRUMENT</v>
          </cell>
          <cell r="F56" t="str">
            <v>Concluído</v>
          </cell>
          <cell r="G56" t="str">
            <v>Concluído p/ testes</v>
          </cell>
          <cell r="H56" t="str">
            <v>-</v>
          </cell>
          <cell r="I56" t="str">
            <v>-</v>
          </cell>
        </row>
      </sheetData>
      <sheetData sheetId="4"/>
      <sheetData sheetId="5"/>
      <sheetData sheetId="6"/>
      <sheetData sheetId="7"/>
      <sheetData sheetId="8">
        <row r="8">
          <cell r="E8" t="str">
            <v>MODESG_INP_EMPR_EXCL_PARISREF_DATE</v>
          </cell>
          <cell r="F8" t="str">
            <v>Input</v>
          </cell>
          <cell r="G8" t="str">
            <v>Em Implementação</v>
          </cell>
          <cell r="H8" t="str">
            <v>-</v>
          </cell>
          <cell r="I8">
            <v>45432</v>
          </cell>
          <cell r="J8" t="str">
            <v>IT</v>
          </cell>
          <cell r="K8">
            <v>45478</v>
          </cell>
          <cell r="L8" t="str">
            <v>-</v>
          </cell>
        </row>
        <row r="9">
          <cell r="E9" t="str">
            <v>MODESG_INP_EMPR_EXCL_PARISISIN</v>
          </cell>
          <cell r="F9" t="str">
            <v>Input</v>
          </cell>
          <cell r="G9" t="str">
            <v>Em Implementação</v>
          </cell>
          <cell r="H9" t="str">
            <v>-</v>
          </cell>
          <cell r="I9">
            <v>45432</v>
          </cell>
          <cell r="J9" t="str">
            <v>IT</v>
          </cell>
          <cell r="K9">
            <v>45478</v>
          </cell>
          <cell r="L9" t="str">
            <v>-</v>
          </cell>
        </row>
        <row r="10">
          <cell r="E10" t="str">
            <v>MODESG_INP_EMPR_EXCL_PARISCLEI</v>
          </cell>
          <cell r="F10" t="str">
            <v>Input</v>
          </cell>
          <cell r="G10" t="str">
            <v>Em Implementação</v>
          </cell>
          <cell r="H10" t="str">
            <v>-</v>
          </cell>
          <cell r="I10">
            <v>45432</v>
          </cell>
          <cell r="J10" t="str">
            <v>IT</v>
          </cell>
          <cell r="K10">
            <v>45478</v>
          </cell>
          <cell r="L10" t="str">
            <v>-</v>
          </cell>
        </row>
        <row r="11">
          <cell r="E11" t="str">
            <v xml:space="preserve">MODESG_INP_EMPR_EXCL_PARISCCLI_KGL </v>
          </cell>
          <cell r="F11" t="str">
            <v>Input</v>
          </cell>
          <cell r="G11" t="str">
            <v>Em Implementação</v>
          </cell>
          <cell r="H11" t="str">
            <v>-</v>
          </cell>
          <cell r="I11">
            <v>45432</v>
          </cell>
          <cell r="J11" t="str">
            <v>IT</v>
          </cell>
          <cell r="K11">
            <v>45478</v>
          </cell>
          <cell r="L11" t="str">
            <v>-</v>
          </cell>
        </row>
        <row r="12">
          <cell r="E12" t="str">
            <v>MODESG_INP_EMPR_EXCL_PARISNOME_ENTIDADE</v>
          </cell>
          <cell r="F12" t="str">
            <v>Input</v>
          </cell>
          <cell r="G12" t="str">
            <v>Em Implementação</v>
          </cell>
          <cell r="H12" t="str">
            <v>-</v>
          </cell>
          <cell r="I12">
            <v>45432</v>
          </cell>
          <cell r="J12" t="str">
            <v>IT</v>
          </cell>
          <cell r="K12">
            <v>45478</v>
          </cell>
          <cell r="L12" t="str">
            <v>-</v>
          </cell>
        </row>
        <row r="13">
          <cell r="E13" t="str">
            <v>MODESG_INP_EMPR_EXCL_PARISFLG_SCIB</v>
          </cell>
          <cell r="F13" t="str">
            <v>Input</v>
          </cell>
          <cell r="G13" t="str">
            <v>Em Implementação</v>
          </cell>
          <cell r="H13" t="str">
            <v>-</v>
          </cell>
          <cell r="I13">
            <v>45432</v>
          </cell>
          <cell r="J13" t="str">
            <v>IT</v>
          </cell>
          <cell r="K13">
            <v>45478</v>
          </cell>
          <cell r="L13" t="str">
            <v>-</v>
          </cell>
        </row>
        <row r="14">
          <cell r="E14" t="str">
            <v>MODESG_INP_EMPR_EXCL_PARISNOME_PAIS</v>
          </cell>
          <cell r="F14" t="str">
            <v>Input</v>
          </cell>
          <cell r="G14" t="str">
            <v>Em Implementação</v>
          </cell>
          <cell r="H14" t="str">
            <v>-</v>
          </cell>
          <cell r="I14">
            <v>45432</v>
          </cell>
          <cell r="J14" t="str">
            <v>IT</v>
          </cell>
          <cell r="K14">
            <v>45478</v>
          </cell>
          <cell r="L14" t="str">
            <v>-</v>
          </cell>
        </row>
        <row r="15">
          <cell r="E15" t="str">
            <v>MODESG_INP_EMSS_BENS_IMOVEISREF_DATE</v>
          </cell>
          <cell r="F15" t="str">
            <v>Input</v>
          </cell>
          <cell r="G15" t="str">
            <v>Em Implementação</v>
          </cell>
          <cell r="H15" t="str">
            <v>-</v>
          </cell>
          <cell r="I15">
            <v>45432</v>
          </cell>
          <cell r="J15" t="str">
            <v>IT</v>
          </cell>
          <cell r="K15">
            <v>45471</v>
          </cell>
          <cell r="L15" t="str">
            <v>-</v>
          </cell>
        </row>
        <row r="16">
          <cell r="E16" t="str">
            <v>MODESG_INP_EMSS_BENS_IMOVEISNOME_PAIS</v>
          </cell>
          <cell r="F16" t="str">
            <v>Input</v>
          </cell>
          <cell r="G16" t="str">
            <v>Em Implementação</v>
          </cell>
          <cell r="H16" t="str">
            <v>-</v>
          </cell>
          <cell r="I16">
            <v>45432</v>
          </cell>
          <cell r="J16" t="str">
            <v>IT</v>
          </cell>
          <cell r="K16">
            <v>45471</v>
          </cell>
          <cell r="L16" t="str">
            <v>-</v>
          </cell>
        </row>
        <row r="17">
          <cell r="E17" t="str">
            <v>MODESG_INP_EMSS_BENS_IMOVEISNOME_ESTADO</v>
          </cell>
          <cell r="F17" t="str">
            <v>Input</v>
          </cell>
          <cell r="G17" t="str">
            <v>Em Implementação</v>
          </cell>
          <cell r="H17" t="str">
            <v>-</v>
          </cell>
          <cell r="I17">
            <v>45432</v>
          </cell>
          <cell r="J17" t="str">
            <v>IT</v>
          </cell>
          <cell r="K17">
            <v>45471</v>
          </cell>
          <cell r="L17" t="str">
            <v>-</v>
          </cell>
        </row>
        <row r="18">
          <cell r="E18" t="str">
            <v>MODESG_INP_EMSS_BENS_IMOVEISNOME_PAIS</v>
          </cell>
          <cell r="F18" t="str">
            <v>Input</v>
          </cell>
          <cell r="G18" t="str">
            <v>Em Implementação</v>
          </cell>
          <cell r="H18" t="str">
            <v>-</v>
          </cell>
          <cell r="I18">
            <v>45432</v>
          </cell>
          <cell r="J18" t="str">
            <v>IT</v>
          </cell>
          <cell r="K18">
            <v>45471</v>
          </cell>
          <cell r="L18" t="str">
            <v>-</v>
          </cell>
        </row>
        <row r="19">
          <cell r="E19" t="str">
            <v>MODESG_INP_EMSS_BENS_IMOVEISTIPO_BEM</v>
          </cell>
          <cell r="F19" t="str">
            <v>Input</v>
          </cell>
          <cell r="G19" t="str">
            <v>Em Implementação</v>
          </cell>
          <cell r="H19" t="str">
            <v>-</v>
          </cell>
          <cell r="I19">
            <v>45432</v>
          </cell>
          <cell r="J19" t="str">
            <v>IT</v>
          </cell>
          <cell r="K19">
            <v>45471</v>
          </cell>
          <cell r="L19" t="str">
            <v>-</v>
          </cell>
        </row>
        <row r="20">
          <cell r="E20" t="str">
            <v>MODESG_INP_EMSS_BENS_IMOVEISTIPO_FINALIDADE_BEM</v>
          </cell>
          <cell r="F20" t="str">
            <v>Input</v>
          </cell>
          <cell r="G20" t="str">
            <v>Em Implementação</v>
          </cell>
          <cell r="H20" t="str">
            <v>-</v>
          </cell>
          <cell r="I20">
            <v>45432</v>
          </cell>
          <cell r="J20" t="str">
            <v>IT</v>
          </cell>
          <cell r="K20">
            <v>45471</v>
          </cell>
          <cell r="L20" t="str">
            <v>-</v>
          </cell>
        </row>
        <row r="21">
          <cell r="E21" t="str">
            <v>MODESG_INP_EMSS_BENS_IMOVEISNOME_UNIDADE_FUNCIONAL</v>
          </cell>
          <cell r="F21" t="str">
            <v>Input</v>
          </cell>
          <cell r="G21" t="str">
            <v>Em Implementação</v>
          </cell>
          <cell r="H21" t="str">
            <v>-</v>
          </cell>
          <cell r="I21">
            <v>45432</v>
          </cell>
          <cell r="J21" t="str">
            <v>IT</v>
          </cell>
          <cell r="K21">
            <v>45471</v>
          </cell>
          <cell r="L21" t="str">
            <v>-</v>
          </cell>
        </row>
        <row r="22">
          <cell r="E22" t="str">
            <v>MODESG_INP_EMSS_BENS_IMOVEISUNIDADE_FUNCIONAL</v>
          </cell>
          <cell r="F22" t="str">
            <v>Input</v>
          </cell>
          <cell r="G22" t="str">
            <v>Em Implementação</v>
          </cell>
          <cell r="H22" t="str">
            <v>-</v>
          </cell>
          <cell r="I22">
            <v>45432</v>
          </cell>
          <cell r="J22" t="str">
            <v>IT</v>
          </cell>
          <cell r="K22">
            <v>45471</v>
          </cell>
          <cell r="L22" t="str">
            <v>-</v>
          </cell>
        </row>
        <row r="23">
          <cell r="E23" t="str">
            <v>MODESG_INP_EMSS_BENS_IMOVEISNOME_FATOR_EMISSAO</v>
          </cell>
          <cell r="F23" t="str">
            <v>Input</v>
          </cell>
          <cell r="G23" t="str">
            <v>Em Implementação</v>
          </cell>
          <cell r="H23" t="str">
            <v>-</v>
          </cell>
          <cell r="I23">
            <v>45432</v>
          </cell>
          <cell r="J23" t="str">
            <v>IT</v>
          </cell>
          <cell r="K23">
            <v>45471</v>
          </cell>
          <cell r="L23" t="str">
            <v>-</v>
          </cell>
        </row>
        <row r="24">
          <cell r="E24" t="str">
            <v>MODESG_INP_EMSS_BENS_IMOVEISUNIDADE_FATOR DE EMISSAO</v>
          </cell>
          <cell r="F24" t="str">
            <v>Input</v>
          </cell>
          <cell r="G24" t="str">
            <v>Em Implementação</v>
          </cell>
          <cell r="H24" t="str">
            <v>-</v>
          </cell>
          <cell r="I24">
            <v>45432</v>
          </cell>
          <cell r="J24" t="str">
            <v>IT</v>
          </cell>
          <cell r="K24">
            <v>45471</v>
          </cell>
          <cell r="L24" t="str">
            <v>-</v>
          </cell>
        </row>
        <row r="25">
          <cell r="E25" t="str">
            <v>MODESG_INP_EMSS_BENS_IMOVEISSCP1_FTR_EMSS</v>
          </cell>
          <cell r="F25" t="str">
            <v>Input</v>
          </cell>
          <cell r="G25" t="str">
            <v>Em Implementação</v>
          </cell>
          <cell r="H25" t="str">
            <v>-</v>
          </cell>
          <cell r="I25">
            <v>45432</v>
          </cell>
          <cell r="J25" t="str">
            <v>IT</v>
          </cell>
          <cell r="K25">
            <v>45471</v>
          </cell>
          <cell r="L25" t="str">
            <v>-</v>
          </cell>
        </row>
        <row r="26">
          <cell r="E26" t="str">
            <v>MODESG_INP_EMSS_BENS_IMOVEISSCP2_FTR_EMSS</v>
          </cell>
          <cell r="F26" t="str">
            <v>Input</v>
          </cell>
          <cell r="G26" t="str">
            <v>Em Implementação</v>
          </cell>
          <cell r="H26" t="str">
            <v>-</v>
          </cell>
          <cell r="I26">
            <v>45432</v>
          </cell>
          <cell r="J26" t="str">
            <v>IT</v>
          </cell>
          <cell r="K26">
            <v>45471</v>
          </cell>
          <cell r="L26" t="str">
            <v>-</v>
          </cell>
        </row>
        <row r="27">
          <cell r="E27" t="str">
            <v>MODESG_INP_EMSS_BENS_IMOVEISSCORE_QUALIDADE</v>
          </cell>
          <cell r="F27" t="str">
            <v>Input</v>
          </cell>
          <cell r="G27" t="str">
            <v>Em Implementação</v>
          </cell>
          <cell r="H27" t="str">
            <v>-</v>
          </cell>
          <cell r="I27">
            <v>45432</v>
          </cell>
          <cell r="J27" t="str">
            <v>IT</v>
          </cell>
          <cell r="K27">
            <v>45471</v>
          </cell>
          <cell r="L27" t="str">
            <v>-</v>
          </cell>
        </row>
        <row r="28">
          <cell r="E28" t="str">
            <v>MODESG_INP_EMSS_NACEREF_DATE</v>
          </cell>
          <cell r="F28" t="str">
            <v>Input</v>
          </cell>
          <cell r="G28" t="str">
            <v>Em Implementação</v>
          </cell>
          <cell r="H28" t="str">
            <v>-</v>
          </cell>
          <cell r="I28">
            <v>45432</v>
          </cell>
          <cell r="J28" t="str">
            <v>IT</v>
          </cell>
          <cell r="K28">
            <v>45443</v>
          </cell>
          <cell r="L28" t="str">
            <v>-</v>
          </cell>
        </row>
        <row r="29">
          <cell r="E29" t="str">
            <v>MODESG_INP_EMSS_NACENOME_PAIS</v>
          </cell>
          <cell r="F29" t="str">
            <v>Input</v>
          </cell>
          <cell r="G29" t="str">
            <v>Em Implementação</v>
          </cell>
          <cell r="H29" t="str">
            <v>-</v>
          </cell>
          <cell r="I29">
            <v>45432</v>
          </cell>
          <cell r="J29" t="str">
            <v>IT</v>
          </cell>
          <cell r="K29">
            <v>45443</v>
          </cell>
          <cell r="L29" t="str">
            <v>-</v>
          </cell>
        </row>
        <row r="30">
          <cell r="E30" t="str">
            <v>MODESG_INP_EMSS_NACECOD_CLASS_INDUST</v>
          </cell>
          <cell r="F30" t="str">
            <v>Input</v>
          </cell>
          <cell r="G30" t="str">
            <v>Em Implementação</v>
          </cell>
          <cell r="H30" t="str">
            <v>-</v>
          </cell>
          <cell r="I30">
            <v>45432</v>
          </cell>
          <cell r="J30" t="str">
            <v>IT</v>
          </cell>
          <cell r="K30">
            <v>45443</v>
          </cell>
          <cell r="L30" t="str">
            <v>-</v>
          </cell>
        </row>
        <row r="31">
          <cell r="E31" t="str">
            <v>MODESG_INP_EMSS_NACECOD_NACE_ESG</v>
          </cell>
          <cell r="F31" t="str">
            <v>Input</v>
          </cell>
          <cell r="G31" t="str">
            <v>Em Implementação</v>
          </cell>
          <cell r="H31" t="str">
            <v>-</v>
          </cell>
          <cell r="I31">
            <v>45432</v>
          </cell>
          <cell r="J31" t="str">
            <v>IT</v>
          </cell>
          <cell r="K31">
            <v>45443</v>
          </cell>
          <cell r="L31" t="str">
            <v>-</v>
          </cell>
        </row>
        <row r="32">
          <cell r="E32" t="str">
            <v>MODESG_INP_EMSS_NACEAREA_ATIVIDADE</v>
          </cell>
          <cell r="F32" t="str">
            <v>Input</v>
          </cell>
          <cell r="G32" t="str">
            <v>Em Implementação</v>
          </cell>
          <cell r="H32" t="str">
            <v>-</v>
          </cell>
          <cell r="I32">
            <v>45432</v>
          </cell>
          <cell r="J32" t="str">
            <v>IT</v>
          </cell>
          <cell r="K32">
            <v>45443</v>
          </cell>
          <cell r="L32" t="str">
            <v>-</v>
          </cell>
        </row>
        <row r="33">
          <cell r="E33" t="str">
            <v>MODESG_INP_EMSS_NACETIPO_ATIVIDADE</v>
          </cell>
          <cell r="F33" t="str">
            <v>Input</v>
          </cell>
          <cell r="G33" t="str">
            <v>Em Implementação</v>
          </cell>
          <cell r="H33" t="str">
            <v>-</v>
          </cell>
          <cell r="I33">
            <v>45432</v>
          </cell>
          <cell r="J33" t="str">
            <v>IT</v>
          </cell>
          <cell r="K33">
            <v>45443</v>
          </cell>
          <cell r="L33" t="str">
            <v>-</v>
          </cell>
        </row>
        <row r="34">
          <cell r="E34" t="str">
            <v>MODESG_INP_EMSS_NACESUB_TIPO_ATIVIDADE_1</v>
          </cell>
          <cell r="F34" t="str">
            <v>Input</v>
          </cell>
          <cell r="G34" t="str">
            <v>Em Implementação</v>
          </cell>
          <cell r="H34" t="str">
            <v>-</v>
          </cell>
          <cell r="I34">
            <v>45432</v>
          </cell>
          <cell r="J34" t="str">
            <v>IT</v>
          </cell>
          <cell r="K34">
            <v>45443</v>
          </cell>
          <cell r="L34" t="str">
            <v>-</v>
          </cell>
        </row>
        <row r="35">
          <cell r="E35" t="str">
            <v>MODESG_INP_EMSS_NACESUB_TIPO_ATIVIDADE_2</v>
          </cell>
          <cell r="F35" t="str">
            <v>Input</v>
          </cell>
          <cell r="G35" t="str">
            <v>Em Implementação</v>
          </cell>
          <cell r="H35" t="str">
            <v>-</v>
          </cell>
          <cell r="I35">
            <v>45432</v>
          </cell>
          <cell r="J35" t="str">
            <v>IT</v>
          </cell>
          <cell r="K35">
            <v>45443</v>
          </cell>
          <cell r="L35" t="str">
            <v>-</v>
          </cell>
        </row>
        <row r="36">
          <cell r="E36" t="str">
            <v>MODESG_INP_EMSS_NACEUNIDADE_FUNCIONAL</v>
          </cell>
          <cell r="F36" t="str">
            <v>Input</v>
          </cell>
          <cell r="G36" t="str">
            <v>Em Implementação</v>
          </cell>
          <cell r="H36" t="str">
            <v>-</v>
          </cell>
          <cell r="I36">
            <v>45432</v>
          </cell>
          <cell r="J36" t="str">
            <v>IT</v>
          </cell>
          <cell r="K36">
            <v>45443</v>
          </cell>
          <cell r="L36" t="str">
            <v>-</v>
          </cell>
        </row>
        <row r="37">
          <cell r="E37" t="str">
            <v>MODESG_INP_EMSS_NACEUNIDADES_UNIDADE_FUNCIONAL</v>
          </cell>
          <cell r="F37" t="str">
            <v>Input</v>
          </cell>
          <cell r="G37" t="str">
            <v>Em Implementação</v>
          </cell>
          <cell r="H37" t="str">
            <v>-</v>
          </cell>
          <cell r="I37">
            <v>45432</v>
          </cell>
          <cell r="J37" t="str">
            <v>IT</v>
          </cell>
          <cell r="K37">
            <v>45443</v>
          </cell>
          <cell r="L37" t="str">
            <v>-</v>
          </cell>
        </row>
        <row r="38">
          <cell r="E38" t="str">
            <v>MODESG_INP_EMSS_NACEFATOR_EMISSAO</v>
          </cell>
          <cell r="F38" t="str">
            <v>Input</v>
          </cell>
          <cell r="G38" t="str">
            <v>Em Implementação</v>
          </cell>
          <cell r="H38" t="str">
            <v>-</v>
          </cell>
          <cell r="I38">
            <v>45432</v>
          </cell>
          <cell r="J38" t="str">
            <v>IT</v>
          </cell>
          <cell r="K38">
            <v>45443</v>
          </cell>
          <cell r="L38" t="str">
            <v>-</v>
          </cell>
        </row>
        <row r="39">
          <cell r="E39" t="str">
            <v>MODESG_INP_EMSS_NACEUNIDADES_FATOR DE EMISSAO</v>
          </cell>
          <cell r="F39" t="str">
            <v>Input</v>
          </cell>
          <cell r="G39" t="str">
            <v>Em Implementação</v>
          </cell>
          <cell r="H39" t="str">
            <v>-</v>
          </cell>
          <cell r="I39">
            <v>45432</v>
          </cell>
          <cell r="J39" t="str">
            <v>IT</v>
          </cell>
          <cell r="K39">
            <v>45443</v>
          </cell>
          <cell r="L39" t="str">
            <v>-</v>
          </cell>
        </row>
        <row r="40">
          <cell r="E40" t="str">
            <v>MODESG_INP_EMSS_NACESCP1_FTR_EMSS</v>
          </cell>
          <cell r="F40" t="str">
            <v>Input</v>
          </cell>
          <cell r="G40" t="str">
            <v>Em Implementação</v>
          </cell>
          <cell r="H40" t="str">
            <v>-</v>
          </cell>
          <cell r="I40">
            <v>45432</v>
          </cell>
          <cell r="J40" t="str">
            <v>IT</v>
          </cell>
          <cell r="K40">
            <v>45443</v>
          </cell>
          <cell r="L40" t="str">
            <v>-</v>
          </cell>
        </row>
        <row r="41">
          <cell r="E41" t="str">
            <v>MODESG_INP_EMSS_NACESCP2_FTR_EMSS</v>
          </cell>
          <cell r="F41" t="str">
            <v>Input</v>
          </cell>
          <cell r="G41" t="str">
            <v>Em Implementação</v>
          </cell>
          <cell r="H41" t="str">
            <v>-</v>
          </cell>
          <cell r="I41">
            <v>45432</v>
          </cell>
          <cell r="J41" t="str">
            <v>IT</v>
          </cell>
          <cell r="K41">
            <v>45443</v>
          </cell>
          <cell r="L41" t="str">
            <v>-</v>
          </cell>
        </row>
        <row r="42">
          <cell r="E42" t="str">
            <v>MODESG_INP_EMSS_NACESCP3_FTR_EMSS</v>
          </cell>
          <cell r="F42" t="str">
            <v>Input</v>
          </cell>
          <cell r="G42" t="str">
            <v>Em Implementação</v>
          </cell>
          <cell r="H42" t="str">
            <v>-</v>
          </cell>
          <cell r="I42">
            <v>45432</v>
          </cell>
          <cell r="J42" t="str">
            <v>IT</v>
          </cell>
          <cell r="K42">
            <v>45443</v>
          </cell>
          <cell r="L42" t="str">
            <v>-</v>
          </cell>
        </row>
        <row r="43">
          <cell r="E43" t="str">
            <v>MODESG_INP_EMSS_NACESCORE_QUALIDADE</v>
          </cell>
          <cell r="F43" t="str">
            <v>Input</v>
          </cell>
          <cell r="G43" t="str">
            <v>Em Implementação</v>
          </cell>
          <cell r="H43" t="str">
            <v>-</v>
          </cell>
          <cell r="I43">
            <v>45432</v>
          </cell>
          <cell r="J43" t="str">
            <v>IT</v>
          </cell>
          <cell r="K43">
            <v>45443</v>
          </cell>
          <cell r="L43" t="str">
            <v>-</v>
          </cell>
        </row>
        <row r="44">
          <cell r="E44" t="str">
            <v>MODESG_INP_EMSS_SCIBREF_DATE</v>
          </cell>
          <cell r="F44" t="str">
            <v>Input</v>
          </cell>
          <cell r="G44" t="str">
            <v>Em Implementação</v>
          </cell>
          <cell r="H44" t="str">
            <v>-</v>
          </cell>
          <cell r="I44">
            <v>45432</v>
          </cell>
          <cell r="J44" t="str">
            <v>IT</v>
          </cell>
          <cell r="K44">
            <v>45450</v>
          </cell>
          <cell r="L44" t="str">
            <v>-</v>
          </cell>
        </row>
        <row r="45">
          <cell r="E45" t="str">
            <v xml:space="preserve">MODESG_INP_EMSS_SCIBCCLI_KGL </v>
          </cell>
          <cell r="F45" t="str">
            <v>Input</v>
          </cell>
          <cell r="G45" t="str">
            <v>Em Implementação</v>
          </cell>
          <cell r="H45" t="str">
            <v>-</v>
          </cell>
          <cell r="I45">
            <v>45432</v>
          </cell>
          <cell r="J45" t="str">
            <v>IT</v>
          </cell>
          <cell r="K45">
            <v>45450</v>
          </cell>
          <cell r="L45" t="str">
            <v>-</v>
          </cell>
        </row>
        <row r="46">
          <cell r="E46" t="str">
            <v>MODESG_INP_EMSS_SCIBNOME_GRUPO</v>
          </cell>
          <cell r="F46" t="str">
            <v>Input</v>
          </cell>
          <cell r="G46" t="str">
            <v>Em Implementação</v>
          </cell>
          <cell r="H46" t="str">
            <v>-</v>
          </cell>
          <cell r="I46">
            <v>45432</v>
          </cell>
          <cell r="J46" t="str">
            <v>IT</v>
          </cell>
          <cell r="K46">
            <v>45450</v>
          </cell>
          <cell r="L46" t="str">
            <v>-</v>
          </cell>
        </row>
        <row r="47">
          <cell r="E47" t="str">
            <v>MODESG_INP_EMSS_SCIBISIN</v>
          </cell>
          <cell r="F47" t="str">
            <v>Input</v>
          </cell>
          <cell r="G47" t="str">
            <v>Em Implementação</v>
          </cell>
          <cell r="H47" t="str">
            <v>-</v>
          </cell>
          <cell r="I47">
            <v>45432</v>
          </cell>
          <cell r="J47" t="str">
            <v>IT</v>
          </cell>
          <cell r="K47">
            <v>45450</v>
          </cell>
          <cell r="L47" t="str">
            <v>-</v>
          </cell>
        </row>
        <row r="48">
          <cell r="E48" t="str">
            <v>MODESG_INP_EMSS_SCIBCLEI</v>
          </cell>
          <cell r="F48" t="str">
            <v>Input</v>
          </cell>
          <cell r="G48" t="str">
            <v>Em Implementação</v>
          </cell>
          <cell r="H48" t="str">
            <v>-</v>
          </cell>
          <cell r="I48">
            <v>45432</v>
          </cell>
          <cell r="J48" t="str">
            <v>IT</v>
          </cell>
          <cell r="K48">
            <v>45450</v>
          </cell>
          <cell r="L48" t="str">
            <v>-</v>
          </cell>
        </row>
        <row r="49">
          <cell r="E49" t="str">
            <v>MODESG_INP_EMSS_SCIBSCP1_EMSS</v>
          </cell>
          <cell r="F49" t="str">
            <v>Input</v>
          </cell>
          <cell r="G49" t="str">
            <v>Em Implementação</v>
          </cell>
          <cell r="H49" t="str">
            <v>-</v>
          </cell>
          <cell r="I49">
            <v>45432</v>
          </cell>
          <cell r="J49" t="str">
            <v>IT</v>
          </cell>
          <cell r="K49">
            <v>45450</v>
          </cell>
          <cell r="L49" t="str">
            <v>-</v>
          </cell>
        </row>
        <row r="50">
          <cell r="E50" t="str">
            <v>MODESG_INP_EMSS_SCIBSCP2_EMSS</v>
          </cell>
          <cell r="F50" t="str">
            <v>Input</v>
          </cell>
          <cell r="G50" t="str">
            <v>Em Implementação</v>
          </cell>
          <cell r="H50" t="str">
            <v>-</v>
          </cell>
          <cell r="I50">
            <v>45432</v>
          </cell>
          <cell r="J50" t="str">
            <v>IT</v>
          </cell>
          <cell r="K50">
            <v>45450</v>
          </cell>
          <cell r="L50" t="str">
            <v>-</v>
          </cell>
        </row>
        <row r="51">
          <cell r="E51" t="str">
            <v>MODESG_INP_EMSS_SCIBSCP3_EMSS</v>
          </cell>
          <cell r="F51" t="str">
            <v>Input</v>
          </cell>
          <cell r="G51" t="str">
            <v>Em Implementação</v>
          </cell>
          <cell r="H51" t="str">
            <v>-</v>
          </cell>
          <cell r="I51">
            <v>45432</v>
          </cell>
          <cell r="J51" t="str">
            <v>IT</v>
          </cell>
          <cell r="K51">
            <v>45450</v>
          </cell>
          <cell r="L51" t="str">
            <v>-</v>
          </cell>
        </row>
        <row r="52">
          <cell r="E52" t="str">
            <v>MODESG_INP_EMSS_SCIBSCORE_SCP1</v>
          </cell>
          <cell r="F52" t="str">
            <v>Input</v>
          </cell>
          <cell r="G52" t="str">
            <v>Em Implementação</v>
          </cell>
          <cell r="H52" t="str">
            <v>-</v>
          </cell>
          <cell r="I52">
            <v>45432</v>
          </cell>
          <cell r="J52" t="str">
            <v>IT</v>
          </cell>
          <cell r="K52">
            <v>45450</v>
          </cell>
          <cell r="L52" t="str">
            <v>-</v>
          </cell>
        </row>
        <row r="53">
          <cell r="E53" t="str">
            <v>MODESG_INP_EMSS_SCIBSCORE_SCP2</v>
          </cell>
          <cell r="F53" t="str">
            <v>Input</v>
          </cell>
          <cell r="G53" t="str">
            <v>Em Implementação</v>
          </cell>
          <cell r="H53" t="str">
            <v>-</v>
          </cell>
          <cell r="I53">
            <v>45432</v>
          </cell>
          <cell r="J53" t="str">
            <v>IT</v>
          </cell>
          <cell r="K53">
            <v>45450</v>
          </cell>
          <cell r="L53" t="str">
            <v>-</v>
          </cell>
        </row>
        <row r="54">
          <cell r="E54" t="str">
            <v>MODESG_INP_EMSS_SCIBSCORE_SCP3</v>
          </cell>
          <cell r="F54" t="str">
            <v>Input</v>
          </cell>
          <cell r="G54" t="str">
            <v>Em Implementação</v>
          </cell>
          <cell r="H54" t="str">
            <v>-</v>
          </cell>
          <cell r="I54">
            <v>45432</v>
          </cell>
          <cell r="J54" t="str">
            <v>IT</v>
          </cell>
          <cell r="K54">
            <v>45450</v>
          </cell>
          <cell r="L54" t="str">
            <v>-</v>
          </cell>
        </row>
        <row r="55">
          <cell r="E55" t="str">
            <v>MODESG_INP_EMSS_SCIBANO_INFO</v>
          </cell>
          <cell r="F55" t="str">
            <v>Input</v>
          </cell>
          <cell r="G55" t="str">
            <v>Em Implementação</v>
          </cell>
          <cell r="H55" t="str">
            <v>-</v>
          </cell>
          <cell r="I55">
            <v>45432</v>
          </cell>
          <cell r="J55" t="str">
            <v>IT</v>
          </cell>
          <cell r="K55">
            <v>45450</v>
          </cell>
          <cell r="L55" t="str">
            <v>-</v>
          </cell>
        </row>
        <row r="56">
          <cell r="E56" t="str">
            <v>MODESG_INP_EMSS_SCIBORIGEM_SCP1</v>
          </cell>
          <cell r="F56" t="str">
            <v>Input</v>
          </cell>
          <cell r="G56" t="str">
            <v>Em Implementação</v>
          </cell>
          <cell r="H56" t="str">
            <v>-</v>
          </cell>
          <cell r="I56">
            <v>45432</v>
          </cell>
          <cell r="J56" t="str">
            <v>IT</v>
          </cell>
          <cell r="K56">
            <v>45450</v>
          </cell>
          <cell r="L56" t="str">
            <v>-</v>
          </cell>
        </row>
        <row r="57">
          <cell r="E57" t="str">
            <v>MODESG_INP_EMSS_SCIBORIGEM_SCP2</v>
          </cell>
          <cell r="F57" t="str">
            <v>Input</v>
          </cell>
          <cell r="G57" t="str">
            <v>Em Implementação</v>
          </cell>
          <cell r="H57" t="str">
            <v>-</v>
          </cell>
          <cell r="I57">
            <v>45432</v>
          </cell>
          <cell r="J57" t="str">
            <v>IT</v>
          </cell>
          <cell r="K57">
            <v>45450</v>
          </cell>
          <cell r="L57" t="str">
            <v>-</v>
          </cell>
        </row>
        <row r="58">
          <cell r="E58" t="str">
            <v>MODESG_INP_EMSS_SCIBORIGEM_SCP3</v>
          </cell>
          <cell r="F58" t="str">
            <v>Input</v>
          </cell>
          <cell r="G58" t="str">
            <v>Em Implementação</v>
          </cell>
          <cell r="H58" t="str">
            <v>-</v>
          </cell>
          <cell r="I58">
            <v>45432</v>
          </cell>
          <cell r="J58" t="str">
            <v>IT</v>
          </cell>
          <cell r="K58">
            <v>45450</v>
          </cell>
          <cell r="L58" t="str">
            <v>-</v>
          </cell>
        </row>
        <row r="59">
          <cell r="E59" t="str">
            <v>MODESG_INP_EMSS_SCIBDIVIDA_TOTAL</v>
          </cell>
          <cell r="F59" t="str">
            <v>Input</v>
          </cell>
          <cell r="G59" t="str">
            <v>Em Implementação</v>
          </cell>
          <cell r="H59" t="str">
            <v>-</v>
          </cell>
          <cell r="I59">
            <v>45432</v>
          </cell>
          <cell r="J59" t="str">
            <v>IT</v>
          </cell>
          <cell r="K59">
            <v>45450</v>
          </cell>
          <cell r="L59" t="str">
            <v>-</v>
          </cell>
        </row>
        <row r="60">
          <cell r="E60" t="str">
            <v>MODESG_INP_EMSS_SCIBCAPITAL_PROPRIO</v>
          </cell>
          <cell r="F60" t="str">
            <v>Input</v>
          </cell>
          <cell r="G60" t="str">
            <v>Em Implementação</v>
          </cell>
          <cell r="H60" t="str">
            <v>-</v>
          </cell>
          <cell r="I60">
            <v>45432</v>
          </cell>
          <cell r="J60" t="str">
            <v>IT</v>
          </cell>
          <cell r="K60">
            <v>45450</v>
          </cell>
          <cell r="L60" t="str">
            <v>-</v>
          </cell>
        </row>
        <row r="61">
          <cell r="E61" t="str">
            <v>MODESG_INP_EMSS_VCLSREF_DATE</v>
          </cell>
          <cell r="F61" t="str">
            <v>Input</v>
          </cell>
          <cell r="G61" t="str">
            <v>Em Implementação</v>
          </cell>
          <cell r="H61" t="str">
            <v>-</v>
          </cell>
          <cell r="I61">
            <v>45432</v>
          </cell>
          <cell r="J61" t="str">
            <v>IT</v>
          </cell>
          <cell r="K61">
            <v>45471</v>
          </cell>
          <cell r="L61" t="str">
            <v>-</v>
          </cell>
        </row>
        <row r="62">
          <cell r="E62" t="str">
            <v>MODESG_INP_EMSS_VCLSNOME_PAIS</v>
          </cell>
          <cell r="F62" t="str">
            <v>Input</v>
          </cell>
          <cell r="G62" t="str">
            <v>Em Implementação</v>
          </cell>
          <cell r="H62" t="str">
            <v>-</v>
          </cell>
          <cell r="I62">
            <v>45432</v>
          </cell>
          <cell r="J62" t="str">
            <v>IT</v>
          </cell>
          <cell r="K62">
            <v>45471</v>
          </cell>
          <cell r="L62" t="str">
            <v>-</v>
          </cell>
        </row>
        <row r="63">
          <cell r="E63" t="str">
            <v>MODESG_INP_EMSS_VCLSNOME_REGIAO</v>
          </cell>
          <cell r="F63" t="str">
            <v>Input</v>
          </cell>
          <cell r="G63" t="str">
            <v>Em Implementação</v>
          </cell>
          <cell r="H63" t="str">
            <v>-</v>
          </cell>
          <cell r="I63">
            <v>45432</v>
          </cell>
          <cell r="J63" t="str">
            <v>IT</v>
          </cell>
          <cell r="K63">
            <v>45471</v>
          </cell>
          <cell r="L63" t="str">
            <v>-</v>
          </cell>
        </row>
        <row r="64">
          <cell r="E64" t="str">
            <v>MODESG_INP_EMSS_VCLSNOME_ESTADO</v>
          </cell>
          <cell r="F64" t="str">
            <v>Input</v>
          </cell>
          <cell r="G64" t="str">
            <v>Em Implementação</v>
          </cell>
          <cell r="H64" t="str">
            <v>-</v>
          </cell>
          <cell r="I64">
            <v>45432</v>
          </cell>
          <cell r="J64" t="str">
            <v>IT</v>
          </cell>
          <cell r="K64">
            <v>45471</v>
          </cell>
          <cell r="L64" t="str">
            <v>-</v>
          </cell>
        </row>
        <row r="65">
          <cell r="E65" t="str">
            <v>MODESG_INP_EMSS_VCLSTIPO_VEICULO</v>
          </cell>
          <cell r="F65" t="str">
            <v>Input</v>
          </cell>
          <cell r="G65" t="str">
            <v>Em Implementação</v>
          </cell>
          <cell r="H65" t="str">
            <v>-</v>
          </cell>
          <cell r="I65">
            <v>45432</v>
          </cell>
          <cell r="J65" t="str">
            <v>IT</v>
          </cell>
          <cell r="K65">
            <v>45471</v>
          </cell>
          <cell r="L65" t="str">
            <v>-</v>
          </cell>
        </row>
        <row r="66">
          <cell r="E66" t="str">
            <v>MODESG_INP_EMSS_VCLSTIPO_MOTOR</v>
          </cell>
          <cell r="F66" t="str">
            <v>Input</v>
          </cell>
          <cell r="G66" t="str">
            <v>Em Implementação</v>
          </cell>
          <cell r="H66" t="str">
            <v>-</v>
          </cell>
          <cell r="I66">
            <v>45432</v>
          </cell>
          <cell r="J66" t="str">
            <v>IT</v>
          </cell>
          <cell r="K66">
            <v>45471</v>
          </cell>
          <cell r="L66" t="str">
            <v>-</v>
          </cell>
        </row>
        <row r="67">
          <cell r="E67" t="str">
            <v>MODESG_INP_EMSS_VCLSMODELO</v>
          </cell>
          <cell r="F67" t="str">
            <v>Input</v>
          </cell>
          <cell r="G67" t="str">
            <v>Em Implementação</v>
          </cell>
          <cell r="H67" t="str">
            <v>-</v>
          </cell>
          <cell r="I67">
            <v>45432</v>
          </cell>
          <cell r="J67" t="str">
            <v>IT</v>
          </cell>
          <cell r="K67">
            <v>45471</v>
          </cell>
          <cell r="L67" t="str">
            <v>-</v>
          </cell>
        </row>
        <row r="68">
          <cell r="E68" t="str">
            <v>MODESG_INP_EMSS_VCLSMARCA</v>
          </cell>
          <cell r="F68" t="str">
            <v>Input</v>
          </cell>
          <cell r="G68" t="str">
            <v>Em Implementação</v>
          </cell>
          <cell r="H68" t="str">
            <v>-</v>
          </cell>
          <cell r="I68">
            <v>45432</v>
          </cell>
          <cell r="J68" t="str">
            <v>IT</v>
          </cell>
          <cell r="K68">
            <v>45471</v>
          </cell>
          <cell r="L68" t="str">
            <v>-</v>
          </cell>
        </row>
        <row r="69">
          <cell r="E69" t="str">
            <v>MODESG_INP_EMSS_VCLSNOME_UNIDADE_FUNCIONAL</v>
          </cell>
          <cell r="F69" t="str">
            <v>Input</v>
          </cell>
          <cell r="G69" t="str">
            <v>Em Implementação</v>
          </cell>
          <cell r="H69" t="str">
            <v>-</v>
          </cell>
          <cell r="I69">
            <v>45432</v>
          </cell>
          <cell r="J69" t="str">
            <v>IT</v>
          </cell>
          <cell r="K69">
            <v>45471</v>
          </cell>
          <cell r="L69" t="str">
            <v>-</v>
          </cell>
        </row>
        <row r="70">
          <cell r="E70" t="str">
            <v>MODESG_INP_EMSS_VCLSUNIDADE_FUNCIONAL</v>
          </cell>
          <cell r="F70" t="str">
            <v>Input</v>
          </cell>
          <cell r="G70" t="str">
            <v>Em Implementação</v>
          </cell>
          <cell r="H70" t="str">
            <v>-</v>
          </cell>
          <cell r="I70">
            <v>45432</v>
          </cell>
          <cell r="J70" t="str">
            <v>IT</v>
          </cell>
          <cell r="K70">
            <v>45471</v>
          </cell>
          <cell r="L70" t="str">
            <v>-</v>
          </cell>
        </row>
        <row r="71">
          <cell r="E71" t="str">
            <v>MODESG_INP_EMSS_VCLSNOME_FATOR_EMISSAO</v>
          </cell>
          <cell r="F71" t="str">
            <v>Input</v>
          </cell>
          <cell r="G71" t="str">
            <v>Em Implementação</v>
          </cell>
          <cell r="H71" t="str">
            <v>-</v>
          </cell>
          <cell r="I71">
            <v>45432</v>
          </cell>
          <cell r="J71" t="str">
            <v>IT</v>
          </cell>
          <cell r="K71">
            <v>45471</v>
          </cell>
          <cell r="L71" t="str">
            <v>-</v>
          </cell>
        </row>
        <row r="72">
          <cell r="E72" t="str">
            <v>MODESG_INP_EMSS_VCLSUNIDADE_FATOR DE EMISSAO</v>
          </cell>
          <cell r="F72" t="str">
            <v>Input</v>
          </cell>
          <cell r="G72" t="str">
            <v>Em Implementação</v>
          </cell>
          <cell r="H72" t="str">
            <v>-</v>
          </cell>
          <cell r="I72">
            <v>45432</v>
          </cell>
          <cell r="J72" t="str">
            <v>IT</v>
          </cell>
          <cell r="K72">
            <v>45471</v>
          </cell>
          <cell r="L72" t="str">
            <v>-</v>
          </cell>
        </row>
        <row r="73">
          <cell r="E73" t="str">
            <v>MODESG_INP_EMSS_VCLSSCP1_FTR_EMSS</v>
          </cell>
          <cell r="F73" t="str">
            <v>Input</v>
          </cell>
          <cell r="G73" t="str">
            <v>Em Implementação</v>
          </cell>
          <cell r="H73" t="str">
            <v>-</v>
          </cell>
          <cell r="I73">
            <v>45432</v>
          </cell>
          <cell r="J73" t="str">
            <v>IT</v>
          </cell>
          <cell r="K73">
            <v>45471</v>
          </cell>
          <cell r="L73" t="str">
            <v>-</v>
          </cell>
        </row>
        <row r="74">
          <cell r="E74" t="str">
            <v>MODESG_INP_EMSS_VCLSSCP2_FTR_EMSS</v>
          </cell>
          <cell r="F74" t="str">
            <v>Input</v>
          </cell>
          <cell r="G74" t="str">
            <v>Em Implementação</v>
          </cell>
          <cell r="H74" t="str">
            <v>-</v>
          </cell>
          <cell r="I74">
            <v>45432</v>
          </cell>
          <cell r="J74" t="str">
            <v>IT</v>
          </cell>
          <cell r="K74">
            <v>45471</v>
          </cell>
          <cell r="L74" t="str">
            <v>-</v>
          </cell>
        </row>
        <row r="75">
          <cell r="E75" t="str">
            <v>MODESG_INP_EMSS_VCLSSCP3_FTR_EMSS</v>
          </cell>
          <cell r="F75" t="str">
            <v>Input</v>
          </cell>
          <cell r="G75" t="str">
            <v>Em Implementação</v>
          </cell>
          <cell r="H75" t="str">
            <v>-</v>
          </cell>
          <cell r="I75">
            <v>45432</v>
          </cell>
          <cell r="J75" t="str">
            <v>IT</v>
          </cell>
          <cell r="K75">
            <v>45471</v>
          </cell>
          <cell r="L75" t="str">
            <v>-</v>
          </cell>
        </row>
        <row r="76">
          <cell r="E76" t="str">
            <v>MODESG_INP_EMSS_VCLSSCORE_QUALIDADE</v>
          </cell>
          <cell r="F76" t="str">
            <v>Input</v>
          </cell>
          <cell r="G76" t="str">
            <v>Em Implementação</v>
          </cell>
          <cell r="H76" t="str">
            <v>-</v>
          </cell>
          <cell r="I76">
            <v>45432</v>
          </cell>
          <cell r="J76" t="str">
            <v>IT</v>
          </cell>
          <cell r="K76">
            <v>45471</v>
          </cell>
          <cell r="L76" t="str">
            <v>-</v>
          </cell>
        </row>
        <row r="77">
          <cell r="E77" t="str">
            <v>MODESG_INP_KM_MEDIOS_EMSS_VCLSREF_DATE</v>
          </cell>
          <cell r="F77" t="str">
            <v>Input</v>
          </cell>
          <cell r="G77" t="str">
            <v>Em Implementação</v>
          </cell>
          <cell r="H77" t="str">
            <v>-</v>
          </cell>
          <cell r="I77">
            <v>45432</v>
          </cell>
          <cell r="J77" t="str">
            <v>IT</v>
          </cell>
          <cell r="K77">
            <v>45436</v>
          </cell>
          <cell r="L77" t="str">
            <v>-</v>
          </cell>
        </row>
        <row r="78">
          <cell r="E78" t="str">
            <v>MODESG_INP_KM_MEDIOS_EMSS_VCLSCOD_PAIS</v>
          </cell>
          <cell r="F78" t="str">
            <v>Input</v>
          </cell>
          <cell r="G78" t="str">
            <v>Em Implementação</v>
          </cell>
          <cell r="H78" t="str">
            <v>-</v>
          </cell>
          <cell r="I78">
            <v>45432</v>
          </cell>
          <cell r="J78" t="str">
            <v>IT</v>
          </cell>
          <cell r="K78">
            <v>45436</v>
          </cell>
          <cell r="L78" t="str">
            <v>-</v>
          </cell>
        </row>
        <row r="79">
          <cell r="E79" t="str">
            <v>MODESG_INP_KM_MEDIOS_EMSS_VCLSTIPO_VCL</v>
          </cell>
          <cell r="F79" t="str">
            <v>Input</v>
          </cell>
          <cell r="G79" t="str">
            <v>Em Implementação</v>
          </cell>
          <cell r="H79" t="str">
            <v>-</v>
          </cell>
          <cell r="I79">
            <v>45432</v>
          </cell>
          <cell r="J79" t="str">
            <v>IT</v>
          </cell>
          <cell r="K79">
            <v>45436</v>
          </cell>
          <cell r="L79" t="str">
            <v>-</v>
          </cell>
        </row>
        <row r="80">
          <cell r="E80" t="str">
            <v>MODESG_INP_KM_MEDIOS_EMSS_VCLSTIPO_MOTOR</v>
          </cell>
          <cell r="F80" t="str">
            <v>Input</v>
          </cell>
          <cell r="G80" t="str">
            <v>Em Implementação</v>
          </cell>
          <cell r="H80" t="str">
            <v>-</v>
          </cell>
          <cell r="I80">
            <v>45432</v>
          </cell>
          <cell r="J80" t="str">
            <v>IT</v>
          </cell>
          <cell r="K80">
            <v>45436</v>
          </cell>
          <cell r="L80" t="str">
            <v>-</v>
          </cell>
        </row>
        <row r="81">
          <cell r="E81" t="str">
            <v>MODESG_INP_KM_MEDIOS_EMSS_VCLSMEDIA_KM</v>
          </cell>
          <cell r="F81" t="str">
            <v>Input</v>
          </cell>
          <cell r="G81" t="str">
            <v>Em Implementação</v>
          </cell>
          <cell r="H81" t="str">
            <v>-</v>
          </cell>
          <cell r="I81">
            <v>45432</v>
          </cell>
          <cell r="J81" t="str">
            <v>IT</v>
          </cell>
          <cell r="K81">
            <v>45436</v>
          </cell>
          <cell r="L81" t="str">
            <v>-</v>
          </cell>
        </row>
        <row r="82">
          <cell r="E82" t="str">
            <v>MODESG_INP_KM_MEDIOS_EMSS_VCLSMEDIA_SCP1_EMSS</v>
          </cell>
          <cell r="F82" t="str">
            <v>Input</v>
          </cell>
          <cell r="G82" t="str">
            <v>Em Implementação</v>
          </cell>
          <cell r="H82" t="str">
            <v>-</v>
          </cell>
          <cell r="I82">
            <v>45432</v>
          </cell>
          <cell r="J82" t="str">
            <v>IT</v>
          </cell>
          <cell r="K82">
            <v>45436</v>
          </cell>
          <cell r="L82" t="str">
            <v>-</v>
          </cell>
        </row>
        <row r="83">
          <cell r="E83" t="str">
            <v>MODESG_INP_KM_MEDIOS_EMSS_VCLSMEDIA_SCP2_EMSS</v>
          </cell>
          <cell r="F83" t="str">
            <v>Input</v>
          </cell>
          <cell r="G83" t="str">
            <v>Em Implementação</v>
          </cell>
          <cell r="H83" t="str">
            <v>-</v>
          </cell>
          <cell r="I83">
            <v>45432</v>
          </cell>
          <cell r="J83" t="str">
            <v>IT</v>
          </cell>
          <cell r="K83">
            <v>45436</v>
          </cell>
          <cell r="L83" t="str">
            <v>-</v>
          </cell>
        </row>
        <row r="84">
          <cell r="E84" t="str">
            <v>MODESG_INP_KM_MEDIOS_EMSS_VCLSMEDIA_SCP3_EMSS</v>
          </cell>
          <cell r="F84" t="str">
            <v>Input</v>
          </cell>
          <cell r="G84" t="str">
            <v>Em Implementação</v>
          </cell>
          <cell r="H84" t="str">
            <v>-</v>
          </cell>
          <cell r="I84">
            <v>45432</v>
          </cell>
          <cell r="J84" t="str">
            <v>IT</v>
          </cell>
          <cell r="K84">
            <v>45436</v>
          </cell>
          <cell r="L84" t="str">
            <v>-</v>
          </cell>
        </row>
        <row r="85">
          <cell r="E85" t="str">
            <v>MODESG_INP_NFRD_ALINHAMENTO_TAXREF_DATE</v>
          </cell>
          <cell r="F85" t="str">
            <v>Input</v>
          </cell>
          <cell r="G85" t="str">
            <v>Em Implementação</v>
          </cell>
          <cell r="H85" t="str">
            <v>-</v>
          </cell>
          <cell r="I85">
            <v>45432</v>
          </cell>
          <cell r="J85" t="str">
            <v>IT</v>
          </cell>
          <cell r="K85">
            <v>45478</v>
          </cell>
          <cell r="L85" t="str">
            <v>-</v>
          </cell>
        </row>
        <row r="86">
          <cell r="E86" t="str">
            <v xml:space="preserve">MODESG_INP_NFRD_ALINHAMENTO_TAXCCLI_KGL </v>
          </cell>
          <cell r="F86" t="str">
            <v>Input</v>
          </cell>
          <cell r="G86" t="str">
            <v>Em Implementação</v>
          </cell>
          <cell r="H86" t="str">
            <v>-</v>
          </cell>
          <cell r="I86">
            <v>45432</v>
          </cell>
          <cell r="J86" t="str">
            <v>IT</v>
          </cell>
          <cell r="K86">
            <v>45478</v>
          </cell>
          <cell r="L86" t="str">
            <v>-</v>
          </cell>
        </row>
        <row r="87">
          <cell r="E87" t="str">
            <v>MODESG_INP_NFRD_ALINHAMENTO_TAXCLEI</v>
          </cell>
          <cell r="F87" t="str">
            <v>Input</v>
          </cell>
          <cell r="G87" t="str">
            <v>Em Implementação</v>
          </cell>
          <cell r="H87" t="str">
            <v>-</v>
          </cell>
          <cell r="I87">
            <v>45432</v>
          </cell>
          <cell r="J87" t="str">
            <v>IT</v>
          </cell>
          <cell r="K87">
            <v>45478</v>
          </cell>
          <cell r="L87" t="str">
            <v>-</v>
          </cell>
        </row>
        <row r="88">
          <cell r="E88" t="str">
            <v>MODESG_INP_NFRD_ALINHAMENTO_TAXPERM_ID</v>
          </cell>
          <cell r="F88" t="str">
            <v>Input</v>
          </cell>
          <cell r="G88" t="str">
            <v>Em Implementação</v>
          </cell>
          <cell r="H88" t="str">
            <v>-</v>
          </cell>
          <cell r="I88">
            <v>45432</v>
          </cell>
          <cell r="J88" t="str">
            <v>IT</v>
          </cell>
          <cell r="K88">
            <v>45478</v>
          </cell>
          <cell r="L88" t="str">
            <v>-</v>
          </cell>
        </row>
        <row r="89">
          <cell r="E89" t="str">
            <v>MODESG_INP_NFRD_ALINHAMENTO_TAXNOME_ENTIDADE</v>
          </cell>
          <cell r="F89" t="str">
            <v>Input</v>
          </cell>
          <cell r="G89" t="str">
            <v>Em Implementação</v>
          </cell>
          <cell r="H89" t="str">
            <v>-</v>
          </cell>
          <cell r="I89">
            <v>45432</v>
          </cell>
          <cell r="J89" t="str">
            <v>IT</v>
          </cell>
          <cell r="K89">
            <v>45478</v>
          </cell>
          <cell r="L89" t="str">
            <v>-</v>
          </cell>
        </row>
        <row r="90">
          <cell r="E90" t="str">
            <v>MODESG_INP_NFRD_ALINHAMENTO_TAXFLG_NFRD</v>
          </cell>
          <cell r="F90" t="str">
            <v>Input</v>
          </cell>
          <cell r="G90" t="str">
            <v>Em Implementação</v>
          </cell>
          <cell r="H90" t="str">
            <v>-</v>
          </cell>
          <cell r="I90">
            <v>45432</v>
          </cell>
          <cell r="J90" t="str">
            <v>IT</v>
          </cell>
          <cell r="K90">
            <v>45478</v>
          </cell>
          <cell r="L90" t="str">
            <v>-</v>
          </cell>
        </row>
        <row r="91">
          <cell r="E91" t="str">
            <v>MODESG_INP_NFRD_ALINHAMENTO_TAXCCA_TRNVR_TTL_ELGBL</v>
          </cell>
          <cell r="F91" t="str">
            <v>Input</v>
          </cell>
          <cell r="G91" t="str">
            <v>Em Implementação</v>
          </cell>
          <cell r="H91" t="str">
            <v>-</v>
          </cell>
          <cell r="I91">
            <v>45432</v>
          </cell>
          <cell r="J91" t="str">
            <v>IT</v>
          </cell>
          <cell r="K91">
            <v>45478</v>
          </cell>
          <cell r="L91" t="str">
            <v>-</v>
          </cell>
        </row>
        <row r="92">
          <cell r="E92" t="str">
            <v>MODESG_INP_NFRD_ALINHAMENTO_TAXCCA_TRNVR_ENBLNG_ALIGND</v>
          </cell>
          <cell r="F92" t="str">
            <v>Input</v>
          </cell>
          <cell r="G92" t="str">
            <v>Em Implementação</v>
          </cell>
          <cell r="H92" t="str">
            <v>-</v>
          </cell>
          <cell r="I92">
            <v>45432</v>
          </cell>
          <cell r="J92" t="str">
            <v>IT</v>
          </cell>
          <cell r="K92">
            <v>45478</v>
          </cell>
          <cell r="L92" t="str">
            <v>-</v>
          </cell>
        </row>
        <row r="93">
          <cell r="E93" t="str">
            <v>MODESG_INP_NFRD_ALINHAMENTO_TAXCCA_TURNOVER_OWN_PRFRMNCE_ALGND</v>
          </cell>
          <cell r="F93" t="str">
            <v>Input</v>
          </cell>
          <cell r="G93" t="str">
            <v>Em Implementação</v>
          </cell>
          <cell r="H93" t="str">
            <v>-</v>
          </cell>
          <cell r="I93">
            <v>45432</v>
          </cell>
          <cell r="J93" t="str">
            <v>IT</v>
          </cell>
          <cell r="K93">
            <v>45478</v>
          </cell>
          <cell r="L93" t="str">
            <v>-</v>
          </cell>
        </row>
        <row r="94">
          <cell r="E94" t="str">
            <v>MODESG_INP_NFRD_ALINHAMENTO_TAXCCA_CAPEX_TTL_ELGBL</v>
          </cell>
          <cell r="F94" t="str">
            <v>Input</v>
          </cell>
          <cell r="G94" t="str">
            <v>Em Implementação</v>
          </cell>
          <cell r="H94" t="str">
            <v>-</v>
          </cell>
          <cell r="I94">
            <v>45432</v>
          </cell>
          <cell r="J94" t="str">
            <v>IT</v>
          </cell>
          <cell r="K94">
            <v>45478</v>
          </cell>
          <cell r="L94" t="str">
            <v>-</v>
          </cell>
        </row>
        <row r="95">
          <cell r="E95" t="str">
            <v>MODESG_INP_NFRD_ALINHAMENTO_TAXCCA_CAPEX_ENBLNG_ALGND</v>
          </cell>
          <cell r="F95" t="str">
            <v>Input</v>
          </cell>
          <cell r="G95" t="str">
            <v>Em Implementação</v>
          </cell>
          <cell r="H95" t="str">
            <v>-</v>
          </cell>
          <cell r="I95">
            <v>45432</v>
          </cell>
          <cell r="J95" t="str">
            <v>IT</v>
          </cell>
          <cell r="K95">
            <v>45478</v>
          </cell>
          <cell r="L95" t="str">
            <v>-</v>
          </cell>
        </row>
        <row r="96">
          <cell r="E96" t="str">
            <v>MODESG_INP_NFRD_ALINHAMENTO_TAXCCA_CAPEX_OWN_PRFRMNCE_ALGND</v>
          </cell>
          <cell r="F96" t="str">
            <v>Input</v>
          </cell>
          <cell r="G96" t="str">
            <v>Em Implementação</v>
          </cell>
          <cell r="H96" t="str">
            <v>-</v>
          </cell>
          <cell r="I96">
            <v>45432</v>
          </cell>
          <cell r="J96" t="str">
            <v>IT</v>
          </cell>
          <cell r="K96">
            <v>45478</v>
          </cell>
          <cell r="L96" t="str">
            <v>-</v>
          </cell>
        </row>
        <row r="97">
          <cell r="E97" t="str">
            <v>MODESG_INP_NFRD_ALINHAMENTO_TAXCCM_TRNVR_TTL_ELGBL</v>
          </cell>
          <cell r="F97" t="str">
            <v>Input</v>
          </cell>
          <cell r="G97" t="str">
            <v>Em Implementação</v>
          </cell>
          <cell r="H97" t="str">
            <v>-</v>
          </cell>
          <cell r="I97">
            <v>45432</v>
          </cell>
          <cell r="J97" t="str">
            <v>IT</v>
          </cell>
          <cell r="K97">
            <v>45478</v>
          </cell>
          <cell r="L97" t="str">
            <v>-</v>
          </cell>
        </row>
        <row r="98">
          <cell r="E98" t="str">
            <v>MODESG_INP_NFRD_ALINHAMENTO_TAXCCM_TRNVR_ENBLNG_ALGND</v>
          </cell>
          <cell r="F98" t="str">
            <v>Input</v>
          </cell>
          <cell r="G98" t="str">
            <v>Em Implementação</v>
          </cell>
          <cell r="H98" t="str">
            <v>-</v>
          </cell>
          <cell r="I98">
            <v>45432</v>
          </cell>
          <cell r="J98" t="str">
            <v>IT</v>
          </cell>
          <cell r="K98">
            <v>45478</v>
          </cell>
          <cell r="L98" t="str">
            <v>-</v>
          </cell>
        </row>
        <row r="99">
          <cell r="E99" t="str">
            <v>MODESG_INP_NFRD_ALINHAMENTO_TAXCCM_TRNVR_TRNSTN_ALIGND</v>
          </cell>
          <cell r="F99" t="str">
            <v>Input</v>
          </cell>
          <cell r="G99" t="str">
            <v>Em Implementação</v>
          </cell>
          <cell r="H99" t="str">
            <v>-</v>
          </cell>
          <cell r="I99">
            <v>45432</v>
          </cell>
          <cell r="J99" t="str">
            <v>IT</v>
          </cell>
          <cell r="K99">
            <v>45478</v>
          </cell>
          <cell r="L99" t="str">
            <v>-</v>
          </cell>
        </row>
        <row r="100">
          <cell r="E100" t="str">
            <v>MODESG_INP_NFRD_ALINHAMENTO_TAXCCM_TRNVR_OWN_PRFRMNCE_ALGND</v>
          </cell>
          <cell r="F100" t="str">
            <v>Input</v>
          </cell>
          <cell r="G100" t="str">
            <v>Em Implementação</v>
          </cell>
          <cell r="H100" t="str">
            <v>-</v>
          </cell>
          <cell r="I100">
            <v>45432</v>
          </cell>
          <cell r="J100" t="str">
            <v>IT</v>
          </cell>
          <cell r="K100">
            <v>45478</v>
          </cell>
          <cell r="L100" t="str">
            <v>-</v>
          </cell>
        </row>
        <row r="101">
          <cell r="E101" t="str">
            <v>MODESG_INP_NFRD_ALINHAMENTO_TAXCCM_CAPEX_TTL_ELGBL</v>
          </cell>
          <cell r="F101" t="str">
            <v>Input</v>
          </cell>
          <cell r="G101" t="str">
            <v>Em Implementação</v>
          </cell>
          <cell r="H101" t="str">
            <v>-</v>
          </cell>
          <cell r="I101">
            <v>45432</v>
          </cell>
          <cell r="J101" t="str">
            <v>IT</v>
          </cell>
          <cell r="K101">
            <v>45478</v>
          </cell>
          <cell r="L101" t="str">
            <v>-</v>
          </cell>
        </row>
        <row r="102">
          <cell r="E102" t="str">
            <v>MODESG_INP_NFRD_ALINHAMENTO_TAXCCM_CAPEX_ENBLNG_ALGND</v>
          </cell>
          <cell r="F102" t="str">
            <v>Input</v>
          </cell>
          <cell r="G102" t="str">
            <v>Em Implementação</v>
          </cell>
          <cell r="H102" t="str">
            <v>-</v>
          </cell>
          <cell r="I102">
            <v>45432</v>
          </cell>
          <cell r="J102" t="str">
            <v>IT</v>
          </cell>
          <cell r="K102">
            <v>45478</v>
          </cell>
          <cell r="L102" t="str">
            <v>-</v>
          </cell>
        </row>
        <row r="103">
          <cell r="E103" t="str">
            <v>MODESG_INP_NFRD_ALINHAMENTO_TAXCCM_CAPEX_TRNSTN_ALGND</v>
          </cell>
          <cell r="F103" t="str">
            <v>Input</v>
          </cell>
          <cell r="G103" t="str">
            <v>Em Implementação</v>
          </cell>
          <cell r="H103" t="str">
            <v>-</v>
          </cell>
          <cell r="I103">
            <v>45432</v>
          </cell>
          <cell r="J103" t="str">
            <v>IT</v>
          </cell>
          <cell r="K103">
            <v>45478</v>
          </cell>
          <cell r="L103" t="str">
            <v>-</v>
          </cell>
        </row>
        <row r="104">
          <cell r="E104" t="str">
            <v>MODESG_INP_NFRD_ALINHAMENTO_TAXCCM_CAPEX_OWN_PRFRMNCE_ALGND</v>
          </cell>
          <cell r="F104" t="str">
            <v>Input</v>
          </cell>
          <cell r="G104" t="str">
            <v>Em Implementação</v>
          </cell>
          <cell r="H104" t="str">
            <v>-</v>
          </cell>
          <cell r="I104">
            <v>45432</v>
          </cell>
          <cell r="J104" t="str">
            <v>IT</v>
          </cell>
          <cell r="K104">
            <v>45478</v>
          </cell>
          <cell r="L104" t="str">
            <v>-</v>
          </cell>
        </row>
        <row r="105">
          <cell r="E105" t="str">
            <v>MODESG_INP_RISCO_FISICOREF_DATE</v>
          </cell>
          <cell r="F105" t="str">
            <v>Input</v>
          </cell>
          <cell r="G105" t="str">
            <v>Em Implementação</v>
          </cell>
          <cell r="H105" t="str">
            <v>-</v>
          </cell>
          <cell r="I105">
            <v>45432</v>
          </cell>
          <cell r="J105" t="str">
            <v>IT</v>
          </cell>
          <cell r="K105">
            <v>45436</v>
          </cell>
          <cell r="L105" t="str">
            <v>-</v>
          </cell>
        </row>
        <row r="106">
          <cell r="E106" t="str">
            <v>MODESG_INP_RISCO_FISICOCOD_PAIS</v>
          </cell>
          <cell r="F106" t="str">
            <v>Input</v>
          </cell>
          <cell r="G106" t="str">
            <v>Em Implementação</v>
          </cell>
          <cell r="H106" t="str">
            <v>-</v>
          </cell>
          <cell r="I106">
            <v>45432</v>
          </cell>
          <cell r="J106" t="str">
            <v>IT</v>
          </cell>
          <cell r="K106">
            <v>45436</v>
          </cell>
          <cell r="L106" t="str">
            <v>-</v>
          </cell>
        </row>
        <row r="107">
          <cell r="E107" t="str">
            <v>MODESG_INP_RISCO_FISICOCOD_NUTIII</v>
          </cell>
          <cell r="F107" t="str">
            <v>Input</v>
          </cell>
          <cell r="G107" t="str">
            <v>Em Implementação</v>
          </cell>
          <cell r="H107" t="str">
            <v>-</v>
          </cell>
          <cell r="I107">
            <v>45432</v>
          </cell>
          <cell r="J107" t="str">
            <v>IT</v>
          </cell>
          <cell r="K107">
            <v>45436</v>
          </cell>
          <cell r="L107" t="str">
            <v>-</v>
          </cell>
        </row>
        <row r="108">
          <cell r="E108" t="str">
            <v>MODESG_INP_RISCO_FISICOCOD_NACE_ESG</v>
          </cell>
          <cell r="F108" t="str">
            <v>Input</v>
          </cell>
          <cell r="G108" t="str">
            <v>Em Implementação</v>
          </cell>
          <cell r="H108" t="str">
            <v>-</v>
          </cell>
          <cell r="I108">
            <v>45432</v>
          </cell>
          <cell r="J108" t="str">
            <v>IT</v>
          </cell>
          <cell r="K108">
            <v>45436</v>
          </cell>
          <cell r="L108" t="str">
            <v>-</v>
          </cell>
        </row>
        <row r="109">
          <cell r="E109" t="str">
            <v>MODESG_INP_RISCO_FISICOFLG_RSC_FSC_AGD</v>
          </cell>
          <cell r="F109" t="str">
            <v>Input</v>
          </cell>
          <cell r="G109" t="str">
            <v>Em Implementação</v>
          </cell>
          <cell r="H109" t="str">
            <v>-</v>
          </cell>
          <cell r="I109">
            <v>45432</v>
          </cell>
          <cell r="J109" t="str">
            <v>IT</v>
          </cell>
          <cell r="K109">
            <v>45436</v>
          </cell>
          <cell r="L109" t="str">
            <v>-</v>
          </cell>
        </row>
        <row r="110">
          <cell r="E110" t="str">
            <v>MODESG_INP_RISCO_FISICOFLG_RSC_FSC_CRNC</v>
          </cell>
          <cell r="F110" t="str">
            <v>Input</v>
          </cell>
          <cell r="G110" t="str">
            <v>Em Implementação</v>
          </cell>
          <cell r="H110" t="str">
            <v>-</v>
          </cell>
          <cell r="I110">
            <v>45432</v>
          </cell>
          <cell r="J110" t="str">
            <v>IT</v>
          </cell>
          <cell r="K110">
            <v>45436</v>
          </cell>
          <cell r="L110" t="str">
            <v>-</v>
          </cell>
        </row>
        <row r="111">
          <cell r="E111" t="str">
            <v>MODESG_OUT_BENS_IMOVEISCEMPBEM</v>
          </cell>
          <cell r="F111" t="str">
            <v>Output</v>
          </cell>
          <cell r="G111" t="str">
            <v>Concluído</v>
          </cell>
          <cell r="H111" t="str">
            <v>-</v>
          </cell>
          <cell r="I111" t="str">
            <v>-</v>
          </cell>
          <cell r="J111" t="str">
            <v>-</v>
          </cell>
          <cell r="K111">
            <v>45429</v>
          </cell>
          <cell r="L111" t="str">
            <v>-</v>
          </cell>
        </row>
        <row r="112">
          <cell r="E112" t="str">
            <v>MODESG_OUT_BENS_IMOVEISCKBALBEM</v>
          </cell>
          <cell r="F112" t="str">
            <v>Output</v>
          </cell>
          <cell r="G112" t="str">
            <v>Concluído</v>
          </cell>
          <cell r="H112" t="str">
            <v>-</v>
          </cell>
          <cell r="I112" t="str">
            <v>-</v>
          </cell>
          <cell r="J112" t="str">
            <v>-</v>
          </cell>
          <cell r="K112">
            <v>45429</v>
          </cell>
          <cell r="L112" t="str">
            <v>-</v>
          </cell>
        </row>
        <row r="113">
          <cell r="E113" t="str">
            <v>MODESG_OUT_BENS_IMOVEISCKCTABEM</v>
          </cell>
          <cell r="F113" t="str">
            <v>Output</v>
          </cell>
          <cell r="G113" t="str">
            <v>Concluído</v>
          </cell>
          <cell r="H113" t="str">
            <v>-</v>
          </cell>
          <cell r="I113" t="str">
            <v>-</v>
          </cell>
          <cell r="J113" t="str">
            <v>-</v>
          </cell>
          <cell r="K113">
            <v>45429</v>
          </cell>
          <cell r="L113" t="str">
            <v>-</v>
          </cell>
        </row>
        <row r="114">
          <cell r="E114" t="str">
            <v>MODESG_OUT_BENS_IMOVEISCKREFBEM</v>
          </cell>
          <cell r="F114" t="str">
            <v>Output</v>
          </cell>
          <cell r="G114" t="str">
            <v>Concluído</v>
          </cell>
          <cell r="H114" t="str">
            <v>-</v>
          </cell>
          <cell r="I114" t="str">
            <v>-</v>
          </cell>
          <cell r="J114" t="str">
            <v>-</v>
          </cell>
          <cell r="K114">
            <v>45429</v>
          </cell>
          <cell r="L114" t="str">
            <v>-</v>
          </cell>
        </row>
        <row r="115">
          <cell r="E115" t="str">
            <v>MODESG_OUT_BENS_IMOVEISREF_DATE</v>
          </cell>
          <cell r="F115" t="str">
            <v>Output</v>
          </cell>
          <cell r="G115" t="str">
            <v>Concluído</v>
          </cell>
          <cell r="H115" t="str">
            <v>-</v>
          </cell>
          <cell r="I115" t="str">
            <v>-</v>
          </cell>
          <cell r="J115" t="str">
            <v>-</v>
          </cell>
          <cell r="K115">
            <v>45429</v>
          </cell>
          <cell r="L115" t="str">
            <v>-</v>
          </cell>
        </row>
        <row r="116">
          <cell r="E116" t="str">
            <v>MODESG_OUT_BENS_IMOVEISFLG_RSC_FSC_AGD</v>
          </cell>
          <cell r="F116" t="str">
            <v>Output</v>
          </cell>
          <cell r="G116" t="str">
            <v>Em Correção</v>
          </cell>
          <cell r="H116" t="str">
            <v>-</v>
          </cell>
          <cell r="I116" t="str">
            <v>-</v>
          </cell>
          <cell r="J116" t="str">
            <v>IT</v>
          </cell>
          <cell r="K116">
            <v>45429</v>
          </cell>
          <cell r="L116" t="str">
            <v>-</v>
          </cell>
        </row>
        <row r="117">
          <cell r="E117" t="str">
            <v>MODESG_OUT_BENS_IMOVEISFLG_RSC_FSC_CRNC</v>
          </cell>
          <cell r="F117" t="str">
            <v>Output</v>
          </cell>
          <cell r="G117" t="str">
            <v>Em Correção</v>
          </cell>
          <cell r="H117" t="str">
            <v>-</v>
          </cell>
          <cell r="I117" t="str">
            <v>-</v>
          </cell>
          <cell r="J117" t="str">
            <v>IT</v>
          </cell>
          <cell r="K117">
            <v>45429</v>
          </cell>
          <cell r="L117" t="str">
            <v>-</v>
          </cell>
        </row>
        <row r="118">
          <cell r="E118" t="str">
            <v>MODESG_OUT_BENS_IMOVEISORIGEM_FLG_RSC_FSC_AGD</v>
          </cell>
          <cell r="F118" t="str">
            <v>Output</v>
          </cell>
          <cell r="G118" t="str">
            <v>Validação EF</v>
          </cell>
          <cell r="H118" t="str">
            <v>-</v>
          </cell>
          <cell r="I118" t="str">
            <v>-</v>
          </cell>
          <cell r="J118" t="str">
            <v>-</v>
          </cell>
          <cell r="K118">
            <v>45429</v>
          </cell>
          <cell r="L118" t="str">
            <v>-</v>
          </cell>
        </row>
        <row r="119">
          <cell r="E119" t="str">
            <v>MODESG_OUT_BENS_IMOVEISORIGEM_FLG_RSC_FSC_CRNC</v>
          </cell>
          <cell r="F119" t="str">
            <v>Output</v>
          </cell>
          <cell r="G119" t="str">
            <v>Validação EF</v>
          </cell>
          <cell r="H119" t="str">
            <v>-</v>
          </cell>
          <cell r="I119" t="str">
            <v>-</v>
          </cell>
          <cell r="J119" t="str">
            <v>-</v>
          </cell>
          <cell r="K119">
            <v>45429</v>
          </cell>
          <cell r="L119" t="str">
            <v>-</v>
          </cell>
        </row>
        <row r="120">
          <cell r="E120" t="str">
            <v>MODESG_OUT_BENS_IMOVEISSCP1_EMSS</v>
          </cell>
          <cell r="F120" t="str">
            <v>Output</v>
          </cell>
          <cell r="G120" t="str">
            <v>Validação EF</v>
          </cell>
          <cell r="H120" t="str">
            <v>-</v>
          </cell>
          <cell r="I120" t="str">
            <v>-</v>
          </cell>
          <cell r="J120" t="str">
            <v>-</v>
          </cell>
          <cell r="K120">
            <v>45429</v>
          </cell>
          <cell r="L120" t="str">
            <v>-</v>
          </cell>
        </row>
        <row r="121">
          <cell r="E121" t="str">
            <v>MODESG_OUT_BENS_IMOVEISSCP2_EMSS</v>
          </cell>
          <cell r="F121" t="str">
            <v>Output</v>
          </cell>
          <cell r="G121" t="str">
            <v>Validação EF</v>
          </cell>
          <cell r="H121" t="str">
            <v>-</v>
          </cell>
          <cell r="I121" t="str">
            <v>-</v>
          </cell>
          <cell r="J121" t="str">
            <v>-</v>
          </cell>
          <cell r="K121">
            <v>45429</v>
          </cell>
          <cell r="L121" t="str">
            <v>-</v>
          </cell>
        </row>
        <row r="122">
          <cell r="E122" t="str">
            <v>MODESG_OUT_BENS_IMOVEISSCP3_EMSS</v>
          </cell>
          <cell r="F122" t="str">
            <v>Output</v>
          </cell>
          <cell r="G122" t="str">
            <v>Concluído</v>
          </cell>
          <cell r="H122" t="str">
            <v>-</v>
          </cell>
          <cell r="I122" t="str">
            <v>-</v>
          </cell>
          <cell r="J122" t="str">
            <v>-</v>
          </cell>
          <cell r="K122">
            <v>45429</v>
          </cell>
          <cell r="L122" t="str">
            <v>-</v>
          </cell>
        </row>
        <row r="123">
          <cell r="E123" t="str">
            <v>MODESG_OUT_BENS_IMOVEISUNIDADE_FUNCIONAL_SCP1_EMSS</v>
          </cell>
          <cell r="F123" t="str">
            <v>Output</v>
          </cell>
          <cell r="G123" t="str">
            <v>Validação EF</v>
          </cell>
          <cell r="H123" t="str">
            <v>-</v>
          </cell>
          <cell r="I123" t="str">
            <v>-</v>
          </cell>
          <cell r="J123" t="str">
            <v>IT</v>
          </cell>
          <cell r="K123">
            <v>45429</v>
          </cell>
          <cell r="L123" t="str">
            <v>-</v>
          </cell>
        </row>
        <row r="124">
          <cell r="E124" t="str">
            <v>MODESG_OUT_BENS_IMOVEISUNIDADE_FUNCIONAL_SCP2_EMSS</v>
          </cell>
          <cell r="F124" t="str">
            <v>Output</v>
          </cell>
          <cell r="G124" t="str">
            <v>Validação EF</v>
          </cell>
          <cell r="H124" t="str">
            <v>-</v>
          </cell>
          <cell r="I124" t="str">
            <v>-</v>
          </cell>
          <cell r="J124" t="str">
            <v>IT</v>
          </cell>
          <cell r="K124">
            <v>45429</v>
          </cell>
          <cell r="L124" t="str">
            <v>-</v>
          </cell>
        </row>
        <row r="125">
          <cell r="E125" t="str">
            <v>MODESG_OUT_BENS_IMOVEISUNIDADE_FUNCIONAL_SCP3_EMSS</v>
          </cell>
          <cell r="F125" t="str">
            <v>Output</v>
          </cell>
          <cell r="G125" t="str">
            <v>Validação EF</v>
          </cell>
          <cell r="H125" t="str">
            <v>-</v>
          </cell>
          <cell r="I125" t="str">
            <v>-</v>
          </cell>
          <cell r="J125" t="str">
            <v>-</v>
          </cell>
          <cell r="K125">
            <v>45429</v>
          </cell>
          <cell r="L125" t="str">
            <v>-</v>
          </cell>
        </row>
        <row r="126">
          <cell r="E126" t="str">
            <v>MODESG_OUT_BENS_IMOVEISORIGEM_SCP1_EMSS</v>
          </cell>
          <cell r="F126" t="str">
            <v>Output</v>
          </cell>
          <cell r="G126" t="str">
            <v>Validação EF</v>
          </cell>
          <cell r="H126" t="str">
            <v>-</v>
          </cell>
          <cell r="I126" t="str">
            <v>-</v>
          </cell>
          <cell r="J126" t="str">
            <v>IT</v>
          </cell>
          <cell r="K126">
            <v>45429</v>
          </cell>
          <cell r="L126" t="str">
            <v>-</v>
          </cell>
        </row>
        <row r="127">
          <cell r="E127" t="str">
            <v>MODESG_OUT_BENS_IMOVEISORIGEM_SCP2_EMSS</v>
          </cell>
          <cell r="F127" t="str">
            <v>Output</v>
          </cell>
          <cell r="G127" t="str">
            <v>Validação EF</v>
          </cell>
          <cell r="H127" t="str">
            <v>-</v>
          </cell>
          <cell r="I127" t="str">
            <v>-</v>
          </cell>
          <cell r="J127" t="str">
            <v>IT</v>
          </cell>
          <cell r="K127">
            <v>45429</v>
          </cell>
          <cell r="L127" t="str">
            <v>-</v>
          </cell>
        </row>
        <row r="128">
          <cell r="E128" t="str">
            <v>MODESG_OUT_BENS_IMOVEISORIGEM_SCP3_EMSS</v>
          </cell>
          <cell r="F128" t="str">
            <v>Output</v>
          </cell>
          <cell r="G128" t="str">
            <v>Concluído</v>
          </cell>
          <cell r="H128" t="str">
            <v>-</v>
          </cell>
          <cell r="I128" t="str">
            <v>-</v>
          </cell>
          <cell r="J128" t="str">
            <v>-</v>
          </cell>
          <cell r="K128">
            <v>45429</v>
          </cell>
          <cell r="L128" t="str">
            <v>-</v>
          </cell>
        </row>
        <row r="129">
          <cell r="E129" t="str">
            <v>MODESG_OUT_EMPR_INFO_NFINZCLIENTE</v>
          </cell>
          <cell r="F129" t="str">
            <v>Output</v>
          </cell>
          <cell r="G129" t="str">
            <v>Concluído</v>
          </cell>
          <cell r="H129" t="str">
            <v>-</v>
          </cell>
          <cell r="I129" t="str">
            <v>-</v>
          </cell>
          <cell r="J129" t="str">
            <v>-</v>
          </cell>
          <cell r="K129">
            <v>45422</v>
          </cell>
          <cell r="L129" t="str">
            <v>-</v>
          </cell>
        </row>
        <row r="130">
          <cell r="E130" t="str">
            <v>MODESG_OUT_EMPR_INFO_NFINREF_DATE</v>
          </cell>
          <cell r="F130" t="str">
            <v>Output</v>
          </cell>
          <cell r="G130" t="str">
            <v>Concluído</v>
          </cell>
          <cell r="H130" t="str">
            <v>-</v>
          </cell>
          <cell r="I130" t="str">
            <v>-</v>
          </cell>
          <cell r="J130" t="str">
            <v>-</v>
          </cell>
          <cell r="K130">
            <v>45422</v>
          </cell>
          <cell r="L130" t="str">
            <v>-</v>
          </cell>
        </row>
        <row r="131">
          <cell r="E131" t="str">
            <v>MODESG_OUT_EMPR_INFO_NFINFLG_NFRD</v>
          </cell>
          <cell r="F131" t="str">
            <v>Output</v>
          </cell>
          <cell r="G131" t="str">
            <v>Em Correção</v>
          </cell>
          <cell r="H131" t="str">
            <v>-</v>
          </cell>
          <cell r="I131" t="str">
            <v>-</v>
          </cell>
          <cell r="J131" t="str">
            <v>IT</v>
          </cell>
          <cell r="K131">
            <v>45422</v>
          </cell>
          <cell r="L131">
            <v>45443</v>
          </cell>
        </row>
        <row r="132">
          <cell r="E132" t="str">
            <v>MODESG_OUT_EMPR_INFO_NFINORIGEM_FLG_NFRD</v>
          </cell>
          <cell r="F132" t="str">
            <v>Output</v>
          </cell>
          <cell r="G132" t="str">
            <v>Em Correção</v>
          </cell>
          <cell r="H132" t="str">
            <v>-</v>
          </cell>
          <cell r="I132" t="str">
            <v>-</v>
          </cell>
          <cell r="J132" t="str">
            <v>IT</v>
          </cell>
          <cell r="K132">
            <v>45422</v>
          </cell>
          <cell r="L132">
            <v>45443</v>
          </cell>
        </row>
        <row r="133">
          <cell r="E133" t="str">
            <v>MODESG_OUT_EMPR_INFO_NFINFLG_EMPRS_EXCL_PARIS</v>
          </cell>
          <cell r="F133" t="str">
            <v>Output</v>
          </cell>
          <cell r="G133" t="str">
            <v>Em Correção</v>
          </cell>
          <cell r="H133" t="str">
            <v>-</v>
          </cell>
          <cell r="I133" t="str">
            <v>-</v>
          </cell>
          <cell r="J133" t="str">
            <v>IT</v>
          </cell>
          <cell r="K133">
            <v>45422</v>
          </cell>
          <cell r="L133">
            <v>45443</v>
          </cell>
        </row>
        <row r="134">
          <cell r="E134" t="str">
            <v>MODESG_OUT_EMPR_INFO_NFINORIGEM_FLG_EMPRS_EXCL_PARIS</v>
          </cell>
          <cell r="F134" t="str">
            <v>Output</v>
          </cell>
          <cell r="G134" t="str">
            <v>Em Correção</v>
          </cell>
          <cell r="H134" t="str">
            <v>-</v>
          </cell>
          <cell r="I134" t="str">
            <v>-</v>
          </cell>
          <cell r="J134" t="str">
            <v>IT</v>
          </cell>
          <cell r="K134">
            <v>45422</v>
          </cell>
          <cell r="L134">
            <v>45443</v>
          </cell>
        </row>
        <row r="135">
          <cell r="E135" t="str">
            <v>MODESG_OUT_EMPR_INFO_NFINCCA_TRNVR_TTL_ELGBL</v>
          </cell>
          <cell r="F135" t="str">
            <v>Output</v>
          </cell>
          <cell r="G135" t="str">
            <v>Em Correção</v>
          </cell>
          <cell r="H135" t="str">
            <v>-</v>
          </cell>
          <cell r="I135" t="str">
            <v>-</v>
          </cell>
          <cell r="J135" t="str">
            <v>IT</v>
          </cell>
          <cell r="K135">
            <v>45422</v>
          </cell>
          <cell r="L135">
            <v>45443</v>
          </cell>
        </row>
        <row r="136">
          <cell r="E136" t="str">
            <v>MODESG_OUT_EMPR_INFO_NFINCCA_TRNVR_ENBLNG_ALIGND</v>
          </cell>
          <cell r="F136" t="str">
            <v>Output</v>
          </cell>
          <cell r="G136" t="str">
            <v>Em Correção</v>
          </cell>
          <cell r="H136" t="str">
            <v>-</v>
          </cell>
          <cell r="I136" t="str">
            <v>-</v>
          </cell>
          <cell r="J136" t="str">
            <v>IT</v>
          </cell>
          <cell r="K136">
            <v>45422</v>
          </cell>
          <cell r="L136">
            <v>45443</v>
          </cell>
        </row>
        <row r="137">
          <cell r="E137" t="str">
            <v>MODESG_OUT_EMPR_INFO_NFINCCA_TURNOVER_OWN_PRFRMNCE_ALGND</v>
          </cell>
          <cell r="F137" t="str">
            <v>Output</v>
          </cell>
          <cell r="G137" t="str">
            <v>Em Correção</v>
          </cell>
          <cell r="H137" t="str">
            <v>-</v>
          </cell>
          <cell r="I137" t="str">
            <v>-</v>
          </cell>
          <cell r="J137" t="str">
            <v>IT</v>
          </cell>
          <cell r="K137">
            <v>45422</v>
          </cell>
          <cell r="L137">
            <v>45443</v>
          </cell>
        </row>
        <row r="138">
          <cell r="E138" t="str">
            <v>MODESG_OUT_EMPR_INFO_NFINCCA_CAPEX_TTL_ELGBL</v>
          </cell>
          <cell r="F138" t="str">
            <v>Output</v>
          </cell>
          <cell r="G138" t="str">
            <v>Em Correção</v>
          </cell>
          <cell r="H138" t="str">
            <v>-</v>
          </cell>
          <cell r="I138" t="str">
            <v>-</v>
          </cell>
          <cell r="J138" t="str">
            <v>IT</v>
          </cell>
          <cell r="K138">
            <v>45422</v>
          </cell>
          <cell r="L138">
            <v>45443</v>
          </cell>
        </row>
        <row r="139">
          <cell r="E139" t="str">
            <v>MODESG_OUT_EMPR_INFO_NFINCCA_CAPEX_ENBLNG_ALGND</v>
          </cell>
          <cell r="F139" t="str">
            <v>Output</v>
          </cell>
          <cell r="G139" t="str">
            <v>Em Correção</v>
          </cell>
          <cell r="H139" t="str">
            <v>-</v>
          </cell>
          <cell r="I139" t="str">
            <v>-</v>
          </cell>
          <cell r="J139" t="str">
            <v>IT</v>
          </cell>
          <cell r="K139">
            <v>45422</v>
          </cell>
          <cell r="L139">
            <v>45443</v>
          </cell>
        </row>
        <row r="140">
          <cell r="E140" t="str">
            <v>MODESG_OUT_EMPR_INFO_NFINCCA_CAPEX_OWN_PRFRMNCE_ALGND</v>
          </cell>
          <cell r="F140" t="str">
            <v>Output</v>
          </cell>
          <cell r="G140" t="str">
            <v>Em Correção</v>
          </cell>
          <cell r="H140" t="str">
            <v>-</v>
          </cell>
          <cell r="I140" t="str">
            <v>-</v>
          </cell>
          <cell r="J140" t="str">
            <v>IT</v>
          </cell>
          <cell r="K140">
            <v>45422</v>
          </cell>
          <cell r="L140">
            <v>45443</v>
          </cell>
        </row>
        <row r="141">
          <cell r="E141" t="str">
            <v>MODESG_OUT_EMPR_INFO_NFINCCM_TRNVR_TTL_ELGBL</v>
          </cell>
          <cell r="F141" t="str">
            <v>Output</v>
          </cell>
          <cell r="G141" t="str">
            <v>Em Correção</v>
          </cell>
          <cell r="H141" t="str">
            <v>-</v>
          </cell>
          <cell r="I141" t="str">
            <v>-</v>
          </cell>
          <cell r="J141" t="str">
            <v>IT</v>
          </cell>
          <cell r="K141">
            <v>45422</v>
          </cell>
          <cell r="L141">
            <v>45443</v>
          </cell>
        </row>
        <row r="142">
          <cell r="E142" t="str">
            <v>MODESG_OUT_EMPR_INFO_NFINCCM_TRNVR_ENBLNG_ALGND</v>
          </cell>
          <cell r="F142" t="str">
            <v>Output</v>
          </cell>
          <cell r="G142" t="str">
            <v>Em Correção</v>
          </cell>
          <cell r="H142" t="str">
            <v>-</v>
          </cell>
          <cell r="I142" t="str">
            <v>-</v>
          </cell>
          <cell r="J142" t="str">
            <v>IT</v>
          </cell>
          <cell r="K142">
            <v>45422</v>
          </cell>
          <cell r="L142">
            <v>45443</v>
          </cell>
        </row>
        <row r="143">
          <cell r="E143" t="str">
            <v>MODESG_OUT_EMPR_INFO_NFINCCM_TRNVR_TRNSTN_ALIGND</v>
          </cell>
          <cell r="F143" t="str">
            <v>Output</v>
          </cell>
          <cell r="G143" t="str">
            <v>Em Correção</v>
          </cell>
          <cell r="H143" t="str">
            <v>-</v>
          </cell>
          <cell r="I143" t="str">
            <v>-</v>
          </cell>
          <cell r="J143" t="str">
            <v>IT</v>
          </cell>
          <cell r="K143">
            <v>45422</v>
          </cell>
          <cell r="L143">
            <v>45443</v>
          </cell>
        </row>
        <row r="144">
          <cell r="E144" t="str">
            <v>MODESG_OUT_EMPR_INFO_NFINCCM_TRNVR_OWN_PRFRMNCE_ALGND</v>
          </cell>
          <cell r="F144" t="str">
            <v>Output</v>
          </cell>
          <cell r="G144" t="str">
            <v>Em Correção</v>
          </cell>
          <cell r="H144" t="str">
            <v>-</v>
          </cell>
          <cell r="I144" t="str">
            <v>-</v>
          </cell>
          <cell r="J144" t="str">
            <v>IT</v>
          </cell>
          <cell r="K144">
            <v>45422</v>
          </cell>
          <cell r="L144">
            <v>45443</v>
          </cell>
        </row>
        <row r="145">
          <cell r="E145" t="str">
            <v>MODESG_OUT_EMPR_INFO_NFINCCM_CAPEX_TTL_ELGBL</v>
          </cell>
          <cell r="F145" t="str">
            <v>Output</v>
          </cell>
          <cell r="G145" t="str">
            <v>Em Correção</v>
          </cell>
          <cell r="H145" t="str">
            <v>-</v>
          </cell>
          <cell r="I145" t="str">
            <v>-</v>
          </cell>
          <cell r="J145" t="str">
            <v>IT</v>
          </cell>
          <cell r="K145">
            <v>45422</v>
          </cell>
          <cell r="L145">
            <v>45443</v>
          </cell>
        </row>
        <row r="146">
          <cell r="E146" t="str">
            <v>MODESG_OUT_EMPR_INFO_NFINCCM_CAPEX_ENBLNG_ALGND</v>
          </cell>
          <cell r="F146" t="str">
            <v>Output</v>
          </cell>
          <cell r="G146" t="str">
            <v>Em Correção</v>
          </cell>
          <cell r="H146" t="str">
            <v>-</v>
          </cell>
          <cell r="I146" t="str">
            <v>-</v>
          </cell>
          <cell r="J146" t="str">
            <v>IT</v>
          </cell>
          <cell r="K146">
            <v>45422</v>
          </cell>
          <cell r="L146">
            <v>45443</v>
          </cell>
        </row>
        <row r="147">
          <cell r="E147" t="str">
            <v>MODESG_OUT_EMPR_INFO_NFINCCM_CAPEX_TRNSTN_ALGND</v>
          </cell>
          <cell r="F147" t="str">
            <v>Output</v>
          </cell>
          <cell r="G147" t="str">
            <v>Em Correção</v>
          </cell>
          <cell r="H147" t="str">
            <v>-</v>
          </cell>
          <cell r="I147" t="str">
            <v>-</v>
          </cell>
          <cell r="J147" t="str">
            <v>IT</v>
          </cell>
          <cell r="K147">
            <v>45422</v>
          </cell>
          <cell r="L147">
            <v>45443</v>
          </cell>
        </row>
        <row r="148">
          <cell r="E148" t="str">
            <v>MODESG_OUT_EMPR_INFO_NFINCCM_CAPEX_OWN_PRFRMNCE_ALGND</v>
          </cell>
          <cell r="F148" t="str">
            <v>Output</v>
          </cell>
          <cell r="G148" t="str">
            <v>Em Correção</v>
          </cell>
          <cell r="H148" t="str">
            <v>-</v>
          </cell>
          <cell r="I148" t="str">
            <v>-</v>
          </cell>
          <cell r="J148" t="str">
            <v>IT</v>
          </cell>
          <cell r="K148">
            <v>45422</v>
          </cell>
          <cell r="L148">
            <v>45443</v>
          </cell>
        </row>
        <row r="149">
          <cell r="E149" t="str">
            <v>MODESG_OUT_EMPR_INFO_NFINORIGEM_ALINHAMENTOS</v>
          </cell>
          <cell r="F149" t="str">
            <v>Output</v>
          </cell>
          <cell r="G149" t="str">
            <v>Em Correção</v>
          </cell>
          <cell r="H149" t="str">
            <v>-</v>
          </cell>
          <cell r="I149" t="str">
            <v>-</v>
          </cell>
          <cell r="J149" t="str">
            <v>IT</v>
          </cell>
          <cell r="K149">
            <v>45422</v>
          </cell>
          <cell r="L149">
            <v>45443</v>
          </cell>
        </row>
        <row r="150">
          <cell r="E150" t="str">
            <v>MODESG_OUT_EMPR_INFO_NFINFLG_RSC_FSC_AGD</v>
          </cell>
          <cell r="F150" t="str">
            <v>Output</v>
          </cell>
          <cell r="G150" t="str">
            <v>Validação EF</v>
          </cell>
          <cell r="H150" t="str">
            <v>-</v>
          </cell>
          <cell r="I150" t="str">
            <v>-</v>
          </cell>
          <cell r="J150" t="str">
            <v>LCM</v>
          </cell>
          <cell r="K150">
            <v>45478</v>
          </cell>
          <cell r="L150">
            <v>45443</v>
          </cell>
        </row>
        <row r="151">
          <cell r="E151" t="str">
            <v>MODESG_OUT_EMPR_INFO_NFINFLG_RSC_FSC_CRNC</v>
          </cell>
          <cell r="F151" t="str">
            <v>Output</v>
          </cell>
          <cell r="G151" t="str">
            <v>Validação EF</v>
          </cell>
          <cell r="H151" t="str">
            <v>-</v>
          </cell>
          <cell r="I151" t="str">
            <v>-</v>
          </cell>
          <cell r="J151" t="str">
            <v>LCM</v>
          </cell>
          <cell r="K151">
            <v>45478</v>
          </cell>
          <cell r="L151">
            <v>45443</v>
          </cell>
        </row>
        <row r="152">
          <cell r="E152" t="str">
            <v>MODESG_OUT_EMPR_INFO_NFINORIGEM_FLG_RSC_FSC_AGD</v>
          </cell>
          <cell r="F152" t="str">
            <v>Output</v>
          </cell>
          <cell r="G152" t="str">
            <v>Em Correção</v>
          </cell>
          <cell r="H152" t="str">
            <v>-</v>
          </cell>
          <cell r="I152" t="str">
            <v>-</v>
          </cell>
          <cell r="J152" t="str">
            <v>IT</v>
          </cell>
          <cell r="K152">
            <v>45422</v>
          </cell>
          <cell r="L152">
            <v>45443</v>
          </cell>
        </row>
        <row r="153">
          <cell r="E153" t="str">
            <v>MODESG_OUT_EMPR_INFO_NFINORIGEM_FLG_RSC_FSC_CRNC</v>
          </cell>
          <cell r="F153" t="str">
            <v>Output</v>
          </cell>
          <cell r="G153" t="str">
            <v>Em Correção</v>
          </cell>
          <cell r="H153" t="str">
            <v>-</v>
          </cell>
          <cell r="I153" t="str">
            <v>-</v>
          </cell>
          <cell r="J153" t="str">
            <v>IT</v>
          </cell>
          <cell r="K153">
            <v>45422</v>
          </cell>
          <cell r="L153">
            <v>45443</v>
          </cell>
        </row>
        <row r="154">
          <cell r="E154" t="str">
            <v>MODESG_OUT_EMPR_INFO_NFINSCP1_EMSS</v>
          </cell>
          <cell r="F154" t="str">
            <v>Output</v>
          </cell>
          <cell r="G154" t="str">
            <v>Em Correção</v>
          </cell>
          <cell r="H154" t="str">
            <v>-</v>
          </cell>
          <cell r="I154" t="str">
            <v>-</v>
          </cell>
          <cell r="J154" t="str">
            <v>IT</v>
          </cell>
          <cell r="K154">
            <v>45478</v>
          </cell>
          <cell r="L154">
            <v>45443</v>
          </cell>
        </row>
        <row r="155">
          <cell r="E155" t="str">
            <v>MODESG_OUT_EMPR_INFO_NFINSCP2_EMSS</v>
          </cell>
          <cell r="F155" t="str">
            <v>Output</v>
          </cell>
          <cell r="G155" t="str">
            <v>Em Correção</v>
          </cell>
          <cell r="H155" t="str">
            <v>-</v>
          </cell>
          <cell r="I155" t="str">
            <v>-</v>
          </cell>
          <cell r="J155" t="str">
            <v>IT</v>
          </cell>
          <cell r="K155">
            <v>45478</v>
          </cell>
          <cell r="L155">
            <v>45443</v>
          </cell>
        </row>
        <row r="156">
          <cell r="E156" t="str">
            <v>MODESG_OUT_EMPR_INFO_NFINSCP3_EMSS</v>
          </cell>
          <cell r="F156" t="str">
            <v>Output</v>
          </cell>
          <cell r="G156" t="str">
            <v>Em Correção</v>
          </cell>
          <cell r="H156" t="str">
            <v>-</v>
          </cell>
          <cell r="I156" t="str">
            <v>-</v>
          </cell>
          <cell r="J156" t="str">
            <v>IT</v>
          </cell>
          <cell r="K156">
            <v>45478</v>
          </cell>
          <cell r="L156">
            <v>45443</v>
          </cell>
        </row>
        <row r="157">
          <cell r="E157" t="str">
            <v>MODESG_OUT_EMPR_INFO_NFINORIGEM_SCP1_EMSS</v>
          </cell>
          <cell r="F157" t="str">
            <v>Output</v>
          </cell>
          <cell r="G157" t="str">
            <v>Em Correção</v>
          </cell>
          <cell r="H157" t="str">
            <v>-</v>
          </cell>
          <cell r="I157" t="str">
            <v>-</v>
          </cell>
          <cell r="J157" t="str">
            <v>IT</v>
          </cell>
          <cell r="K157">
            <v>45422</v>
          </cell>
          <cell r="L157">
            <v>45443</v>
          </cell>
        </row>
        <row r="158">
          <cell r="E158" t="str">
            <v>MODESG_OUT_EMPR_INFO_NFINORIGEM_SCP2_EMSS</v>
          </cell>
          <cell r="F158" t="str">
            <v>Output</v>
          </cell>
          <cell r="G158" t="str">
            <v>Em Correção</v>
          </cell>
          <cell r="H158" t="str">
            <v>-</v>
          </cell>
          <cell r="I158" t="str">
            <v>-</v>
          </cell>
          <cell r="J158" t="str">
            <v>IT</v>
          </cell>
          <cell r="K158">
            <v>45422</v>
          </cell>
          <cell r="L158">
            <v>45443</v>
          </cell>
        </row>
        <row r="159">
          <cell r="E159" t="str">
            <v>MODESG_OUT_EMPR_INFO_NFINORIGEM_SCP3_EMSS</v>
          </cell>
          <cell r="F159" t="str">
            <v>Output</v>
          </cell>
          <cell r="G159" t="str">
            <v>Em Correção</v>
          </cell>
          <cell r="H159" t="str">
            <v>-</v>
          </cell>
          <cell r="I159" t="str">
            <v>-</v>
          </cell>
          <cell r="J159" t="str">
            <v>IT</v>
          </cell>
          <cell r="K159">
            <v>45422</v>
          </cell>
          <cell r="L159">
            <v>45443</v>
          </cell>
        </row>
        <row r="160">
          <cell r="E160" t="str">
            <v>MODESG_OUT_EMPR_INFO_NFINCOD_NACE_ESG</v>
          </cell>
          <cell r="F160" t="str">
            <v>Output</v>
          </cell>
          <cell r="G160" t="str">
            <v>Validação EF</v>
          </cell>
          <cell r="H160" t="str">
            <v>-</v>
          </cell>
          <cell r="I160" t="str">
            <v>-</v>
          </cell>
          <cell r="J160" t="str">
            <v>LCM</v>
          </cell>
          <cell r="K160">
            <v>45478</v>
          </cell>
          <cell r="L160">
            <v>45443</v>
          </cell>
        </row>
        <row r="161">
          <cell r="E161" t="str">
            <v>MODESG_OUT_EMSS_VCLSCEMPBEM</v>
          </cell>
          <cell r="F161" t="str">
            <v>Output</v>
          </cell>
          <cell r="G161" t="str">
            <v>Concluído</v>
          </cell>
          <cell r="H161" t="str">
            <v>-</v>
          </cell>
          <cell r="I161" t="str">
            <v>-</v>
          </cell>
          <cell r="J161" t="str">
            <v>-</v>
          </cell>
          <cell r="K161">
            <v>45429</v>
          </cell>
          <cell r="L161" t="str">
            <v>-</v>
          </cell>
        </row>
        <row r="162">
          <cell r="E162" t="str">
            <v>MODESG_OUT_EMSS_VCLSCKBALBEM</v>
          </cell>
          <cell r="F162" t="str">
            <v>Output</v>
          </cell>
          <cell r="G162" t="str">
            <v>Concluído</v>
          </cell>
          <cell r="H162" t="str">
            <v>-</v>
          </cell>
          <cell r="I162" t="str">
            <v>-</v>
          </cell>
          <cell r="J162" t="str">
            <v>-</v>
          </cell>
          <cell r="K162">
            <v>45429</v>
          </cell>
          <cell r="L162" t="str">
            <v>-</v>
          </cell>
        </row>
        <row r="163">
          <cell r="E163" t="str">
            <v>MODESG_OUT_EMSS_VCLSCKCTABEM</v>
          </cell>
          <cell r="F163" t="str">
            <v>Output</v>
          </cell>
          <cell r="G163" t="str">
            <v>Concluído</v>
          </cell>
          <cell r="H163" t="str">
            <v>-</v>
          </cell>
          <cell r="I163" t="str">
            <v>-</v>
          </cell>
          <cell r="J163" t="str">
            <v>-</v>
          </cell>
          <cell r="K163">
            <v>45429</v>
          </cell>
          <cell r="L163" t="str">
            <v>-</v>
          </cell>
        </row>
        <row r="164">
          <cell r="E164" t="str">
            <v>MODESG_OUT_EMSS_VCLSCKREFBEM</v>
          </cell>
          <cell r="F164" t="str">
            <v>Output</v>
          </cell>
          <cell r="G164" t="str">
            <v>Concluído</v>
          </cell>
          <cell r="H164" t="str">
            <v>-</v>
          </cell>
          <cell r="I164" t="str">
            <v>-</v>
          </cell>
          <cell r="J164" t="str">
            <v>-</v>
          </cell>
          <cell r="K164">
            <v>45429</v>
          </cell>
          <cell r="L164" t="str">
            <v>-</v>
          </cell>
        </row>
        <row r="165">
          <cell r="E165" t="str">
            <v>MODESG_OUT_EMSS_VCLSREF_DATE</v>
          </cell>
          <cell r="F165" t="str">
            <v>Output</v>
          </cell>
          <cell r="G165" t="str">
            <v>Concluído</v>
          </cell>
          <cell r="H165" t="str">
            <v>-</v>
          </cell>
          <cell r="I165" t="str">
            <v>-</v>
          </cell>
          <cell r="J165" t="str">
            <v>-</v>
          </cell>
          <cell r="K165">
            <v>45429</v>
          </cell>
          <cell r="L165" t="str">
            <v>-</v>
          </cell>
        </row>
        <row r="166">
          <cell r="E166" t="str">
            <v>MODESG_OUT_EMSS_VCLSCNSM_CO2</v>
          </cell>
          <cell r="F166" t="str">
            <v>Output</v>
          </cell>
          <cell r="G166" t="str">
            <v>Validação EF</v>
          </cell>
          <cell r="H166" t="str">
            <v>-</v>
          </cell>
          <cell r="I166" t="str">
            <v>-</v>
          </cell>
          <cell r="J166" t="str">
            <v>-</v>
          </cell>
          <cell r="K166">
            <v>45429</v>
          </cell>
          <cell r="L166" t="str">
            <v>-</v>
          </cell>
        </row>
        <row r="167">
          <cell r="E167" t="str">
            <v>MODESG_OUT_EMSS_VCLSSCP1_EMSS</v>
          </cell>
          <cell r="F167" t="str">
            <v>Output</v>
          </cell>
          <cell r="G167" t="str">
            <v>Validação EF</v>
          </cell>
          <cell r="H167" t="str">
            <v>-</v>
          </cell>
          <cell r="I167" t="str">
            <v>-</v>
          </cell>
          <cell r="J167" t="str">
            <v>Leasing</v>
          </cell>
          <cell r="K167">
            <v>45429</v>
          </cell>
          <cell r="L167" t="str">
            <v>-</v>
          </cell>
        </row>
        <row r="168">
          <cell r="E168" t="str">
            <v>MODESG_OUT_EMSS_VCLSSCP2_EMSS</v>
          </cell>
          <cell r="F168" t="str">
            <v>Output</v>
          </cell>
          <cell r="G168" t="str">
            <v>Validação EF</v>
          </cell>
          <cell r="H168" t="str">
            <v>-</v>
          </cell>
          <cell r="I168" t="str">
            <v>-</v>
          </cell>
          <cell r="J168" t="str">
            <v>Leasing</v>
          </cell>
          <cell r="K168">
            <v>45429</v>
          </cell>
          <cell r="L168" t="str">
            <v>-</v>
          </cell>
        </row>
        <row r="169">
          <cell r="E169" t="str">
            <v>MODESG_OUT_EMSS_VCLSSCP3_EMSS</v>
          </cell>
          <cell r="F169" t="str">
            <v>Output</v>
          </cell>
          <cell r="G169" t="str">
            <v>Validação EF</v>
          </cell>
          <cell r="H169" t="str">
            <v>-</v>
          </cell>
          <cell r="I169" t="str">
            <v>-</v>
          </cell>
          <cell r="J169" t="str">
            <v>Leasing</v>
          </cell>
          <cell r="K169">
            <v>45429</v>
          </cell>
          <cell r="L169" t="str">
            <v>-</v>
          </cell>
        </row>
        <row r="170">
          <cell r="E170" t="str">
            <v>MODESG_OUT_EMSS_VCLSUNIDADE_FUNCIONAL_SCP1_EMSS</v>
          </cell>
          <cell r="F170" t="str">
            <v>Output</v>
          </cell>
          <cell r="G170" t="str">
            <v>Concluído</v>
          </cell>
          <cell r="H170" t="str">
            <v>-</v>
          </cell>
          <cell r="I170" t="str">
            <v>-</v>
          </cell>
          <cell r="J170" t="str">
            <v>-</v>
          </cell>
          <cell r="K170">
            <v>45429</v>
          </cell>
          <cell r="L170" t="str">
            <v>-</v>
          </cell>
        </row>
        <row r="171">
          <cell r="E171" t="str">
            <v>MODESG_OUT_EMSS_VCLSUNIDADE_FUNCIONAL_SCP2_EMSS</v>
          </cell>
          <cell r="F171" t="str">
            <v>Output</v>
          </cell>
          <cell r="G171" t="str">
            <v>Concluído</v>
          </cell>
          <cell r="H171" t="str">
            <v>-</v>
          </cell>
          <cell r="I171" t="str">
            <v>-</v>
          </cell>
          <cell r="J171" t="str">
            <v>-</v>
          </cell>
          <cell r="K171">
            <v>45429</v>
          </cell>
          <cell r="L171" t="str">
            <v>-</v>
          </cell>
        </row>
        <row r="172">
          <cell r="E172" t="str">
            <v>MODESG_OUT_EMSS_VCLSUNIDADE_FUNCIONAL_SCP3_EMSS</v>
          </cell>
          <cell r="F172" t="str">
            <v>Output</v>
          </cell>
          <cell r="G172" t="str">
            <v>Concluído</v>
          </cell>
          <cell r="H172" t="str">
            <v>-</v>
          </cell>
          <cell r="I172" t="str">
            <v>-</v>
          </cell>
          <cell r="J172" t="str">
            <v>-</v>
          </cell>
          <cell r="K172">
            <v>45429</v>
          </cell>
          <cell r="L172" t="str">
            <v>-</v>
          </cell>
        </row>
        <row r="173">
          <cell r="E173" t="str">
            <v>MODESG_OUT_EMSS_VCLSORIGEM_SCP1_EMSS</v>
          </cell>
          <cell r="F173" t="str">
            <v>Output</v>
          </cell>
          <cell r="G173" t="str">
            <v>Validação EF</v>
          </cell>
          <cell r="H173" t="str">
            <v>-</v>
          </cell>
          <cell r="I173" t="str">
            <v>-</v>
          </cell>
          <cell r="J173" t="str">
            <v>Leasing</v>
          </cell>
          <cell r="K173">
            <v>45429</v>
          </cell>
          <cell r="L173" t="str">
            <v>-</v>
          </cell>
        </row>
        <row r="174">
          <cell r="E174" t="str">
            <v>MODESG_OUT_EMSS_VCLSORIGEM_SCP2_EMSS</v>
          </cell>
          <cell r="F174" t="str">
            <v>Output</v>
          </cell>
          <cell r="G174" t="str">
            <v>Validação EF</v>
          </cell>
          <cell r="H174" t="str">
            <v>-</v>
          </cell>
          <cell r="I174" t="str">
            <v>-</v>
          </cell>
          <cell r="J174" t="str">
            <v>Leasing</v>
          </cell>
          <cell r="K174">
            <v>45429</v>
          </cell>
          <cell r="L174" t="str">
            <v>-</v>
          </cell>
        </row>
        <row r="175">
          <cell r="E175" t="str">
            <v>MODESG_OUT_EMSS_VCLSORIGEM_SCP3_EMSS</v>
          </cell>
          <cell r="F175" t="str">
            <v>Output</v>
          </cell>
          <cell r="G175" t="str">
            <v>Validação EF</v>
          </cell>
          <cell r="H175" t="str">
            <v>-</v>
          </cell>
          <cell r="I175" t="str">
            <v>-</v>
          </cell>
          <cell r="J175" t="str">
            <v>Leasing</v>
          </cell>
          <cell r="K175">
            <v>45429</v>
          </cell>
          <cell r="L175" t="str">
            <v>-</v>
          </cell>
        </row>
        <row r="176">
          <cell r="E176" t="str">
            <v>MODESG_OUT_SFCS_TAXON_EUROPEIACEMPRESA</v>
          </cell>
          <cell r="F176" t="str">
            <v>Output</v>
          </cell>
          <cell r="G176" t="str">
            <v>Em Teste</v>
          </cell>
          <cell r="H176" t="str">
            <v>-</v>
          </cell>
          <cell r="I176" t="str">
            <v>-</v>
          </cell>
          <cell r="J176" t="str">
            <v>-</v>
          </cell>
          <cell r="K176">
            <v>45527</v>
          </cell>
          <cell r="L176" t="str">
            <v>-</v>
          </cell>
        </row>
        <row r="177">
          <cell r="E177" t="str">
            <v>MODESG_OUT_SFCS_TAXON_EUROPEIACBALCAO</v>
          </cell>
          <cell r="F177" t="str">
            <v>Output</v>
          </cell>
          <cell r="G177" t="str">
            <v>Em Teste</v>
          </cell>
          <cell r="H177" t="str">
            <v>-</v>
          </cell>
          <cell r="I177" t="str">
            <v>-</v>
          </cell>
          <cell r="J177" t="str">
            <v>-</v>
          </cell>
          <cell r="K177">
            <v>45527</v>
          </cell>
          <cell r="L177" t="str">
            <v>-</v>
          </cell>
        </row>
        <row r="178">
          <cell r="E178" t="str">
            <v>MODESG_OUT_SFCS_TAXON_EUROPEIACNUMECTA</v>
          </cell>
          <cell r="F178" t="str">
            <v>Output</v>
          </cell>
          <cell r="G178" t="str">
            <v>Em Teste</v>
          </cell>
          <cell r="H178" t="str">
            <v>-</v>
          </cell>
          <cell r="I178" t="str">
            <v>-</v>
          </cell>
          <cell r="J178" t="str">
            <v>-</v>
          </cell>
          <cell r="K178">
            <v>45527</v>
          </cell>
          <cell r="L178" t="str">
            <v>-</v>
          </cell>
        </row>
        <row r="179">
          <cell r="E179" t="str">
            <v>MODESG_OUT_SFCS_TAXON_EUROPEIAZDEPOSIT</v>
          </cell>
          <cell r="F179" t="str">
            <v>Output</v>
          </cell>
          <cell r="G179" t="str">
            <v>Em Teste</v>
          </cell>
          <cell r="H179" t="str">
            <v>-</v>
          </cell>
          <cell r="I179" t="str">
            <v>-</v>
          </cell>
          <cell r="J179" t="str">
            <v>-</v>
          </cell>
          <cell r="K179">
            <v>45527</v>
          </cell>
          <cell r="L179" t="str">
            <v>-</v>
          </cell>
        </row>
        <row r="180">
          <cell r="E180" t="str">
            <v>MODESG_OUT_SFCS_TAXON_EUROPEIAREF_DATE</v>
          </cell>
          <cell r="F180" t="str">
            <v>Output</v>
          </cell>
          <cell r="G180" t="str">
            <v>Em Teste</v>
          </cell>
          <cell r="H180" t="str">
            <v>-</v>
          </cell>
          <cell r="I180" t="str">
            <v>-</v>
          </cell>
          <cell r="J180" t="str">
            <v>-</v>
          </cell>
          <cell r="K180">
            <v>45527</v>
          </cell>
          <cell r="L180" t="str">
            <v>-</v>
          </cell>
        </row>
        <row r="181">
          <cell r="E181" t="str">
            <v>MODESG_OUT_SFCS_TAXON_EUROPEIACOD_REGRA</v>
          </cell>
          <cell r="F181" t="str">
            <v>Output</v>
          </cell>
          <cell r="G181" t="str">
            <v>Em Teste</v>
          </cell>
          <cell r="H181" t="str">
            <v>-</v>
          </cell>
          <cell r="I181" t="str">
            <v>-</v>
          </cell>
          <cell r="J181" t="str">
            <v>-</v>
          </cell>
          <cell r="K181">
            <v>45527</v>
          </cell>
          <cell r="L181" t="str">
            <v>-</v>
          </cell>
        </row>
        <row r="182">
          <cell r="E182" t="str">
            <v>MODESG_OUT_SFCS_TAXON_EUROPEIANOME_CTGR_SFCS</v>
          </cell>
          <cell r="F182" t="str">
            <v>Output</v>
          </cell>
          <cell r="G182" t="str">
            <v>Em Teste</v>
          </cell>
          <cell r="H182" t="str">
            <v>-</v>
          </cell>
          <cell r="I182" t="str">
            <v>-</v>
          </cell>
          <cell r="J182" t="str">
            <v>-</v>
          </cell>
          <cell r="K182">
            <v>45527</v>
          </cell>
          <cell r="L182" t="str">
            <v>-</v>
          </cell>
        </row>
        <row r="183">
          <cell r="E183" t="str">
            <v>MODESG_OUT_SFCS_TAXON_EUROPEIANOME_PURPOSE_ESG</v>
          </cell>
          <cell r="F183" t="str">
            <v>Output</v>
          </cell>
          <cell r="G183" t="str">
            <v>Em Teste</v>
          </cell>
          <cell r="H183" t="str">
            <v>-</v>
          </cell>
          <cell r="I183" t="str">
            <v>-</v>
          </cell>
          <cell r="J183" t="str">
            <v>-</v>
          </cell>
          <cell r="K183">
            <v>45527</v>
          </cell>
          <cell r="L183" t="str">
            <v>-</v>
          </cell>
        </row>
        <row r="184">
          <cell r="E184" t="str">
            <v>MODESG_OUT_SFCS_TAXON_EUROPEIANOME_GENERAL_SPECIFIC_PURPOSE</v>
          </cell>
          <cell r="F184" t="str">
            <v>Output</v>
          </cell>
          <cell r="G184" t="str">
            <v>Em Teste</v>
          </cell>
          <cell r="H184" t="str">
            <v>-</v>
          </cell>
          <cell r="I184" t="str">
            <v>-</v>
          </cell>
          <cell r="J184" t="str">
            <v>-</v>
          </cell>
          <cell r="K184">
            <v>45527</v>
          </cell>
          <cell r="L184" t="str">
            <v>-</v>
          </cell>
        </row>
        <row r="185">
          <cell r="E185" t="str">
            <v>MODESG_OUT_SFCS_TAXON_EUROPEIANOME_SPECIFIC_ELIGIBLE</v>
          </cell>
          <cell r="F185" t="str">
            <v>Output</v>
          </cell>
          <cell r="G185" t="str">
            <v>Em Teste</v>
          </cell>
          <cell r="H185" t="str">
            <v>-</v>
          </cell>
          <cell r="I185" t="str">
            <v>-</v>
          </cell>
          <cell r="J185" t="str">
            <v>-</v>
          </cell>
          <cell r="K185">
            <v>45527</v>
          </cell>
          <cell r="L185" t="str">
            <v>-</v>
          </cell>
        </row>
        <row r="186">
          <cell r="E186" t="str">
            <v>MODESG_OUT_SFCS_TAXON_EUROPEIANOME_SPECIFIC_SUSTAINABLE</v>
          </cell>
          <cell r="F186" t="str">
            <v>Output</v>
          </cell>
          <cell r="G186" t="str">
            <v>Em Teste</v>
          </cell>
          <cell r="H186" t="str">
            <v>-</v>
          </cell>
          <cell r="I186" t="str">
            <v>-</v>
          </cell>
          <cell r="J186" t="str">
            <v>-</v>
          </cell>
          <cell r="K186">
            <v>45527</v>
          </cell>
          <cell r="L186" t="str">
            <v>-</v>
          </cell>
        </row>
        <row r="187">
          <cell r="E187" t="str">
            <v>MODESG_OUT_SFCS_TAXON_EUROPEIAMONTANTE_PNDRC</v>
          </cell>
          <cell r="F187" t="str">
            <v>Output</v>
          </cell>
          <cell r="G187" t="str">
            <v>Em Teste</v>
          </cell>
          <cell r="H187" t="str">
            <v>-</v>
          </cell>
          <cell r="I187" t="str">
            <v>-</v>
          </cell>
          <cell r="J187" t="str">
            <v>-</v>
          </cell>
          <cell r="K187">
            <v>45527</v>
          </cell>
          <cell r="L187" t="str">
            <v>-</v>
          </cell>
        </row>
        <row r="188">
          <cell r="E188" t="str">
            <v>MODESG_OUT_SFCS_TAXON_EUROPEIAORIGEM</v>
          </cell>
          <cell r="F188" t="str">
            <v>Output</v>
          </cell>
          <cell r="G188" t="str">
            <v>Em Teste</v>
          </cell>
          <cell r="H188" t="str">
            <v>-</v>
          </cell>
          <cell r="I188" t="str">
            <v>-</v>
          </cell>
          <cell r="J188" t="str">
            <v>-</v>
          </cell>
          <cell r="K188">
            <v>45527</v>
          </cell>
          <cell r="L188" t="str">
            <v>-</v>
          </cell>
        </row>
        <row r="189">
          <cell r="E189" t="str">
            <v>MODESG_PARAM_SFCS_TAXON_EUROPEIAREF_DATE</v>
          </cell>
          <cell r="F189" t="str">
            <v>Parametrização</v>
          </cell>
          <cell r="G189" t="str">
            <v>Em Teste</v>
          </cell>
          <cell r="H189" t="str">
            <v>-</v>
          </cell>
          <cell r="I189" t="str">
            <v>-</v>
          </cell>
          <cell r="J189" t="str">
            <v>-</v>
          </cell>
          <cell r="K189">
            <v>45527</v>
          </cell>
          <cell r="L189" t="str">
            <v>-</v>
          </cell>
        </row>
        <row r="190">
          <cell r="E190" t="str">
            <v>MODESG_PARAM_SFCS_TAXON_EUROPEIADOMINIO</v>
          </cell>
          <cell r="F190" t="str">
            <v>Parametrização</v>
          </cell>
          <cell r="G190" t="str">
            <v>Em Teste</v>
          </cell>
          <cell r="H190" t="str">
            <v>-</v>
          </cell>
          <cell r="I190" t="str">
            <v>-</v>
          </cell>
          <cell r="J190" t="str">
            <v>-</v>
          </cell>
          <cell r="K190">
            <v>45527</v>
          </cell>
          <cell r="L190" t="str">
            <v>-</v>
          </cell>
        </row>
        <row r="191">
          <cell r="E191" t="str">
            <v>MODESG_PARAM_SFCS_TAXON_EUROPEIACOD_REGRA</v>
          </cell>
          <cell r="F191" t="str">
            <v>Parametrização</v>
          </cell>
          <cell r="G191" t="str">
            <v>Em Teste</v>
          </cell>
          <cell r="H191" t="str">
            <v>-</v>
          </cell>
          <cell r="I191" t="str">
            <v>-</v>
          </cell>
          <cell r="J191" t="str">
            <v>-</v>
          </cell>
          <cell r="K191">
            <v>45527</v>
          </cell>
          <cell r="L191" t="str">
            <v>-</v>
          </cell>
        </row>
        <row r="192">
          <cell r="E192" t="str">
            <v>MODESG_PARAM_SFCS_TAXON_EUROPEIADSCRC</v>
          </cell>
          <cell r="F192" t="str">
            <v>Parametrização</v>
          </cell>
          <cell r="G192" t="str">
            <v>Em Teste</v>
          </cell>
          <cell r="H192" t="str">
            <v>-</v>
          </cell>
          <cell r="I192" t="str">
            <v>-</v>
          </cell>
          <cell r="J192" t="str">
            <v>-</v>
          </cell>
          <cell r="K192">
            <v>45527</v>
          </cell>
          <cell r="L192" t="str">
            <v>-</v>
          </cell>
        </row>
        <row r="193">
          <cell r="E193" t="str">
            <v>MODESG_PARAM_SFCS_TAXON_EUROPEIACOMITE</v>
          </cell>
          <cell r="F193" t="str">
            <v>Parametrização</v>
          </cell>
          <cell r="G193" t="str">
            <v>Em Teste</v>
          </cell>
          <cell r="H193" t="str">
            <v>-</v>
          </cell>
          <cell r="I193" t="str">
            <v>-</v>
          </cell>
          <cell r="J193" t="str">
            <v>-</v>
          </cell>
          <cell r="K193">
            <v>45527</v>
          </cell>
          <cell r="L193" t="str">
            <v>-</v>
          </cell>
        </row>
        <row r="194">
          <cell r="E194" t="str">
            <v>MODESG_PARAM_SFCS_TAXON_EUROPEIADATA_APRVC</v>
          </cell>
          <cell r="F194" t="str">
            <v>Parametrização</v>
          </cell>
          <cell r="G194" t="str">
            <v>Em Teste</v>
          </cell>
          <cell r="H194" t="str">
            <v>-</v>
          </cell>
          <cell r="I194" t="str">
            <v>-</v>
          </cell>
          <cell r="J194" t="str">
            <v>-</v>
          </cell>
          <cell r="K194">
            <v>45527</v>
          </cell>
          <cell r="L194" t="str">
            <v>-</v>
          </cell>
        </row>
        <row r="195">
          <cell r="E195" t="str">
            <v>MODESG_PARAM_SFCS_TAXON_EUROPEIADATA_INICIAL</v>
          </cell>
          <cell r="F195" t="str">
            <v>Parametrização</v>
          </cell>
          <cell r="G195" t="str">
            <v>Em Teste</v>
          </cell>
          <cell r="H195" t="str">
            <v>-</v>
          </cell>
          <cell r="I195" t="str">
            <v>-</v>
          </cell>
          <cell r="J195" t="str">
            <v>-</v>
          </cell>
          <cell r="K195">
            <v>45527</v>
          </cell>
          <cell r="L195" t="str">
            <v>-</v>
          </cell>
        </row>
        <row r="196">
          <cell r="E196" t="str">
            <v>MODESG_PARAM_SFCS_TAXON_EUROPEIADATA_FINAL</v>
          </cell>
          <cell r="F196" t="str">
            <v>Parametrização</v>
          </cell>
          <cell r="G196" t="str">
            <v>Em Teste</v>
          </cell>
          <cell r="H196" t="str">
            <v>-</v>
          </cell>
          <cell r="I196" t="str">
            <v>-</v>
          </cell>
          <cell r="J196" t="str">
            <v>-</v>
          </cell>
          <cell r="K196">
            <v>45527</v>
          </cell>
          <cell r="L196" t="str">
            <v>-</v>
          </cell>
        </row>
        <row r="197">
          <cell r="E197" t="str">
            <v>MODESG_PARAM_SFCS_TAXON_EUROPEIAZCLIENTE</v>
          </cell>
          <cell r="F197" t="str">
            <v>Parametrização</v>
          </cell>
          <cell r="G197" t="str">
            <v>Em Teste</v>
          </cell>
          <cell r="H197" t="str">
            <v>-</v>
          </cell>
          <cell r="I197" t="str">
            <v>-</v>
          </cell>
          <cell r="J197" t="str">
            <v>-</v>
          </cell>
          <cell r="K197">
            <v>45527</v>
          </cell>
          <cell r="L197" t="str">
            <v>-</v>
          </cell>
        </row>
        <row r="198">
          <cell r="E198" t="str">
            <v>MODESG_PARAM_SFCS_TAXON_EUROPEIACEMPRESA</v>
          </cell>
          <cell r="F198" t="str">
            <v>Parametrização</v>
          </cell>
          <cell r="G198" t="str">
            <v>Em Teste</v>
          </cell>
          <cell r="H198" t="str">
            <v>-</v>
          </cell>
          <cell r="I198" t="str">
            <v>-</v>
          </cell>
          <cell r="J198" t="str">
            <v>-</v>
          </cell>
          <cell r="K198">
            <v>45527</v>
          </cell>
          <cell r="L198" t="str">
            <v>-</v>
          </cell>
        </row>
        <row r="199">
          <cell r="E199" t="str">
            <v>MODESG_PARAM_SFCS_TAXON_EUROPEIACBALCAO</v>
          </cell>
          <cell r="F199" t="str">
            <v>Parametrização</v>
          </cell>
          <cell r="G199" t="str">
            <v>Em Teste</v>
          </cell>
          <cell r="H199" t="str">
            <v>-</v>
          </cell>
          <cell r="I199" t="str">
            <v>-</v>
          </cell>
          <cell r="J199" t="str">
            <v>-</v>
          </cell>
          <cell r="K199">
            <v>45527</v>
          </cell>
          <cell r="L199" t="str">
            <v>-</v>
          </cell>
        </row>
        <row r="200">
          <cell r="E200" t="str">
            <v>MODESG_PARAM_SFCS_TAXON_EUROPEIACNUMECTA</v>
          </cell>
          <cell r="F200" t="str">
            <v>Parametrização</v>
          </cell>
          <cell r="G200" t="str">
            <v>Em Teste</v>
          </cell>
          <cell r="H200" t="str">
            <v>-</v>
          </cell>
          <cell r="I200" t="str">
            <v>-</v>
          </cell>
          <cell r="J200" t="str">
            <v>-</v>
          </cell>
          <cell r="K200">
            <v>45527</v>
          </cell>
          <cell r="L200" t="str">
            <v>-</v>
          </cell>
        </row>
        <row r="201">
          <cell r="E201" t="str">
            <v>MODESG_PARAM_SFCS_TAXON_EUROPEIAZDEPOSIT</v>
          </cell>
          <cell r="F201" t="str">
            <v>Parametrização</v>
          </cell>
          <cell r="G201" t="str">
            <v>Em Teste</v>
          </cell>
          <cell r="H201" t="str">
            <v>-</v>
          </cell>
          <cell r="I201" t="str">
            <v>-</v>
          </cell>
          <cell r="J201" t="str">
            <v>-</v>
          </cell>
          <cell r="K201">
            <v>45527</v>
          </cell>
          <cell r="L201" t="str">
            <v>-</v>
          </cell>
        </row>
        <row r="202">
          <cell r="E202" t="str">
            <v>MODESG_PARAM_SFCS_TAXON_EUROPEIACKMETAMIS</v>
          </cell>
          <cell r="F202" t="str">
            <v>Parametrização</v>
          </cell>
          <cell r="G202" t="str">
            <v>Em Teste</v>
          </cell>
          <cell r="H202" t="str">
            <v>-</v>
          </cell>
          <cell r="I202" t="str">
            <v>-</v>
          </cell>
          <cell r="J202" t="str">
            <v>-</v>
          </cell>
          <cell r="K202">
            <v>45527</v>
          </cell>
          <cell r="L202" t="str">
            <v>-</v>
          </cell>
        </row>
        <row r="203">
          <cell r="E203" t="str">
            <v>MODESG_PARAM_SFCS_TAXON_EUROPEIACKPRODMI</v>
          </cell>
          <cell r="F203" t="str">
            <v>Parametrização</v>
          </cell>
          <cell r="G203" t="str">
            <v>Em Teste</v>
          </cell>
          <cell r="H203" t="str">
            <v>-</v>
          </cell>
          <cell r="I203" t="str">
            <v>-</v>
          </cell>
          <cell r="J203" t="str">
            <v>-</v>
          </cell>
          <cell r="K203">
            <v>45527</v>
          </cell>
          <cell r="L203" t="str">
            <v>-</v>
          </cell>
        </row>
        <row r="204">
          <cell r="E204" t="str">
            <v>MODESG_PARAM_SFCS_TAXON_EUROPEIACMETANSEG</v>
          </cell>
          <cell r="F204" t="str">
            <v>Parametrização</v>
          </cell>
          <cell r="G204" t="str">
            <v>Em Teste</v>
          </cell>
          <cell r="H204" t="str">
            <v>-</v>
          </cell>
          <cell r="I204" t="str">
            <v>-</v>
          </cell>
          <cell r="J204" t="str">
            <v>-</v>
          </cell>
          <cell r="K204">
            <v>45527</v>
          </cell>
          <cell r="L204" t="str">
            <v>-</v>
          </cell>
        </row>
        <row r="205">
          <cell r="E205" t="str">
            <v>MODESG_PARAM_SFCS_TAXON_EUROPEIAEPC</v>
          </cell>
          <cell r="F205" t="str">
            <v>Parametrização</v>
          </cell>
          <cell r="G205" t="str">
            <v>Em Teste</v>
          </cell>
          <cell r="H205" t="str">
            <v>-</v>
          </cell>
          <cell r="I205" t="str">
            <v>-</v>
          </cell>
          <cell r="J205" t="str">
            <v>-</v>
          </cell>
          <cell r="K205">
            <v>45527</v>
          </cell>
          <cell r="L205" t="str">
            <v>-</v>
          </cell>
        </row>
        <row r="206">
          <cell r="E206" t="str">
            <v>MODESG_PARAM_SFCS_TAXON_EUROPEIACOD_LEASE</v>
          </cell>
          <cell r="F206" t="str">
            <v>Parametrização</v>
          </cell>
          <cell r="G206" t="str">
            <v>Em Teste</v>
          </cell>
          <cell r="H206" t="str">
            <v>-</v>
          </cell>
          <cell r="I206" t="str">
            <v>-</v>
          </cell>
          <cell r="J206" t="str">
            <v>-</v>
          </cell>
          <cell r="K206">
            <v>45527</v>
          </cell>
          <cell r="L206" t="str">
            <v>-</v>
          </cell>
        </row>
        <row r="207">
          <cell r="E207" t="str">
            <v>MODESG_PARAM_SFCS_TAXON_EUROPEIACNSM_CO2</v>
          </cell>
          <cell r="F207" t="str">
            <v>Parametrização</v>
          </cell>
          <cell r="G207" t="str">
            <v>Em Teste</v>
          </cell>
          <cell r="H207" t="str">
            <v>-</v>
          </cell>
          <cell r="I207" t="str">
            <v>-</v>
          </cell>
          <cell r="J207" t="str">
            <v>-</v>
          </cell>
          <cell r="K207">
            <v>45527</v>
          </cell>
          <cell r="L207" t="str">
            <v>-</v>
          </cell>
        </row>
        <row r="208">
          <cell r="E208" t="str">
            <v>MODESG_PARAM_SFCS_TAXON_EUROPEIANOME_CTGR_SFCS</v>
          </cell>
          <cell r="F208" t="str">
            <v>Parametrização</v>
          </cell>
          <cell r="G208" t="str">
            <v>Em Teste</v>
          </cell>
          <cell r="H208" t="str">
            <v>-</v>
          </cell>
          <cell r="I208" t="str">
            <v>-</v>
          </cell>
          <cell r="J208" t="str">
            <v>-</v>
          </cell>
          <cell r="K208">
            <v>45527</v>
          </cell>
          <cell r="L208" t="str">
            <v>-</v>
          </cell>
        </row>
        <row r="209">
          <cell r="E209" t="str">
            <v>MODESG_PARAM_SFCS_TAXON_EUROPEIANOME_PURPOSE_ESG</v>
          </cell>
          <cell r="F209" t="str">
            <v>Parametrização</v>
          </cell>
          <cell r="G209" t="str">
            <v>Em Teste</v>
          </cell>
          <cell r="H209" t="str">
            <v>-</v>
          </cell>
          <cell r="I209" t="str">
            <v>-</v>
          </cell>
          <cell r="J209" t="str">
            <v>-</v>
          </cell>
          <cell r="K209">
            <v>45527</v>
          </cell>
          <cell r="L209" t="str">
            <v>-</v>
          </cell>
        </row>
        <row r="210">
          <cell r="E210" t="str">
            <v>MODESG_PARAM_SFCS_TAXON_EUROPEIANOME_GENERAL_SPECIFIC_PURPOSE</v>
          </cell>
          <cell r="F210" t="str">
            <v>Parametrização</v>
          </cell>
          <cell r="G210" t="str">
            <v>Em Teste</v>
          </cell>
          <cell r="H210" t="str">
            <v>-</v>
          </cell>
          <cell r="I210" t="str">
            <v>-</v>
          </cell>
          <cell r="J210" t="str">
            <v>-</v>
          </cell>
          <cell r="K210">
            <v>45527</v>
          </cell>
          <cell r="L210" t="str">
            <v>-</v>
          </cell>
        </row>
        <row r="211">
          <cell r="E211" t="str">
            <v>MODESG_PARAM_SFCS_TAXON_EUROPEIANOME_SPECIFIC_ELIGIBLE</v>
          </cell>
          <cell r="F211" t="str">
            <v>Parametrização</v>
          </cell>
          <cell r="G211" t="str">
            <v>Em Teste</v>
          </cell>
          <cell r="H211" t="str">
            <v>-</v>
          </cell>
          <cell r="I211" t="str">
            <v>-</v>
          </cell>
          <cell r="J211" t="str">
            <v>-</v>
          </cell>
          <cell r="K211">
            <v>45527</v>
          </cell>
          <cell r="L211" t="str">
            <v>-</v>
          </cell>
        </row>
        <row r="212">
          <cell r="E212" t="str">
            <v>MODESG_PARAM_SFCS_TAXON_EUROPEIANOME_SPECIFIC_SUSTAINABLE</v>
          </cell>
          <cell r="F212" t="str">
            <v>Parametrização</v>
          </cell>
          <cell r="G212" t="str">
            <v>Em Teste</v>
          </cell>
          <cell r="H212" t="str">
            <v>-</v>
          </cell>
          <cell r="I212" t="str">
            <v>-</v>
          </cell>
          <cell r="J212" t="str">
            <v>-</v>
          </cell>
          <cell r="K212">
            <v>45527</v>
          </cell>
          <cell r="L212" t="str">
            <v>-</v>
          </cell>
        </row>
        <row r="213">
          <cell r="E213" t="str">
            <v>MODESG_PARAM_SFCS_TAXON_EUROPEIAMONTANTE_PNDRC</v>
          </cell>
          <cell r="F213" t="str">
            <v>Parametrização</v>
          </cell>
          <cell r="G213" t="str">
            <v>Em Teste</v>
          </cell>
          <cell r="H213" t="str">
            <v>-</v>
          </cell>
          <cell r="I213" t="str">
            <v>-</v>
          </cell>
          <cell r="J213" t="str">
            <v>-</v>
          </cell>
          <cell r="K213">
            <v>45527</v>
          </cell>
          <cell r="L213" t="str">
            <v>-</v>
          </cell>
        </row>
        <row r="214">
          <cell r="E214" t="str">
            <v>Campo + Tabela</v>
          </cell>
          <cell r="F214" t="str">
            <v>Tipo</v>
          </cell>
          <cell r="G214" t="str">
            <v>Status Campo</v>
          </cell>
          <cell r="H214" t="str">
            <v>Status Campo IT</v>
          </cell>
          <cell r="I214" t="str">
            <v>Data Entrega</v>
          </cell>
          <cell r="J214" t="str">
            <v>Owner</v>
          </cell>
          <cell r="K214" t="str">
            <v>Data teste</v>
          </cell>
          <cell r="L214" t="e">
            <v>#N/A</v>
          </cell>
        </row>
        <row r="215">
          <cell r="E215" t="str">
            <v>CD_IMV_INP_CERTIF_ESTIMATIVADATA_EXTRACCAO_INFO</v>
          </cell>
          <cell r="F215" t="str">
            <v>Input</v>
          </cell>
          <cell r="G215" t="str">
            <v>Em Implementação</v>
          </cell>
          <cell r="H215" t="str">
            <v>-</v>
          </cell>
          <cell r="I215">
            <v>45432</v>
          </cell>
          <cell r="J215" t="str">
            <v>IT</v>
          </cell>
          <cell r="K215">
            <v>45436</v>
          </cell>
          <cell r="L215" t="str">
            <v>-</v>
          </cell>
        </row>
        <row r="216">
          <cell r="E216" t="str">
            <v>CD_IMV_INP_CERTIF_ESTIMATIVACEMPBEM</v>
          </cell>
          <cell r="F216" t="str">
            <v>Input</v>
          </cell>
          <cell r="G216" t="str">
            <v>Em Implementação</v>
          </cell>
          <cell r="H216" t="str">
            <v>-</v>
          </cell>
          <cell r="I216">
            <v>45432</v>
          </cell>
          <cell r="J216" t="str">
            <v>IT</v>
          </cell>
          <cell r="K216">
            <v>45436</v>
          </cell>
          <cell r="L216" t="str">
            <v>-</v>
          </cell>
        </row>
        <row r="217">
          <cell r="E217" t="str">
            <v>CD_IMV_INP_CERTIF_ESTIMATIVACKBALBEM</v>
          </cell>
          <cell r="F217" t="str">
            <v>Input</v>
          </cell>
          <cell r="G217" t="str">
            <v>Em Implementação</v>
          </cell>
          <cell r="H217" t="str">
            <v>-</v>
          </cell>
          <cell r="I217">
            <v>45432</v>
          </cell>
          <cell r="J217" t="str">
            <v>IT</v>
          </cell>
          <cell r="K217">
            <v>45436</v>
          </cell>
          <cell r="L217" t="str">
            <v>-</v>
          </cell>
        </row>
        <row r="218">
          <cell r="E218" t="str">
            <v>CD_IMV_INP_CERTIF_ESTIMATIVACKCTABEM</v>
          </cell>
          <cell r="F218" t="str">
            <v>Input</v>
          </cell>
          <cell r="G218" t="str">
            <v>Em Implementação</v>
          </cell>
          <cell r="H218" t="str">
            <v>-</v>
          </cell>
          <cell r="I218">
            <v>45432</v>
          </cell>
          <cell r="J218" t="str">
            <v>IT</v>
          </cell>
          <cell r="K218">
            <v>45436</v>
          </cell>
          <cell r="L218" t="str">
            <v>-</v>
          </cell>
        </row>
        <row r="219">
          <cell r="E219" t="str">
            <v>CD_IMV_INP_CERTIF_ESTIMATIVACKREFBEM</v>
          </cell>
          <cell r="F219" t="str">
            <v>Input</v>
          </cell>
          <cell r="G219" t="str">
            <v>Em Implementação</v>
          </cell>
          <cell r="H219" t="str">
            <v>-</v>
          </cell>
          <cell r="I219">
            <v>45432</v>
          </cell>
          <cell r="J219" t="str">
            <v>IT</v>
          </cell>
          <cell r="K219">
            <v>45436</v>
          </cell>
          <cell r="L219" t="str">
            <v>-</v>
          </cell>
        </row>
        <row r="220">
          <cell r="E220" t="str">
            <v>CD_IMV_INP_CERTIF_ESTIMATIVACHAVE_ENCRIPTADA</v>
          </cell>
          <cell r="F220" t="str">
            <v>Input</v>
          </cell>
          <cell r="G220" t="str">
            <v>Em Implementação</v>
          </cell>
          <cell r="H220" t="str">
            <v>-</v>
          </cell>
          <cell r="I220">
            <v>45432</v>
          </cell>
          <cell r="J220" t="str">
            <v>IT</v>
          </cell>
          <cell r="K220">
            <v>45436</v>
          </cell>
          <cell r="L220" t="str">
            <v>-</v>
          </cell>
        </row>
        <row r="221">
          <cell r="E221" t="str">
            <v>CD_IMV_INP_CERTIF_ESTIMATIVAFORNECEDOR</v>
          </cell>
          <cell r="F221" t="str">
            <v>Input</v>
          </cell>
          <cell r="G221" t="str">
            <v>Em Implementação</v>
          </cell>
          <cell r="H221" t="str">
            <v>-</v>
          </cell>
          <cell r="I221">
            <v>45432</v>
          </cell>
          <cell r="J221" t="str">
            <v>IT</v>
          </cell>
          <cell r="K221">
            <v>45436</v>
          </cell>
          <cell r="L221" t="str">
            <v>-</v>
          </cell>
        </row>
        <row r="222">
          <cell r="E222" t="str">
            <v>CD_IMV_INP_CERTIF_ESTIMATIVAEPC</v>
          </cell>
          <cell r="F222" t="str">
            <v>Input</v>
          </cell>
          <cell r="G222" t="str">
            <v>Em Implementação</v>
          </cell>
          <cell r="H222" t="str">
            <v>-</v>
          </cell>
          <cell r="I222">
            <v>45432</v>
          </cell>
          <cell r="J222" t="str">
            <v>IT</v>
          </cell>
          <cell r="K222">
            <v>45436</v>
          </cell>
          <cell r="L222" t="str">
            <v>-</v>
          </cell>
        </row>
        <row r="223">
          <cell r="E223" t="str">
            <v>CD_IMV_INP_CERTIF_ESTIMATIVAVLR_EMSS_ANO</v>
          </cell>
          <cell r="F223" t="str">
            <v>Input</v>
          </cell>
          <cell r="G223" t="str">
            <v>Em Implementação</v>
          </cell>
          <cell r="H223" t="str">
            <v>-</v>
          </cell>
          <cell r="I223">
            <v>45432</v>
          </cell>
          <cell r="J223" t="str">
            <v>IT</v>
          </cell>
          <cell r="K223">
            <v>45436</v>
          </cell>
          <cell r="L223" t="str">
            <v>-</v>
          </cell>
        </row>
        <row r="224">
          <cell r="E224" t="str">
            <v>CD_IMV_INP_CERTIF_ESTIMATIVAVLR_CNSM_ANO</v>
          </cell>
          <cell r="F224" t="str">
            <v>Input</v>
          </cell>
          <cell r="G224" t="str">
            <v>Em Implementação</v>
          </cell>
          <cell r="H224" t="str">
            <v>-</v>
          </cell>
          <cell r="I224">
            <v>45432</v>
          </cell>
          <cell r="J224" t="str">
            <v>IT</v>
          </cell>
          <cell r="K224">
            <v>45436</v>
          </cell>
          <cell r="L224" t="str">
            <v>-</v>
          </cell>
        </row>
        <row r="225">
          <cell r="E225" t="str">
            <v>CD_IMV_INP_CERTIF_ESTIMATIVAMETODO_INFO</v>
          </cell>
          <cell r="F225" t="str">
            <v>Input</v>
          </cell>
          <cell r="G225" t="str">
            <v>Em Implementação</v>
          </cell>
          <cell r="H225" t="str">
            <v>-</v>
          </cell>
          <cell r="I225">
            <v>45432</v>
          </cell>
          <cell r="J225" t="str">
            <v>IT</v>
          </cell>
          <cell r="K225">
            <v>45436</v>
          </cell>
          <cell r="L225" t="str">
            <v>-</v>
          </cell>
        </row>
        <row r="226">
          <cell r="E226" t="str">
            <v>CD_IMV_INP_CERTIF_ESTIMATIVASCORE_QUALIDADE</v>
          </cell>
          <cell r="F226" t="str">
            <v>Input</v>
          </cell>
          <cell r="G226" t="str">
            <v>Em Implementação</v>
          </cell>
          <cell r="H226" t="str">
            <v>-</v>
          </cell>
          <cell r="I226">
            <v>45432</v>
          </cell>
          <cell r="J226" t="str">
            <v>IT</v>
          </cell>
          <cell r="K226">
            <v>45436</v>
          </cell>
          <cell r="L226" t="str">
            <v>-</v>
          </cell>
        </row>
        <row r="227">
          <cell r="E227" t="str">
            <v>CD_IMV_OUT_BENSCEMPBEM</v>
          </cell>
          <cell r="F227" t="str">
            <v>Output</v>
          </cell>
          <cell r="G227" t="str">
            <v>Em Teste - Alteração EF</v>
          </cell>
          <cell r="H227" t="str">
            <v>-</v>
          </cell>
          <cell r="I227" t="str">
            <v>-</v>
          </cell>
          <cell r="J227" t="str">
            <v>CDO</v>
          </cell>
          <cell r="K227">
            <v>45443</v>
          </cell>
          <cell r="L227" t="str">
            <v>-</v>
          </cell>
        </row>
        <row r="228">
          <cell r="E228" t="str">
            <v>CD_IMV_OUT_BENSCKBALBEM</v>
          </cell>
          <cell r="F228" t="str">
            <v>Output</v>
          </cell>
          <cell r="G228" t="str">
            <v>Em Teste - Alteração EF</v>
          </cell>
          <cell r="H228" t="str">
            <v>-</v>
          </cell>
          <cell r="I228" t="str">
            <v>-</v>
          </cell>
          <cell r="J228" t="str">
            <v>CDO</v>
          </cell>
          <cell r="K228">
            <v>45443</v>
          </cell>
          <cell r="L228" t="str">
            <v>-</v>
          </cell>
        </row>
        <row r="229">
          <cell r="E229" t="str">
            <v>CD_IMV_OUT_BENSCKCTABEM</v>
          </cell>
          <cell r="F229" t="str">
            <v>Output</v>
          </cell>
          <cell r="G229" t="str">
            <v>Em Teste - Alteração EF</v>
          </cell>
          <cell r="H229" t="str">
            <v>-</v>
          </cell>
          <cell r="I229" t="str">
            <v>-</v>
          </cell>
          <cell r="J229" t="str">
            <v>CDO</v>
          </cell>
          <cell r="K229">
            <v>45443</v>
          </cell>
          <cell r="L229" t="str">
            <v>-</v>
          </cell>
        </row>
        <row r="230">
          <cell r="E230" t="str">
            <v>CD_IMV_OUT_BENSCKREFBEM</v>
          </cell>
          <cell r="F230" t="str">
            <v>Output</v>
          </cell>
          <cell r="G230" t="str">
            <v>Em Teste - Alteração EF</v>
          </cell>
          <cell r="H230" t="str">
            <v>-</v>
          </cell>
          <cell r="I230" t="str">
            <v>-</v>
          </cell>
          <cell r="J230" t="str">
            <v>CDO</v>
          </cell>
          <cell r="K230">
            <v>45443</v>
          </cell>
          <cell r="L230" t="str">
            <v>-</v>
          </cell>
        </row>
        <row r="231">
          <cell r="E231" t="str">
            <v>CD_IMV_OUT_BENSCOD_BEM</v>
          </cell>
          <cell r="F231" t="str">
            <v>Output</v>
          </cell>
          <cell r="G231" t="str">
            <v>Em Teste - Alteração EF</v>
          </cell>
          <cell r="H231" t="str">
            <v>-</v>
          </cell>
          <cell r="I231" t="str">
            <v>-</v>
          </cell>
          <cell r="J231" t="str">
            <v>CDO</v>
          </cell>
          <cell r="K231">
            <v>45443</v>
          </cell>
          <cell r="L231" t="str">
            <v>-</v>
          </cell>
        </row>
        <row r="232">
          <cell r="E232" t="str">
            <v>CD_IMV_OUT_BENSCOD_TP_BEM</v>
          </cell>
          <cell r="F232" t="str">
            <v>Output</v>
          </cell>
          <cell r="G232" t="str">
            <v>Em Teste - Alteração EF</v>
          </cell>
          <cell r="H232" t="str">
            <v>-</v>
          </cell>
          <cell r="I232" t="str">
            <v>-</v>
          </cell>
          <cell r="J232" t="str">
            <v>CDO</v>
          </cell>
          <cell r="K232">
            <v>45443</v>
          </cell>
          <cell r="L232" t="str">
            <v>-</v>
          </cell>
        </row>
        <row r="233">
          <cell r="E233" t="str">
            <v>CD_IMV_OUT_BENSCOD_DISCONF</v>
          </cell>
          <cell r="F233" t="str">
            <v>Output</v>
          </cell>
          <cell r="G233" t="str">
            <v>Em Teste - Alteração EF</v>
          </cell>
          <cell r="H233" t="str">
            <v>-</v>
          </cell>
          <cell r="I233" t="str">
            <v>-</v>
          </cell>
          <cell r="J233" t="str">
            <v>CDO</v>
          </cell>
          <cell r="K233">
            <v>45443</v>
          </cell>
          <cell r="L233" t="str">
            <v>-</v>
          </cell>
        </row>
        <row r="234">
          <cell r="E234" t="str">
            <v>CD_IMV_OUT_BENSLOCALID</v>
          </cell>
          <cell r="F234" t="str">
            <v>Output</v>
          </cell>
          <cell r="G234" t="str">
            <v>Em Teste - Alteração EF</v>
          </cell>
          <cell r="H234" t="str">
            <v>-</v>
          </cell>
          <cell r="I234" t="str">
            <v>-</v>
          </cell>
          <cell r="J234" t="str">
            <v>CDO</v>
          </cell>
          <cell r="K234">
            <v>45443</v>
          </cell>
          <cell r="L234" t="str">
            <v>-</v>
          </cell>
        </row>
        <row r="235">
          <cell r="E235" t="str">
            <v>CD_IMV_OUT_BENSURBANIZ</v>
          </cell>
          <cell r="F235" t="str">
            <v>Output</v>
          </cell>
          <cell r="G235" t="str">
            <v>Em Teste - Alteração EF</v>
          </cell>
          <cell r="H235" t="str">
            <v>-</v>
          </cell>
          <cell r="I235" t="str">
            <v>-</v>
          </cell>
          <cell r="J235" t="str">
            <v>CDO</v>
          </cell>
          <cell r="K235">
            <v>45443</v>
          </cell>
          <cell r="L235" t="str">
            <v>-</v>
          </cell>
        </row>
        <row r="236">
          <cell r="E236" t="str">
            <v>CD_IMV_OUT_BENSCOD_MORADA</v>
          </cell>
          <cell r="F236" t="str">
            <v>Output</v>
          </cell>
          <cell r="G236" t="str">
            <v>Em Teste - Alteração EF</v>
          </cell>
          <cell r="H236" t="str">
            <v>-</v>
          </cell>
          <cell r="I236" t="str">
            <v>-</v>
          </cell>
          <cell r="J236" t="str">
            <v>CDO</v>
          </cell>
          <cell r="K236">
            <v>45443</v>
          </cell>
          <cell r="L236" t="str">
            <v>-</v>
          </cell>
        </row>
        <row r="237">
          <cell r="E237" t="str">
            <v>CD_IMV_OUT_BENSMORADA</v>
          </cell>
          <cell r="F237" t="str">
            <v>Output</v>
          </cell>
          <cell r="G237" t="str">
            <v>Em Teste - Alteração EF</v>
          </cell>
          <cell r="H237" t="str">
            <v>-</v>
          </cell>
          <cell r="I237" t="str">
            <v>-</v>
          </cell>
          <cell r="J237" t="str">
            <v>CDO</v>
          </cell>
          <cell r="K237">
            <v>45443</v>
          </cell>
          <cell r="L237" t="str">
            <v>-</v>
          </cell>
        </row>
        <row r="238">
          <cell r="E238" t="str">
            <v>CD_IMV_OUT_BENSNUM</v>
          </cell>
          <cell r="F238" t="str">
            <v>Output</v>
          </cell>
          <cell r="G238" t="str">
            <v>Em Teste - Alteração EF</v>
          </cell>
          <cell r="H238" t="str">
            <v>-</v>
          </cell>
          <cell r="I238" t="str">
            <v>-</v>
          </cell>
          <cell r="J238" t="str">
            <v>CDO</v>
          </cell>
          <cell r="K238">
            <v>45443</v>
          </cell>
          <cell r="L238" t="str">
            <v>-</v>
          </cell>
        </row>
        <row r="239">
          <cell r="E239" t="str">
            <v>CD_IMV_OUT_BENSLOTE</v>
          </cell>
          <cell r="F239" t="str">
            <v>Output</v>
          </cell>
          <cell r="G239" t="str">
            <v>Em Teste - Alteração EF</v>
          </cell>
          <cell r="H239" t="str">
            <v>-</v>
          </cell>
          <cell r="I239" t="str">
            <v>-</v>
          </cell>
          <cell r="J239" t="str">
            <v>CDO</v>
          </cell>
          <cell r="K239">
            <v>45443</v>
          </cell>
          <cell r="L239" t="str">
            <v>-</v>
          </cell>
        </row>
        <row r="240">
          <cell r="E240" t="str">
            <v>CD_IMV_OUT_BENSID_FRAC</v>
          </cell>
          <cell r="F240" t="str">
            <v>Output</v>
          </cell>
          <cell r="G240" t="str">
            <v>Em Teste - Alteração EF</v>
          </cell>
          <cell r="H240" t="str">
            <v>-</v>
          </cell>
          <cell r="I240" t="str">
            <v>-</v>
          </cell>
          <cell r="J240" t="str">
            <v>CDO</v>
          </cell>
          <cell r="K240">
            <v>45443</v>
          </cell>
          <cell r="L240" t="str">
            <v>-</v>
          </cell>
        </row>
        <row r="241">
          <cell r="E241" t="str">
            <v>CD_IMV_OUT_BENSCOD_PAIS</v>
          </cell>
          <cell r="F241" t="str">
            <v>Output</v>
          </cell>
          <cell r="G241" t="str">
            <v>Em Teste - Alteração EF</v>
          </cell>
          <cell r="H241" t="str">
            <v>-</v>
          </cell>
          <cell r="I241" t="str">
            <v>-</v>
          </cell>
          <cell r="J241" t="str">
            <v>CDO</v>
          </cell>
          <cell r="K241">
            <v>45443</v>
          </cell>
          <cell r="L241" t="str">
            <v>-</v>
          </cell>
        </row>
        <row r="242">
          <cell r="E242" t="str">
            <v>CD_IMV_OUT_BENSCOD_IDD_PRED</v>
          </cell>
          <cell r="F242" t="str">
            <v>Output</v>
          </cell>
          <cell r="G242" t="str">
            <v>Em Teste - Alteração EF</v>
          </cell>
          <cell r="H242" t="str">
            <v>-</v>
          </cell>
          <cell r="I242" t="str">
            <v>-</v>
          </cell>
          <cell r="J242" t="str">
            <v>CDO</v>
          </cell>
          <cell r="K242">
            <v>45443</v>
          </cell>
          <cell r="L242" t="str">
            <v>-</v>
          </cell>
        </row>
        <row r="243">
          <cell r="E243" t="str">
            <v>CD_IMV_OUT_BENSPERC_OBRA</v>
          </cell>
          <cell r="F243" t="str">
            <v>Output</v>
          </cell>
          <cell r="G243" t="str">
            <v>Em Teste - Alteração EF</v>
          </cell>
          <cell r="H243" t="str">
            <v>-</v>
          </cell>
          <cell r="I243" t="str">
            <v>-</v>
          </cell>
          <cell r="J243" t="str">
            <v>CDO</v>
          </cell>
          <cell r="K243">
            <v>45443</v>
          </cell>
          <cell r="L243" t="str">
            <v>-</v>
          </cell>
        </row>
        <row r="244">
          <cell r="E244" t="str">
            <v>CD_IMV_OUT_BENSCOD_ART_MATR</v>
          </cell>
          <cell r="F244" t="str">
            <v>Output</v>
          </cell>
          <cell r="G244" t="str">
            <v>Em Teste - Alteração EF</v>
          </cell>
          <cell r="H244" t="str">
            <v>-</v>
          </cell>
          <cell r="I244" t="str">
            <v>-</v>
          </cell>
          <cell r="J244" t="str">
            <v>CDO</v>
          </cell>
          <cell r="K244">
            <v>45443</v>
          </cell>
          <cell r="L244" t="str">
            <v>-</v>
          </cell>
        </row>
        <row r="245">
          <cell r="E245" t="str">
            <v>CD_IMV_OUT_BENSCOD_FIN_BEM</v>
          </cell>
          <cell r="F245" t="str">
            <v>Output</v>
          </cell>
          <cell r="G245" t="str">
            <v>Em Teste - Alteração EF</v>
          </cell>
          <cell r="H245" t="str">
            <v>-</v>
          </cell>
          <cell r="I245" t="str">
            <v>-</v>
          </cell>
          <cell r="J245" t="str">
            <v>CDO</v>
          </cell>
          <cell r="K245">
            <v>45443</v>
          </cell>
          <cell r="L245" t="str">
            <v>-</v>
          </cell>
        </row>
        <row r="246">
          <cell r="E246" t="str">
            <v>CD_IMV_OUT_BENSCOD_POST</v>
          </cell>
          <cell r="F246" t="str">
            <v>Output</v>
          </cell>
          <cell r="G246" t="str">
            <v>Em Teste - Alteração EF</v>
          </cell>
          <cell r="H246" t="str">
            <v>-</v>
          </cell>
          <cell r="I246" t="str">
            <v>-</v>
          </cell>
          <cell r="J246" t="str">
            <v>CDO</v>
          </cell>
          <cell r="K246">
            <v>45443</v>
          </cell>
          <cell r="L246" t="str">
            <v>-</v>
          </cell>
        </row>
        <row r="247">
          <cell r="E247" t="str">
            <v>CD_IMV_OUT_BENSMONTANTE_AVL</v>
          </cell>
          <cell r="F247" t="str">
            <v>Output</v>
          </cell>
          <cell r="G247" t="str">
            <v>Em Teste - Alteração EF</v>
          </cell>
          <cell r="H247" t="str">
            <v>-</v>
          </cell>
          <cell r="I247" t="str">
            <v>-</v>
          </cell>
          <cell r="J247" t="str">
            <v>CDO</v>
          </cell>
          <cell r="K247">
            <v>45443</v>
          </cell>
          <cell r="L247" t="str">
            <v>-</v>
          </cell>
        </row>
        <row r="248">
          <cell r="E248" t="str">
            <v>CD_IMV_OUT_BENSDATA_AVL</v>
          </cell>
          <cell r="F248" t="str">
            <v>Output</v>
          </cell>
          <cell r="G248" t="str">
            <v>Em Teste - Alteração EF</v>
          </cell>
          <cell r="H248" t="str">
            <v>-</v>
          </cell>
          <cell r="I248" t="str">
            <v>-</v>
          </cell>
          <cell r="J248" t="str">
            <v>CDO</v>
          </cell>
          <cell r="K248">
            <v>45443</v>
          </cell>
          <cell r="L248" t="str">
            <v>-</v>
          </cell>
        </row>
        <row r="249">
          <cell r="E249" t="str">
            <v>CD_IMV_OUT_BENSMONTANTE_AVL_DIST</v>
          </cell>
          <cell r="F249" t="str">
            <v>Output</v>
          </cell>
          <cell r="G249" t="str">
            <v>Em Teste - Alteração EF</v>
          </cell>
          <cell r="H249" t="str">
            <v>-</v>
          </cell>
          <cell r="I249" t="str">
            <v>-</v>
          </cell>
          <cell r="J249" t="str">
            <v>CDO</v>
          </cell>
          <cell r="K249">
            <v>45443</v>
          </cell>
          <cell r="L249" t="str">
            <v>-</v>
          </cell>
        </row>
        <row r="250">
          <cell r="E250" t="str">
            <v>CD_IMV_OUT_BENSCOD_AVL</v>
          </cell>
          <cell r="F250" t="str">
            <v>Output</v>
          </cell>
          <cell r="G250" t="str">
            <v>Em Teste - Alteração EF</v>
          </cell>
          <cell r="H250" t="str">
            <v>-</v>
          </cell>
          <cell r="I250" t="str">
            <v>-</v>
          </cell>
          <cell r="J250" t="str">
            <v>CDO</v>
          </cell>
          <cell r="K250">
            <v>45443</v>
          </cell>
          <cell r="L250" t="str">
            <v>-</v>
          </cell>
        </row>
        <row r="251">
          <cell r="E251" t="str">
            <v>CD_IMV_OUT_BENSFICHA</v>
          </cell>
          <cell r="F251" t="str">
            <v>Output</v>
          </cell>
          <cell r="G251" t="str">
            <v>Em Teste - Alteração EF</v>
          </cell>
          <cell r="H251" t="str">
            <v>-</v>
          </cell>
          <cell r="I251" t="str">
            <v>-</v>
          </cell>
          <cell r="J251" t="str">
            <v>CDO</v>
          </cell>
          <cell r="K251">
            <v>45443</v>
          </cell>
          <cell r="L251" t="str">
            <v>-</v>
          </cell>
        </row>
        <row r="252">
          <cell r="E252" t="str">
            <v>CD_IMV_OUT_BENSMONTANTE_VND_RAP</v>
          </cell>
          <cell r="F252" t="str">
            <v>Output</v>
          </cell>
          <cell r="G252" t="str">
            <v>Em Teste - Alteração EF</v>
          </cell>
          <cell r="H252" t="str">
            <v>-</v>
          </cell>
          <cell r="I252" t="str">
            <v>-</v>
          </cell>
          <cell r="J252" t="str">
            <v>CDO</v>
          </cell>
          <cell r="K252">
            <v>45443</v>
          </cell>
          <cell r="L252" t="str">
            <v>-</v>
          </cell>
        </row>
        <row r="253">
          <cell r="E253" t="str">
            <v>CD_IMV_OUT_BENSPREALCONS</v>
          </cell>
          <cell r="F253" t="str">
            <v>Output</v>
          </cell>
          <cell r="G253" t="str">
            <v>Em Teste - Alteração EF</v>
          </cell>
          <cell r="H253" t="str">
            <v>-</v>
          </cell>
          <cell r="I253" t="str">
            <v>-</v>
          </cell>
          <cell r="J253" t="str">
            <v>CDO</v>
          </cell>
          <cell r="K253">
            <v>45443</v>
          </cell>
          <cell r="L253" t="str">
            <v>-</v>
          </cell>
        </row>
        <row r="254">
          <cell r="E254" t="str">
            <v>CD_IMV_OUT_BENSDATA_LIC_UTIL</v>
          </cell>
          <cell r="F254" t="str">
            <v>Output</v>
          </cell>
          <cell r="G254" t="str">
            <v>Em Teste - Alteração EF</v>
          </cell>
          <cell r="H254" t="str">
            <v>-</v>
          </cell>
          <cell r="I254" t="str">
            <v>-</v>
          </cell>
          <cell r="J254" t="str">
            <v>CDO</v>
          </cell>
          <cell r="K254">
            <v>45443</v>
          </cell>
          <cell r="L254" t="str">
            <v>-</v>
          </cell>
        </row>
        <row r="255">
          <cell r="E255" t="str">
            <v>CD_IMV_OUT_BENSAREA_UTIL</v>
          </cell>
          <cell r="F255" t="str">
            <v>Output</v>
          </cell>
          <cell r="G255" t="str">
            <v>Em Teste - Alteração EF</v>
          </cell>
          <cell r="H255" t="str">
            <v>-</v>
          </cell>
          <cell r="I255" t="str">
            <v>-</v>
          </cell>
          <cell r="J255" t="str">
            <v>CDO</v>
          </cell>
          <cell r="K255">
            <v>45443</v>
          </cell>
          <cell r="L255" t="str">
            <v>-</v>
          </cell>
        </row>
        <row r="256">
          <cell r="E256" t="str">
            <v>CD_IMV_OUT_BENSANO_CONSTRUCAO</v>
          </cell>
          <cell r="F256" t="str">
            <v>Output</v>
          </cell>
          <cell r="G256" t="str">
            <v>Em Teste - Alteração EF</v>
          </cell>
          <cell r="H256" t="str">
            <v>-</v>
          </cell>
          <cell r="I256" t="str">
            <v>-</v>
          </cell>
          <cell r="J256" t="str">
            <v>CDO</v>
          </cell>
          <cell r="K256">
            <v>45443</v>
          </cell>
          <cell r="L256" t="str">
            <v>-</v>
          </cell>
        </row>
        <row r="257">
          <cell r="E257" t="str">
            <v>CD_IMV_OUT_BENSREF_DATE</v>
          </cell>
          <cell r="F257" t="str">
            <v>Output</v>
          </cell>
          <cell r="G257" t="str">
            <v>Em Teste - Alteração EF</v>
          </cell>
          <cell r="H257" t="str">
            <v>-</v>
          </cell>
          <cell r="I257" t="str">
            <v>-</v>
          </cell>
          <cell r="J257" t="str">
            <v>CDO</v>
          </cell>
          <cell r="K257">
            <v>45443</v>
          </cell>
          <cell r="L257" t="str">
            <v>-</v>
          </cell>
        </row>
        <row r="258">
          <cell r="E258" t="str">
            <v>CD_IMV_OUT_BENSORIGEM</v>
          </cell>
          <cell r="F258" t="str">
            <v>Output</v>
          </cell>
          <cell r="G258" t="str">
            <v>Em Teste - Alteração EF</v>
          </cell>
          <cell r="H258" t="str">
            <v>-</v>
          </cell>
          <cell r="I258" t="str">
            <v>-</v>
          </cell>
          <cell r="J258" t="str">
            <v>CDO</v>
          </cell>
          <cell r="K258">
            <v>45443</v>
          </cell>
          <cell r="L258" t="str">
            <v>-</v>
          </cell>
        </row>
        <row r="259">
          <cell r="E259" t="str">
            <v>CD_IMV_OUT_CERTIFCEMPBEM</v>
          </cell>
          <cell r="F259" t="str">
            <v>Output</v>
          </cell>
          <cell r="G259" t="str">
            <v>Em Teste - Alteração EF</v>
          </cell>
          <cell r="H259" t="str">
            <v>-</v>
          </cell>
          <cell r="I259" t="str">
            <v>-</v>
          </cell>
          <cell r="J259" t="str">
            <v>CDO</v>
          </cell>
          <cell r="K259">
            <v>45520</v>
          </cell>
          <cell r="L259" t="str">
            <v>-</v>
          </cell>
        </row>
        <row r="260">
          <cell r="E260" t="str">
            <v>CD_IMV_OUT_CERTIFCKBALBEM</v>
          </cell>
          <cell r="F260" t="str">
            <v>Output</v>
          </cell>
          <cell r="G260" t="str">
            <v>Em Teste - Alteração EF</v>
          </cell>
          <cell r="H260" t="str">
            <v>-</v>
          </cell>
          <cell r="I260" t="str">
            <v>-</v>
          </cell>
          <cell r="J260" t="str">
            <v>CDO</v>
          </cell>
          <cell r="K260">
            <v>45520</v>
          </cell>
          <cell r="L260" t="str">
            <v>-</v>
          </cell>
        </row>
        <row r="261">
          <cell r="E261" t="str">
            <v>CD_IMV_OUT_CERTIFCKCTABEM</v>
          </cell>
          <cell r="F261" t="str">
            <v>Output</v>
          </cell>
          <cell r="G261" t="str">
            <v>Em Teste - Alteração EF</v>
          </cell>
          <cell r="H261" t="str">
            <v>-</v>
          </cell>
          <cell r="I261" t="str">
            <v>-</v>
          </cell>
          <cell r="J261" t="str">
            <v>CDO</v>
          </cell>
          <cell r="K261">
            <v>45520</v>
          </cell>
          <cell r="L261" t="str">
            <v>-</v>
          </cell>
        </row>
        <row r="262">
          <cell r="E262" t="str">
            <v>CD_IMV_OUT_CERTIFCKREFBEM</v>
          </cell>
          <cell r="F262" t="str">
            <v>Output</v>
          </cell>
          <cell r="G262" t="str">
            <v>Em Teste - Alteração EF</v>
          </cell>
          <cell r="H262" t="str">
            <v>-</v>
          </cell>
          <cell r="I262" t="str">
            <v>-</v>
          </cell>
          <cell r="J262" t="str">
            <v>CDO</v>
          </cell>
          <cell r="K262">
            <v>45520</v>
          </cell>
          <cell r="L262" t="str">
            <v>-</v>
          </cell>
        </row>
        <row r="263">
          <cell r="E263" t="str">
            <v>CD_IMV_OUT_CERTIFREF_DATE</v>
          </cell>
          <cell r="F263" t="str">
            <v>Output</v>
          </cell>
          <cell r="G263" t="str">
            <v>Em Teste - Alteração EF</v>
          </cell>
          <cell r="H263" t="str">
            <v>-</v>
          </cell>
          <cell r="I263" t="str">
            <v>-</v>
          </cell>
          <cell r="J263" t="str">
            <v>CDO</v>
          </cell>
          <cell r="K263">
            <v>45520</v>
          </cell>
          <cell r="L263" t="str">
            <v>-</v>
          </cell>
        </row>
        <row r="264">
          <cell r="E264" t="str">
            <v>CD_IMV_OUT_CERTIFDATA_EPC</v>
          </cell>
          <cell r="F264" t="str">
            <v>Output</v>
          </cell>
          <cell r="G264" t="str">
            <v>Em Teste - Alteração EF</v>
          </cell>
          <cell r="H264" t="str">
            <v>-</v>
          </cell>
          <cell r="I264" t="str">
            <v>-</v>
          </cell>
          <cell r="J264" t="str">
            <v>CDO</v>
          </cell>
          <cell r="K264">
            <v>45520</v>
          </cell>
          <cell r="L264" t="str">
            <v>-</v>
          </cell>
        </row>
        <row r="265">
          <cell r="E265" t="str">
            <v>CD_IMV_OUT_CERTIFEPC</v>
          </cell>
          <cell r="F265" t="str">
            <v>Output</v>
          </cell>
          <cell r="G265" t="str">
            <v>Em Teste - Alteração EF</v>
          </cell>
          <cell r="H265" t="str">
            <v>-</v>
          </cell>
          <cell r="I265" t="str">
            <v>-</v>
          </cell>
          <cell r="J265" t="str">
            <v>CDO</v>
          </cell>
          <cell r="K265">
            <v>45520</v>
          </cell>
          <cell r="L265" t="str">
            <v>-</v>
          </cell>
        </row>
        <row r="266">
          <cell r="E266" t="str">
            <v>CD_IMV_OUT_CERTIFDATA_EXPRC_EPC</v>
          </cell>
          <cell r="F266" t="str">
            <v>Output</v>
          </cell>
          <cell r="G266" t="str">
            <v>Em Teste - Alteração EF</v>
          </cell>
          <cell r="H266" t="str">
            <v>-</v>
          </cell>
          <cell r="I266" t="str">
            <v>-</v>
          </cell>
          <cell r="J266" t="str">
            <v>CDO</v>
          </cell>
          <cell r="K266">
            <v>45520</v>
          </cell>
          <cell r="L266" t="str">
            <v>-</v>
          </cell>
        </row>
        <row r="267">
          <cell r="E267" t="str">
            <v>CD_IMV_OUT_CERTIFVLR_ENRG_RENEW</v>
          </cell>
          <cell r="F267" t="str">
            <v>Output</v>
          </cell>
          <cell r="G267" t="str">
            <v>Em Teste - Alteração EF</v>
          </cell>
          <cell r="H267" t="str">
            <v>-</v>
          </cell>
          <cell r="I267" t="str">
            <v>-</v>
          </cell>
          <cell r="J267" t="str">
            <v>CDO</v>
          </cell>
          <cell r="K267">
            <v>45520</v>
          </cell>
          <cell r="L267" t="str">
            <v>-</v>
          </cell>
        </row>
        <row r="268">
          <cell r="E268" t="str">
            <v>CD_IMV_OUT_CERTIFVLR_EMSS_ANO</v>
          </cell>
          <cell r="F268" t="str">
            <v>Output</v>
          </cell>
          <cell r="G268" t="str">
            <v>Em Teste - Alteração EF</v>
          </cell>
          <cell r="H268" t="str">
            <v>-</v>
          </cell>
          <cell r="I268" t="str">
            <v>-</v>
          </cell>
          <cell r="J268" t="str">
            <v>CDO</v>
          </cell>
          <cell r="K268">
            <v>45520</v>
          </cell>
          <cell r="L268" t="str">
            <v>-</v>
          </cell>
        </row>
        <row r="269">
          <cell r="E269" t="str">
            <v>CD_IMV_OUT_CERTIFFLG_NZEB</v>
          </cell>
          <cell r="F269" t="str">
            <v>Output</v>
          </cell>
          <cell r="G269" t="str">
            <v>Em Teste - Alteração EF</v>
          </cell>
          <cell r="H269" t="str">
            <v>-</v>
          </cell>
          <cell r="I269" t="str">
            <v>-</v>
          </cell>
          <cell r="J269" t="str">
            <v>CDO</v>
          </cell>
          <cell r="K269">
            <v>45520</v>
          </cell>
          <cell r="L269" t="str">
            <v>-</v>
          </cell>
        </row>
        <row r="270">
          <cell r="E270" t="str">
            <v>CD_IMV_OUT_CERTIFNVL_EFCC_ENRG</v>
          </cell>
          <cell r="F270" t="str">
            <v>Output</v>
          </cell>
          <cell r="G270" t="str">
            <v>Em Teste - Alteração EF</v>
          </cell>
          <cell r="H270" t="str">
            <v>-</v>
          </cell>
          <cell r="I270" t="str">
            <v>-</v>
          </cell>
          <cell r="J270" t="str">
            <v>CDO</v>
          </cell>
          <cell r="K270">
            <v>45520</v>
          </cell>
          <cell r="L270" t="str">
            <v>-</v>
          </cell>
        </row>
        <row r="271">
          <cell r="E271" t="str">
            <v>CD_IMV_OUT_CERTIFVLR_CNSM_ANO</v>
          </cell>
          <cell r="F271" t="str">
            <v>Output</v>
          </cell>
          <cell r="G271" t="str">
            <v>Em Teste - Alteração EF</v>
          </cell>
          <cell r="H271" t="str">
            <v>-</v>
          </cell>
          <cell r="I271" t="str">
            <v>-</v>
          </cell>
          <cell r="J271" t="str">
            <v>CDO</v>
          </cell>
          <cell r="K271">
            <v>45520</v>
          </cell>
          <cell r="L271" t="str">
            <v>-</v>
          </cell>
        </row>
        <row r="272">
          <cell r="E272" t="str">
            <v>CD_IMV_OUT_CERTIFTP_CRTFCD</v>
          </cell>
          <cell r="F272" t="str">
            <v>Output</v>
          </cell>
          <cell r="G272" t="str">
            <v>Em Teste - Alteração EF</v>
          </cell>
          <cell r="H272" t="str">
            <v>-</v>
          </cell>
          <cell r="I272" t="str">
            <v>-</v>
          </cell>
          <cell r="J272" t="str">
            <v>CDO</v>
          </cell>
          <cell r="K272">
            <v>45520</v>
          </cell>
          <cell r="L272" t="str">
            <v>-</v>
          </cell>
        </row>
        <row r="273">
          <cell r="E273" t="str">
            <v>CD_IMV_OUT_CERTIFCOD_SCE</v>
          </cell>
          <cell r="F273" t="str">
            <v>Output</v>
          </cell>
          <cell r="G273" t="str">
            <v>Em Teste - Alteração EF</v>
          </cell>
          <cell r="H273" t="str">
            <v>-</v>
          </cell>
          <cell r="I273" t="str">
            <v>-</v>
          </cell>
          <cell r="J273" t="str">
            <v>CDO</v>
          </cell>
          <cell r="K273">
            <v>45520</v>
          </cell>
          <cell r="L273" t="str">
            <v>-</v>
          </cell>
        </row>
        <row r="274">
          <cell r="E274" t="str">
            <v>CD_IMV_OUT_CERTIFCOD_CNSRVTR_RGST_PRDL</v>
          </cell>
          <cell r="F274" t="str">
            <v>Output</v>
          </cell>
          <cell r="G274" t="str">
            <v>Em Teste - Alteração EF</v>
          </cell>
          <cell r="H274" t="str">
            <v>-</v>
          </cell>
          <cell r="I274" t="str">
            <v>-</v>
          </cell>
          <cell r="J274" t="str">
            <v>CDO</v>
          </cell>
          <cell r="K274">
            <v>45520</v>
          </cell>
          <cell r="L274" t="str">
            <v>-</v>
          </cell>
        </row>
        <row r="275">
          <cell r="E275" t="str">
            <v>CD_IMV_OUT_CERTIFCOD_INSCRC</v>
          </cell>
          <cell r="F275" t="str">
            <v>Output</v>
          </cell>
          <cell r="G275" t="str">
            <v>Em Teste - Alteração EF</v>
          </cell>
          <cell r="H275" t="str">
            <v>-</v>
          </cell>
          <cell r="I275" t="str">
            <v>-</v>
          </cell>
          <cell r="J275" t="str">
            <v>CDO</v>
          </cell>
          <cell r="K275">
            <v>45520</v>
          </cell>
          <cell r="L275" t="str">
            <v>-</v>
          </cell>
        </row>
        <row r="276">
          <cell r="E276" t="str">
            <v>CD_IMV_OUT_CERTIFVLR_EMSS_CO2</v>
          </cell>
          <cell r="F276" t="str">
            <v>Output</v>
          </cell>
          <cell r="G276" t="str">
            <v>Em Teste - Alteração EF</v>
          </cell>
          <cell r="H276" t="str">
            <v>-</v>
          </cell>
          <cell r="I276" t="str">
            <v>-</v>
          </cell>
          <cell r="J276" t="str">
            <v>CDO</v>
          </cell>
          <cell r="K276">
            <v>45520</v>
          </cell>
          <cell r="L276" t="str">
            <v>-</v>
          </cell>
        </row>
        <row r="277">
          <cell r="E277" t="str">
            <v>CD_IMV_OUT_CERTIFVLR_AQCMNT_AMBNT_RFRC</v>
          </cell>
          <cell r="F277" t="str">
            <v>Output</v>
          </cell>
          <cell r="G277" t="str">
            <v>Em Teste - Alteração EF</v>
          </cell>
          <cell r="H277" t="str">
            <v>-</v>
          </cell>
          <cell r="I277" t="str">
            <v>-</v>
          </cell>
          <cell r="J277" t="str">
            <v>CDO</v>
          </cell>
          <cell r="K277">
            <v>45520</v>
          </cell>
          <cell r="L277" t="str">
            <v>-</v>
          </cell>
        </row>
        <row r="278">
          <cell r="E278" t="str">
            <v>CD_IMV_OUT_CERTIFVLR_AQCMNT_AMBNT_EDFC</v>
          </cell>
          <cell r="F278" t="str">
            <v>Output</v>
          </cell>
          <cell r="G278" t="str">
            <v>Em Teste - Alteração EF</v>
          </cell>
          <cell r="H278" t="str">
            <v>-</v>
          </cell>
          <cell r="I278" t="str">
            <v>-</v>
          </cell>
          <cell r="J278" t="str">
            <v>CDO</v>
          </cell>
          <cell r="K278">
            <v>45520</v>
          </cell>
          <cell r="L278" t="str">
            <v>-</v>
          </cell>
        </row>
        <row r="279">
          <cell r="E279" t="str">
            <v>CD_IMV_OUT_CERTIFVLR_AQCMNT_AMBNT_RNVV</v>
          </cell>
          <cell r="F279" t="str">
            <v>Output</v>
          </cell>
          <cell r="G279" t="str">
            <v>Em Teste - Alteração EF</v>
          </cell>
          <cell r="H279" t="str">
            <v>-</v>
          </cell>
          <cell r="I279" t="str">
            <v>-</v>
          </cell>
          <cell r="J279" t="str">
            <v>CDO</v>
          </cell>
          <cell r="K279">
            <v>45520</v>
          </cell>
          <cell r="L279" t="str">
            <v>-</v>
          </cell>
        </row>
        <row r="280">
          <cell r="E280" t="str">
            <v>CD_IMV_OUT_CERTIFVLR_ARRFCMNT_AMBNT_RFRC</v>
          </cell>
          <cell r="F280" t="str">
            <v>Output</v>
          </cell>
          <cell r="G280" t="str">
            <v>Em Teste - Alteração EF</v>
          </cell>
          <cell r="H280" t="str">
            <v>-</v>
          </cell>
          <cell r="I280" t="str">
            <v>-</v>
          </cell>
          <cell r="J280" t="str">
            <v>CDO</v>
          </cell>
          <cell r="K280">
            <v>45520</v>
          </cell>
          <cell r="L280" t="str">
            <v>-</v>
          </cell>
        </row>
        <row r="281">
          <cell r="E281" t="str">
            <v>CD_IMV_OUT_CERTIFVLR_ARRFCMNT_AMBNT_EDFC</v>
          </cell>
          <cell r="F281" t="str">
            <v>Output</v>
          </cell>
          <cell r="G281" t="str">
            <v>Em Teste - Alteração EF</v>
          </cell>
          <cell r="H281" t="str">
            <v>-</v>
          </cell>
          <cell r="I281" t="str">
            <v>-</v>
          </cell>
          <cell r="J281" t="str">
            <v>CDO</v>
          </cell>
          <cell r="K281">
            <v>45520</v>
          </cell>
          <cell r="L281" t="str">
            <v>-</v>
          </cell>
        </row>
        <row r="282">
          <cell r="E282" t="str">
            <v>CD_IMV_OUT_CERTIFVLR_ARRFCMNT_AMBNT_RENVV</v>
          </cell>
          <cell r="F282" t="str">
            <v>Output</v>
          </cell>
          <cell r="G282" t="str">
            <v>Em Teste - Alteração EF</v>
          </cell>
          <cell r="H282" t="str">
            <v>-</v>
          </cell>
          <cell r="I282" t="str">
            <v>-</v>
          </cell>
          <cell r="J282" t="str">
            <v>CDO</v>
          </cell>
          <cell r="K282">
            <v>45520</v>
          </cell>
          <cell r="L282" t="str">
            <v>-</v>
          </cell>
        </row>
        <row r="283">
          <cell r="E283" t="str">
            <v>CD_IMV_OUT_CERTIFVLR_AGUA_QNT_SNTR_RFRC</v>
          </cell>
          <cell r="F283" t="str">
            <v>Output</v>
          </cell>
          <cell r="G283" t="str">
            <v>Em Teste - Alteração EF</v>
          </cell>
          <cell r="H283" t="str">
            <v>-</v>
          </cell>
          <cell r="I283" t="str">
            <v>-</v>
          </cell>
          <cell r="J283" t="str">
            <v>CDO</v>
          </cell>
          <cell r="K283">
            <v>45520</v>
          </cell>
          <cell r="L283" t="str">
            <v>-</v>
          </cell>
        </row>
        <row r="284">
          <cell r="E284" t="str">
            <v>CD_IMV_OUT_CERTIFVLR_AGUA_QNT_SANT_EDFC</v>
          </cell>
          <cell r="F284" t="str">
            <v>Output</v>
          </cell>
          <cell r="G284" t="str">
            <v>Em Teste - Alteração EF</v>
          </cell>
          <cell r="H284" t="str">
            <v>-</v>
          </cell>
          <cell r="I284" t="str">
            <v>-</v>
          </cell>
          <cell r="J284" t="str">
            <v>CDO</v>
          </cell>
          <cell r="K284">
            <v>45520</v>
          </cell>
          <cell r="L284" t="str">
            <v>-</v>
          </cell>
        </row>
        <row r="285">
          <cell r="E285" t="str">
            <v>CD_IMV_OUT_CERTIFVLR_AGUA_QNT_SNT_RNVV</v>
          </cell>
          <cell r="F285" t="str">
            <v>Output</v>
          </cell>
          <cell r="G285" t="str">
            <v>Em Teste - Alteração EF</v>
          </cell>
          <cell r="H285" t="str">
            <v>-</v>
          </cell>
          <cell r="I285" t="str">
            <v>-</v>
          </cell>
          <cell r="J285" t="str">
            <v>CDO</v>
          </cell>
          <cell r="K285">
            <v>45520</v>
          </cell>
          <cell r="L285" t="str">
            <v>-</v>
          </cell>
        </row>
        <row r="286">
          <cell r="E286" t="str">
            <v>CD_IMV_OUT_CERTIFVLR_NCSSDD_ENRG_PRMR</v>
          </cell>
          <cell r="F286" t="str">
            <v>Output</v>
          </cell>
          <cell r="G286" t="str">
            <v>Em Teste - Alteração EF</v>
          </cell>
          <cell r="H286" t="str">
            <v>-</v>
          </cell>
          <cell r="I286" t="str">
            <v>-</v>
          </cell>
          <cell r="J286" t="str">
            <v>CDO</v>
          </cell>
          <cell r="K286">
            <v>45520</v>
          </cell>
          <cell r="L286" t="str">
            <v>-</v>
          </cell>
        </row>
        <row r="287">
          <cell r="E287" t="str">
            <v>CD_IMV_OUT_CERTIFVLR_NCSSDD_ENRG_UTL_AQCD</v>
          </cell>
          <cell r="F287" t="str">
            <v>Output</v>
          </cell>
          <cell r="G287" t="str">
            <v>Em Teste - Alteração EF</v>
          </cell>
          <cell r="H287" t="str">
            <v>-</v>
          </cell>
          <cell r="I287" t="str">
            <v>-</v>
          </cell>
          <cell r="J287" t="str">
            <v>CDO</v>
          </cell>
          <cell r="K287">
            <v>45520</v>
          </cell>
          <cell r="L287" t="str">
            <v>-</v>
          </cell>
        </row>
        <row r="288">
          <cell r="E288" t="str">
            <v>CD_IMV_OUT_CERTIFVLR_ENRG_UTL_ARRFCMNT</v>
          </cell>
          <cell r="F288" t="str">
            <v>Output</v>
          </cell>
          <cell r="G288" t="str">
            <v>Em Teste - Alteração EF</v>
          </cell>
          <cell r="H288" t="str">
            <v>-</v>
          </cell>
          <cell r="I288" t="str">
            <v>-</v>
          </cell>
          <cell r="J288" t="str">
            <v>CDO</v>
          </cell>
          <cell r="K288">
            <v>45520</v>
          </cell>
          <cell r="L288" t="str">
            <v>-</v>
          </cell>
        </row>
        <row r="289">
          <cell r="E289" t="str">
            <v>CD_IMV_OUT_CERTIFVLR_ENRG_UTL_AGUA_QT_SNT</v>
          </cell>
          <cell r="F289" t="str">
            <v>Output</v>
          </cell>
          <cell r="G289" t="str">
            <v>Em Teste - Alteração EF</v>
          </cell>
          <cell r="H289" t="str">
            <v>-</v>
          </cell>
          <cell r="I289" t="str">
            <v>-</v>
          </cell>
          <cell r="J289" t="str">
            <v>CDO</v>
          </cell>
          <cell r="K289">
            <v>45520</v>
          </cell>
          <cell r="L289" t="str">
            <v>-</v>
          </cell>
        </row>
        <row r="290">
          <cell r="E290" t="str">
            <v>CD_IMV_OUT_CERTIFVLR_ENRG_ELTC_VNTLDR</v>
          </cell>
          <cell r="F290" t="str">
            <v>Output</v>
          </cell>
          <cell r="G290" t="str">
            <v>Em Teste - Alteração EF</v>
          </cell>
          <cell r="H290" t="str">
            <v>-</v>
          </cell>
          <cell r="I290" t="str">
            <v>-</v>
          </cell>
          <cell r="J290" t="str">
            <v>CDO</v>
          </cell>
          <cell r="K290">
            <v>45520</v>
          </cell>
          <cell r="L290" t="str">
            <v>-</v>
          </cell>
        </row>
        <row r="291">
          <cell r="E291" t="str">
            <v>CD_IMV_OUT_CERTIFVLR_ENRG_FNTS_RNVV_REGL</v>
          </cell>
          <cell r="F291" t="str">
            <v>Output</v>
          </cell>
          <cell r="G291" t="str">
            <v>Em Teste - Alteração EF</v>
          </cell>
          <cell r="H291" t="str">
            <v>-</v>
          </cell>
          <cell r="I291" t="str">
            <v>-</v>
          </cell>
          <cell r="J291" t="str">
            <v>CDO</v>
          </cell>
          <cell r="K291">
            <v>45520</v>
          </cell>
          <cell r="L291" t="str">
            <v>-</v>
          </cell>
        </row>
        <row r="292">
          <cell r="E292" t="str">
            <v>CD_IMV_OUT_CERTIFVLR_ENRG_FNTS_RNVV_OTR_USO</v>
          </cell>
          <cell r="F292" t="str">
            <v>Output</v>
          </cell>
          <cell r="G292" t="str">
            <v>Em Teste - Alteração EF</v>
          </cell>
          <cell r="H292" t="str">
            <v>-</v>
          </cell>
          <cell r="I292" t="str">
            <v>-</v>
          </cell>
          <cell r="J292" t="str">
            <v>CDO</v>
          </cell>
          <cell r="K292">
            <v>45520</v>
          </cell>
          <cell r="L292" t="str">
            <v>-</v>
          </cell>
        </row>
        <row r="293">
          <cell r="E293" t="str">
            <v>CD_IMV_OUT_CERTIFFLG_EFCNC_ENRGTC</v>
          </cell>
          <cell r="F293" t="str">
            <v>Output</v>
          </cell>
          <cell r="G293" t="str">
            <v>Em Teste - Alteração EF</v>
          </cell>
          <cell r="H293" t="str">
            <v>-</v>
          </cell>
          <cell r="I293" t="str">
            <v>-</v>
          </cell>
          <cell r="J293" t="str">
            <v>CDO</v>
          </cell>
          <cell r="K293">
            <v>45520</v>
          </cell>
          <cell r="L293" t="str">
            <v>-</v>
          </cell>
        </row>
        <row r="294">
          <cell r="E294" t="str">
            <v>CD_IMV_OUT_CERTIFFLG_EFCC_ENRG_CNSM_TP_S</v>
          </cell>
          <cell r="F294" t="str">
            <v>Output</v>
          </cell>
          <cell r="G294" t="str">
            <v>Em Teste - Alteração EF</v>
          </cell>
          <cell r="H294" t="str">
            <v>-</v>
          </cell>
          <cell r="I294" t="str">
            <v>-</v>
          </cell>
          <cell r="J294" t="str">
            <v>CDO</v>
          </cell>
          <cell r="K294">
            <v>45520</v>
          </cell>
          <cell r="L294" t="str">
            <v>-</v>
          </cell>
        </row>
        <row r="295">
          <cell r="E295" t="str">
            <v>CD_IMV_OUT_CERTIFFLG_EFCNC_ENRG_CNSM_TP_T</v>
          </cell>
          <cell r="F295" t="str">
            <v>Output</v>
          </cell>
          <cell r="G295" t="str">
            <v>Em Teste - Alteração EF</v>
          </cell>
          <cell r="H295" t="str">
            <v>-</v>
          </cell>
          <cell r="I295" t="str">
            <v>-</v>
          </cell>
          <cell r="J295" t="str">
            <v>CDO</v>
          </cell>
          <cell r="K295">
            <v>45520</v>
          </cell>
          <cell r="L295" t="str">
            <v>-</v>
          </cell>
        </row>
        <row r="296">
          <cell r="E296" t="str">
            <v>CD_IMV_OUT_CERTIFFLG_EFCNC_ENRGTC_RNVV</v>
          </cell>
          <cell r="F296" t="str">
            <v>Output</v>
          </cell>
          <cell r="G296" t="str">
            <v>Em Teste - Alteração EF</v>
          </cell>
          <cell r="H296" t="str">
            <v>-</v>
          </cell>
          <cell r="I296" t="str">
            <v>-</v>
          </cell>
          <cell r="J296" t="str">
            <v>CDO</v>
          </cell>
          <cell r="K296">
            <v>45520</v>
          </cell>
          <cell r="L296" t="str">
            <v>-</v>
          </cell>
        </row>
        <row r="297">
          <cell r="E297" t="str">
            <v>CD_IMV_OUT_CERTIFVLR_CST_TTL_INVSTMNT_ESTMD</v>
          </cell>
          <cell r="F297" t="str">
            <v>Output</v>
          </cell>
          <cell r="G297" t="str">
            <v>Em Teste - Alteração EF</v>
          </cell>
          <cell r="H297" t="str">
            <v>-</v>
          </cell>
          <cell r="I297" t="str">
            <v>-</v>
          </cell>
          <cell r="J297" t="str">
            <v>CDO</v>
          </cell>
          <cell r="K297">
            <v>45520</v>
          </cell>
          <cell r="L297" t="str">
            <v>-</v>
          </cell>
        </row>
        <row r="298">
          <cell r="E298" t="str">
            <v>CD_IMV_OUT_CERTIFVLR_RDC_ANL_ESTMD_FTR</v>
          </cell>
          <cell r="F298" t="str">
            <v>Output</v>
          </cell>
          <cell r="G298" t="str">
            <v>Em Teste - Alteração EF</v>
          </cell>
          <cell r="H298" t="str">
            <v>-</v>
          </cell>
          <cell r="I298" t="str">
            <v>-</v>
          </cell>
          <cell r="J298" t="str">
            <v>CDO</v>
          </cell>
          <cell r="K298">
            <v>45520</v>
          </cell>
          <cell r="L298" t="str">
            <v>-</v>
          </cell>
        </row>
        <row r="299">
          <cell r="E299" t="str">
            <v>CD_IMV_OUT_CERTIFVLR_CLASS_ENRG_APS_MDD</v>
          </cell>
          <cell r="F299" t="str">
            <v>Output</v>
          </cell>
          <cell r="G299" t="str">
            <v>Em Teste - Alteração EF</v>
          </cell>
          <cell r="H299" t="str">
            <v>-</v>
          </cell>
          <cell r="I299" t="str">
            <v>-</v>
          </cell>
          <cell r="J299" t="str">
            <v>CDO</v>
          </cell>
          <cell r="K299">
            <v>45520</v>
          </cell>
          <cell r="L299" t="str">
            <v>-</v>
          </cell>
        </row>
        <row r="300">
          <cell r="E300" t="str">
            <v>CD_IMV_OUT_CERTIFVLR_ALTTT</v>
          </cell>
          <cell r="F300" t="str">
            <v>Output</v>
          </cell>
          <cell r="G300" t="str">
            <v>Em Teste - Alteração EF</v>
          </cell>
          <cell r="H300" t="str">
            <v>-</v>
          </cell>
          <cell r="I300" t="str">
            <v>-</v>
          </cell>
          <cell r="J300" t="str">
            <v>CDO</v>
          </cell>
          <cell r="K300">
            <v>45520</v>
          </cell>
          <cell r="L300" t="str">
            <v>-</v>
          </cell>
        </row>
        <row r="301">
          <cell r="E301" t="str">
            <v>CD_IMV_OUT_CERTIFVLR_GRS_DIA</v>
          </cell>
          <cell r="F301" t="str">
            <v>Output</v>
          </cell>
          <cell r="G301" t="str">
            <v>Em Teste - Alteração EF</v>
          </cell>
          <cell r="H301" t="str">
            <v>-</v>
          </cell>
          <cell r="I301" t="str">
            <v>-</v>
          </cell>
          <cell r="J301" t="str">
            <v>CDO</v>
          </cell>
          <cell r="K301">
            <v>45520</v>
          </cell>
          <cell r="L301" t="str">
            <v>-</v>
          </cell>
        </row>
        <row r="302">
          <cell r="E302" t="str">
            <v>CD_IMV_OUT_CERTIFVLR_TMPRTR_MD_EXTRR</v>
          </cell>
          <cell r="F302" t="str">
            <v>Output</v>
          </cell>
          <cell r="G302" t="str">
            <v>Em Teste - Alteração EF</v>
          </cell>
          <cell r="H302" t="str">
            <v>-</v>
          </cell>
          <cell r="I302" t="str">
            <v>-</v>
          </cell>
          <cell r="J302" t="str">
            <v>CDO</v>
          </cell>
          <cell r="K302">
            <v>45520</v>
          </cell>
          <cell r="L302" t="str">
            <v>-</v>
          </cell>
        </row>
        <row r="303">
          <cell r="E303" t="str">
            <v>CD_IMV_OUT_CERTIFZN_CLMTC_INVRN</v>
          </cell>
          <cell r="F303" t="str">
            <v>Output</v>
          </cell>
          <cell r="G303" t="str">
            <v>Em Teste - Alteração EF</v>
          </cell>
          <cell r="H303" t="str">
            <v>-</v>
          </cell>
          <cell r="I303" t="str">
            <v>-</v>
          </cell>
          <cell r="J303" t="str">
            <v>CDO</v>
          </cell>
          <cell r="K303">
            <v>45520</v>
          </cell>
          <cell r="L303" t="str">
            <v>-</v>
          </cell>
        </row>
        <row r="304">
          <cell r="E304" t="str">
            <v>CD_IMV_OUT_CERTIFZN_CLMTC_VR</v>
          </cell>
          <cell r="F304" t="str">
            <v>Output</v>
          </cell>
          <cell r="G304" t="str">
            <v>Em Teste - Alteração EF</v>
          </cell>
          <cell r="H304" t="str">
            <v>-</v>
          </cell>
          <cell r="I304" t="str">
            <v>-</v>
          </cell>
          <cell r="J304" t="str">
            <v>CDO</v>
          </cell>
          <cell r="K304">
            <v>45520</v>
          </cell>
          <cell r="L304" t="str">
            <v>-</v>
          </cell>
        </row>
        <row r="305">
          <cell r="E305" t="str">
            <v>CD_IMV_OUT_CERTIFVLR_DRC_ESTC_AQCMNT</v>
          </cell>
          <cell r="F305" t="str">
            <v>Output</v>
          </cell>
          <cell r="G305" t="str">
            <v>Em Teste - Alteração EF</v>
          </cell>
          <cell r="H305" t="str">
            <v>-</v>
          </cell>
          <cell r="I305" t="str">
            <v>-</v>
          </cell>
          <cell r="J305" t="str">
            <v>CDO</v>
          </cell>
          <cell r="K305">
            <v>45520</v>
          </cell>
          <cell r="L305" t="str">
            <v>-</v>
          </cell>
        </row>
        <row r="306">
          <cell r="E306" t="str">
            <v>CD_IMV_OUT_CERTIFVLR_DRC_ESTC_ARRFCMNT</v>
          </cell>
          <cell r="F306" t="str">
            <v>Output</v>
          </cell>
          <cell r="G306" t="str">
            <v>Em Teste - Alteração EF</v>
          </cell>
          <cell r="H306" t="str">
            <v>-</v>
          </cell>
          <cell r="I306" t="str">
            <v>-</v>
          </cell>
          <cell r="J306" t="str">
            <v>CDO</v>
          </cell>
          <cell r="K306">
            <v>45520</v>
          </cell>
          <cell r="L306" t="str">
            <v>-</v>
          </cell>
        </row>
        <row r="307">
          <cell r="E307" t="str">
            <v>CD_IMV_OUT_CERTIFVLR_COMP_TRMC_PRDS</v>
          </cell>
          <cell r="F307" t="str">
            <v>Output</v>
          </cell>
          <cell r="G307" t="str">
            <v>Em Teste - Alteração EF</v>
          </cell>
          <cell r="H307" t="str">
            <v>-</v>
          </cell>
          <cell r="I307" t="str">
            <v>-</v>
          </cell>
          <cell r="J307" t="str">
            <v>CDO</v>
          </cell>
          <cell r="K307">
            <v>45520</v>
          </cell>
          <cell r="L307" t="str">
            <v>-</v>
          </cell>
        </row>
        <row r="308">
          <cell r="E308" t="str">
            <v>CD_IMV_OUT_CERTIFVLR_COMP_TRMC_CBRTRS</v>
          </cell>
          <cell r="F308" t="str">
            <v>Output</v>
          </cell>
          <cell r="G308" t="str">
            <v>Em Teste - Alteração EF</v>
          </cell>
          <cell r="H308" t="str">
            <v>-</v>
          </cell>
          <cell r="I308" t="str">
            <v>-</v>
          </cell>
          <cell r="J308" t="str">
            <v>CDO</v>
          </cell>
          <cell r="K308">
            <v>45520</v>
          </cell>
          <cell r="L308" t="str">
            <v>-</v>
          </cell>
        </row>
        <row r="309">
          <cell r="E309" t="str">
            <v>CD_IMV_OUT_CERTIFVLR_COMP_TRMC_PVMNTS</v>
          </cell>
          <cell r="F309" t="str">
            <v>Output</v>
          </cell>
          <cell r="G309" t="str">
            <v>Em Teste - Alteração EF</v>
          </cell>
          <cell r="H309" t="str">
            <v>-</v>
          </cell>
          <cell r="I309" t="str">
            <v>-</v>
          </cell>
          <cell r="J309" t="str">
            <v>CDO</v>
          </cell>
          <cell r="K309">
            <v>45520</v>
          </cell>
          <cell r="L309" t="str">
            <v>-</v>
          </cell>
        </row>
        <row r="310">
          <cell r="E310" t="str">
            <v>CD_IMV_OUT_CERTIFVLR_COMP_TRMC_JNLS</v>
          </cell>
          <cell r="F310" t="str">
            <v>Output</v>
          </cell>
          <cell r="G310" t="str">
            <v>Em Teste - Alteração EF</v>
          </cell>
          <cell r="H310" t="str">
            <v>-</v>
          </cell>
          <cell r="I310" t="str">
            <v>-</v>
          </cell>
          <cell r="J310" t="str">
            <v>CDO</v>
          </cell>
          <cell r="K310">
            <v>45520</v>
          </cell>
          <cell r="L310" t="str">
            <v>-</v>
          </cell>
        </row>
        <row r="311">
          <cell r="E311" t="str">
            <v>CD_IMV_OUT_CERTIFVLR_COMP_TRMC_SSTMTCN_VNTLD</v>
          </cell>
          <cell r="F311" t="str">
            <v>Output</v>
          </cell>
          <cell r="G311" t="str">
            <v>Em Teste - Alteração EF</v>
          </cell>
          <cell r="H311" t="str">
            <v>-</v>
          </cell>
          <cell r="I311" t="str">
            <v>-</v>
          </cell>
          <cell r="J311" t="str">
            <v>CDO</v>
          </cell>
          <cell r="K311">
            <v>45520</v>
          </cell>
          <cell r="L311" t="str">
            <v>-</v>
          </cell>
        </row>
        <row r="312">
          <cell r="E312" t="str">
            <v>CD_IMV_OUT_CERTIFVLR_PRDS_GNHS_INVRN_RFC</v>
          </cell>
          <cell r="F312" t="str">
            <v>Output</v>
          </cell>
          <cell r="G312" t="str">
            <v>Em Teste - Alteração EF</v>
          </cell>
          <cell r="H312" t="str">
            <v>-</v>
          </cell>
          <cell r="I312" t="str">
            <v>-</v>
          </cell>
          <cell r="J312" t="str">
            <v>CDO</v>
          </cell>
          <cell r="K312">
            <v>45520</v>
          </cell>
          <cell r="L312" t="str">
            <v>-</v>
          </cell>
        </row>
        <row r="313">
          <cell r="E313" t="str">
            <v>CD_IMV_OUT_CERTIFVLR_PRDS_GNHS_INVRN_JNL</v>
          </cell>
          <cell r="F313" t="str">
            <v>Output</v>
          </cell>
          <cell r="G313" t="str">
            <v>Em Teste - Alteração EF</v>
          </cell>
          <cell r="H313" t="str">
            <v>-</v>
          </cell>
          <cell r="I313" t="str">
            <v>-</v>
          </cell>
          <cell r="J313" t="str">
            <v>CDO</v>
          </cell>
          <cell r="K313">
            <v>45520</v>
          </cell>
          <cell r="L313" t="str">
            <v>-</v>
          </cell>
        </row>
        <row r="314">
          <cell r="E314" t="str">
            <v>CD_IMV_OUT_CERTIFVLR_PRDS_GNHS_INVRN_VNTNH</v>
          </cell>
          <cell r="F314" t="str">
            <v>Output</v>
          </cell>
          <cell r="G314" t="str">
            <v>Em Teste - Alteração EF</v>
          </cell>
          <cell r="H314" t="str">
            <v>-</v>
          </cell>
          <cell r="I314" t="str">
            <v>-</v>
          </cell>
          <cell r="J314" t="str">
            <v>CDO</v>
          </cell>
          <cell r="K314">
            <v>45520</v>
          </cell>
          <cell r="L314" t="str">
            <v>-</v>
          </cell>
        </row>
        <row r="315">
          <cell r="E315" t="str">
            <v>CD_IMV_OUT_CERTIFVLR_PRDS_GNHS_INVRN_CBRTR</v>
          </cell>
          <cell r="F315" t="str">
            <v>Output</v>
          </cell>
          <cell r="G315" t="str">
            <v>Em Teste - Alteração EF</v>
          </cell>
          <cell r="H315" t="str">
            <v>-</v>
          </cell>
          <cell r="I315" t="str">
            <v>-</v>
          </cell>
          <cell r="J315" t="str">
            <v>CDO</v>
          </cell>
          <cell r="K315">
            <v>45520</v>
          </cell>
          <cell r="L315" t="str">
            <v>-</v>
          </cell>
        </row>
        <row r="316">
          <cell r="E316" t="str">
            <v>CD_IMV_OUT_CERTIFVLR_PRD_GNH_INVRN_PRD_PRT</v>
          </cell>
          <cell r="F316" t="str">
            <v>Output</v>
          </cell>
          <cell r="G316" t="str">
            <v>Em Teste - Alteração EF</v>
          </cell>
          <cell r="H316" t="str">
            <v>-</v>
          </cell>
          <cell r="I316" t="str">
            <v>-</v>
          </cell>
          <cell r="J316" t="str">
            <v>CDO</v>
          </cell>
          <cell r="K316">
            <v>45520</v>
          </cell>
          <cell r="L316" t="str">
            <v>-</v>
          </cell>
        </row>
        <row r="317">
          <cell r="E317" t="str">
            <v>CD_IMV_OUT_CERTIFVLR_PRD_GNH_INVRN_PVMNT</v>
          </cell>
          <cell r="F317" t="str">
            <v>Output</v>
          </cell>
          <cell r="G317" t="str">
            <v>Em Teste - Alteração EF</v>
          </cell>
          <cell r="H317" t="str">
            <v>-</v>
          </cell>
          <cell r="I317" t="str">
            <v>-</v>
          </cell>
          <cell r="J317" t="str">
            <v>CDO</v>
          </cell>
          <cell r="K317">
            <v>45520</v>
          </cell>
          <cell r="L317" t="str">
            <v>-</v>
          </cell>
        </row>
        <row r="318">
          <cell r="E318" t="str">
            <v>CD_IMV_OUT_CERTIFVLR_PRDS_GNHS_VR_RFRC</v>
          </cell>
          <cell r="F318" t="str">
            <v>Output</v>
          </cell>
          <cell r="G318" t="str">
            <v>Em Teste - Alteração EF</v>
          </cell>
          <cell r="H318" t="str">
            <v>-</v>
          </cell>
          <cell r="I318" t="str">
            <v>-</v>
          </cell>
          <cell r="J318" t="str">
            <v>CDO</v>
          </cell>
          <cell r="K318">
            <v>45520</v>
          </cell>
          <cell r="L318" t="str">
            <v>-</v>
          </cell>
        </row>
        <row r="319">
          <cell r="E319" t="str">
            <v>CD_IMV_OUT_CERTIFVLR_PRDS_GNHS_VR_JNL</v>
          </cell>
          <cell r="F319" t="str">
            <v>Output</v>
          </cell>
          <cell r="G319" t="str">
            <v>Em Teste - Alteração EF</v>
          </cell>
          <cell r="H319" t="str">
            <v>-</v>
          </cell>
          <cell r="I319" t="str">
            <v>-</v>
          </cell>
          <cell r="J319" t="str">
            <v>CDO</v>
          </cell>
          <cell r="K319">
            <v>45520</v>
          </cell>
          <cell r="L319" t="str">
            <v>-</v>
          </cell>
        </row>
        <row r="320">
          <cell r="E320" t="str">
            <v>CD_IMV_OUT_CERTIFVLR_PRDS_GNHS_VR_CBRTR</v>
          </cell>
          <cell r="F320" t="str">
            <v>Output</v>
          </cell>
          <cell r="G320" t="str">
            <v>Em Teste - Alteração EF</v>
          </cell>
          <cell r="H320" t="str">
            <v>-</v>
          </cell>
          <cell r="I320" t="str">
            <v>-</v>
          </cell>
          <cell r="J320" t="str">
            <v>CDO</v>
          </cell>
          <cell r="K320">
            <v>45520</v>
          </cell>
          <cell r="L320" t="str">
            <v>-</v>
          </cell>
        </row>
        <row r="321">
          <cell r="E321" t="str">
            <v>CD_IMV_OUT_CERTIFVLR_PRDS_GNHS_VR_PRD_PRT</v>
          </cell>
          <cell r="F321" t="str">
            <v>Output</v>
          </cell>
          <cell r="G321" t="str">
            <v>Em Teste - Alteração EF</v>
          </cell>
          <cell r="H321" t="str">
            <v>-</v>
          </cell>
          <cell r="I321" t="str">
            <v>-</v>
          </cell>
          <cell r="J321" t="str">
            <v>CDO</v>
          </cell>
          <cell r="K321">
            <v>45520</v>
          </cell>
          <cell r="L321" t="str">
            <v>-</v>
          </cell>
        </row>
        <row r="322">
          <cell r="E322" t="str">
            <v>CD_IMV_OUT_CERTIFORIGEM</v>
          </cell>
          <cell r="F322" t="str">
            <v>Output</v>
          </cell>
          <cell r="G322" t="str">
            <v>Em Teste - Alteração EF</v>
          </cell>
          <cell r="H322" t="str">
            <v>-</v>
          </cell>
          <cell r="I322" t="str">
            <v>-</v>
          </cell>
          <cell r="J322" t="str">
            <v>CDO</v>
          </cell>
          <cell r="K322">
            <v>45520</v>
          </cell>
          <cell r="L322" t="str">
            <v>-</v>
          </cell>
        </row>
        <row r="323">
          <cell r="E323" t="str">
            <v>CD_IMV_OUT_CERTIFMETODO_INFO</v>
          </cell>
          <cell r="F323" t="str">
            <v>Output</v>
          </cell>
          <cell r="G323" t="str">
            <v>Em Teste - Alteração EF</v>
          </cell>
          <cell r="H323" t="str">
            <v>-</v>
          </cell>
          <cell r="I323" t="str">
            <v>-</v>
          </cell>
          <cell r="J323" t="str">
            <v>CDO</v>
          </cell>
          <cell r="K323">
            <v>45520</v>
          </cell>
          <cell r="L323" t="str">
            <v>-</v>
          </cell>
        </row>
        <row r="324">
          <cell r="E324" t="str">
            <v>CD_IMV_OUT_PRCCEMPRESA</v>
          </cell>
          <cell r="F324" t="str">
            <v>Output</v>
          </cell>
          <cell r="G324" t="str">
            <v>Em Teste - Alteração EF</v>
          </cell>
          <cell r="H324" t="str">
            <v>-</v>
          </cell>
          <cell r="I324" t="str">
            <v>-</v>
          </cell>
          <cell r="J324" t="str">
            <v>CDO</v>
          </cell>
          <cell r="K324">
            <v>45513</v>
          </cell>
          <cell r="L324" t="str">
            <v>-</v>
          </cell>
        </row>
        <row r="325">
          <cell r="E325" t="str">
            <v>CD_IMV_OUT_PRCCKBALCAO</v>
          </cell>
          <cell r="F325" t="str">
            <v>Output</v>
          </cell>
          <cell r="G325" t="str">
            <v>Em Teste - Alteração EF</v>
          </cell>
          <cell r="H325" t="str">
            <v>-</v>
          </cell>
          <cell r="I325" t="str">
            <v>-</v>
          </cell>
          <cell r="J325" t="str">
            <v>CDO</v>
          </cell>
          <cell r="K325">
            <v>45513</v>
          </cell>
          <cell r="L325" t="str">
            <v>-</v>
          </cell>
        </row>
        <row r="326">
          <cell r="E326" t="str">
            <v>CD_IMV_OUT_PRCCKNUMCTA</v>
          </cell>
          <cell r="F326" t="str">
            <v>Output</v>
          </cell>
          <cell r="G326" t="str">
            <v>Em Teste - Alteração EF</v>
          </cell>
          <cell r="H326" t="str">
            <v>-</v>
          </cell>
          <cell r="I326" t="str">
            <v>-</v>
          </cell>
          <cell r="J326" t="str">
            <v>CDO</v>
          </cell>
          <cell r="K326">
            <v>45513</v>
          </cell>
          <cell r="L326" t="str">
            <v>-</v>
          </cell>
        </row>
        <row r="327">
          <cell r="E327" t="str">
            <v>CD_IMV_OUT_PRCCOMP_ID_GAR</v>
          </cell>
          <cell r="F327" t="str">
            <v>Output</v>
          </cell>
          <cell r="G327" t="str">
            <v>Em Teste - Alteração EF</v>
          </cell>
          <cell r="H327" t="str">
            <v>-</v>
          </cell>
          <cell r="I327" t="str">
            <v>-</v>
          </cell>
          <cell r="J327" t="str">
            <v>CDO</v>
          </cell>
          <cell r="K327">
            <v>45513</v>
          </cell>
          <cell r="L327" t="str">
            <v>-</v>
          </cell>
        </row>
        <row r="328">
          <cell r="E328" t="str">
            <v>CD_IMV_OUT_PRCCOD_PRD_GRNT</v>
          </cell>
          <cell r="F328" t="str">
            <v>Output</v>
          </cell>
          <cell r="G328" t="str">
            <v>Em Teste - Alteração EF</v>
          </cell>
          <cell r="H328" t="str">
            <v>-</v>
          </cell>
          <cell r="I328" t="str">
            <v>-</v>
          </cell>
          <cell r="J328" t="str">
            <v>CDO</v>
          </cell>
          <cell r="K328">
            <v>45513</v>
          </cell>
          <cell r="L328" t="str">
            <v>-</v>
          </cell>
        </row>
        <row r="329">
          <cell r="E329" t="str">
            <v>CD_IMV_OUT_PRCCOD_SPRD_GRNT</v>
          </cell>
          <cell r="F329" t="str">
            <v>Output</v>
          </cell>
          <cell r="G329" t="str">
            <v>Em Teste - Alteração EF</v>
          </cell>
          <cell r="H329" t="str">
            <v>-</v>
          </cell>
          <cell r="I329" t="str">
            <v>-</v>
          </cell>
          <cell r="J329" t="str">
            <v>CDO</v>
          </cell>
          <cell r="K329">
            <v>45513</v>
          </cell>
          <cell r="L329" t="str">
            <v>-</v>
          </cell>
        </row>
        <row r="330">
          <cell r="E330" t="str">
            <v>CD_IMV_OUT_PRCDATA_INICIO</v>
          </cell>
          <cell r="F330" t="str">
            <v>Output</v>
          </cell>
          <cell r="G330" t="str">
            <v>Em Teste - Alteração EF</v>
          </cell>
          <cell r="H330" t="str">
            <v>-</v>
          </cell>
          <cell r="I330" t="str">
            <v>-</v>
          </cell>
          <cell r="J330" t="str">
            <v>CDO</v>
          </cell>
          <cell r="K330">
            <v>45513</v>
          </cell>
          <cell r="L330" t="str">
            <v>-</v>
          </cell>
        </row>
        <row r="331">
          <cell r="E331" t="str">
            <v>CD_IMV_OUT_PRCDATA_VCMT</v>
          </cell>
          <cell r="F331" t="str">
            <v>Output</v>
          </cell>
          <cell r="G331" t="str">
            <v>Em Teste - Alteração EF</v>
          </cell>
          <cell r="H331" t="str">
            <v>-</v>
          </cell>
          <cell r="I331" t="str">
            <v>-</v>
          </cell>
          <cell r="J331" t="str">
            <v>CDO</v>
          </cell>
          <cell r="K331">
            <v>45513</v>
          </cell>
          <cell r="L331" t="str">
            <v>-</v>
          </cell>
        </row>
        <row r="332">
          <cell r="E332" t="str">
            <v>CD_IMV_OUT_PRCCOD_TIPO</v>
          </cell>
          <cell r="F332" t="str">
            <v>Output</v>
          </cell>
          <cell r="G332" t="str">
            <v>Em Teste - Alteração EF</v>
          </cell>
          <cell r="H332" t="str">
            <v>-</v>
          </cell>
          <cell r="I332" t="str">
            <v>-</v>
          </cell>
          <cell r="J332" t="str">
            <v>CDO</v>
          </cell>
          <cell r="K332">
            <v>45513</v>
          </cell>
          <cell r="L332" t="str">
            <v>-</v>
          </cell>
        </row>
        <row r="333">
          <cell r="E333" t="str">
            <v>CD_IMV_OUT_PRCCOD_MOEDA</v>
          </cell>
          <cell r="F333" t="str">
            <v>Output</v>
          </cell>
          <cell r="G333" t="str">
            <v>Em Teste - Alteração EF</v>
          </cell>
          <cell r="H333" t="str">
            <v>-</v>
          </cell>
          <cell r="I333" t="str">
            <v>-</v>
          </cell>
          <cell r="J333" t="str">
            <v>CDO</v>
          </cell>
          <cell r="K333">
            <v>45513</v>
          </cell>
          <cell r="L333" t="str">
            <v>-</v>
          </cell>
        </row>
        <row r="334">
          <cell r="E334" t="str">
            <v>CD_IMV_OUT_PRCMONTANTE_EUR</v>
          </cell>
          <cell r="F334" t="str">
            <v>Output</v>
          </cell>
          <cell r="G334" t="str">
            <v>Em Teste - Alteração EF</v>
          </cell>
          <cell r="H334" t="str">
            <v>-</v>
          </cell>
          <cell r="I334" t="str">
            <v>-</v>
          </cell>
          <cell r="J334" t="str">
            <v>CDO</v>
          </cell>
          <cell r="K334">
            <v>45513</v>
          </cell>
          <cell r="L334" t="str">
            <v>-</v>
          </cell>
        </row>
        <row r="335">
          <cell r="E335" t="str">
            <v>CD_IMV_OUT_PRCMONTANTE_ORG</v>
          </cell>
          <cell r="F335" t="str">
            <v>Output</v>
          </cell>
          <cell r="G335" t="str">
            <v>Em Teste - Alteração EF</v>
          </cell>
          <cell r="H335" t="str">
            <v>-</v>
          </cell>
          <cell r="I335" t="str">
            <v>-</v>
          </cell>
          <cell r="J335" t="str">
            <v>CDO</v>
          </cell>
          <cell r="K335">
            <v>45513</v>
          </cell>
          <cell r="L335" t="str">
            <v>-</v>
          </cell>
        </row>
        <row r="336">
          <cell r="E336" t="str">
            <v>CD_IMV_OUT_PRCCOD_GRT</v>
          </cell>
          <cell r="F336" t="str">
            <v>Output</v>
          </cell>
          <cell r="G336" t="str">
            <v>Em Teste - Alteração EF</v>
          </cell>
          <cell r="H336" t="str">
            <v>-</v>
          </cell>
          <cell r="I336" t="str">
            <v>-</v>
          </cell>
          <cell r="J336" t="str">
            <v>CDO</v>
          </cell>
          <cell r="K336">
            <v>45513</v>
          </cell>
          <cell r="L336" t="str">
            <v>-</v>
          </cell>
        </row>
        <row r="337">
          <cell r="E337" t="str">
            <v>CD_IMV_OUT_PRCCOD_ESTD_PRCS</v>
          </cell>
          <cell r="F337" t="str">
            <v>Output</v>
          </cell>
          <cell r="G337" t="str">
            <v>Em Teste - Alteração EF</v>
          </cell>
          <cell r="H337" t="str">
            <v>-</v>
          </cell>
          <cell r="I337" t="str">
            <v>-</v>
          </cell>
          <cell r="J337" t="str">
            <v>CDO</v>
          </cell>
          <cell r="K337">
            <v>45513</v>
          </cell>
          <cell r="L337" t="str">
            <v>-</v>
          </cell>
        </row>
        <row r="338">
          <cell r="E338" t="str">
            <v>CD_IMV_OUT_PRCCOD_OBSERVACAO</v>
          </cell>
          <cell r="F338" t="str">
            <v>Output</v>
          </cell>
          <cell r="G338" t="str">
            <v>Em Teste - Alteração EF</v>
          </cell>
          <cell r="H338" t="str">
            <v>-</v>
          </cell>
          <cell r="I338" t="str">
            <v>-</v>
          </cell>
          <cell r="J338" t="str">
            <v>CDO</v>
          </cell>
          <cell r="K338">
            <v>45513</v>
          </cell>
          <cell r="L338" t="str">
            <v>-</v>
          </cell>
        </row>
        <row r="339">
          <cell r="E339" t="str">
            <v>CD_IMV_OUT_PRCREF_DATE</v>
          </cell>
          <cell r="F339" t="str">
            <v>Output</v>
          </cell>
          <cell r="G339" t="str">
            <v>Em Teste - Alteração EF</v>
          </cell>
          <cell r="H339" t="str">
            <v>-</v>
          </cell>
          <cell r="I339" t="str">
            <v>-</v>
          </cell>
          <cell r="J339" t="str">
            <v>CDO</v>
          </cell>
          <cell r="K339">
            <v>45513</v>
          </cell>
          <cell r="L339" t="str">
            <v>-</v>
          </cell>
        </row>
        <row r="340">
          <cell r="E340" t="str">
            <v>CD_IMV_OUT_PRCORIGEM</v>
          </cell>
          <cell r="F340" t="str">
            <v>Output</v>
          </cell>
          <cell r="G340" t="str">
            <v>Em Teste - Alteração EF</v>
          </cell>
          <cell r="H340" t="str">
            <v>-</v>
          </cell>
          <cell r="I340" t="str">
            <v>-</v>
          </cell>
          <cell r="J340" t="str">
            <v>CDO</v>
          </cell>
          <cell r="K340">
            <v>45513</v>
          </cell>
          <cell r="L340" t="str">
            <v>-</v>
          </cell>
        </row>
        <row r="341">
          <cell r="E341" t="str">
            <v>CD_IMV_OUT_TRZ_CRED_PRCCEMPRESP</v>
          </cell>
          <cell r="F341" t="str">
            <v>Output</v>
          </cell>
          <cell r="G341" t="str">
            <v>Em Teste - Alteração EF</v>
          </cell>
          <cell r="H341" t="str">
            <v>-</v>
          </cell>
          <cell r="I341" t="str">
            <v>-</v>
          </cell>
          <cell r="J341" t="str">
            <v>CDO</v>
          </cell>
          <cell r="K341">
            <v>45513</v>
          </cell>
          <cell r="L341" t="str">
            <v>-</v>
          </cell>
        </row>
        <row r="342">
          <cell r="E342" t="str">
            <v>CD_IMV_OUT_TRZ_CRED_PRCCKBALRES</v>
          </cell>
          <cell r="F342" t="str">
            <v>Output</v>
          </cell>
          <cell r="G342" t="str">
            <v>Em Teste - Alteração EF</v>
          </cell>
          <cell r="H342" t="str">
            <v>-</v>
          </cell>
          <cell r="I342" t="str">
            <v>-</v>
          </cell>
          <cell r="J342" t="str">
            <v>CDO</v>
          </cell>
          <cell r="K342">
            <v>45513</v>
          </cell>
          <cell r="L342" t="str">
            <v>-</v>
          </cell>
        </row>
        <row r="343">
          <cell r="E343" t="str">
            <v>CD_IMV_OUT_TRZ_CRED_PRCCKCTARES</v>
          </cell>
          <cell r="F343" t="str">
            <v>Output</v>
          </cell>
          <cell r="G343" t="str">
            <v>Em Teste - Alteração EF</v>
          </cell>
          <cell r="H343" t="str">
            <v>-</v>
          </cell>
          <cell r="I343" t="str">
            <v>-</v>
          </cell>
          <cell r="J343" t="str">
            <v>CDO</v>
          </cell>
          <cell r="K343">
            <v>45513</v>
          </cell>
          <cell r="L343" t="str">
            <v>-</v>
          </cell>
        </row>
        <row r="344">
          <cell r="E344" t="str">
            <v>CD_IMV_OUT_TRZ_CRED_PRCCKREFRESP</v>
          </cell>
          <cell r="F344" t="str">
            <v>Output</v>
          </cell>
          <cell r="G344" t="str">
            <v>Em Teste - Alteração EF</v>
          </cell>
          <cell r="H344" t="str">
            <v>-</v>
          </cell>
          <cell r="I344" t="str">
            <v>-</v>
          </cell>
          <cell r="J344" t="str">
            <v>CDO</v>
          </cell>
          <cell r="K344">
            <v>45513</v>
          </cell>
          <cell r="L344" t="str">
            <v>-</v>
          </cell>
        </row>
        <row r="345">
          <cell r="E345" t="str">
            <v>CD_IMV_OUT_TRZ_CRED_PRCCEMPRESA</v>
          </cell>
          <cell r="F345" t="str">
            <v>Output</v>
          </cell>
          <cell r="G345" t="str">
            <v>Em Teste - Alteração EF</v>
          </cell>
          <cell r="H345" t="str">
            <v>-</v>
          </cell>
          <cell r="I345" t="str">
            <v>-</v>
          </cell>
          <cell r="J345" t="str">
            <v>CDO</v>
          </cell>
          <cell r="K345">
            <v>45513</v>
          </cell>
          <cell r="L345" t="str">
            <v>-</v>
          </cell>
        </row>
        <row r="346">
          <cell r="E346" t="str">
            <v>CD_IMV_OUT_TRZ_CRED_PRCCKBALCAO</v>
          </cell>
          <cell r="F346" t="str">
            <v>Output</v>
          </cell>
          <cell r="G346" t="str">
            <v>Em Teste - Alteração EF</v>
          </cell>
          <cell r="H346" t="str">
            <v>-</v>
          </cell>
          <cell r="I346" t="str">
            <v>-</v>
          </cell>
          <cell r="J346" t="str">
            <v>CDO</v>
          </cell>
          <cell r="K346">
            <v>45513</v>
          </cell>
          <cell r="L346" t="str">
            <v>-</v>
          </cell>
        </row>
        <row r="347">
          <cell r="E347" t="str">
            <v>CD_IMV_OUT_TRZ_CRED_PRCCKNUMCTA</v>
          </cell>
          <cell r="F347" t="str">
            <v>Output</v>
          </cell>
          <cell r="G347" t="str">
            <v>Em Teste - Alteração EF</v>
          </cell>
          <cell r="H347" t="str">
            <v>-</v>
          </cell>
          <cell r="I347" t="str">
            <v>-</v>
          </cell>
          <cell r="J347" t="str">
            <v>CDO</v>
          </cell>
          <cell r="K347">
            <v>45513</v>
          </cell>
          <cell r="L347" t="str">
            <v>-</v>
          </cell>
        </row>
        <row r="348">
          <cell r="E348" t="str">
            <v>CD_IMV_OUT_TRZ_CRED_PRCCOMP_ID_GAR</v>
          </cell>
          <cell r="F348" t="str">
            <v>Output</v>
          </cell>
          <cell r="G348" t="str">
            <v>Em Teste - Alteração EF</v>
          </cell>
          <cell r="H348" t="str">
            <v>-</v>
          </cell>
          <cell r="I348" t="str">
            <v>-</v>
          </cell>
          <cell r="J348" t="str">
            <v>CDO</v>
          </cell>
          <cell r="K348">
            <v>45513</v>
          </cell>
          <cell r="L348" t="str">
            <v>-</v>
          </cell>
        </row>
        <row r="349">
          <cell r="E349" t="str">
            <v>CD_IMV_OUT_TRZ_CRED_PRCCOD_SIT</v>
          </cell>
          <cell r="F349" t="str">
            <v>Output</v>
          </cell>
          <cell r="G349" t="str">
            <v>Em Teste - Alteração EF</v>
          </cell>
          <cell r="H349" t="str">
            <v>-</v>
          </cell>
          <cell r="I349" t="str">
            <v>-</v>
          </cell>
          <cell r="J349" t="str">
            <v>CDO</v>
          </cell>
          <cell r="K349">
            <v>45513</v>
          </cell>
          <cell r="L349" t="str">
            <v>-</v>
          </cell>
        </row>
        <row r="350">
          <cell r="E350" t="str">
            <v>CD_IMV_OUT_TRZ_CRED_PRCDATA_INICIO</v>
          </cell>
          <cell r="F350" t="str">
            <v>Output</v>
          </cell>
          <cell r="G350" t="str">
            <v>Em Teste - Alteração EF</v>
          </cell>
          <cell r="H350" t="str">
            <v>-</v>
          </cell>
          <cell r="I350" t="str">
            <v>-</v>
          </cell>
          <cell r="J350" t="str">
            <v>CDO</v>
          </cell>
          <cell r="K350">
            <v>45513</v>
          </cell>
          <cell r="L350" t="str">
            <v>-</v>
          </cell>
        </row>
        <row r="351">
          <cell r="E351" t="str">
            <v>CD_IMV_OUT_TRZ_CRED_PRCDATA_FIM</v>
          </cell>
          <cell r="F351" t="str">
            <v>Output</v>
          </cell>
          <cell r="G351" t="str">
            <v>Em Teste - Alteração EF</v>
          </cell>
          <cell r="H351" t="str">
            <v>-</v>
          </cell>
          <cell r="I351" t="str">
            <v>-</v>
          </cell>
          <cell r="J351" t="str">
            <v>CDO</v>
          </cell>
          <cell r="K351">
            <v>45513</v>
          </cell>
          <cell r="L351" t="str">
            <v>-</v>
          </cell>
        </row>
        <row r="352">
          <cell r="E352" t="str">
            <v>CD_IMV_OUT_TRZ_CRED_PRCDATA_VCMT</v>
          </cell>
          <cell r="F352" t="str">
            <v>Output</v>
          </cell>
          <cell r="G352" t="str">
            <v>Em Teste - Alteração EF</v>
          </cell>
          <cell r="H352" t="str">
            <v>-</v>
          </cell>
          <cell r="I352" t="str">
            <v>-</v>
          </cell>
          <cell r="J352" t="str">
            <v>CDO</v>
          </cell>
          <cell r="K352">
            <v>45513</v>
          </cell>
          <cell r="L352" t="str">
            <v>-</v>
          </cell>
        </row>
        <row r="353">
          <cell r="E353" t="str">
            <v>CD_IMV_OUT_TRZ_CRED_PRCCOD_PRD_RESP</v>
          </cell>
          <cell r="F353" t="str">
            <v>Output</v>
          </cell>
          <cell r="G353" t="str">
            <v>Em Teste - Alteração EF</v>
          </cell>
          <cell r="H353" t="str">
            <v>-</v>
          </cell>
          <cell r="I353" t="str">
            <v>-</v>
          </cell>
          <cell r="J353" t="str">
            <v>CDO</v>
          </cell>
          <cell r="K353">
            <v>45513</v>
          </cell>
          <cell r="L353" t="str">
            <v>-</v>
          </cell>
        </row>
        <row r="354">
          <cell r="E354" t="str">
            <v>CD_IMV_OUT_TRZ_CRED_PRCCOD_SPRD_RESP</v>
          </cell>
          <cell r="F354" t="str">
            <v>Output</v>
          </cell>
          <cell r="G354" t="str">
            <v>Em Teste - Alteração EF</v>
          </cell>
          <cell r="H354" t="str">
            <v>-</v>
          </cell>
          <cell r="I354" t="str">
            <v>-</v>
          </cell>
          <cell r="J354" t="str">
            <v>CDO</v>
          </cell>
          <cell r="K354">
            <v>45513</v>
          </cell>
          <cell r="L354" t="str">
            <v>-</v>
          </cell>
        </row>
        <row r="355">
          <cell r="E355" t="str">
            <v>CD_IMV_OUT_TRZ_CRED_PRCCOD_FNLD</v>
          </cell>
          <cell r="F355" t="str">
            <v>Output</v>
          </cell>
          <cell r="G355" t="str">
            <v>Em Teste - Alteração EF</v>
          </cell>
          <cell r="H355" t="str">
            <v>-</v>
          </cell>
          <cell r="I355" t="str">
            <v>-</v>
          </cell>
          <cell r="J355" t="str">
            <v>CDO</v>
          </cell>
          <cell r="K355">
            <v>45513</v>
          </cell>
          <cell r="L355" t="str">
            <v>-</v>
          </cell>
        </row>
        <row r="356">
          <cell r="E356" t="str">
            <v>CD_IMV_OUT_TRZ_CRED_PRCNUM_PROP</v>
          </cell>
          <cell r="F356" t="str">
            <v>Output</v>
          </cell>
          <cell r="G356" t="str">
            <v>Em Teste - Alteração EF</v>
          </cell>
          <cell r="H356" t="str">
            <v>-</v>
          </cell>
          <cell r="I356" t="str">
            <v>-</v>
          </cell>
          <cell r="J356" t="str">
            <v>CDO</v>
          </cell>
          <cell r="K356">
            <v>45513</v>
          </cell>
          <cell r="L356" t="str">
            <v>-</v>
          </cell>
        </row>
        <row r="357">
          <cell r="E357" t="str">
            <v>CD_IMV_OUT_TRZ_CRED_PRCCOD_OCUPACAO</v>
          </cell>
          <cell r="F357" t="str">
            <v>Output</v>
          </cell>
          <cell r="G357" t="str">
            <v>Em Teste - Alteração EF</v>
          </cell>
          <cell r="H357" t="str">
            <v>-</v>
          </cell>
          <cell r="I357" t="str">
            <v>-</v>
          </cell>
          <cell r="J357" t="str">
            <v>CDO</v>
          </cell>
          <cell r="K357">
            <v>45513</v>
          </cell>
          <cell r="L357" t="str">
            <v>-</v>
          </cell>
        </row>
        <row r="358">
          <cell r="E358" t="str">
            <v>CD_IMV_OUT_TRZ_CRED_PRCIDETGAR</v>
          </cell>
          <cell r="F358" t="str">
            <v>Output</v>
          </cell>
          <cell r="G358" t="str">
            <v>Em Teste - Alteração EF</v>
          </cell>
          <cell r="H358" t="str">
            <v>-</v>
          </cell>
          <cell r="I358" t="str">
            <v>-</v>
          </cell>
          <cell r="J358" t="str">
            <v>CDO</v>
          </cell>
          <cell r="K358">
            <v>45513</v>
          </cell>
          <cell r="L358" t="str">
            <v>-</v>
          </cell>
        </row>
        <row r="359">
          <cell r="E359" t="str">
            <v>CD_IMV_OUT_TRZ_CRED_PRCREF_DATE</v>
          </cell>
          <cell r="F359" t="str">
            <v>Output</v>
          </cell>
          <cell r="G359" t="str">
            <v>Em Teste - Alteração EF</v>
          </cell>
          <cell r="H359" t="str">
            <v>-</v>
          </cell>
          <cell r="I359" t="str">
            <v>-</v>
          </cell>
          <cell r="J359" t="str">
            <v>CDO</v>
          </cell>
          <cell r="K359">
            <v>45513</v>
          </cell>
          <cell r="L359" t="str">
            <v>-</v>
          </cell>
        </row>
        <row r="360">
          <cell r="E360" t="str">
            <v>CD_IMV_OUT_TRZ_CRED_PRCORIGEM</v>
          </cell>
          <cell r="F360" t="str">
            <v>Output</v>
          </cell>
          <cell r="G360" t="str">
            <v>Em Teste - Alteração EF</v>
          </cell>
          <cell r="H360" t="str">
            <v>-</v>
          </cell>
          <cell r="I360" t="str">
            <v>-</v>
          </cell>
          <cell r="J360" t="str">
            <v>CDO</v>
          </cell>
          <cell r="K360">
            <v>45513</v>
          </cell>
          <cell r="L360" t="str">
            <v>-</v>
          </cell>
        </row>
        <row r="361">
          <cell r="E361" t="str">
            <v>CD_IMV_OUT_TRZ_PRC_BENS_IMVCEMPRESA</v>
          </cell>
          <cell r="F361" t="str">
            <v>Output</v>
          </cell>
          <cell r="G361" t="str">
            <v>Em Teste - Alteração EF</v>
          </cell>
          <cell r="H361" t="str">
            <v>-</v>
          </cell>
          <cell r="I361" t="str">
            <v>-</v>
          </cell>
          <cell r="J361" t="str">
            <v>CDO</v>
          </cell>
          <cell r="K361">
            <v>45450</v>
          </cell>
          <cell r="L361" t="str">
            <v>-</v>
          </cell>
        </row>
        <row r="362">
          <cell r="E362" t="str">
            <v>CD_IMV_OUT_TRZ_PRC_BENS_IMVCKBALCAO</v>
          </cell>
          <cell r="F362" t="str">
            <v>Output</v>
          </cell>
          <cell r="G362" t="str">
            <v>Em Teste - Alteração EF</v>
          </cell>
          <cell r="H362" t="str">
            <v>-</v>
          </cell>
          <cell r="I362" t="str">
            <v>-</v>
          </cell>
          <cell r="J362" t="str">
            <v>CDO</v>
          </cell>
          <cell r="K362">
            <v>45450</v>
          </cell>
          <cell r="L362" t="str">
            <v>-</v>
          </cell>
        </row>
        <row r="363">
          <cell r="E363" t="str">
            <v>CD_IMV_OUT_TRZ_PRC_BENS_IMVCKNUMCTA</v>
          </cell>
          <cell r="F363" t="str">
            <v>Output</v>
          </cell>
          <cell r="G363" t="str">
            <v>Em Teste - Alteração EF</v>
          </cell>
          <cell r="H363" t="str">
            <v>-</v>
          </cell>
          <cell r="I363" t="str">
            <v>-</v>
          </cell>
          <cell r="J363" t="str">
            <v>CDO</v>
          </cell>
          <cell r="K363">
            <v>45450</v>
          </cell>
          <cell r="L363" t="str">
            <v>-</v>
          </cell>
        </row>
        <row r="364">
          <cell r="E364" t="str">
            <v>CD_IMV_OUT_TRZ_PRC_BENS_IMVCOMP_ID_GAR</v>
          </cell>
          <cell r="F364" t="str">
            <v>Output</v>
          </cell>
          <cell r="G364" t="str">
            <v>Em Teste - Alteração EF</v>
          </cell>
          <cell r="H364" t="str">
            <v>-</v>
          </cell>
          <cell r="I364" t="str">
            <v>-</v>
          </cell>
          <cell r="J364" t="str">
            <v>CDO</v>
          </cell>
          <cell r="K364">
            <v>45450</v>
          </cell>
          <cell r="L364" t="str">
            <v>-</v>
          </cell>
        </row>
        <row r="365">
          <cell r="E365" t="str">
            <v>CD_IMV_OUT_TRZ_PRC_BENS_IMVCEMPBEM</v>
          </cell>
          <cell r="F365" t="str">
            <v>Output</v>
          </cell>
          <cell r="G365" t="str">
            <v>Em Teste - Alteração EF</v>
          </cell>
          <cell r="H365" t="str">
            <v>-</v>
          </cell>
          <cell r="I365" t="str">
            <v>-</v>
          </cell>
          <cell r="J365" t="str">
            <v>CDO</v>
          </cell>
          <cell r="K365">
            <v>45450</v>
          </cell>
          <cell r="L365" t="str">
            <v>-</v>
          </cell>
        </row>
        <row r="366">
          <cell r="E366" t="str">
            <v>CD_IMV_OUT_TRZ_PRC_BENS_IMVCKBALBEM</v>
          </cell>
          <cell r="F366" t="str">
            <v>Output</v>
          </cell>
          <cell r="G366" t="str">
            <v>Em Teste - Alteração EF</v>
          </cell>
          <cell r="H366" t="str">
            <v>-</v>
          </cell>
          <cell r="I366" t="str">
            <v>-</v>
          </cell>
          <cell r="J366" t="str">
            <v>CDO</v>
          </cell>
          <cell r="K366">
            <v>45450</v>
          </cell>
          <cell r="L366" t="str">
            <v>-</v>
          </cell>
        </row>
        <row r="367">
          <cell r="E367" t="str">
            <v>CD_IMV_OUT_TRZ_PRC_BENS_IMVCKCTABEM</v>
          </cell>
          <cell r="F367" t="str">
            <v>Output</v>
          </cell>
          <cell r="G367" t="str">
            <v>Em Teste - Alteração EF</v>
          </cell>
          <cell r="H367" t="str">
            <v>-</v>
          </cell>
          <cell r="I367" t="str">
            <v>-</v>
          </cell>
          <cell r="J367" t="str">
            <v>CDO</v>
          </cell>
          <cell r="K367">
            <v>45450</v>
          </cell>
          <cell r="L367" t="str">
            <v>-</v>
          </cell>
        </row>
        <row r="368">
          <cell r="E368" t="str">
            <v>CD_IMV_OUT_TRZ_PRC_BENS_IMVCKREFBEM</v>
          </cell>
          <cell r="F368" t="str">
            <v>Output</v>
          </cell>
          <cell r="G368" t="str">
            <v>Em Teste - Alteração EF</v>
          </cell>
          <cell r="H368" t="str">
            <v>-</v>
          </cell>
          <cell r="I368" t="str">
            <v>-</v>
          </cell>
          <cell r="J368" t="str">
            <v>CDO</v>
          </cell>
          <cell r="K368">
            <v>45450</v>
          </cell>
          <cell r="L368" t="str">
            <v>-</v>
          </cell>
        </row>
        <row r="369">
          <cell r="E369" t="str">
            <v>CD_IMV_OUT_TRZ_PRC_BENS_IMVDATA_ASSC</v>
          </cell>
          <cell r="F369" t="str">
            <v>Output</v>
          </cell>
          <cell r="G369" t="str">
            <v>Em Teste - Alteração EF</v>
          </cell>
          <cell r="H369" t="str">
            <v>-</v>
          </cell>
          <cell r="I369" t="str">
            <v>-</v>
          </cell>
          <cell r="J369" t="str">
            <v>CDO</v>
          </cell>
          <cell r="K369">
            <v>45450</v>
          </cell>
          <cell r="L369" t="str">
            <v>-</v>
          </cell>
        </row>
        <row r="370">
          <cell r="E370" t="str">
            <v>CD_IMV_OUT_TRZ_PRC_BENS_IMVFLG_FIN</v>
          </cell>
          <cell r="F370" t="str">
            <v>Output</v>
          </cell>
          <cell r="G370" t="str">
            <v>Em Teste - Alteração EF</v>
          </cell>
          <cell r="H370" t="str">
            <v>-</v>
          </cell>
          <cell r="I370" t="str">
            <v>-</v>
          </cell>
          <cell r="J370" t="str">
            <v>CDO</v>
          </cell>
          <cell r="K370">
            <v>45450</v>
          </cell>
          <cell r="L370" t="str">
            <v>-</v>
          </cell>
        </row>
        <row r="371">
          <cell r="E371" t="str">
            <v>CD_IMV_OUT_TRZ_PRC_BENS_IMVFLG_ADJ</v>
          </cell>
          <cell r="F371" t="str">
            <v>Output</v>
          </cell>
          <cell r="G371" t="str">
            <v>Em Teste - Alteração EF</v>
          </cell>
          <cell r="H371" t="str">
            <v>-</v>
          </cell>
          <cell r="I371" t="str">
            <v>-</v>
          </cell>
          <cell r="J371" t="str">
            <v>CDO</v>
          </cell>
          <cell r="K371">
            <v>45450</v>
          </cell>
          <cell r="L371" t="str">
            <v>-</v>
          </cell>
        </row>
        <row r="372">
          <cell r="E372" t="str">
            <v>CD_IMV_OUT_TRZ_PRC_BENS_IMVFLG_COL</v>
          </cell>
          <cell r="F372" t="str">
            <v>Output</v>
          </cell>
          <cell r="G372" t="str">
            <v>Em Teste - Alteração EF</v>
          </cell>
          <cell r="H372" t="str">
            <v>-</v>
          </cell>
          <cell r="I372" t="str">
            <v>-</v>
          </cell>
          <cell r="J372" t="str">
            <v>CDO</v>
          </cell>
          <cell r="K372">
            <v>45450</v>
          </cell>
          <cell r="L372" t="str">
            <v>-</v>
          </cell>
        </row>
        <row r="373">
          <cell r="E373" t="str">
            <v>CD_IMV_OUT_TRZ_PRC_BENS_IMVFLG_PRO</v>
          </cell>
          <cell r="F373" t="str">
            <v>Output</v>
          </cell>
          <cell r="G373" t="str">
            <v>Em Teste - Alteração EF</v>
          </cell>
          <cell r="H373" t="str">
            <v>-</v>
          </cell>
          <cell r="I373" t="str">
            <v>-</v>
          </cell>
          <cell r="J373" t="str">
            <v>CDO</v>
          </cell>
          <cell r="K373">
            <v>45450</v>
          </cell>
          <cell r="L373" t="str">
            <v>-</v>
          </cell>
        </row>
        <row r="374">
          <cell r="E374" t="str">
            <v>CD_IMV_OUT_TRZ_PRC_BENS_IMVREF_DATE</v>
          </cell>
          <cell r="F374" t="str">
            <v>Output</v>
          </cell>
          <cell r="G374" t="str">
            <v>Em Teste - Alteração EF</v>
          </cell>
          <cell r="H374" t="str">
            <v>-</v>
          </cell>
          <cell r="I374" t="str">
            <v>-</v>
          </cell>
          <cell r="J374" t="str">
            <v>CDO</v>
          </cell>
          <cell r="K374">
            <v>45450</v>
          </cell>
          <cell r="L374" t="str">
            <v>-</v>
          </cell>
        </row>
        <row r="375">
          <cell r="E375" t="str">
            <v>CD_IMV_OUT_TRZ_PRC_BENS_IMVORIGEM</v>
          </cell>
          <cell r="F375" t="str">
            <v>Output</v>
          </cell>
          <cell r="G375" t="str">
            <v>Em Teste - Alteração EF</v>
          </cell>
          <cell r="H375" t="str">
            <v>-</v>
          </cell>
          <cell r="I375" t="str">
            <v>-</v>
          </cell>
          <cell r="J375" t="str">
            <v>CDO</v>
          </cell>
          <cell r="K375">
            <v>45450</v>
          </cell>
          <cell r="L375" t="str">
            <v>-</v>
          </cell>
        </row>
      </sheetData>
      <sheetData sheetId="9"/>
      <sheetData sheetId="10"/>
      <sheetData sheetId="11"/>
      <sheetData sheetId="12"/>
      <sheetData sheetId="13">
        <row r="59">
          <cell r="B59" t="str">
            <v>OK</v>
          </cell>
          <cell r="C59" t="str">
            <v>NOK</v>
          </cell>
          <cell r="D59" t="str">
            <v>WIP</v>
          </cell>
          <cell r="E59" t="str">
            <v>NS</v>
          </cell>
          <cell r="F59" t="str">
            <v>NA</v>
          </cell>
        </row>
        <row r="60">
          <cell r="B60">
            <v>0.93931505466479137</v>
          </cell>
          <cell r="C60">
            <v>2.0684945335208441E-2</v>
          </cell>
          <cell r="D60">
            <v>0</v>
          </cell>
          <cell r="E60">
            <v>0.04</v>
          </cell>
          <cell r="F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W1141"/>
  <sheetViews>
    <sheetView showGridLines="0" tabSelected="1" topLeftCell="I15" zoomScale="60" zoomScaleNormal="60" workbookViewId="0">
      <selection activeCell="AD27" sqref="AD27"/>
    </sheetView>
  </sheetViews>
  <sheetFormatPr defaultColWidth="0" defaultRowHeight="0" customHeight="1" zeroHeight="1"/>
  <cols>
    <col min="1" max="1" width="2.109375" customWidth="1"/>
    <col min="2" max="2" width="4" customWidth="1"/>
    <col min="3" max="3" width="1.44140625" customWidth="1"/>
    <col min="4" max="4" width="3.109375" customWidth="1"/>
    <col min="5" max="5" width="31.44140625" customWidth="1"/>
    <col min="6" max="6" width="51.21875" bestFit="1" customWidth="1"/>
    <col min="7" max="7" width="25.5546875" customWidth="1"/>
    <col min="8" max="8" width="49.6640625" customWidth="1"/>
    <col min="9" max="9" width="22.109375" customWidth="1"/>
    <col min="10" max="10" width="20.109375" customWidth="1"/>
    <col min="11" max="11" width="8.5546875" style="1" customWidth="1"/>
    <col min="12" max="12" width="17.21875" customWidth="1"/>
    <col min="13" max="13" width="20.5546875" customWidth="1"/>
    <col min="14" max="14" width="3.44140625" customWidth="1"/>
    <col min="15" max="15" width="20.109375" customWidth="1"/>
    <col min="16" max="16" width="3.44140625" customWidth="1"/>
    <col min="17" max="17" width="19" customWidth="1"/>
    <col min="18" max="18" width="21.33203125" hidden="1" customWidth="1"/>
    <col min="19" max="21" width="17.33203125" hidden="1" customWidth="1"/>
    <col min="22" max="22" width="21.77734375" style="2" customWidth="1"/>
    <col min="23" max="23" width="7.109375" style="2" customWidth="1"/>
    <col min="24" max="24" width="3.44140625" style="2" customWidth="1"/>
    <col min="25" max="25" width="24.109375" style="2" customWidth="1"/>
    <col min="26" max="26" width="37.6640625" style="2" bestFit="1" customWidth="1"/>
    <col min="27" max="27" width="30.21875" style="2" customWidth="1"/>
    <col min="28" max="30" width="16.5546875" style="2" customWidth="1"/>
    <col min="31" max="31" width="16" style="2" customWidth="1"/>
    <col min="32" max="32" width="12.6640625" hidden="1" customWidth="1"/>
    <col min="33" max="33" width="37.44140625" hidden="1" customWidth="1"/>
    <col min="34" max="34" width="12.6640625" style="2" hidden="1" customWidth="1"/>
    <col min="35" max="35" width="22.109375" hidden="1" customWidth="1"/>
    <col min="36" max="36" width="25.6640625" hidden="1" customWidth="1"/>
    <col min="37" max="37" width="10.109375" hidden="1" customWidth="1"/>
    <col min="38" max="38" width="13.6640625" hidden="1" customWidth="1"/>
    <col min="39" max="39" width="65.5546875" hidden="1" customWidth="1"/>
    <col min="40" max="40" width="69.44140625" hidden="1" customWidth="1"/>
    <col min="41" max="45" width="12.6640625" hidden="1" customWidth="1"/>
    <col min="46" max="46" width="13.33203125" hidden="1" customWidth="1"/>
    <col min="47" max="49" width="12.6640625" hidden="1" customWidth="1"/>
    <col min="50" max="16384" width="10" hidden="1"/>
  </cols>
  <sheetData>
    <row r="1" spans="1:34" ht="16.2" customHeight="1"/>
    <row r="2" spans="1:34" ht="14.4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4.4">
      <c r="A3" s="6"/>
      <c r="B3" s="6"/>
      <c r="C3" s="6"/>
      <c r="D3" s="6"/>
      <c r="E3" s="7"/>
      <c r="F3" s="7"/>
      <c r="G3" s="7"/>
      <c r="H3" s="7"/>
      <c r="I3" s="7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4.4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3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6" customHeight="1">
      <c r="A6" s="2"/>
      <c r="B6" s="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4" hidden="1">
      <c r="A7" s="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24" customHeight="1">
      <c r="A8" s="2"/>
      <c r="B8" s="14"/>
      <c r="C8" s="15"/>
      <c r="D8" s="14" t="s">
        <v>0</v>
      </c>
      <c r="E8" s="15"/>
      <c r="F8" s="12"/>
      <c r="G8" s="306"/>
      <c r="H8" s="16"/>
      <c r="I8" s="16"/>
      <c r="J8" s="306"/>
      <c r="K8" s="16"/>
      <c r="L8" s="306"/>
      <c r="M8" s="15"/>
      <c r="N8" s="15"/>
      <c r="O8" s="15"/>
      <c r="P8" s="15"/>
      <c r="Q8" s="15"/>
      <c r="R8" s="15"/>
      <c r="S8" s="15"/>
      <c r="T8" s="15"/>
      <c r="U8" s="15"/>
      <c r="V8" s="12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33.6" hidden="1">
      <c r="A9" s="14"/>
      <c r="B9" s="15"/>
      <c r="C9" s="15"/>
      <c r="D9" s="15"/>
      <c r="E9" s="15"/>
      <c r="F9" s="17"/>
      <c r="G9" s="306"/>
      <c r="H9" s="16"/>
      <c r="I9" s="16"/>
      <c r="J9" s="306"/>
      <c r="K9" s="16"/>
      <c r="L9" s="306"/>
      <c r="M9" s="15"/>
      <c r="N9" s="15"/>
      <c r="O9" s="15"/>
      <c r="P9" s="15"/>
      <c r="Q9" s="15"/>
      <c r="R9" s="15"/>
      <c r="S9" s="15"/>
      <c r="T9" s="15"/>
      <c r="U9" s="15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26.4" hidden="1">
      <c r="A10" s="14"/>
      <c r="B10" s="15"/>
      <c r="C10" s="15"/>
      <c r="D10" s="15"/>
      <c r="E10" s="15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  <c r="S10" s="15"/>
      <c r="T10" s="15"/>
      <c r="U10" s="15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7.5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2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23.4" customHeight="1">
      <c r="A12" s="14"/>
      <c r="B12" s="15"/>
      <c r="C12" s="15"/>
      <c r="D12" s="15"/>
      <c r="E12" s="15"/>
      <c r="F12" s="15"/>
      <c r="G12" s="19"/>
      <c r="H12" s="19"/>
      <c r="I12" s="19"/>
      <c r="J12" s="15"/>
      <c r="K12" s="15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20"/>
      <c r="W12" s="13"/>
      <c r="X12" s="19"/>
      <c r="Y12" s="19"/>
      <c r="Z12" s="19"/>
      <c r="AA12" s="19"/>
      <c r="AB12" s="19"/>
      <c r="AC12" s="19"/>
      <c r="AD12" s="19"/>
      <c r="AE12" s="13"/>
      <c r="AF12" s="13"/>
      <c r="AG12" s="13"/>
      <c r="AH12" s="13"/>
    </row>
    <row r="13" spans="1:34" ht="26.4">
      <c r="A13" s="14"/>
      <c r="B13" s="21"/>
      <c r="C13" s="22"/>
      <c r="D13" s="23"/>
      <c r="E13" s="23"/>
      <c r="F13" s="23"/>
      <c r="G13" s="24"/>
      <c r="H13" s="24"/>
      <c r="I13" s="24"/>
      <c r="J13" s="25"/>
      <c r="K13" s="26"/>
      <c r="L13" s="24"/>
      <c r="M13" s="24"/>
      <c r="N13" s="24"/>
      <c r="O13" s="24"/>
      <c r="P13" s="24"/>
      <c r="Q13" s="24"/>
      <c r="R13" s="27"/>
      <c r="S13" s="27"/>
      <c r="T13" s="27"/>
      <c r="U13" s="27"/>
      <c r="V13" s="28"/>
      <c r="W13" s="29"/>
      <c r="X13" s="27"/>
      <c r="Y13" s="30"/>
      <c r="Z13" s="30"/>
      <c r="AA13" s="30"/>
      <c r="AB13" s="30"/>
      <c r="AC13" s="30"/>
      <c r="AD13" s="25"/>
      <c r="AE13" s="13"/>
      <c r="AF13" s="13"/>
      <c r="AG13" s="13"/>
      <c r="AH13" s="13"/>
    </row>
    <row r="14" spans="1:34" ht="27" thickBot="1">
      <c r="A14" s="14"/>
      <c r="B14" s="21"/>
      <c r="C14" s="27"/>
      <c r="D14" s="27"/>
      <c r="E14" s="27"/>
      <c r="F14" s="27"/>
      <c r="G14" s="24"/>
      <c r="H14" s="24"/>
      <c r="I14" s="24"/>
      <c r="J14" s="31"/>
      <c r="K14" s="26"/>
      <c r="L14" s="24"/>
      <c r="M14" s="24"/>
      <c r="N14" s="24"/>
      <c r="O14" s="24"/>
      <c r="P14" s="24"/>
      <c r="Q14" s="24"/>
      <c r="R14" s="27"/>
      <c r="S14" s="27"/>
      <c r="T14" s="27"/>
      <c r="U14" s="27"/>
      <c r="V14" s="32"/>
      <c r="W14" s="29"/>
      <c r="X14" s="30"/>
      <c r="Y14" s="33"/>
      <c r="Z14" s="33"/>
      <c r="AA14" s="33"/>
      <c r="AB14" s="33"/>
      <c r="AC14" s="33"/>
      <c r="AD14" s="31"/>
      <c r="AE14" s="13"/>
      <c r="AF14" s="13"/>
      <c r="AG14" s="13"/>
      <c r="AH14" s="13"/>
    </row>
    <row r="15" spans="1:34" ht="27" thickBot="1">
      <c r="A15" s="14"/>
      <c r="B15" s="21"/>
      <c r="C15" s="27"/>
      <c r="D15" s="27"/>
      <c r="E15" s="27"/>
      <c r="F15" s="27"/>
      <c r="G15" s="24"/>
      <c r="H15" s="24"/>
      <c r="I15" s="24"/>
      <c r="J15" s="31"/>
      <c r="K15" s="26"/>
      <c r="L15" s="24"/>
      <c r="M15" s="24"/>
      <c r="N15" s="24"/>
      <c r="O15" s="24"/>
      <c r="P15" s="24"/>
      <c r="Q15" s="24"/>
      <c r="R15" s="15"/>
      <c r="S15" s="15"/>
      <c r="T15" s="15"/>
      <c r="U15" s="15"/>
      <c r="V15" s="34"/>
      <c r="W15" s="29"/>
      <c r="X15"/>
      <c r="Y15" s="35"/>
      <c r="Z15" s="36"/>
      <c r="AA15" s="36"/>
      <c r="AB15" s="36"/>
      <c r="AC15" s="36"/>
      <c r="AD15" s="37"/>
      <c r="AE15" s="13"/>
      <c r="AF15" s="13"/>
      <c r="AG15" s="13"/>
      <c r="AH15" s="13"/>
    </row>
    <row r="16" spans="1:34" ht="33" thickTop="1">
      <c r="A16" s="14"/>
      <c r="B16" s="21"/>
      <c r="C16" s="27"/>
      <c r="D16" s="27"/>
      <c r="E16" s="27"/>
      <c r="F16" s="27"/>
      <c r="G16" s="24"/>
      <c r="H16" s="24"/>
      <c r="I16" s="24"/>
      <c r="J16" s="31"/>
      <c r="K16" s="26"/>
      <c r="L16" s="38"/>
      <c r="M16" s="39">
        <f>COUNTA(F46:F87)</f>
        <v>41</v>
      </c>
      <c r="O16" s="40">
        <f>COUNTA(F93:F134)</f>
        <v>40</v>
      </c>
      <c r="Q16" s="41">
        <f>COUNTA(H140:H475)</f>
        <v>336</v>
      </c>
      <c r="R16" s="15"/>
      <c r="S16" s="15"/>
      <c r="T16" s="15"/>
      <c r="U16" s="15"/>
      <c r="V16" s="34"/>
      <c r="W16" s="29"/>
      <c r="X16"/>
      <c r="Y16" s="42"/>
      <c r="Z16" s="42"/>
      <c r="AA16" s="42"/>
      <c r="AB16" s="42"/>
      <c r="AC16" s="42"/>
      <c r="AD16" s="37"/>
      <c r="AE16" s="13"/>
      <c r="AF16" s="13"/>
      <c r="AG16" s="13"/>
      <c r="AH16" s="13"/>
    </row>
    <row r="17" spans="1:34" ht="27" thickBot="1">
      <c r="A17" s="14"/>
      <c r="B17" s="21"/>
      <c r="C17" s="27"/>
      <c r="D17" s="27"/>
      <c r="E17" s="27"/>
      <c r="F17" s="27"/>
      <c r="G17" s="24"/>
      <c r="H17" s="24"/>
      <c r="I17" s="24"/>
      <c r="J17" s="31"/>
      <c r="K17" s="26"/>
      <c r="L17" s="38"/>
      <c r="M17" s="43" t="s">
        <v>1</v>
      </c>
      <c r="N17" s="44"/>
      <c r="O17" s="45" t="s">
        <v>2</v>
      </c>
      <c r="P17" s="44"/>
      <c r="Q17" s="46" t="s">
        <v>3</v>
      </c>
      <c r="R17" s="2"/>
      <c r="S17" s="2"/>
      <c r="T17" s="2"/>
      <c r="U17" s="2"/>
      <c r="V17" s="34"/>
      <c r="W17" s="29"/>
      <c r="X17"/>
      <c r="Y17" s="47"/>
      <c r="Z17" s="47"/>
      <c r="AA17" s="47"/>
      <c r="AB17" s="47"/>
      <c r="AC17" s="47"/>
      <c r="AD17" s="48"/>
      <c r="AE17" s="13"/>
      <c r="AF17" s="13"/>
      <c r="AG17" s="13"/>
      <c r="AH17" s="13"/>
    </row>
    <row r="18" spans="1:34" ht="27.6" thickTop="1" thickBot="1">
      <c r="A18" s="14"/>
      <c r="B18" s="21"/>
      <c r="C18" s="27"/>
      <c r="D18" s="27"/>
      <c r="E18" s="27"/>
      <c r="F18" s="27"/>
      <c r="G18" s="24"/>
      <c r="H18" s="24"/>
      <c r="I18" s="24"/>
      <c r="J18" s="31"/>
      <c r="K18" s="26"/>
      <c r="L18" s="49"/>
      <c r="M18" s="50"/>
      <c r="O18" s="51"/>
      <c r="Q18" s="52"/>
      <c r="R18" s="2"/>
      <c r="S18" s="2"/>
      <c r="T18" s="2"/>
      <c r="U18" s="2"/>
      <c r="V18" s="34"/>
      <c r="W18" s="29"/>
      <c r="X18"/>
      <c r="Y18" s="53"/>
      <c r="Z18" s="53"/>
      <c r="AA18" s="54"/>
      <c r="AB18" s="53"/>
      <c r="AC18" s="53"/>
      <c r="AD18" s="34"/>
      <c r="AE18" s="13"/>
      <c r="AF18" s="13"/>
      <c r="AG18" s="13"/>
      <c r="AH18" s="13"/>
    </row>
    <row r="19" spans="1:34" ht="27.6" thickTop="1" thickBot="1">
      <c r="A19" s="14"/>
      <c r="B19" s="21"/>
      <c r="C19" s="27"/>
      <c r="D19" s="27"/>
      <c r="E19" s="55"/>
      <c r="F19" s="27"/>
      <c r="G19" s="24"/>
      <c r="H19" s="24"/>
      <c r="I19" s="24"/>
      <c r="J19" s="31"/>
      <c r="K19" s="26"/>
      <c r="L19" s="56" t="s">
        <v>4</v>
      </c>
      <c r="M19" s="57">
        <f>M16-M20</f>
        <v>15</v>
      </c>
      <c r="N19" s="58"/>
      <c r="O19" s="59">
        <f>O16-O20</f>
        <v>-39</v>
      </c>
      <c r="P19" s="58"/>
      <c r="Q19" s="60">
        <f>Q16-Q20</f>
        <v>24</v>
      </c>
      <c r="R19" s="2"/>
      <c r="S19" s="2"/>
      <c r="T19" s="2"/>
      <c r="U19" s="2"/>
      <c r="V19" s="61"/>
      <c r="W19" s="29"/>
      <c r="X19"/>
      <c r="Y19" s="62"/>
      <c r="Z19" s="62"/>
      <c r="AA19" s="62"/>
      <c r="AB19" s="62"/>
      <c r="AC19" s="62"/>
      <c r="AD19" s="34"/>
      <c r="AE19" s="13"/>
      <c r="AF19" s="13"/>
      <c r="AG19" s="13"/>
      <c r="AH19" s="13"/>
    </row>
    <row r="20" spans="1:34" ht="27" thickTop="1">
      <c r="A20" s="14"/>
      <c r="B20" s="21"/>
      <c r="C20" s="63"/>
      <c r="D20" s="27"/>
      <c r="E20" s="27"/>
      <c r="F20" s="27"/>
      <c r="G20" s="24"/>
      <c r="H20" s="24"/>
      <c r="I20" s="24"/>
      <c r="J20" s="31"/>
      <c r="K20" s="26"/>
      <c r="L20" s="24"/>
      <c r="M20" s="64">
        <v>26</v>
      </c>
      <c r="N20" s="65"/>
      <c r="O20" s="66">
        <v>79</v>
      </c>
      <c r="P20" s="67">
        <v>103</v>
      </c>
      <c r="Q20" s="68">
        <v>312</v>
      </c>
      <c r="R20" s="2"/>
      <c r="S20" s="2"/>
      <c r="T20" s="2"/>
      <c r="U20" s="2"/>
      <c r="V20" s="34"/>
      <c r="W20" s="29"/>
      <c r="X20" s="30"/>
      <c r="Y20" s="33"/>
      <c r="Z20" s="33"/>
      <c r="AA20" s="33"/>
      <c r="AB20" s="33"/>
      <c r="AC20" s="33"/>
      <c r="AD20" s="31"/>
      <c r="AE20" s="13"/>
      <c r="AF20" s="13"/>
      <c r="AG20" s="13"/>
      <c r="AH20" s="13"/>
    </row>
    <row r="21" spans="1:34" ht="26.4">
      <c r="A21" s="14"/>
      <c r="B21" s="15"/>
      <c r="C21" s="63"/>
      <c r="D21" s="27"/>
      <c r="E21" s="27"/>
      <c r="F21" s="27"/>
      <c r="G21" s="24"/>
      <c r="H21" s="24"/>
      <c r="I21" s="24"/>
      <c r="J21" s="31"/>
      <c r="K21" s="26"/>
      <c r="L21" s="24"/>
      <c r="M21" s="24"/>
      <c r="N21" s="24"/>
      <c r="O21" s="24"/>
      <c r="P21" s="24"/>
      <c r="Q21" s="24"/>
      <c r="R21" s="27"/>
      <c r="S21" s="27"/>
      <c r="T21" s="27"/>
      <c r="U21" s="27"/>
      <c r="V21" s="32"/>
      <c r="W21" s="29"/>
      <c r="X21" s="30"/>
      <c r="Y21" s="33"/>
      <c r="Z21" s="33"/>
      <c r="AA21"/>
      <c r="AB21" s="33"/>
      <c r="AC21" s="33"/>
      <c r="AD21" s="31"/>
      <c r="AE21" s="13"/>
      <c r="AF21" s="13"/>
      <c r="AG21" s="13"/>
      <c r="AH21" s="13"/>
    </row>
    <row r="22" spans="1:34" ht="26.4">
      <c r="A22" s="14"/>
      <c r="B22" s="15"/>
      <c r="C22" s="69"/>
      <c r="D22" s="24"/>
      <c r="E22" s="24"/>
      <c r="F22" s="24"/>
      <c r="G22" s="24"/>
      <c r="H22" s="24"/>
      <c r="I22" s="24"/>
      <c r="J22" s="31"/>
      <c r="K22" s="26"/>
      <c r="L22" s="24"/>
      <c r="M22" s="24"/>
      <c r="N22" s="24"/>
      <c r="O22" s="24"/>
      <c r="P22" s="24"/>
      <c r="Q22" s="24"/>
      <c r="R22" s="15"/>
      <c r="S22" s="15"/>
      <c r="T22" s="15"/>
      <c r="U22" s="15"/>
      <c r="V22" s="34"/>
      <c r="W22" s="29"/>
      <c r="X22" s="30"/>
      <c r="Y22" s="30"/>
      <c r="Z22" s="30"/>
      <c r="AA22" s="30"/>
      <c r="AB22" s="30"/>
      <c r="AC22" s="30"/>
      <c r="AD22" s="70"/>
      <c r="AE22" s="13"/>
      <c r="AF22" s="13"/>
      <c r="AG22" s="13"/>
      <c r="AH22" s="13"/>
    </row>
    <row r="23" spans="1:34" ht="19.2" customHeight="1">
      <c r="A23" s="14"/>
      <c r="B23" s="26"/>
      <c r="C23" s="24"/>
      <c r="D23" s="71"/>
      <c r="E23" s="71"/>
      <c r="F23" s="71"/>
      <c r="G23" s="71"/>
      <c r="H23" s="71"/>
      <c r="I23" s="71"/>
      <c r="J23" s="72"/>
      <c r="K23" s="26"/>
      <c r="L23" s="71"/>
      <c r="M23" s="71"/>
      <c r="N23" s="71"/>
      <c r="O23" s="71"/>
      <c r="P23" s="71"/>
      <c r="Q23" s="71"/>
      <c r="R23" s="15"/>
      <c r="S23" s="15"/>
      <c r="T23" s="15"/>
      <c r="U23" s="15"/>
      <c r="V23" s="73"/>
      <c r="W23" s="29"/>
      <c r="X23" s="74"/>
      <c r="Y23" s="75"/>
      <c r="Z23" s="75"/>
      <c r="AA23" s="75"/>
      <c r="AB23" s="75"/>
      <c r="AC23" s="75"/>
      <c r="AD23" s="75"/>
      <c r="AE23" s="76"/>
      <c r="AF23" s="13"/>
      <c r="AG23" s="13"/>
      <c r="AH23" s="13"/>
    </row>
    <row r="24" spans="1:34" ht="10.8" customHeight="1">
      <c r="A24" s="14"/>
      <c r="B24" s="15"/>
      <c r="C24" s="77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ht="26.4">
      <c r="A25" s="14"/>
      <c r="B25" s="15"/>
      <c r="C25" s="1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5"/>
      <c r="S25" s="15"/>
      <c r="T25" s="15"/>
      <c r="U25" s="15"/>
      <c r="V25" s="19"/>
      <c r="W25" s="19"/>
      <c r="X25" s="19"/>
      <c r="Y25" s="19"/>
      <c r="Z25" s="19"/>
      <c r="AA25" s="19"/>
      <c r="AB25" s="19"/>
      <c r="AC25" s="19"/>
      <c r="AD25" s="19"/>
      <c r="AE25" s="13"/>
      <c r="AF25" s="13"/>
      <c r="AG25" s="13"/>
      <c r="AH25" s="13"/>
    </row>
    <row r="26" spans="1:34" ht="26.4">
      <c r="A26" s="14"/>
      <c r="B26" s="26"/>
      <c r="C26" s="78"/>
      <c r="D26" s="24"/>
      <c r="E26" s="24"/>
      <c r="F26" s="24"/>
      <c r="G26" s="24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30"/>
      <c r="Y26" s="30"/>
      <c r="Z26" s="30"/>
      <c r="AA26" s="30"/>
      <c r="AB26" s="30"/>
      <c r="AC26" s="30"/>
      <c r="AD26" s="80"/>
      <c r="AE26" s="13"/>
      <c r="AF26" s="13"/>
      <c r="AG26" s="13"/>
      <c r="AH26" s="13"/>
    </row>
    <row r="27" spans="1:34" ht="26.4">
      <c r="A27" s="14"/>
      <c r="B27" s="26"/>
      <c r="C27" s="24"/>
      <c r="D27" s="24"/>
      <c r="E27" s="81" t="s">
        <v>5</v>
      </c>
      <c r="F27" s="82" t="s">
        <v>6</v>
      </c>
      <c r="G27" s="82" t="s">
        <v>7</v>
      </c>
      <c r="H27" s="82" t="s">
        <v>8</v>
      </c>
      <c r="I27" s="81" t="s">
        <v>5</v>
      </c>
      <c r="J27" s="82" t="s">
        <v>6</v>
      </c>
      <c r="K27" s="82"/>
      <c r="L27" s="82"/>
      <c r="M27" s="307" t="s">
        <v>7</v>
      </c>
      <c r="N27" s="307"/>
      <c r="O27" s="307"/>
      <c r="P27" s="307" t="s">
        <v>8</v>
      </c>
      <c r="Q27" s="307"/>
      <c r="R27" s="307"/>
      <c r="S27" s="307"/>
      <c r="T27" s="307"/>
      <c r="U27" s="307"/>
      <c r="V27" s="307"/>
      <c r="W27" s="307"/>
      <c r="X27" s="30"/>
      <c r="Y27" s="81" t="s">
        <v>5</v>
      </c>
      <c r="Z27" s="81" t="s">
        <v>6</v>
      </c>
      <c r="AA27" s="82"/>
      <c r="AB27" s="82" t="s">
        <v>7</v>
      </c>
      <c r="AC27" s="81" t="s">
        <v>8</v>
      </c>
      <c r="AD27" s="83"/>
      <c r="AE27" s="13"/>
      <c r="AF27" s="13"/>
      <c r="AG27" s="13"/>
      <c r="AH27" s="13"/>
    </row>
    <row r="28" spans="1:34" ht="28.8" customHeight="1">
      <c r="A28" s="14"/>
      <c r="B28" s="26"/>
      <c r="C28" s="24"/>
      <c r="D28" s="24"/>
      <c r="E28" s="303" t="s">
        <v>9</v>
      </c>
      <c r="F28" s="303" t="s">
        <v>10</v>
      </c>
      <c r="G28" s="302" t="s">
        <v>11</v>
      </c>
      <c r="H28" s="300" t="s">
        <v>12</v>
      </c>
      <c r="I28" s="300" t="s">
        <v>13</v>
      </c>
      <c r="J28" s="300" t="s">
        <v>14</v>
      </c>
      <c r="K28" s="84"/>
      <c r="L28" s="85"/>
      <c r="M28" s="303" t="s">
        <v>15</v>
      </c>
      <c r="N28" s="303"/>
      <c r="O28" s="303"/>
      <c r="P28" s="303" t="s">
        <v>16</v>
      </c>
      <c r="Q28" s="303"/>
      <c r="R28" s="303"/>
      <c r="S28" s="303"/>
      <c r="T28" s="303"/>
      <c r="U28" s="303"/>
      <c r="V28" s="303"/>
      <c r="W28" s="303"/>
      <c r="X28" s="86"/>
      <c r="Y28" s="302" t="s">
        <v>9</v>
      </c>
      <c r="Z28" s="303" t="s">
        <v>17</v>
      </c>
      <c r="AA28" s="303"/>
      <c r="AB28" s="303" t="s">
        <v>18</v>
      </c>
      <c r="AC28" s="33"/>
      <c r="AD28" s="70"/>
      <c r="AE28" s="13"/>
      <c r="AF28" s="13"/>
      <c r="AG28" s="13"/>
      <c r="AH28" s="13"/>
    </row>
    <row r="29" spans="1:34" ht="25.8" customHeight="1">
      <c r="A29" s="13"/>
      <c r="B29" s="26"/>
      <c r="C29" s="24"/>
      <c r="D29" s="87"/>
      <c r="E29" s="302"/>
      <c r="F29" s="302"/>
      <c r="G29" s="302"/>
      <c r="H29" s="300"/>
      <c r="I29" s="300"/>
      <c r="J29" s="300"/>
      <c r="K29" s="84"/>
      <c r="L29" s="88"/>
      <c r="M29" s="30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86"/>
      <c r="Y29" s="302"/>
      <c r="Z29" s="303"/>
      <c r="AA29" s="303"/>
      <c r="AB29" s="303"/>
      <c r="AC29" s="89"/>
      <c r="AD29" s="32"/>
      <c r="AE29" s="13"/>
      <c r="AF29" s="13"/>
      <c r="AG29" s="13"/>
      <c r="AH29" s="13"/>
    </row>
    <row r="30" spans="1:34" ht="51.6" customHeight="1">
      <c r="A30" s="2"/>
      <c r="B30" s="90"/>
      <c r="C30" s="91"/>
      <c r="D30" s="62"/>
      <c r="E30" s="303" t="s">
        <v>9</v>
      </c>
      <c r="F30" s="303" t="s">
        <v>19</v>
      </c>
      <c r="G30" s="302" t="s">
        <v>20</v>
      </c>
      <c r="H30" s="300" t="s">
        <v>12</v>
      </c>
      <c r="I30" s="300"/>
      <c r="J30" s="300"/>
      <c r="K30" s="87"/>
      <c r="L30" s="88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86"/>
      <c r="Y30" s="302" t="s">
        <v>9</v>
      </c>
      <c r="Z30" s="303" t="s">
        <v>21</v>
      </c>
      <c r="AA30" s="303"/>
      <c r="AB30" s="303" t="s">
        <v>11</v>
      </c>
      <c r="AC30" s="301"/>
      <c r="AD30" s="32"/>
      <c r="AF30" s="2"/>
      <c r="AG30" s="2"/>
    </row>
    <row r="31" spans="1:34" ht="42" customHeight="1">
      <c r="A31" s="2"/>
      <c r="B31" s="90"/>
      <c r="C31" s="62"/>
      <c r="D31" s="62"/>
      <c r="E31" s="302"/>
      <c r="F31" s="303"/>
      <c r="G31" s="302"/>
      <c r="H31" s="300"/>
      <c r="I31" s="302" t="s">
        <v>9</v>
      </c>
      <c r="J31" s="303" t="s">
        <v>10</v>
      </c>
      <c r="K31" s="303"/>
      <c r="L31" s="303"/>
      <c r="M31" s="303" t="s">
        <v>22</v>
      </c>
      <c r="N31" s="303"/>
      <c r="O31" s="303"/>
      <c r="P31" s="305" t="s">
        <v>23</v>
      </c>
      <c r="Q31" s="305"/>
      <c r="R31" s="305"/>
      <c r="S31" s="305"/>
      <c r="T31" s="305"/>
      <c r="U31" s="305"/>
      <c r="V31" s="305"/>
      <c r="W31" s="305"/>
      <c r="X31"/>
      <c r="Y31" s="302"/>
      <c r="Z31" s="303"/>
      <c r="AA31" s="303"/>
      <c r="AB31" s="303"/>
      <c r="AC31" s="301"/>
      <c r="AD31" s="32"/>
      <c r="AF31" s="2"/>
      <c r="AG31" s="2"/>
    </row>
    <row r="32" spans="1:34" ht="28.8" customHeight="1">
      <c r="A32" s="2"/>
      <c r="B32" s="90"/>
      <c r="C32" s="62"/>
      <c r="D32" s="62"/>
      <c r="E32" s="303" t="s">
        <v>9</v>
      </c>
      <c r="F32" s="303" t="s">
        <v>24</v>
      </c>
      <c r="G32" s="302" t="s">
        <v>25</v>
      </c>
      <c r="H32" s="300" t="s">
        <v>12</v>
      </c>
      <c r="I32" s="302"/>
      <c r="J32" s="303"/>
      <c r="K32" s="303"/>
      <c r="L32" s="303"/>
      <c r="M32" s="303"/>
      <c r="N32" s="303"/>
      <c r="O32" s="303"/>
      <c r="P32" s="305"/>
      <c r="Q32" s="305"/>
      <c r="R32" s="305"/>
      <c r="S32" s="305"/>
      <c r="T32" s="305"/>
      <c r="U32" s="305"/>
      <c r="V32" s="305"/>
      <c r="W32" s="305"/>
      <c r="X32"/>
      <c r="Y32" s="304" t="s">
        <v>26</v>
      </c>
      <c r="Z32" s="303" t="s">
        <v>27</v>
      </c>
      <c r="AA32" s="303"/>
      <c r="AB32" s="303" t="s">
        <v>28</v>
      </c>
      <c r="AC32" s="89"/>
      <c r="AD32" s="32"/>
      <c r="AF32" s="2"/>
      <c r="AG32" s="2"/>
    </row>
    <row r="33" spans="1:33" ht="38.4" customHeight="1">
      <c r="A33" s="2"/>
      <c r="B33" s="90"/>
      <c r="C33" s="62"/>
      <c r="D33" s="62"/>
      <c r="E33" s="302"/>
      <c r="F33" s="303"/>
      <c r="G33" s="302"/>
      <c r="H33" s="300"/>
      <c r="I33" s="302" t="s">
        <v>9</v>
      </c>
      <c r="J33" s="303" t="s">
        <v>19</v>
      </c>
      <c r="K33" s="303"/>
      <c r="L33" s="303"/>
      <c r="M33" s="302" t="s">
        <v>20</v>
      </c>
      <c r="N33" s="302"/>
      <c r="O33" s="302"/>
      <c r="P33" s="303" t="s">
        <v>29</v>
      </c>
      <c r="Q33" s="303"/>
      <c r="R33" s="303"/>
      <c r="S33" s="303"/>
      <c r="T33" s="303"/>
      <c r="U33" s="303"/>
      <c r="V33" s="303"/>
      <c r="W33" s="303"/>
      <c r="X33"/>
      <c r="Y33" s="304"/>
      <c r="Z33" s="303"/>
      <c r="AA33" s="303"/>
      <c r="AB33" s="303"/>
      <c r="AC33" s="92"/>
      <c r="AD33" s="32"/>
      <c r="AF33" s="2"/>
      <c r="AG33" s="2"/>
    </row>
    <row r="34" spans="1:33" ht="38.4" customHeight="1">
      <c r="A34" s="2"/>
      <c r="B34" s="90"/>
      <c r="C34" s="62"/>
      <c r="D34" s="62"/>
      <c r="E34" s="93"/>
      <c r="F34" s="94"/>
      <c r="G34" s="93"/>
      <c r="H34" s="84"/>
      <c r="I34" s="302"/>
      <c r="J34" s="303"/>
      <c r="K34" s="303"/>
      <c r="L34" s="303"/>
      <c r="M34" s="302"/>
      <c r="N34" s="302"/>
      <c r="O34" s="302"/>
      <c r="P34" s="303"/>
      <c r="Q34" s="303"/>
      <c r="R34" s="303"/>
      <c r="S34" s="303"/>
      <c r="T34" s="303"/>
      <c r="U34" s="303"/>
      <c r="V34" s="303"/>
      <c r="W34" s="303"/>
      <c r="X34"/>
      <c r="Y34" s="304" t="s">
        <v>26</v>
      </c>
      <c r="Z34" s="303" t="s">
        <v>30</v>
      </c>
      <c r="AA34" s="303"/>
      <c r="AB34" s="303" t="s">
        <v>31</v>
      </c>
      <c r="AC34" s="301" t="s">
        <v>32</v>
      </c>
      <c r="AD34" s="32"/>
      <c r="AF34" s="2"/>
      <c r="AG34" s="2"/>
    </row>
    <row r="35" spans="1:33" ht="38.4" customHeight="1">
      <c r="A35" s="2"/>
      <c r="B35" s="90"/>
      <c r="C35" s="62"/>
      <c r="D35" s="62"/>
      <c r="E35" s="93"/>
      <c r="F35" s="94"/>
      <c r="G35" s="93"/>
      <c r="H35" s="84"/>
      <c r="I35" s="302" t="s">
        <v>9</v>
      </c>
      <c r="J35" s="303" t="s">
        <v>24</v>
      </c>
      <c r="K35" s="303"/>
      <c r="L35" s="303"/>
      <c r="M35" s="302" t="s">
        <v>25</v>
      </c>
      <c r="N35" s="302"/>
      <c r="O35" s="302"/>
      <c r="P35" s="303" t="s">
        <v>33</v>
      </c>
      <c r="Q35" s="303"/>
      <c r="R35" s="303"/>
      <c r="S35" s="303"/>
      <c r="T35" s="303"/>
      <c r="U35" s="303"/>
      <c r="V35" s="303"/>
      <c r="W35" s="303"/>
      <c r="X35"/>
      <c r="Y35" s="304"/>
      <c r="Z35" s="303"/>
      <c r="AA35" s="303"/>
      <c r="AB35" s="303"/>
      <c r="AC35" s="301"/>
      <c r="AD35" s="32"/>
      <c r="AF35" s="2"/>
      <c r="AG35" s="2"/>
    </row>
    <row r="36" spans="1:33" ht="38.4" customHeight="1">
      <c r="A36" s="2"/>
      <c r="B36" s="90"/>
      <c r="C36" s="62"/>
      <c r="D36" s="62"/>
      <c r="E36" s="93"/>
      <c r="F36" s="94"/>
      <c r="G36" s="93"/>
      <c r="H36" s="84"/>
      <c r="I36" s="302"/>
      <c r="J36" s="303"/>
      <c r="K36" s="303"/>
      <c r="L36" s="303"/>
      <c r="M36" s="302"/>
      <c r="N36" s="302"/>
      <c r="O36" s="302"/>
      <c r="P36" s="303"/>
      <c r="Q36" s="303"/>
      <c r="R36" s="303"/>
      <c r="S36" s="303"/>
      <c r="T36" s="303"/>
      <c r="U36" s="303"/>
      <c r="V36" s="303"/>
      <c r="W36" s="303"/>
      <c r="X36"/>
      <c r="Y36" s="95"/>
      <c r="Z36" s="95"/>
      <c r="AA36" s="96"/>
      <c r="AB36" s="97"/>
      <c r="AC36" s="92"/>
      <c r="AD36" s="32"/>
      <c r="AF36" s="2"/>
      <c r="AG36" s="2"/>
    </row>
    <row r="37" spans="1:33" ht="38.4" customHeight="1">
      <c r="A37" s="2"/>
      <c r="B37" s="90"/>
      <c r="C37" s="62"/>
      <c r="D37" s="62"/>
      <c r="E37" s="93"/>
      <c r="F37" s="94"/>
      <c r="G37" s="93"/>
      <c r="H37" s="84"/>
      <c r="I37" s="79"/>
      <c r="J37" s="88"/>
      <c r="K37" s="79"/>
      <c r="L37" s="88"/>
      <c r="M37" s="88"/>
      <c r="N37" s="79"/>
      <c r="O37" s="94"/>
      <c r="P37" s="79"/>
      <c r="Q37" s="86"/>
      <c r="R37" s="86"/>
      <c r="S37" s="86"/>
      <c r="T37" s="86"/>
      <c r="U37" s="86"/>
      <c r="V37" s="86"/>
      <c r="W37" s="86"/>
      <c r="X37"/>
      <c r="Y37" s="95"/>
      <c r="Z37" s="95"/>
      <c r="AA37" s="96"/>
      <c r="AB37" s="97"/>
      <c r="AC37" s="92"/>
      <c r="AD37" s="32"/>
      <c r="AF37" s="2"/>
      <c r="AG37" s="2"/>
    </row>
    <row r="38" spans="1:33" ht="28.8" customHeight="1">
      <c r="A38" s="2"/>
      <c r="B38" s="90"/>
      <c r="C38" s="62"/>
      <c r="D38" s="62"/>
      <c r="E38" s="87"/>
      <c r="F38" s="87"/>
      <c r="G38" s="24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/>
      <c r="Y38" s="95"/>
      <c r="Z38" s="95"/>
      <c r="AA38" s="96"/>
      <c r="AB38" s="97"/>
      <c r="AC38"/>
      <c r="AD38" s="32"/>
      <c r="AF38" s="2"/>
      <c r="AG38" s="2"/>
    </row>
    <row r="39" spans="1:33" ht="28.8" customHeight="1">
      <c r="A39" s="2"/>
      <c r="B39" s="90"/>
      <c r="C39" s="62"/>
      <c r="D39" s="62"/>
      <c r="E39" s="98"/>
      <c r="F39" s="44"/>
      <c r="G39" s="24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/>
      <c r="Y39" s="95"/>
      <c r="Z39" s="95"/>
      <c r="AA39" s="96"/>
      <c r="AB39" s="97"/>
      <c r="AC39"/>
      <c r="AD39" s="32"/>
      <c r="AF39" s="2"/>
      <c r="AG39" s="2"/>
    </row>
    <row r="40" spans="1:33" s="2" customFormat="1" ht="14.4" customHeight="1">
      <c r="B40" s="90"/>
      <c r="C40" s="99"/>
      <c r="D40" s="100"/>
      <c r="E40" s="101"/>
      <c r="F40" s="101"/>
      <c r="G40" s="102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/>
      <c r="Y40" s="103"/>
      <c r="Z40" s="103"/>
      <c r="AA40" s="104"/>
      <c r="AB40" s="105"/>
      <c r="AC40" s="104"/>
      <c r="AD40" s="106"/>
    </row>
    <row r="41" spans="1:33" s="2" customFormat="1" ht="11.4" customHeight="1"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5"/>
      <c r="S41" s="15"/>
      <c r="T41" s="15"/>
      <c r="U41" s="15"/>
      <c r="V41" s="107"/>
      <c r="W41" s="107"/>
      <c r="X41" s="107"/>
      <c r="Y41" s="108"/>
      <c r="Z41" s="107"/>
      <c r="AB41" s="107"/>
    </row>
    <row r="42" spans="1:33" s="2" customFormat="1" ht="21.6" customHeight="1">
      <c r="D42" s="109"/>
      <c r="K42" s="12"/>
      <c r="V42" s="20"/>
      <c r="W42" s="12"/>
      <c r="X42" s="20"/>
      <c r="Y42" s="110"/>
      <c r="Z42" s="110"/>
      <c r="AA42" s="20"/>
      <c r="AB42" s="20"/>
      <c r="AC42" s="20"/>
      <c r="AD42" s="20"/>
    </row>
    <row r="43" spans="1:33" s="2" customFormat="1" ht="19.2" customHeight="1">
      <c r="C43" s="111"/>
      <c r="D43" s="112"/>
      <c r="E43" s="113"/>
      <c r="F43" s="113"/>
      <c r="G43" s="114"/>
      <c r="H43" s="112"/>
      <c r="I43" s="112"/>
      <c r="J43" s="113"/>
      <c r="K43" s="112"/>
      <c r="L43" s="112"/>
      <c r="M43" s="112"/>
      <c r="N43" s="112"/>
      <c r="O43" s="112"/>
      <c r="P43" s="112"/>
      <c r="Q43" s="115"/>
      <c r="R43" s="112"/>
      <c r="S43" s="112"/>
      <c r="T43" s="112"/>
      <c r="U43" s="112"/>
      <c r="V43" s="1"/>
      <c r="W43" s="116"/>
      <c r="X43"/>
      <c r="Y43" s="115"/>
      <c r="Z43" s="115"/>
      <c r="AA43"/>
      <c r="AB43"/>
      <c r="AC43"/>
      <c r="AD43" s="28"/>
    </row>
    <row r="44" spans="1:33" s="2" customFormat="1" ht="17.399999999999999" customHeight="1">
      <c r="C44" s="117"/>
      <c r="D44" s="1"/>
      <c r="E44" s="118" t="s">
        <v>34</v>
      </c>
      <c r="F44" s="119" t="s">
        <v>35</v>
      </c>
      <c r="G44" s="119"/>
      <c r="H44" s="119" t="s">
        <v>36</v>
      </c>
      <c r="I44" s="119" t="s">
        <v>37</v>
      </c>
      <c r="J4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91"/>
      <c r="X44"/>
      <c r="Y44"/>
      <c r="Z44"/>
      <c r="AA44"/>
      <c r="AB44"/>
      <c r="AC44"/>
      <c r="AD44" s="32"/>
    </row>
    <row r="45" spans="1:33" s="2" customFormat="1" ht="15" customHeight="1">
      <c r="C45" s="117"/>
      <c r="D45" s="1"/>
      <c r="E45" s="62"/>
      <c r="F45" s="1"/>
      <c r="G45" s="1"/>
      <c r="H45" s="1"/>
      <c r="I45" s="1"/>
      <c r="J4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91"/>
      <c r="X45"/>
      <c r="Y45"/>
      <c r="Z45"/>
      <c r="AA45"/>
      <c r="AB45"/>
      <c r="AC45"/>
      <c r="AD45" s="32"/>
    </row>
    <row r="46" spans="1:33" s="2" customFormat="1" ht="15" customHeight="1">
      <c r="C46" s="117"/>
      <c r="D46" s="1"/>
      <c r="E46" s="120" t="s">
        <v>13</v>
      </c>
      <c r="F46" s="121" t="s">
        <v>38</v>
      </c>
      <c r="G46" s="122"/>
      <c r="H46" s="121" t="s">
        <v>39</v>
      </c>
      <c r="I46" s="122" t="str">
        <f>VLOOKUP(H46,[1]Plano!$C$7:$L$56,4,FALSE)</f>
        <v>Concluído</v>
      </c>
      <c r="J4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91"/>
      <c r="X46"/>
      <c r="Y46"/>
      <c r="Z46"/>
      <c r="AA46"/>
      <c r="AB46"/>
      <c r="AC46"/>
      <c r="AD46" s="32"/>
    </row>
    <row r="47" spans="1:33" s="2" customFormat="1" ht="15" customHeight="1">
      <c r="C47" s="117"/>
      <c r="D47" s="1"/>
      <c r="E47" s="120" t="s">
        <v>13</v>
      </c>
      <c r="F47" s="121" t="s">
        <v>38</v>
      </c>
      <c r="G47" s="122"/>
      <c r="H47" s="121" t="s">
        <v>40</v>
      </c>
      <c r="I47" s="122" t="str">
        <f>VLOOKUP(H47,[1]Plano!$C$7:$L$56,4,FALSE)</f>
        <v>Concluído</v>
      </c>
      <c r="J4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91"/>
      <c r="X47"/>
      <c r="Y47"/>
      <c r="Z47"/>
      <c r="AA47"/>
      <c r="AB47"/>
      <c r="AC47"/>
      <c r="AD47" s="32"/>
    </row>
    <row r="48" spans="1:33" s="2" customFormat="1" ht="15" customHeight="1">
      <c r="C48" s="117"/>
      <c r="D48" s="1"/>
      <c r="E48" s="120" t="s">
        <v>13</v>
      </c>
      <c r="F48" s="121" t="s">
        <v>38</v>
      </c>
      <c r="G48" s="122"/>
      <c r="H48" s="121" t="s">
        <v>41</v>
      </c>
      <c r="I48" s="122" t="str">
        <f>VLOOKUP(H48,[1]Plano!$C$7:$L$56,4,FALSE)</f>
        <v>Concluído</v>
      </c>
      <c r="J4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91"/>
      <c r="X48" s="62"/>
      <c r="Y48" s="62"/>
      <c r="Z48" s="62"/>
      <c r="AA48" s="62"/>
      <c r="AB48" s="62"/>
      <c r="AC48" s="62"/>
      <c r="AD48" s="32"/>
    </row>
    <row r="49" spans="3:30" s="2" customFormat="1" ht="15" customHeight="1">
      <c r="C49" s="117"/>
      <c r="D49" s="1"/>
      <c r="E49" s="120" t="s">
        <v>13</v>
      </c>
      <c r="F49" s="121" t="s">
        <v>38</v>
      </c>
      <c r="G49" s="122"/>
      <c r="H49" s="121" t="s">
        <v>42</v>
      </c>
      <c r="I49" s="122" t="str">
        <f>VLOOKUP(H49,[1]Plano!$C$7:$L$56,4,FALSE)</f>
        <v>Concluído</v>
      </c>
      <c r="J4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91"/>
      <c r="X49" s="62"/>
      <c r="Y49" s="62"/>
      <c r="Z49" s="62"/>
      <c r="AA49" s="62"/>
      <c r="AB49" s="62"/>
      <c r="AC49" s="62"/>
      <c r="AD49" s="32"/>
    </row>
    <row r="50" spans="3:30" s="2" customFormat="1" ht="15" customHeight="1">
      <c r="C50" s="117"/>
      <c r="D50" s="1"/>
      <c r="E50" s="120" t="s">
        <v>13</v>
      </c>
      <c r="F50" s="121" t="s">
        <v>38</v>
      </c>
      <c r="G50" s="122"/>
      <c r="H50" s="121" t="s">
        <v>43</v>
      </c>
      <c r="I50" s="122" t="str">
        <f>VLOOKUP(H50,[1]Plano!$C$7:$L$56,4,FALSE)</f>
        <v>Concluído</v>
      </c>
      <c r="J5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91"/>
      <c r="X50" s="62"/>
      <c r="Y50" s="62"/>
      <c r="Z50" s="62"/>
      <c r="AA50" s="62"/>
      <c r="AB50" s="62"/>
      <c r="AC50" s="81"/>
      <c r="AD50" s="32"/>
    </row>
    <row r="51" spans="3:30" s="2" customFormat="1" ht="15" customHeight="1">
      <c r="C51" s="117"/>
      <c r="D51" s="1"/>
      <c r="E51" s="120" t="s">
        <v>13</v>
      </c>
      <c r="F51" s="121" t="s">
        <v>38</v>
      </c>
      <c r="G51" s="122"/>
      <c r="H51" s="121" t="s">
        <v>44</v>
      </c>
      <c r="I51" s="122" t="str">
        <f>VLOOKUP(H51,[1]Plano!$C$7:$L$56,4,FALSE)</f>
        <v>Concluído</v>
      </c>
      <c r="J5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91"/>
      <c r="X51" s="62"/>
      <c r="Y51" s="62"/>
      <c r="Z51" s="62"/>
      <c r="AA51" s="62"/>
      <c r="AB51" s="62"/>
      <c r="AC51" s="33"/>
      <c r="AD51" s="32"/>
    </row>
    <row r="52" spans="3:30" s="2" customFormat="1" ht="15" customHeight="1">
      <c r="C52" s="117"/>
      <c r="D52" s="1"/>
      <c r="E52" s="120" t="s">
        <v>13</v>
      </c>
      <c r="F52" s="121" t="s">
        <v>38</v>
      </c>
      <c r="G52" s="122"/>
      <c r="H52" s="121" t="s">
        <v>45</v>
      </c>
      <c r="I52" s="122" t="str">
        <f>VLOOKUP(H52,[1]Plano!$C$7:$L$56,4,FALSE)</f>
        <v>Concluído</v>
      </c>
      <c r="J5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91"/>
      <c r="X52" s="62"/>
      <c r="Y52" s="62"/>
      <c r="Z52" s="62"/>
      <c r="AA52" s="62"/>
      <c r="AB52" s="62"/>
      <c r="AC52" s="89"/>
      <c r="AD52" s="32"/>
    </row>
    <row r="53" spans="3:30" s="2" customFormat="1" ht="15" customHeight="1">
      <c r="C53" s="117"/>
      <c r="D53" s="1"/>
      <c r="E53" s="120" t="s">
        <v>13</v>
      </c>
      <c r="F53" s="121" t="s">
        <v>38</v>
      </c>
      <c r="G53" s="122"/>
      <c r="H53" s="121" t="s">
        <v>46</v>
      </c>
      <c r="I53" s="122" t="str">
        <f>VLOOKUP(H53,[1]Plano!$C$7:$L$56,4,FALSE)</f>
        <v>Concluído</v>
      </c>
      <c r="J5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91"/>
      <c r="X53" s="62"/>
      <c r="Y53" s="62"/>
      <c r="Z53" s="62"/>
      <c r="AA53" s="62"/>
      <c r="AB53" s="62"/>
      <c r="AC53" s="89"/>
      <c r="AD53" s="32"/>
    </row>
    <row r="54" spans="3:30" s="2" customFormat="1" ht="15" customHeight="1">
      <c r="C54" s="117"/>
      <c r="D54" s="1"/>
      <c r="E54" s="120" t="s">
        <v>13</v>
      </c>
      <c r="F54" s="121" t="s">
        <v>38</v>
      </c>
      <c r="G54" s="122"/>
      <c r="H54" s="121" t="s">
        <v>47</v>
      </c>
      <c r="I54" s="122" t="str">
        <f>VLOOKUP(H54,[1]Plano!$C$7:$L$56,4,FALSE)</f>
        <v>Concluído</v>
      </c>
      <c r="J5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91"/>
      <c r="X54" s="62"/>
      <c r="Y54" s="62"/>
      <c r="Z54" s="62"/>
      <c r="AA54" s="62"/>
      <c r="AB54" s="62"/>
      <c r="AC54" s="89"/>
      <c r="AD54" s="32"/>
    </row>
    <row r="55" spans="3:30" s="2" customFormat="1" ht="15" customHeight="1">
      <c r="C55" s="117"/>
      <c r="D55" s="1"/>
      <c r="E55" s="120" t="s">
        <v>13</v>
      </c>
      <c r="F55" s="121" t="s">
        <v>38</v>
      </c>
      <c r="G55" s="122"/>
      <c r="H55" s="121" t="s">
        <v>48</v>
      </c>
      <c r="I55" s="122" t="str">
        <f>VLOOKUP(H55,[1]Plano!$C$7:$L$56,4,FALSE)</f>
        <v>Concluído</v>
      </c>
      <c r="J5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91"/>
      <c r="X55" s="62"/>
      <c r="Y55" s="62"/>
      <c r="Z55" s="62"/>
      <c r="AA55" s="62"/>
      <c r="AB55" s="62"/>
      <c r="AC55" s="89"/>
      <c r="AD55" s="32"/>
    </row>
    <row r="56" spans="3:30" s="2" customFormat="1" ht="15" customHeight="1">
      <c r="C56" s="117"/>
      <c r="D56" s="1"/>
      <c r="E56" s="120" t="s">
        <v>13</v>
      </c>
      <c r="F56" s="121" t="s">
        <v>38</v>
      </c>
      <c r="G56" s="122"/>
      <c r="H56" s="121" t="s">
        <v>49</v>
      </c>
      <c r="I56" s="122" t="str">
        <f>VLOOKUP(H56,[1]Plano!$C$7:$L$56,4,FALSE)</f>
        <v>Concluído</v>
      </c>
      <c r="J5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91"/>
      <c r="X56" s="62"/>
      <c r="Y56" s="62"/>
      <c r="Z56" s="62"/>
      <c r="AA56" s="62"/>
      <c r="AB56" s="62"/>
      <c r="AC56" s="62"/>
      <c r="AD56" s="32"/>
    </row>
    <row r="57" spans="3:30" s="2" customFormat="1" ht="15" customHeight="1">
      <c r="C57" s="117"/>
      <c r="D57" s="1"/>
      <c r="E57" s="120" t="s">
        <v>13</v>
      </c>
      <c r="F57" s="121" t="s">
        <v>38</v>
      </c>
      <c r="G57" s="122"/>
      <c r="H57" s="121" t="s">
        <v>50</v>
      </c>
      <c r="I57" s="122" t="str">
        <f>VLOOKUP(H57,[1]Plano!$C$7:$L$56,4,FALSE)</f>
        <v>Concluído</v>
      </c>
      <c r="J5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91"/>
      <c r="X57" s="62"/>
      <c r="Y57" s="62"/>
      <c r="Z57" s="62"/>
      <c r="AA57" s="62"/>
      <c r="AB57" s="62"/>
      <c r="AC57" s="62"/>
      <c r="AD57" s="32"/>
    </row>
    <row r="58" spans="3:30" s="2" customFormat="1" ht="15" customHeight="1">
      <c r="C58" s="117"/>
      <c r="D58" s="1"/>
      <c r="E58" s="120" t="s">
        <v>13</v>
      </c>
      <c r="F58" s="121" t="s">
        <v>38</v>
      </c>
      <c r="G58" s="122"/>
      <c r="H58" s="121" t="s">
        <v>51</v>
      </c>
      <c r="I58" s="122" t="str">
        <f>VLOOKUP(H58,[1]Plano!$C$7:$L$56,4,FALSE)</f>
        <v>Concluído</v>
      </c>
      <c r="J5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91"/>
      <c r="X58" s="62"/>
      <c r="Y58" s="62"/>
      <c r="Z58" s="62"/>
      <c r="AA58" s="62"/>
      <c r="AB58" s="62"/>
      <c r="AC58" s="62"/>
      <c r="AD58" s="32"/>
    </row>
    <row r="59" spans="3:30" s="2" customFormat="1" ht="15" customHeight="1">
      <c r="C59" s="117"/>
      <c r="D59" s="1"/>
      <c r="E59" s="120" t="s">
        <v>13</v>
      </c>
      <c r="F59" s="121" t="s">
        <v>38</v>
      </c>
      <c r="G59" s="122"/>
      <c r="H59" s="121" t="s">
        <v>52</v>
      </c>
      <c r="I59" s="122" t="str">
        <f>VLOOKUP(H59,[1]Plano!$C$7:$L$56,4,FALSE)</f>
        <v>Concluído</v>
      </c>
      <c r="J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91"/>
      <c r="X59" s="62"/>
      <c r="Y59" s="62"/>
      <c r="Z59" s="62"/>
      <c r="AA59" s="62"/>
      <c r="AB59" s="62"/>
      <c r="AC59" s="62"/>
      <c r="AD59" s="32"/>
    </row>
    <row r="60" spans="3:30" s="2" customFormat="1" ht="15" customHeight="1">
      <c r="C60" s="117"/>
      <c r="D60" s="1"/>
      <c r="E60" s="120" t="s">
        <v>13</v>
      </c>
      <c r="F60" s="121" t="s">
        <v>38</v>
      </c>
      <c r="G60" s="122"/>
      <c r="H60" s="121" t="s">
        <v>53</v>
      </c>
      <c r="I60" s="122" t="str">
        <f>VLOOKUP(H60,[1]Plano!$C$7:$L$56,4,FALSE)</f>
        <v>Concluído</v>
      </c>
      <c r="J6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91"/>
      <c r="X60" s="62"/>
      <c r="Y60" s="62"/>
      <c r="Z60" s="62"/>
      <c r="AA60" s="62"/>
      <c r="AB60" s="62"/>
      <c r="AC60" s="62"/>
      <c r="AD60" s="32"/>
    </row>
    <row r="61" spans="3:30" s="2" customFormat="1" ht="15" customHeight="1">
      <c r="C61" s="117"/>
      <c r="D61" s="1"/>
      <c r="E61" s="120" t="s">
        <v>13</v>
      </c>
      <c r="F61" s="121" t="s">
        <v>38</v>
      </c>
      <c r="G61" s="122"/>
      <c r="H61" s="121" t="s">
        <v>54</v>
      </c>
      <c r="I61" s="122" t="str">
        <f>VLOOKUP(H61,[1]Plano!$C$7:$L$56,4,FALSE)</f>
        <v>Concluído</v>
      </c>
      <c r="J6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91"/>
      <c r="X61" s="62"/>
      <c r="Y61" s="62"/>
      <c r="Z61" s="62"/>
      <c r="AA61" s="62"/>
      <c r="AB61" s="62"/>
      <c r="AC61" s="62"/>
      <c r="AD61" s="32"/>
    </row>
    <row r="62" spans="3:30" s="2" customFormat="1" ht="15" customHeight="1">
      <c r="C62" s="117"/>
      <c r="D62" s="1"/>
      <c r="E62" s="120" t="s">
        <v>13</v>
      </c>
      <c r="F62" s="121" t="s">
        <v>38</v>
      </c>
      <c r="G62" s="122"/>
      <c r="H62" s="121" t="s">
        <v>55</v>
      </c>
      <c r="I62" s="122" t="str">
        <f>VLOOKUP(H62,[1]Plano!$C$7:$L$56,4,FALSE)</f>
        <v>Concluído</v>
      </c>
      <c r="J6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91"/>
      <c r="X62"/>
      <c r="Y62"/>
      <c r="Z62"/>
      <c r="AA62"/>
      <c r="AB62"/>
      <c r="AC62"/>
      <c r="AD62" s="32"/>
    </row>
    <row r="63" spans="3:30" s="2" customFormat="1" ht="15" customHeight="1">
      <c r="C63" s="117"/>
      <c r="D63" s="1"/>
      <c r="E63" s="120" t="s">
        <v>13</v>
      </c>
      <c r="F63" s="79" t="s">
        <v>38</v>
      </c>
      <c r="G63" s="123"/>
      <c r="H63" s="79" t="s">
        <v>56</v>
      </c>
      <c r="I63" s="123" t="str">
        <f>VLOOKUP(H63,[1]Plano!$C$7:$L$56,4,FALSE)</f>
        <v>Concluído</v>
      </c>
      <c r="J6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91"/>
      <c r="X63"/>
      <c r="Y63"/>
      <c r="Z63"/>
      <c r="AA63"/>
      <c r="AB63"/>
      <c r="AC63"/>
      <c r="AD63" s="32"/>
    </row>
    <row r="64" spans="3:30" s="2" customFormat="1" ht="15" customHeight="1">
      <c r="C64" s="117"/>
      <c r="D64" s="1"/>
      <c r="E64" s="120" t="s">
        <v>13</v>
      </c>
      <c r="F64" s="79" t="s">
        <v>57</v>
      </c>
      <c r="G64" s="123"/>
      <c r="H64" s="79" t="s">
        <v>58</v>
      </c>
      <c r="I64" s="123" t="str">
        <f>VLOOKUP(H64,[1]Plano!$C$7:$L$56,4,FALSE)</f>
        <v>Concluído</v>
      </c>
      <c r="J6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91"/>
      <c r="X64"/>
      <c r="Y64"/>
      <c r="Z64"/>
      <c r="AA64"/>
      <c r="AB64"/>
      <c r="AC64"/>
      <c r="AD64" s="32"/>
    </row>
    <row r="65" spans="3:30" s="2" customFormat="1" ht="15" customHeight="1">
      <c r="C65" s="117"/>
      <c r="D65" s="1"/>
      <c r="E65" s="120" t="s">
        <v>13</v>
      </c>
      <c r="F65" s="79" t="s">
        <v>57</v>
      </c>
      <c r="G65" s="123"/>
      <c r="H65" s="79" t="s">
        <v>59</v>
      </c>
      <c r="I65" s="123" t="str">
        <f>VLOOKUP(H65,[1]Plano!$C$7:$L$56,4,FALSE)</f>
        <v>Concluído</v>
      </c>
      <c r="J6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91"/>
      <c r="X65"/>
      <c r="Y65"/>
      <c r="Z65"/>
      <c r="AA65"/>
      <c r="AB65"/>
      <c r="AC65"/>
      <c r="AD65" s="32"/>
    </row>
    <row r="66" spans="3:30" s="2" customFormat="1" ht="15" customHeight="1">
      <c r="C66" s="117"/>
      <c r="D66" s="1"/>
      <c r="E66" s="120" t="s">
        <v>13</v>
      </c>
      <c r="F66" s="79" t="s">
        <v>57</v>
      </c>
      <c r="G66" s="123"/>
      <c r="H66" s="79" t="s">
        <v>60</v>
      </c>
      <c r="I66" s="123" t="str">
        <f>VLOOKUP(H66,[1]Plano!$C$7:$L$56,4,FALSE)</f>
        <v>Concluído</v>
      </c>
      <c r="J6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91"/>
      <c r="X66"/>
      <c r="Y66"/>
      <c r="Z66"/>
      <c r="AA66"/>
      <c r="AB66"/>
      <c r="AC66"/>
      <c r="AD66" s="32"/>
    </row>
    <row r="67" spans="3:30" s="2" customFormat="1" ht="15" customHeight="1">
      <c r="C67" s="117"/>
      <c r="D67" s="1"/>
      <c r="E67" s="120" t="s">
        <v>13</v>
      </c>
      <c r="F67" s="79" t="s">
        <v>57</v>
      </c>
      <c r="G67" s="123"/>
      <c r="H67" s="79" t="s">
        <v>61</v>
      </c>
      <c r="I67" s="123" t="str">
        <f>VLOOKUP(H67,[1]Plano!$C$7:$L$56,4,FALSE)</f>
        <v>Concluído</v>
      </c>
      <c r="J6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91"/>
      <c r="X67"/>
      <c r="Y67"/>
      <c r="Z67"/>
      <c r="AA67"/>
      <c r="AB67"/>
      <c r="AC67"/>
      <c r="AD67" s="32"/>
    </row>
    <row r="68" spans="3:30" s="2" customFormat="1" ht="15" customHeight="1">
      <c r="C68" s="117"/>
      <c r="D68" s="1"/>
      <c r="E68" s="120" t="s">
        <v>13</v>
      </c>
      <c r="F68" s="79" t="s">
        <v>57</v>
      </c>
      <c r="G68" s="123"/>
      <c r="H68" s="79" t="s">
        <v>62</v>
      </c>
      <c r="I68" s="123" t="str">
        <f>VLOOKUP(H68,[1]Plano!$C$7:$L$56,4,FALSE)</f>
        <v>Concluído</v>
      </c>
      <c r="J6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91"/>
      <c r="X68"/>
      <c r="Y68"/>
      <c r="Z68"/>
      <c r="AA68"/>
      <c r="AB68"/>
      <c r="AC68"/>
      <c r="AD68" s="32"/>
    </row>
    <row r="69" spans="3:30" s="2" customFormat="1" ht="15" customHeight="1">
      <c r="C69" s="117"/>
      <c r="D69" s="1"/>
      <c r="E69" s="120" t="s">
        <v>13</v>
      </c>
      <c r="F69" s="79" t="s">
        <v>63</v>
      </c>
      <c r="G69" s="79"/>
      <c r="H69" s="79" t="s">
        <v>64</v>
      </c>
      <c r="I69" s="123" t="str">
        <f>VLOOKUP(H69,[1]Plano!$C$7:$L$56,4,FALSE)</f>
        <v>Concluído</v>
      </c>
      <c r="J6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91"/>
      <c r="X69"/>
      <c r="Y69"/>
      <c r="Z69"/>
      <c r="AA69"/>
      <c r="AB69"/>
      <c r="AC69"/>
      <c r="AD69" s="32"/>
    </row>
    <row r="70" spans="3:30" s="2" customFormat="1" ht="15" customHeight="1">
      <c r="C70" s="117"/>
      <c r="D70" s="1"/>
      <c r="E70" s="124" t="s">
        <v>9</v>
      </c>
      <c r="F70" s="120" t="s">
        <v>65</v>
      </c>
      <c r="G70" s="125"/>
      <c r="H70" s="120" t="s">
        <v>66</v>
      </c>
      <c r="I70" s="123" t="str">
        <f>VLOOKUP(F70&amp;H70,'[1]MV+BI'!$E$8:$K$375,3,FALSE)</f>
        <v>Concluído</v>
      </c>
      <c r="J7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91"/>
      <c r="X70"/>
      <c r="Y70"/>
      <c r="Z70"/>
      <c r="AA70"/>
      <c r="AB70"/>
      <c r="AC70"/>
      <c r="AD70" s="32"/>
    </row>
    <row r="71" spans="3:30" s="2" customFormat="1" ht="15" customHeight="1">
      <c r="C71" s="117"/>
      <c r="D71" s="1"/>
      <c r="E71" s="124" t="s">
        <v>9</v>
      </c>
      <c r="F71" s="120" t="s">
        <v>65</v>
      </c>
      <c r="G71" s="125"/>
      <c r="H71" s="120" t="s">
        <v>67</v>
      </c>
      <c r="I71" s="123" t="str">
        <f>VLOOKUP(F71&amp;H71,'[1]MV+BI'!$E$8:$K$375,3,FALSE)</f>
        <v>Concluído</v>
      </c>
      <c r="J7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91"/>
      <c r="X71"/>
      <c r="Y71"/>
      <c r="Z71"/>
      <c r="AA71"/>
      <c r="AB71"/>
      <c r="AC71"/>
      <c r="AD71" s="32"/>
    </row>
    <row r="72" spans="3:30" s="2" customFormat="1" ht="15" customHeight="1">
      <c r="C72" s="117"/>
      <c r="D72" s="1"/>
      <c r="E72" s="126" t="s">
        <v>9</v>
      </c>
      <c r="F72" s="127" t="s">
        <v>68</v>
      </c>
      <c r="G72" s="128"/>
      <c r="H72" s="127" t="s">
        <v>69</v>
      </c>
      <c r="I72" s="129" t="str">
        <f>VLOOKUP(F72&amp;H72,'[1]MV+BI'!$E$8:$K$375,3,FALSE)</f>
        <v>Concluído</v>
      </c>
      <c r="J7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91"/>
      <c r="X72"/>
      <c r="Y72"/>
      <c r="Z72"/>
      <c r="AA72"/>
      <c r="AB72"/>
      <c r="AC72"/>
      <c r="AD72" s="32"/>
    </row>
    <row r="73" spans="3:30" s="2" customFormat="1" ht="15" customHeight="1">
      <c r="C73" s="117"/>
      <c r="D73" s="1"/>
      <c r="E73" s="126" t="s">
        <v>9</v>
      </c>
      <c r="F73" s="127" t="s">
        <v>68</v>
      </c>
      <c r="G73" s="128"/>
      <c r="H73" s="127" t="s">
        <v>70</v>
      </c>
      <c r="I73" s="129" t="str">
        <f>VLOOKUP(F73&amp;H73,'[1]MV+BI'!$E$8:$K$375,3,FALSE)</f>
        <v>Concluído</v>
      </c>
      <c r="J7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91"/>
      <c r="X73"/>
      <c r="Y73"/>
      <c r="Z73"/>
      <c r="AA73"/>
      <c r="AB73"/>
      <c r="AC73"/>
      <c r="AD73" s="32"/>
    </row>
    <row r="74" spans="3:30" s="2" customFormat="1" ht="15" customHeight="1">
      <c r="C74" s="117"/>
      <c r="D74" s="1"/>
      <c r="E74" s="126" t="s">
        <v>9</v>
      </c>
      <c r="F74" s="127" t="s">
        <v>68</v>
      </c>
      <c r="G74" s="128"/>
      <c r="H74" s="127" t="s">
        <v>71</v>
      </c>
      <c r="I74" s="129" t="str">
        <f>VLOOKUP(F74&amp;H74,'[1]MV+BI'!$E$8:$K$375,3,FALSE)</f>
        <v>Concluído</v>
      </c>
      <c r="J7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91"/>
      <c r="X74"/>
      <c r="Y74"/>
      <c r="Z74"/>
      <c r="AA74"/>
      <c r="AB74"/>
      <c r="AC74"/>
      <c r="AD74" s="32"/>
    </row>
    <row r="75" spans="3:30" s="2" customFormat="1" ht="15" customHeight="1">
      <c r="C75" s="117"/>
      <c r="D75" s="1"/>
      <c r="E75" s="126" t="s">
        <v>9</v>
      </c>
      <c r="F75" s="127" t="s">
        <v>68</v>
      </c>
      <c r="G75" s="128"/>
      <c r="H75" s="127" t="s">
        <v>72</v>
      </c>
      <c r="I75" s="129" t="str">
        <f>VLOOKUP(F75&amp;H75,'[1]MV+BI'!$E$8:$K$375,3,FALSE)</f>
        <v>Concluído</v>
      </c>
      <c r="J7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91"/>
      <c r="X75"/>
      <c r="Y75"/>
      <c r="Z75"/>
      <c r="AA75"/>
      <c r="AB75"/>
      <c r="AC75"/>
      <c r="AD75" s="32"/>
    </row>
    <row r="76" spans="3:30" s="2" customFormat="1" ht="15" customHeight="1">
      <c r="C76" s="117"/>
      <c r="D76" s="1"/>
      <c r="E76" s="126" t="s">
        <v>9</v>
      </c>
      <c r="F76" s="127" t="s">
        <v>68</v>
      </c>
      <c r="G76" s="128"/>
      <c r="H76" s="127" t="s">
        <v>67</v>
      </c>
      <c r="I76" s="129" t="str">
        <f>VLOOKUP(F76&amp;H76,'[1]MV+BI'!$E$8:$K$375,3,FALSE)</f>
        <v>Concluído</v>
      </c>
      <c r="J7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91"/>
      <c r="X76"/>
      <c r="Y76"/>
      <c r="Z76"/>
      <c r="AA76"/>
      <c r="AB76"/>
      <c r="AC76"/>
      <c r="AD76" s="32"/>
    </row>
    <row r="77" spans="3:30" s="2" customFormat="1" ht="15" customHeight="1">
      <c r="C77" s="117"/>
      <c r="D77" s="1"/>
      <c r="E77" s="126" t="s">
        <v>9</v>
      </c>
      <c r="F77" s="127" t="s">
        <v>68</v>
      </c>
      <c r="G77" s="128"/>
      <c r="H77" s="127" t="s">
        <v>73</v>
      </c>
      <c r="I77" s="129" t="str">
        <f>VLOOKUP(F77&amp;H77,'[1]MV+BI'!$E$8:$K$375,3,FALSE)</f>
        <v>Concluído</v>
      </c>
      <c r="J7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91"/>
      <c r="X77"/>
      <c r="Y77"/>
      <c r="Z77"/>
      <c r="AA77"/>
      <c r="AB77"/>
      <c r="AC77"/>
      <c r="AD77" s="32"/>
    </row>
    <row r="78" spans="3:30" s="2" customFormat="1" ht="15" customHeight="1">
      <c r="C78" s="117"/>
      <c r="D78" s="1"/>
      <c r="E78" s="126" t="s">
        <v>9</v>
      </c>
      <c r="F78" s="127" t="s">
        <v>68</v>
      </c>
      <c r="G78" s="128"/>
      <c r="H78" s="127" t="s">
        <v>74</v>
      </c>
      <c r="I78" s="129" t="str">
        <f>VLOOKUP(F78&amp;H78,'[1]MV+BI'!$E$8:$K$375,3,FALSE)</f>
        <v>Concluído</v>
      </c>
      <c r="J7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91"/>
      <c r="X78"/>
      <c r="Y78"/>
      <c r="Z78"/>
      <c r="AA78"/>
      <c r="AB78"/>
      <c r="AC78"/>
      <c r="AD78" s="32"/>
    </row>
    <row r="79" spans="3:30" s="2" customFormat="1" ht="15" customHeight="1">
      <c r="C79" s="117"/>
      <c r="D79" s="1"/>
      <c r="E79" s="126" t="s">
        <v>9</v>
      </c>
      <c r="F79" s="127" t="s">
        <v>75</v>
      </c>
      <c r="G79" s="128"/>
      <c r="H79" s="127" t="s">
        <v>69</v>
      </c>
      <c r="I79" s="129" t="str">
        <f>VLOOKUP(F79&amp;H79,'[1]MV+BI'!$E$8:$K$375,3,FALSE)</f>
        <v>Concluído</v>
      </c>
      <c r="J79" s="12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91"/>
      <c r="X79"/>
      <c r="Y79"/>
      <c r="Z79"/>
      <c r="AA79"/>
      <c r="AB79"/>
      <c r="AC79"/>
      <c r="AD79" s="32"/>
    </row>
    <row r="80" spans="3:30" s="2" customFormat="1" ht="15" customHeight="1">
      <c r="C80" s="117"/>
      <c r="D80" s="1"/>
      <c r="E80" s="126" t="s">
        <v>9</v>
      </c>
      <c r="F80" s="127" t="s">
        <v>75</v>
      </c>
      <c r="G80" s="128"/>
      <c r="H80" s="127" t="s">
        <v>70</v>
      </c>
      <c r="I80" s="129" t="str">
        <f>VLOOKUP(F80&amp;H80,'[1]MV+BI'!$E$8:$K$375,3,FALSE)</f>
        <v>Concluído</v>
      </c>
      <c r="J80" s="12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91"/>
      <c r="X80"/>
      <c r="Y80"/>
      <c r="Z80"/>
      <c r="AA80"/>
      <c r="AB80"/>
      <c r="AC80"/>
      <c r="AD80" s="32"/>
    </row>
    <row r="81" spans="3:30" s="2" customFormat="1" ht="15" customHeight="1">
      <c r="C81" s="117"/>
      <c r="D81" s="1"/>
      <c r="E81" s="126" t="s">
        <v>9</v>
      </c>
      <c r="F81" s="127" t="s">
        <v>75</v>
      </c>
      <c r="G81" s="128"/>
      <c r="H81" s="127" t="s">
        <v>71</v>
      </c>
      <c r="I81" s="129" t="str">
        <f>VLOOKUP(F81&amp;H81,'[1]MV+BI'!$E$8:$K$375,3,FALSE)</f>
        <v>Concluído</v>
      </c>
      <c r="J81" s="12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91"/>
      <c r="X81"/>
      <c r="Y81"/>
      <c r="Z81"/>
      <c r="AA81"/>
      <c r="AB81"/>
      <c r="AC81"/>
      <c r="AD81" s="32"/>
    </row>
    <row r="82" spans="3:30" s="2" customFormat="1" ht="15" customHeight="1">
      <c r="C82" s="117"/>
      <c r="D82" s="1"/>
      <c r="E82" s="126" t="s">
        <v>9</v>
      </c>
      <c r="F82" s="127" t="s">
        <v>75</v>
      </c>
      <c r="G82" s="128"/>
      <c r="H82" s="127" t="s">
        <v>72</v>
      </c>
      <c r="I82" s="129" t="str">
        <f>VLOOKUP(F82&amp;H82,'[1]MV+BI'!$E$8:$K$375,3,FALSE)</f>
        <v>Concluído</v>
      </c>
      <c r="J82" s="12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91"/>
      <c r="X82"/>
      <c r="Y82"/>
      <c r="Z82"/>
      <c r="AA82"/>
      <c r="AB82"/>
      <c r="AC82"/>
      <c r="AD82" s="32"/>
    </row>
    <row r="83" spans="3:30" s="2" customFormat="1" ht="15" customHeight="1">
      <c r="C83" s="117"/>
      <c r="D83" s="1"/>
      <c r="E83" s="126" t="s">
        <v>9</v>
      </c>
      <c r="F83" s="127" t="s">
        <v>75</v>
      </c>
      <c r="G83" s="128"/>
      <c r="H83" s="127" t="s">
        <v>67</v>
      </c>
      <c r="I83" s="129" t="str">
        <f>VLOOKUP(F83&amp;H83,'[1]MV+BI'!$E$8:$K$375,3,FALSE)</f>
        <v>Concluído</v>
      </c>
      <c r="J83" s="12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91"/>
      <c r="X83"/>
      <c r="Y83"/>
      <c r="Z83"/>
      <c r="AA83"/>
      <c r="AB83"/>
      <c r="AC83"/>
      <c r="AD83" s="32"/>
    </row>
    <row r="84" spans="3:30" s="2" customFormat="1" ht="15" customHeight="1">
      <c r="C84" s="117"/>
      <c r="D84" s="1"/>
      <c r="E84" s="126" t="s">
        <v>9</v>
      </c>
      <c r="F84" s="127" t="s">
        <v>75</v>
      </c>
      <c r="G84" s="128"/>
      <c r="H84" s="127" t="s">
        <v>76</v>
      </c>
      <c r="I84" s="129" t="str">
        <f>VLOOKUP(F84&amp;H84,'[1]MV+BI'!$E$8:$K$375,3,FALSE)</f>
        <v>Concluído</v>
      </c>
      <c r="J84" s="12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91"/>
      <c r="X84"/>
      <c r="Y84"/>
      <c r="Z84"/>
      <c r="AA84"/>
      <c r="AB84"/>
      <c r="AC84"/>
      <c r="AD84" s="32"/>
    </row>
    <row r="85" spans="3:30" s="2" customFormat="1" ht="15" customHeight="1">
      <c r="C85" s="117"/>
      <c r="D85" s="1"/>
      <c r="E85" s="126" t="s">
        <v>9</v>
      </c>
      <c r="F85" s="127" t="s">
        <v>75</v>
      </c>
      <c r="G85" s="128"/>
      <c r="H85" s="127" t="s">
        <v>77</v>
      </c>
      <c r="I85" s="129" t="str">
        <f>VLOOKUP(F85&amp;H85,'[1]MV+BI'!$E$8:$K$375,3,FALSE)</f>
        <v>Concluído</v>
      </c>
      <c r="J85" s="12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91"/>
      <c r="X85"/>
      <c r="Y85"/>
      <c r="Z85"/>
      <c r="AA85"/>
      <c r="AB85"/>
      <c r="AC85"/>
      <c r="AD85" s="32"/>
    </row>
    <row r="86" spans="3:30" s="2" customFormat="1" ht="15" customHeight="1">
      <c r="C86" s="117"/>
      <c r="D86" s="1"/>
      <c r="E86" s="126" t="s">
        <v>9</v>
      </c>
      <c r="F86" s="127" t="s">
        <v>75</v>
      </c>
      <c r="G86" s="128"/>
      <c r="H86" s="127" t="s">
        <v>78</v>
      </c>
      <c r="I86" s="129" t="str">
        <f>VLOOKUP(F86&amp;H86,'[1]MV+BI'!$E$8:$K$375,3,FALSE)</f>
        <v>Concluído</v>
      </c>
      <c r="J86" s="12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91"/>
      <c r="X86"/>
      <c r="Y86"/>
      <c r="Z86"/>
      <c r="AA86"/>
      <c r="AB86"/>
      <c r="AC86"/>
      <c r="AD86" s="32"/>
    </row>
    <row r="87" spans="3:30" s="2" customFormat="1" ht="15" customHeight="1">
      <c r="C87" s="130"/>
      <c r="D87" s="131"/>
      <c r="E87" s="132"/>
      <c r="F87" s="133"/>
      <c r="G87" s="133"/>
      <c r="H87" s="133"/>
      <c r="I87" s="133"/>
      <c r="J87" s="133"/>
      <c r="K87" s="101"/>
      <c r="L87" s="134"/>
      <c r="M87" s="133"/>
      <c r="N87" s="133"/>
      <c r="O87" s="133"/>
      <c r="P87" s="133"/>
      <c r="Q87" s="133"/>
      <c r="R87" s="133"/>
      <c r="S87" s="133"/>
      <c r="T87" s="133"/>
      <c r="U87" s="133"/>
      <c r="V87" s="1"/>
      <c r="W87" s="100"/>
      <c r="X87" s="104"/>
      <c r="Y87" s="104"/>
      <c r="Z87" s="104"/>
      <c r="AA87" s="104"/>
      <c r="AB87" s="104"/>
      <c r="AC87" s="104"/>
      <c r="AD87" s="106"/>
    </row>
    <row r="88" spans="3:30" s="2" customFormat="1" ht="7.2" customHeight="1">
      <c r="K88" s="12"/>
      <c r="V88" s="107"/>
      <c r="W88" s="12"/>
    </row>
    <row r="89" spans="3:30" s="2" customFormat="1" ht="15" customHeight="1">
      <c r="K89" s="12"/>
      <c r="V89" s="12"/>
      <c r="W89" s="12"/>
    </row>
    <row r="90" spans="3:30" s="2" customFormat="1" ht="15" customHeight="1">
      <c r="D90" s="109"/>
      <c r="K90" s="12"/>
      <c r="V90" s="20"/>
      <c r="W90" s="20"/>
      <c r="X90" s="20"/>
      <c r="Y90" s="20"/>
      <c r="Z90" s="20"/>
      <c r="AA90" s="20"/>
      <c r="AB90" s="20"/>
      <c r="AC90" s="20"/>
      <c r="AD90" s="20"/>
    </row>
    <row r="91" spans="3:30" s="2" customFormat="1" ht="16.8" customHeight="1">
      <c r="C91" s="135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5"/>
      <c r="R91" s="1"/>
      <c r="S91" s="1"/>
      <c r="T91" s="1"/>
      <c r="U91" s="1"/>
      <c r="V91" s="1"/>
      <c r="W91" s="1"/>
      <c r="X91"/>
      <c r="Y91"/>
      <c r="Z91"/>
      <c r="AA91"/>
      <c r="AB91"/>
      <c r="AC91"/>
      <c r="AD91" s="28"/>
    </row>
    <row r="92" spans="3:30" s="2" customFormat="1" ht="15" customHeight="1">
      <c r="C92" s="136"/>
      <c r="D92" s="137"/>
      <c r="E92" s="138" t="s">
        <v>34</v>
      </c>
      <c r="F92" s="138" t="s">
        <v>35</v>
      </c>
      <c r="G92" s="138"/>
      <c r="H92" s="138" t="s">
        <v>36</v>
      </c>
      <c r="I92" s="139" t="s">
        <v>37</v>
      </c>
      <c r="J92" s="140"/>
      <c r="K92" s="138" t="s">
        <v>79</v>
      </c>
      <c r="L92" s="138"/>
      <c r="M92" s="138" t="s">
        <v>80</v>
      </c>
      <c r="N92" s="119"/>
      <c r="O92" s="91"/>
      <c r="P92" s="91"/>
      <c r="Q92" s="91"/>
      <c r="R92" s="91"/>
      <c r="S92" s="91"/>
      <c r="T92" s="91"/>
      <c r="U92" s="1"/>
      <c r="V92" s="1"/>
      <c r="W92" s="1"/>
      <c r="X92"/>
      <c r="Y92"/>
      <c r="Z92"/>
      <c r="AA92"/>
      <c r="AB92"/>
      <c r="AC92"/>
      <c r="AD92" s="32"/>
    </row>
    <row r="93" spans="3:30" s="2" customFormat="1" ht="15" customHeight="1">
      <c r="C93" s="136"/>
      <c r="D93" s="137"/>
      <c r="E93" s="141"/>
      <c r="F93" s="141"/>
      <c r="G93" s="138"/>
      <c r="H93" s="62"/>
      <c r="I93" s="138"/>
      <c r="J93" s="140"/>
      <c r="K93" s="138"/>
      <c r="L93" s="138"/>
      <c r="M93" s="138"/>
      <c r="N93" s="119"/>
      <c r="O93" s="91"/>
      <c r="P93" s="91"/>
      <c r="Q93" s="91"/>
      <c r="R93" s="91"/>
      <c r="S93" s="91"/>
      <c r="T93" s="91"/>
      <c r="U93" s="1"/>
      <c r="V93" s="1"/>
      <c r="W93" s="1"/>
      <c r="X93"/>
      <c r="Y93"/>
      <c r="Z93"/>
      <c r="AA93"/>
      <c r="AB93"/>
      <c r="AC93"/>
      <c r="AD93" s="32"/>
    </row>
    <row r="94" spans="3:30" s="2" customFormat="1" ht="15" customHeight="1">
      <c r="C94" s="136"/>
      <c r="D94" s="137"/>
      <c r="E94" s="141" t="s">
        <v>13</v>
      </c>
      <c r="F94" s="142" t="s">
        <v>9</v>
      </c>
      <c r="G94" s="143"/>
      <c r="H94" s="124" t="s">
        <v>81</v>
      </c>
      <c r="I94" s="144" t="str">
        <f>VLOOKUP(H94,[1]Plano!$C$7:$L$56,4,FALSE)</f>
        <v>Em Teste</v>
      </c>
      <c r="J94" s="120"/>
      <c r="K94" s="145">
        <f>VLOOKUP(H94,[1]Plano!$C$7:$L$56,9,FALSE)</f>
        <v>45534</v>
      </c>
      <c r="L94" s="143"/>
      <c r="M94" s="143"/>
      <c r="N94" s="119"/>
      <c r="O94" s="91"/>
      <c r="P94" s="91"/>
      <c r="Q94" s="91"/>
      <c r="R94" s="91"/>
      <c r="S94" s="91"/>
      <c r="T94" s="91"/>
      <c r="U94" s="1"/>
      <c r="V94" s="1"/>
      <c r="W94" s="1"/>
      <c r="X94"/>
      <c r="Y94"/>
      <c r="Z94"/>
      <c r="AA94"/>
      <c r="AB94"/>
      <c r="AC94"/>
      <c r="AD94" s="32"/>
    </row>
    <row r="95" spans="3:30" s="2" customFormat="1" ht="15" customHeight="1">
      <c r="C95" s="136"/>
      <c r="D95" s="137"/>
      <c r="E95" s="141" t="s">
        <v>13</v>
      </c>
      <c r="F95" s="124" t="s">
        <v>9</v>
      </c>
      <c r="G95" s="143"/>
      <c r="H95" s="124" t="s">
        <v>82</v>
      </c>
      <c r="I95" s="144" t="str">
        <f>VLOOKUP(H95,[1]Plano!$C$7:$L$56,4,FALSE)</f>
        <v>Em Teste</v>
      </c>
      <c r="J95" s="120"/>
      <c r="K95" s="145">
        <f>VLOOKUP(H95,[1]Plano!$C$7:$L$56,9,FALSE)</f>
        <v>45534</v>
      </c>
      <c r="L95" s="143"/>
      <c r="M95" s="143"/>
      <c r="N95" s="119"/>
      <c r="O95" s="91"/>
      <c r="P95" s="91"/>
      <c r="Q95" s="91"/>
      <c r="R95" s="91"/>
      <c r="S95" s="91"/>
      <c r="T95" s="91"/>
      <c r="U95" s="1"/>
      <c r="V95" s="1"/>
      <c r="W95" s="1"/>
      <c r="X95"/>
      <c r="Y95"/>
      <c r="Z95"/>
      <c r="AA95"/>
      <c r="AB95"/>
      <c r="AC95"/>
      <c r="AD95" s="32"/>
    </row>
    <row r="96" spans="3:30" s="2" customFormat="1" ht="15" customHeight="1">
      <c r="C96" s="136"/>
      <c r="D96" s="137"/>
      <c r="E96" s="124" t="s">
        <v>9</v>
      </c>
      <c r="F96" s="141" t="s">
        <v>83</v>
      </c>
      <c r="G96" s="143"/>
      <c r="H96" s="141" t="s">
        <v>84</v>
      </c>
      <c r="I96" s="144" t="str">
        <f>VLOOKUP(F96&amp;H96,'[1]MV+BI'!$E$8:$K$375,3,FALSE)</f>
        <v>Em Teste</v>
      </c>
      <c r="J96" s="120"/>
      <c r="K96" s="145">
        <f>VLOOKUP(F96&amp;H96,'[1]MV+BI'!$E$8:$K$375,7,FALSE)</f>
        <v>45527</v>
      </c>
      <c r="L96" s="143"/>
      <c r="M96" s="143"/>
      <c r="N96" s="119"/>
      <c r="O96" s="91"/>
      <c r="P96" s="91"/>
      <c r="Q96" s="91"/>
      <c r="R96" s="91"/>
      <c r="S96" s="91"/>
      <c r="T96" s="91"/>
      <c r="U96" s="1"/>
      <c r="V96" s="1"/>
      <c r="W96" s="1"/>
      <c r="X96"/>
      <c r="Y96"/>
      <c r="Z96"/>
      <c r="AA96"/>
      <c r="AB96"/>
      <c r="AC96"/>
      <c r="AD96" s="32"/>
    </row>
    <row r="97" spans="3:30" s="2" customFormat="1" ht="15" customHeight="1">
      <c r="C97" s="136"/>
      <c r="D97" s="137"/>
      <c r="E97" s="124" t="s">
        <v>9</v>
      </c>
      <c r="F97" s="141" t="s">
        <v>83</v>
      </c>
      <c r="G97" s="143"/>
      <c r="H97" s="141" t="s">
        <v>85</v>
      </c>
      <c r="I97" s="144" t="str">
        <f>VLOOKUP(F97&amp;H97,'[1]MV+BI'!$E$8:$K$375,3,FALSE)</f>
        <v>Em Teste</v>
      </c>
      <c r="J97" s="120"/>
      <c r="K97" s="145">
        <f>VLOOKUP(F97&amp;H97,'[1]MV+BI'!$E$8:$K$375,7,FALSE)</f>
        <v>45527</v>
      </c>
      <c r="L97" s="143"/>
      <c r="M97" s="143"/>
      <c r="N97" s="119"/>
      <c r="O97" s="91"/>
      <c r="P97" s="91"/>
      <c r="Q97" s="91"/>
      <c r="R97" s="91"/>
      <c r="S97" s="91"/>
      <c r="T97" s="91"/>
      <c r="U97" s="1"/>
      <c r="V97" s="1"/>
      <c r="W97" s="1"/>
      <c r="X97"/>
      <c r="Y97"/>
      <c r="Z97"/>
      <c r="AA97"/>
      <c r="AB97"/>
      <c r="AC97"/>
      <c r="AD97" s="32"/>
    </row>
    <row r="98" spans="3:30" s="2" customFormat="1" ht="15" customHeight="1">
      <c r="C98" s="136"/>
      <c r="D98" s="137"/>
      <c r="E98" s="124" t="s">
        <v>9</v>
      </c>
      <c r="F98" s="141" t="s">
        <v>83</v>
      </c>
      <c r="G98" s="143"/>
      <c r="H98" s="141" t="s">
        <v>86</v>
      </c>
      <c r="I98" s="144" t="str">
        <f>VLOOKUP(F98&amp;H98,'[1]MV+BI'!$E$8:$K$375,3,FALSE)</f>
        <v>Em Teste</v>
      </c>
      <c r="J98" s="120"/>
      <c r="K98" s="145">
        <f>VLOOKUP(F98&amp;H98,'[1]MV+BI'!$E$8:$K$375,7,FALSE)</f>
        <v>45527</v>
      </c>
      <c r="L98" s="143"/>
      <c r="M98" s="143"/>
      <c r="N98" s="119"/>
      <c r="O98" s="91"/>
      <c r="P98" s="91"/>
      <c r="Q98" s="91"/>
      <c r="R98" s="91"/>
      <c r="S98" s="91"/>
      <c r="T98" s="91"/>
      <c r="U98" s="1"/>
      <c r="V98" s="1"/>
      <c r="W98" s="1"/>
      <c r="X98"/>
      <c r="Y98"/>
      <c r="Z98"/>
      <c r="AA98"/>
      <c r="AB98"/>
      <c r="AC98"/>
      <c r="AD98" s="32"/>
    </row>
    <row r="99" spans="3:30" s="2" customFormat="1" ht="15" customHeight="1">
      <c r="C99" s="136"/>
      <c r="D99" s="137"/>
      <c r="E99" s="124" t="s">
        <v>9</v>
      </c>
      <c r="F99" s="141" t="s">
        <v>83</v>
      </c>
      <c r="G99" s="143"/>
      <c r="H99" s="141" t="s">
        <v>87</v>
      </c>
      <c r="I99" s="144" t="str">
        <f>VLOOKUP(F99&amp;H99,'[1]MV+BI'!$E$8:$K$375,3,FALSE)</f>
        <v>Em Teste</v>
      </c>
      <c r="J99" s="120"/>
      <c r="K99" s="145">
        <f>VLOOKUP(F99&amp;H99,'[1]MV+BI'!$E$8:$K$375,7,FALSE)</f>
        <v>45527</v>
      </c>
      <c r="L99" s="143"/>
      <c r="M99" s="143"/>
      <c r="N99" s="119"/>
      <c r="O99" s="91"/>
      <c r="P99" s="91"/>
      <c r="Q99" s="91"/>
      <c r="R99" s="91"/>
      <c r="S99" s="91"/>
      <c r="T99" s="91"/>
      <c r="U99" s="1"/>
      <c r="V99" s="1"/>
      <c r="W99" s="1"/>
      <c r="X99"/>
      <c r="Y99"/>
      <c r="Z99"/>
      <c r="AA99"/>
      <c r="AB99"/>
      <c r="AC99"/>
      <c r="AD99" s="32"/>
    </row>
    <row r="100" spans="3:30" s="2" customFormat="1" ht="15" customHeight="1">
      <c r="C100" s="136"/>
      <c r="D100" s="137"/>
      <c r="E100" s="124" t="s">
        <v>9</v>
      </c>
      <c r="F100" s="141" t="s">
        <v>83</v>
      </c>
      <c r="G100" s="143"/>
      <c r="H100" s="141" t="s">
        <v>67</v>
      </c>
      <c r="I100" s="144" t="str">
        <f>VLOOKUP(F100&amp;H100,'[1]MV+BI'!$E$8:$K$375,3,FALSE)</f>
        <v>Em Teste</v>
      </c>
      <c r="J100" s="120"/>
      <c r="K100" s="145">
        <f>VLOOKUP(F100&amp;H100,'[1]MV+BI'!$E$8:$K$375,7,FALSE)</f>
        <v>45527</v>
      </c>
      <c r="L100" s="143"/>
      <c r="M100" s="143"/>
      <c r="N100" s="119"/>
      <c r="O100" s="91"/>
      <c r="P100" s="91"/>
      <c r="Q100" s="91"/>
      <c r="R100" s="91"/>
      <c r="S100" s="91"/>
      <c r="T100" s="91"/>
      <c r="U100" s="1"/>
      <c r="V100" s="1"/>
      <c r="W100" s="1"/>
      <c r="X100"/>
      <c r="Y100"/>
      <c r="Z100"/>
      <c r="AA100"/>
      <c r="AB100"/>
      <c r="AC100"/>
      <c r="AD100" s="32"/>
    </row>
    <row r="101" spans="3:30" s="2" customFormat="1" ht="15" customHeight="1">
      <c r="C101" s="136"/>
      <c r="D101" s="137"/>
      <c r="E101" s="124" t="s">
        <v>9</v>
      </c>
      <c r="F101" s="141" t="s">
        <v>83</v>
      </c>
      <c r="G101" s="143"/>
      <c r="H101" s="141" t="s">
        <v>88</v>
      </c>
      <c r="I101" s="144" t="str">
        <f>VLOOKUP(F101&amp;H101,'[1]MV+BI'!$E$8:$K$375,3,FALSE)</f>
        <v>Em Teste</v>
      </c>
      <c r="J101" s="120"/>
      <c r="K101" s="145">
        <f>VLOOKUP(F101&amp;H101,'[1]MV+BI'!$E$8:$K$375,7,FALSE)</f>
        <v>45527</v>
      </c>
      <c r="L101" s="143"/>
      <c r="M101" s="143"/>
      <c r="N101" s="119"/>
      <c r="O101" s="91"/>
      <c r="P101" s="91"/>
      <c r="Q101" s="91"/>
      <c r="R101" s="91"/>
      <c r="S101" s="91"/>
      <c r="T101" s="91"/>
      <c r="U101" s="1"/>
      <c r="V101" s="1"/>
      <c r="W101" s="1"/>
      <c r="X101"/>
      <c r="Y101"/>
      <c r="Z101"/>
      <c r="AA101"/>
      <c r="AB101"/>
      <c r="AC101"/>
      <c r="AD101" s="32"/>
    </row>
    <row r="102" spans="3:30" s="2" customFormat="1" ht="15" customHeight="1">
      <c r="C102" s="136"/>
      <c r="D102" s="137"/>
      <c r="E102" s="124" t="s">
        <v>9</v>
      </c>
      <c r="F102" s="141" t="s">
        <v>83</v>
      </c>
      <c r="G102" s="143"/>
      <c r="H102" s="141" t="s">
        <v>89</v>
      </c>
      <c r="I102" s="144" t="str">
        <f>VLOOKUP(F102&amp;H102,'[1]MV+BI'!$E$8:$K$375,3,FALSE)</f>
        <v>Em Teste</v>
      </c>
      <c r="J102" s="120"/>
      <c r="K102" s="145">
        <f>VLOOKUP(F102&amp;H102,'[1]MV+BI'!$E$8:$K$375,7,FALSE)</f>
        <v>45527</v>
      </c>
      <c r="L102" s="143"/>
      <c r="M102" s="143"/>
      <c r="N102" s="119"/>
      <c r="O102" s="91"/>
      <c r="P102" s="91"/>
      <c r="Q102" s="91"/>
      <c r="R102" s="91"/>
      <c r="S102" s="91"/>
      <c r="T102" s="91"/>
      <c r="U102" s="1"/>
      <c r="V102" s="1"/>
      <c r="W102" s="1"/>
      <c r="X102"/>
      <c r="Y102"/>
      <c r="Z102"/>
      <c r="AA102"/>
      <c r="AB102"/>
      <c r="AC102"/>
      <c r="AD102" s="32"/>
    </row>
    <row r="103" spans="3:30" s="2" customFormat="1" ht="15" customHeight="1">
      <c r="C103" s="136"/>
      <c r="D103" s="137"/>
      <c r="E103" s="124" t="s">
        <v>9</v>
      </c>
      <c r="F103" s="141" t="s">
        <v>83</v>
      </c>
      <c r="G103" s="143"/>
      <c r="H103" s="141" t="s">
        <v>90</v>
      </c>
      <c r="I103" s="144" t="str">
        <f>VLOOKUP(F103&amp;H103,'[1]MV+BI'!$E$8:$K$375,3,FALSE)</f>
        <v>Em Teste</v>
      </c>
      <c r="J103" s="120"/>
      <c r="K103" s="145">
        <f>VLOOKUP(F103&amp;H103,'[1]MV+BI'!$E$8:$K$375,7,FALSE)</f>
        <v>45527</v>
      </c>
      <c r="L103" s="143"/>
      <c r="M103" s="143"/>
      <c r="N103" s="119"/>
      <c r="O103" s="91"/>
      <c r="P103" s="91"/>
      <c r="Q103" s="91"/>
      <c r="R103" s="91"/>
      <c r="S103" s="91"/>
      <c r="T103" s="91"/>
      <c r="U103" s="1"/>
      <c r="V103" s="1"/>
      <c r="W103" s="1"/>
      <c r="X103"/>
      <c r="Y103"/>
      <c r="Z103"/>
      <c r="AA103"/>
      <c r="AB103"/>
      <c r="AC103"/>
      <c r="AD103" s="32"/>
    </row>
    <row r="104" spans="3:30" s="2" customFormat="1" ht="15" customHeight="1">
      <c r="C104" s="136"/>
      <c r="D104" s="137"/>
      <c r="E104" s="124" t="s">
        <v>9</v>
      </c>
      <c r="F104" s="141" t="s">
        <v>83</v>
      </c>
      <c r="G104" s="143"/>
      <c r="H104" s="141" t="s">
        <v>91</v>
      </c>
      <c r="I104" s="144" t="str">
        <f>VLOOKUP(F104&amp;H104,'[1]MV+BI'!$E$8:$K$375,3,FALSE)</f>
        <v>Em Teste</v>
      </c>
      <c r="J104" s="120"/>
      <c r="K104" s="145">
        <f>VLOOKUP(F104&amp;H104,'[1]MV+BI'!$E$8:$K$375,7,FALSE)</f>
        <v>45527</v>
      </c>
      <c r="L104" s="143"/>
      <c r="M104" s="143"/>
      <c r="N104" s="119"/>
      <c r="O104" s="91"/>
      <c r="P104" s="91"/>
      <c r="Q104" s="91"/>
      <c r="R104" s="91"/>
      <c r="S104" s="91"/>
      <c r="T104" s="91"/>
      <c r="U104" s="1"/>
      <c r="V104" s="1"/>
      <c r="W104" s="1"/>
      <c r="X104"/>
      <c r="Y104"/>
      <c r="Z104"/>
      <c r="AA104"/>
      <c r="AB104"/>
      <c r="AC104"/>
      <c r="AD104" s="32"/>
    </row>
    <row r="105" spans="3:30" s="2" customFormat="1" ht="15" customHeight="1">
      <c r="C105" s="136"/>
      <c r="D105" s="137"/>
      <c r="E105" s="124" t="s">
        <v>9</v>
      </c>
      <c r="F105" s="141" t="s">
        <v>83</v>
      </c>
      <c r="G105" s="143"/>
      <c r="H105" s="141" t="s">
        <v>92</v>
      </c>
      <c r="I105" s="144" t="str">
        <f>VLOOKUP(F105&amp;H105,'[1]MV+BI'!$E$8:$K$375,3,FALSE)</f>
        <v>Em Teste</v>
      </c>
      <c r="J105" s="120"/>
      <c r="K105" s="145">
        <f>VLOOKUP(F105&amp;H105,'[1]MV+BI'!$E$8:$K$375,7,FALSE)</f>
        <v>45527</v>
      </c>
      <c r="L105" s="143"/>
      <c r="M105" s="143"/>
      <c r="N105" s="119"/>
      <c r="O105" s="91"/>
      <c r="P105" s="91"/>
      <c r="Q105" s="91"/>
      <c r="R105" s="91"/>
      <c r="S105" s="91"/>
      <c r="T105" s="91"/>
      <c r="U105" s="1"/>
      <c r="V105" s="1"/>
      <c r="W105" s="1"/>
      <c r="X105"/>
      <c r="Y105"/>
      <c r="Z105"/>
      <c r="AA105"/>
      <c r="AB105"/>
      <c r="AC105"/>
      <c r="AD105" s="32"/>
    </row>
    <row r="106" spans="3:30" s="2" customFormat="1" ht="15" customHeight="1">
      <c r="C106" s="136"/>
      <c r="D106" s="137"/>
      <c r="E106" s="124" t="s">
        <v>9</v>
      </c>
      <c r="F106" s="141" t="s">
        <v>83</v>
      </c>
      <c r="G106" s="143"/>
      <c r="H106" s="141" t="s">
        <v>93</v>
      </c>
      <c r="I106" s="144" t="str">
        <f>VLOOKUP(F106&amp;H106,'[1]MV+BI'!$E$8:$K$375,3,FALSE)</f>
        <v>Em Teste</v>
      </c>
      <c r="J106" s="120"/>
      <c r="K106" s="145">
        <f>VLOOKUP(F106&amp;H106,'[1]MV+BI'!$E$8:$K$375,7,FALSE)</f>
        <v>45527</v>
      </c>
      <c r="L106" s="143"/>
      <c r="M106" s="143"/>
      <c r="N106" s="119"/>
      <c r="O106" s="91"/>
      <c r="P106" s="91"/>
      <c r="Q106" s="91"/>
      <c r="R106" s="91"/>
      <c r="S106" s="91"/>
      <c r="T106" s="91"/>
      <c r="U106" s="1"/>
      <c r="V106" s="1"/>
      <c r="W106" s="1"/>
      <c r="X106"/>
      <c r="Y106"/>
      <c r="Z106"/>
      <c r="AA106"/>
      <c r="AB106"/>
      <c r="AC106"/>
      <c r="AD106" s="32"/>
    </row>
    <row r="107" spans="3:30" s="2" customFormat="1" ht="15" customHeight="1">
      <c r="C107" s="136"/>
      <c r="D107" s="137"/>
      <c r="E107" s="124" t="s">
        <v>9</v>
      </c>
      <c r="F107" s="141" t="s">
        <v>83</v>
      </c>
      <c r="G107" s="143"/>
      <c r="H107" s="141" t="s">
        <v>94</v>
      </c>
      <c r="I107" s="144" t="str">
        <f>VLOOKUP(F107&amp;H107,'[1]MV+BI'!$E$8:$K$375,3,FALSE)</f>
        <v>Em Teste</v>
      </c>
      <c r="J107" s="120"/>
      <c r="K107" s="145">
        <f>VLOOKUP(F107&amp;H107,'[1]MV+BI'!$E$8:$K$375,7,FALSE)</f>
        <v>45527</v>
      </c>
      <c r="L107" s="143"/>
      <c r="M107" s="143"/>
      <c r="N107" s="119"/>
      <c r="O107" s="91"/>
      <c r="P107" s="91"/>
      <c r="Q107" s="91"/>
      <c r="R107" s="91"/>
      <c r="S107" s="91"/>
      <c r="T107" s="91"/>
      <c r="U107" s="1"/>
      <c r="V107" s="1"/>
      <c r="W107" s="1"/>
      <c r="X107"/>
      <c r="Y107"/>
      <c r="Z107"/>
      <c r="AA107"/>
      <c r="AB107"/>
      <c r="AC107"/>
      <c r="AD107" s="32"/>
    </row>
    <row r="108" spans="3:30" s="2" customFormat="1" ht="15" customHeight="1">
      <c r="C108" s="136"/>
      <c r="D108" s="137"/>
      <c r="E108" s="124" t="s">
        <v>9</v>
      </c>
      <c r="F108" s="141" t="s">
        <v>83</v>
      </c>
      <c r="G108" s="143"/>
      <c r="H108" s="141" t="s">
        <v>6</v>
      </c>
      <c r="I108" s="144" t="str">
        <f>VLOOKUP(F108&amp;H108,'[1]MV+BI'!$E$8:$K$375,3,FALSE)</f>
        <v>Em Teste</v>
      </c>
      <c r="J108" s="120"/>
      <c r="K108" s="145">
        <f>VLOOKUP(F108&amp;H108,'[1]MV+BI'!$E$8:$K$375,7,FALSE)</f>
        <v>45527</v>
      </c>
      <c r="L108" s="143"/>
      <c r="M108" s="143"/>
      <c r="N108" s="119"/>
      <c r="O108" s="91"/>
      <c r="P108" s="91"/>
      <c r="Q108" s="91"/>
      <c r="R108" s="91"/>
      <c r="S108" s="91"/>
      <c r="T108" s="91"/>
      <c r="U108" s="1"/>
      <c r="V108" s="1"/>
      <c r="W108" s="1"/>
      <c r="X108"/>
      <c r="Y108"/>
      <c r="Z108"/>
      <c r="AA108"/>
      <c r="AB108"/>
      <c r="AC108"/>
      <c r="AD108" s="32"/>
    </row>
    <row r="109" spans="3:30" s="2" customFormat="1" ht="15" customHeight="1">
      <c r="C109" s="136"/>
      <c r="D109" s="137"/>
      <c r="E109" s="124" t="s">
        <v>9</v>
      </c>
      <c r="F109" s="141" t="s">
        <v>95</v>
      </c>
      <c r="G109" s="143"/>
      <c r="H109" s="141" t="s">
        <v>67</v>
      </c>
      <c r="I109" s="144" t="str">
        <f>VLOOKUP(F109&amp;H109,'[1]MV+BI'!$E$8:$K$375,3,FALSE)</f>
        <v>Em Teste</v>
      </c>
      <c r="J109" s="120"/>
      <c r="K109" s="145">
        <f>VLOOKUP(F109&amp;H109,'[1]MV+BI'!$E$8:$K$375,7,FALSE)</f>
        <v>45527</v>
      </c>
      <c r="L109" s="143"/>
      <c r="M109" s="143"/>
      <c r="N109" s="119"/>
      <c r="O109" s="91"/>
      <c r="P109" s="91"/>
      <c r="Q109" s="91"/>
      <c r="R109" s="91"/>
      <c r="S109" s="91"/>
      <c r="T109" s="91"/>
      <c r="U109" s="1"/>
      <c r="V109" s="1"/>
      <c r="W109" s="1"/>
      <c r="X109"/>
      <c r="Y109"/>
      <c r="Z109"/>
      <c r="AA109"/>
      <c r="AB109"/>
      <c r="AC109"/>
      <c r="AD109" s="32"/>
    </row>
    <row r="110" spans="3:30" s="2" customFormat="1" ht="15" customHeight="1">
      <c r="C110" s="136"/>
      <c r="D110" s="137"/>
      <c r="E110" s="124" t="s">
        <v>9</v>
      </c>
      <c r="F110" s="141" t="s">
        <v>95</v>
      </c>
      <c r="G110" s="143"/>
      <c r="H110" s="141" t="s">
        <v>96</v>
      </c>
      <c r="I110" s="144" t="str">
        <f>VLOOKUP(F110&amp;H110,'[1]MV+BI'!$E$8:$K$375,3,FALSE)</f>
        <v>Em Teste</v>
      </c>
      <c r="J110" s="120"/>
      <c r="K110" s="145">
        <f>VLOOKUP(F110&amp;H110,'[1]MV+BI'!$E$8:$K$375,7,FALSE)</f>
        <v>45527</v>
      </c>
      <c r="L110" s="143"/>
      <c r="M110" s="143"/>
      <c r="N110" s="119"/>
      <c r="O110" s="91"/>
      <c r="P110" s="91"/>
      <c r="Q110" s="91"/>
      <c r="R110" s="91"/>
      <c r="S110" s="91"/>
      <c r="T110" s="91"/>
      <c r="U110" s="1"/>
      <c r="V110" s="1"/>
      <c r="W110" s="1"/>
      <c r="X110"/>
      <c r="Y110"/>
      <c r="Z110"/>
      <c r="AA110"/>
      <c r="AB110"/>
      <c r="AC110"/>
      <c r="AD110" s="32"/>
    </row>
    <row r="111" spans="3:30" s="2" customFormat="1" ht="15" customHeight="1">
      <c r="C111" s="136"/>
      <c r="D111" s="137"/>
      <c r="E111" s="124" t="s">
        <v>9</v>
      </c>
      <c r="F111" s="141" t="s">
        <v>95</v>
      </c>
      <c r="G111" s="143"/>
      <c r="H111" s="141" t="s">
        <v>88</v>
      </c>
      <c r="I111" s="144" t="str">
        <f>VLOOKUP(F111&amp;H111,'[1]MV+BI'!$E$8:$K$375,3,FALSE)</f>
        <v>Em Teste</v>
      </c>
      <c r="J111" s="120"/>
      <c r="K111" s="145">
        <f>VLOOKUP(F111&amp;H111,'[1]MV+BI'!$E$8:$K$375,7,FALSE)</f>
        <v>45527</v>
      </c>
      <c r="L111" s="143"/>
      <c r="M111" s="143"/>
      <c r="N111" s="119"/>
      <c r="O111" s="91"/>
      <c r="P111" s="91"/>
      <c r="Q111" s="91"/>
      <c r="R111" s="91"/>
      <c r="S111" s="91"/>
      <c r="T111" s="91"/>
      <c r="U111" s="1"/>
      <c r="V111" s="1"/>
      <c r="W111" s="1"/>
      <c r="X111"/>
      <c r="Y111"/>
      <c r="Z111"/>
      <c r="AA111"/>
      <c r="AB111"/>
      <c r="AC111"/>
      <c r="AD111" s="32"/>
    </row>
    <row r="112" spans="3:30" s="2" customFormat="1" ht="15" customHeight="1">
      <c r="C112" s="136"/>
      <c r="D112" s="137"/>
      <c r="E112" s="124" t="s">
        <v>9</v>
      </c>
      <c r="F112" s="141" t="s">
        <v>95</v>
      </c>
      <c r="G112" s="143"/>
      <c r="H112" s="141" t="s">
        <v>97</v>
      </c>
      <c r="I112" s="144" t="str">
        <f>VLOOKUP(F112&amp;H112,'[1]MV+BI'!$E$8:$K$375,3,FALSE)</f>
        <v>Em Teste</v>
      </c>
      <c r="J112" s="120"/>
      <c r="K112" s="145">
        <f>VLOOKUP(F112&amp;H112,'[1]MV+BI'!$E$8:$K$375,7,FALSE)</f>
        <v>45527</v>
      </c>
      <c r="L112" s="143"/>
      <c r="M112" s="143"/>
      <c r="N112" s="119"/>
      <c r="O112" s="91"/>
      <c r="P112" s="91"/>
      <c r="Q112" s="91"/>
      <c r="R112" s="91"/>
      <c r="S112" s="91"/>
      <c r="T112" s="91"/>
      <c r="U112" s="1"/>
      <c r="V112" s="1"/>
      <c r="W112" s="1"/>
      <c r="X112"/>
      <c r="Y112"/>
      <c r="Z112"/>
      <c r="AA112"/>
      <c r="AB112"/>
      <c r="AC112"/>
      <c r="AD112" s="32"/>
    </row>
    <row r="113" spans="3:30" s="2" customFormat="1" ht="15" customHeight="1">
      <c r="C113" s="136"/>
      <c r="D113" s="137"/>
      <c r="E113" s="124" t="s">
        <v>9</v>
      </c>
      <c r="F113" s="141" t="s">
        <v>95</v>
      </c>
      <c r="G113" s="143"/>
      <c r="H113" s="141" t="s">
        <v>98</v>
      </c>
      <c r="I113" s="144" t="str">
        <f>VLOOKUP(F113&amp;H113,'[1]MV+BI'!$E$8:$K$375,3,FALSE)</f>
        <v>Em Teste</v>
      </c>
      <c r="J113" s="120"/>
      <c r="K113" s="145">
        <f>VLOOKUP(F113&amp;H113,'[1]MV+BI'!$E$8:$K$375,7,FALSE)</f>
        <v>45527</v>
      </c>
      <c r="L113" s="143"/>
      <c r="M113" s="143"/>
      <c r="N113" s="119"/>
      <c r="O113" s="91"/>
      <c r="P113" s="91"/>
      <c r="Q113" s="91"/>
      <c r="R113" s="91"/>
      <c r="S113" s="91"/>
      <c r="T113" s="91"/>
      <c r="U113" s="1"/>
      <c r="V113" s="1"/>
      <c r="W113" s="1"/>
      <c r="X113"/>
      <c r="Y113"/>
      <c r="Z113"/>
      <c r="AA113"/>
      <c r="AB113"/>
      <c r="AC113"/>
      <c r="AD113" s="32"/>
    </row>
    <row r="114" spans="3:30" s="2" customFormat="1" ht="15" customHeight="1">
      <c r="C114" s="136"/>
      <c r="D114" s="137"/>
      <c r="E114" s="124" t="s">
        <v>9</v>
      </c>
      <c r="F114" s="141" t="s">
        <v>95</v>
      </c>
      <c r="G114" s="143"/>
      <c r="H114" s="141" t="s">
        <v>99</v>
      </c>
      <c r="I114" s="144" t="str">
        <f>VLOOKUP(F114&amp;H114,'[1]MV+BI'!$E$8:$K$375,3,FALSE)</f>
        <v>Em Teste</v>
      </c>
      <c r="J114" s="120"/>
      <c r="K114" s="145">
        <f>VLOOKUP(F114&amp;H114,'[1]MV+BI'!$E$8:$K$375,7,FALSE)</f>
        <v>45527</v>
      </c>
      <c r="L114" s="143"/>
      <c r="M114" s="143"/>
      <c r="N114" s="119"/>
      <c r="O114" s="91"/>
      <c r="P114" s="91"/>
      <c r="Q114" s="91"/>
      <c r="R114" s="91"/>
      <c r="S114" s="91"/>
      <c r="T114" s="91"/>
      <c r="U114" s="1"/>
      <c r="V114" s="1"/>
      <c r="W114" s="1"/>
      <c r="X114"/>
      <c r="Y114"/>
      <c r="Z114"/>
      <c r="AA114"/>
      <c r="AB114"/>
      <c r="AC114"/>
      <c r="AD114" s="32"/>
    </row>
    <row r="115" spans="3:30" s="2" customFormat="1" ht="15" customHeight="1">
      <c r="C115" s="136"/>
      <c r="D115" s="137"/>
      <c r="E115" s="124" t="s">
        <v>9</v>
      </c>
      <c r="F115" s="141" t="s">
        <v>95</v>
      </c>
      <c r="G115" s="143"/>
      <c r="H115" s="141" t="s">
        <v>100</v>
      </c>
      <c r="I115" s="144" t="str">
        <f>VLOOKUP(F115&amp;H115,'[1]MV+BI'!$E$8:$K$375,3,FALSE)</f>
        <v>Em Teste</v>
      </c>
      <c r="J115" s="120"/>
      <c r="K115" s="145">
        <f>VLOOKUP(F115&amp;H115,'[1]MV+BI'!$E$8:$K$375,7,FALSE)</f>
        <v>45527</v>
      </c>
      <c r="L115" s="143"/>
      <c r="M115" s="143"/>
      <c r="N115" s="119"/>
      <c r="O115" s="91"/>
      <c r="P115" s="91"/>
      <c r="Q115" s="91"/>
      <c r="R115" s="91"/>
      <c r="S115" s="91"/>
      <c r="T115" s="91"/>
      <c r="U115" s="1"/>
      <c r="V115" s="1"/>
      <c r="W115" s="1"/>
      <c r="X115"/>
      <c r="Y115"/>
      <c r="Z115"/>
      <c r="AA115"/>
      <c r="AB115"/>
      <c r="AC115"/>
      <c r="AD115" s="32"/>
    </row>
    <row r="116" spans="3:30" s="2" customFormat="1" ht="15" customHeight="1">
      <c r="C116" s="136"/>
      <c r="D116" s="137"/>
      <c r="E116" s="124" t="s">
        <v>9</v>
      </c>
      <c r="F116" s="141" t="s">
        <v>95</v>
      </c>
      <c r="G116" s="143"/>
      <c r="H116" s="141" t="s">
        <v>101</v>
      </c>
      <c r="I116" s="144" t="str">
        <f>VLOOKUP(F116&amp;H116,'[1]MV+BI'!$E$8:$K$375,3,FALSE)</f>
        <v>Em Teste</v>
      </c>
      <c r="J116" s="120"/>
      <c r="K116" s="145">
        <f>VLOOKUP(F116&amp;H116,'[1]MV+BI'!$E$8:$K$375,7,FALSE)</f>
        <v>45527</v>
      </c>
      <c r="L116" s="143"/>
      <c r="M116" s="143"/>
      <c r="N116" s="119"/>
      <c r="O116" s="91"/>
      <c r="P116" s="91"/>
      <c r="Q116" s="91"/>
      <c r="R116" s="91"/>
      <c r="S116" s="91"/>
      <c r="T116" s="91"/>
      <c r="U116" s="1"/>
      <c r="V116" s="1"/>
      <c r="W116" s="1"/>
      <c r="X116"/>
      <c r="Y116"/>
      <c r="Z116"/>
      <c r="AA116"/>
      <c r="AB116"/>
      <c r="AC116"/>
      <c r="AD116" s="32"/>
    </row>
    <row r="117" spans="3:30" s="2" customFormat="1" ht="15" customHeight="1">
      <c r="C117" s="136"/>
      <c r="D117" s="137"/>
      <c r="E117" s="124" t="s">
        <v>9</v>
      </c>
      <c r="F117" s="141" t="s">
        <v>95</v>
      </c>
      <c r="G117" s="143"/>
      <c r="H117" s="141" t="s">
        <v>66</v>
      </c>
      <c r="I117" s="144" t="str">
        <f>VLOOKUP(F117&amp;H117,'[1]MV+BI'!$E$8:$K$375,3,FALSE)</f>
        <v>Em Teste</v>
      </c>
      <c r="J117" s="120"/>
      <c r="K117" s="145">
        <f>VLOOKUP(F117&amp;H117,'[1]MV+BI'!$E$8:$K$375,7,FALSE)</f>
        <v>45527</v>
      </c>
      <c r="L117" s="143"/>
      <c r="M117" s="143"/>
      <c r="N117" s="119"/>
      <c r="O117" s="91"/>
      <c r="P117" s="91"/>
      <c r="Q117" s="91"/>
      <c r="R117" s="91"/>
      <c r="S117" s="91"/>
      <c r="T117" s="91"/>
      <c r="U117" s="1"/>
      <c r="V117" s="1"/>
      <c r="W117" s="1"/>
      <c r="X117"/>
      <c r="Y117"/>
      <c r="Z117"/>
      <c r="AA117"/>
      <c r="AB117"/>
      <c r="AC117"/>
      <c r="AD117" s="32"/>
    </row>
    <row r="118" spans="3:30" s="2" customFormat="1" ht="15" customHeight="1">
      <c r="C118" s="136"/>
      <c r="D118" s="137"/>
      <c r="E118" s="124" t="s">
        <v>9</v>
      </c>
      <c r="F118" s="141" t="s">
        <v>95</v>
      </c>
      <c r="G118" s="143"/>
      <c r="H118" s="141" t="s">
        <v>84</v>
      </c>
      <c r="I118" s="144" t="str">
        <f>VLOOKUP(F118&amp;H118,'[1]MV+BI'!$E$8:$K$375,3,FALSE)</f>
        <v>Em Teste</v>
      </c>
      <c r="J118" s="120"/>
      <c r="K118" s="145">
        <f>VLOOKUP(F118&amp;H118,'[1]MV+BI'!$E$8:$K$375,7,FALSE)</f>
        <v>45527</v>
      </c>
      <c r="L118" s="143"/>
      <c r="M118" s="143"/>
      <c r="N118" s="119"/>
      <c r="O118" s="91"/>
      <c r="P118" s="91"/>
      <c r="Q118" s="91"/>
      <c r="R118" s="91"/>
      <c r="S118" s="91"/>
      <c r="T118" s="91"/>
      <c r="U118" s="1"/>
      <c r="V118" s="1"/>
      <c r="W118" s="1"/>
      <c r="X118"/>
      <c r="Y118"/>
      <c r="Z118"/>
      <c r="AA118"/>
      <c r="AB118"/>
      <c r="AC118"/>
      <c r="AD118" s="32"/>
    </row>
    <row r="119" spans="3:30" s="2" customFormat="1" ht="15" customHeight="1">
      <c r="C119" s="136"/>
      <c r="D119" s="137"/>
      <c r="E119" s="124" t="s">
        <v>9</v>
      </c>
      <c r="F119" s="141" t="s">
        <v>95</v>
      </c>
      <c r="G119" s="143"/>
      <c r="H119" s="141" t="s">
        <v>85</v>
      </c>
      <c r="I119" s="144" t="str">
        <f>VLOOKUP(F119&amp;H119,'[1]MV+BI'!$E$8:$K$375,3,FALSE)</f>
        <v>Em Teste</v>
      </c>
      <c r="J119" s="120"/>
      <c r="K119" s="145">
        <f>VLOOKUP(F119&amp;H119,'[1]MV+BI'!$E$8:$K$375,7,FALSE)</f>
        <v>45527</v>
      </c>
      <c r="L119" s="143"/>
      <c r="M119" s="143"/>
      <c r="N119" s="119"/>
      <c r="O119" s="91"/>
      <c r="P119" s="91"/>
      <c r="Q119" s="91"/>
      <c r="R119" s="91"/>
      <c r="S119" s="91"/>
      <c r="T119" s="91"/>
      <c r="U119" s="1"/>
      <c r="V119" s="1"/>
      <c r="W119" s="1"/>
      <c r="X119"/>
      <c r="Y119"/>
      <c r="Z119"/>
      <c r="AA119"/>
      <c r="AB119"/>
      <c r="AC119"/>
      <c r="AD119" s="32"/>
    </row>
    <row r="120" spans="3:30" s="2" customFormat="1" ht="15" customHeight="1">
      <c r="C120" s="136"/>
      <c r="D120" s="137"/>
      <c r="E120" s="124" t="s">
        <v>9</v>
      </c>
      <c r="F120" s="141" t="s">
        <v>95</v>
      </c>
      <c r="G120" s="143"/>
      <c r="H120" s="141" t="s">
        <v>86</v>
      </c>
      <c r="I120" s="144" t="str">
        <f>VLOOKUP(F120&amp;H120,'[1]MV+BI'!$E$8:$K$375,3,FALSE)</f>
        <v>Em Teste</v>
      </c>
      <c r="J120" s="120"/>
      <c r="K120" s="145">
        <f>VLOOKUP(F120&amp;H120,'[1]MV+BI'!$E$8:$K$375,7,FALSE)</f>
        <v>45527</v>
      </c>
      <c r="L120" s="143"/>
      <c r="M120" s="143"/>
      <c r="N120" s="119"/>
      <c r="O120" s="91"/>
      <c r="P120" s="91"/>
      <c r="Q120" s="91"/>
      <c r="R120" s="91"/>
      <c r="S120" s="91"/>
      <c r="T120" s="91"/>
      <c r="U120" s="1"/>
      <c r="V120" s="1"/>
      <c r="W120" s="1"/>
      <c r="X120"/>
      <c r="Y120"/>
      <c r="Z120"/>
      <c r="AA120"/>
      <c r="AB120"/>
      <c r="AC120"/>
      <c r="AD120" s="32"/>
    </row>
    <row r="121" spans="3:30" s="2" customFormat="1" ht="15" customHeight="1">
      <c r="C121" s="136"/>
      <c r="D121" s="137"/>
      <c r="E121" s="124" t="s">
        <v>9</v>
      </c>
      <c r="F121" s="141" t="s">
        <v>95</v>
      </c>
      <c r="G121" s="143"/>
      <c r="H121" s="141" t="s">
        <v>87</v>
      </c>
      <c r="I121" s="144" t="str">
        <f>VLOOKUP(F121&amp;H121,'[1]MV+BI'!$E$8:$K$375,3,FALSE)</f>
        <v>Em Teste</v>
      </c>
      <c r="J121" s="120"/>
      <c r="K121" s="145">
        <f>VLOOKUP(F121&amp;H121,'[1]MV+BI'!$E$8:$K$375,7,FALSE)</f>
        <v>45527</v>
      </c>
      <c r="L121" s="143"/>
      <c r="M121" s="143"/>
      <c r="N121" s="119"/>
      <c r="O121" s="91"/>
      <c r="P121" s="91"/>
      <c r="Q121" s="91"/>
      <c r="R121" s="91"/>
      <c r="S121" s="91"/>
      <c r="T121" s="91"/>
      <c r="U121" s="1"/>
      <c r="V121" s="1"/>
      <c r="W121" s="1"/>
      <c r="X121"/>
      <c r="Y121"/>
      <c r="Z121"/>
      <c r="AA121"/>
      <c r="AB121"/>
      <c r="AC121"/>
      <c r="AD121" s="32"/>
    </row>
    <row r="122" spans="3:30" s="2" customFormat="1" ht="15" customHeight="1">
      <c r="C122" s="136"/>
      <c r="D122" s="137"/>
      <c r="E122" s="124" t="s">
        <v>9</v>
      </c>
      <c r="F122" s="141" t="s">
        <v>95</v>
      </c>
      <c r="G122" s="143"/>
      <c r="H122" s="141" t="s">
        <v>102</v>
      </c>
      <c r="I122" s="144" t="str">
        <f>VLOOKUP(F122&amp;H122,'[1]MV+BI'!$E$8:$K$375,3,FALSE)</f>
        <v>Em Teste</v>
      </c>
      <c r="J122" s="120"/>
      <c r="K122" s="145">
        <f>VLOOKUP(F122&amp;H122,'[1]MV+BI'!$E$8:$K$375,7,FALSE)</f>
        <v>45527</v>
      </c>
      <c r="L122" s="143"/>
      <c r="M122" s="143"/>
      <c r="N122" s="119"/>
      <c r="O122" s="91"/>
      <c r="P122" s="91"/>
      <c r="Q122" s="91"/>
      <c r="R122" s="91"/>
      <c r="S122" s="91"/>
      <c r="T122" s="91"/>
      <c r="U122" s="1"/>
      <c r="V122" s="1"/>
      <c r="W122" s="1"/>
      <c r="X122"/>
      <c r="Y122"/>
      <c r="Z122"/>
      <c r="AA122"/>
      <c r="AB122"/>
      <c r="AC122"/>
      <c r="AD122" s="32"/>
    </row>
    <row r="123" spans="3:30" s="2" customFormat="1" ht="15" customHeight="1">
      <c r="C123" s="136"/>
      <c r="D123" s="137"/>
      <c r="E123" s="124" t="s">
        <v>9</v>
      </c>
      <c r="F123" s="141" t="s">
        <v>95</v>
      </c>
      <c r="G123" s="143"/>
      <c r="H123" s="141" t="s">
        <v>103</v>
      </c>
      <c r="I123" s="144" t="str">
        <f>VLOOKUP(F123&amp;H123,'[1]MV+BI'!$E$8:$K$375,3,FALSE)</f>
        <v>Em Teste</v>
      </c>
      <c r="J123" s="120"/>
      <c r="K123" s="145">
        <f>VLOOKUP(F123&amp;H123,'[1]MV+BI'!$E$8:$K$375,7,FALSE)</f>
        <v>45527</v>
      </c>
      <c r="L123" s="143"/>
      <c r="M123" s="143"/>
      <c r="N123" s="119"/>
      <c r="O123" s="91"/>
      <c r="P123" s="91"/>
      <c r="Q123" s="91"/>
      <c r="R123" s="91"/>
      <c r="S123" s="91"/>
      <c r="T123" s="91"/>
      <c r="U123" s="1"/>
      <c r="V123" s="1"/>
      <c r="W123" s="1"/>
      <c r="X123"/>
      <c r="Y123"/>
      <c r="Z123"/>
      <c r="AA123"/>
      <c r="AB123"/>
      <c r="AC123"/>
      <c r="AD123" s="32"/>
    </row>
    <row r="124" spans="3:30" s="2" customFormat="1" ht="15" customHeight="1">
      <c r="C124" s="136"/>
      <c r="D124" s="137"/>
      <c r="E124" s="124" t="s">
        <v>9</v>
      </c>
      <c r="F124" s="141" t="s">
        <v>95</v>
      </c>
      <c r="G124" s="143"/>
      <c r="H124" s="141" t="s">
        <v>104</v>
      </c>
      <c r="I124" s="144" t="str">
        <f>VLOOKUP(F124&amp;H124,'[1]MV+BI'!$E$8:$K$375,3,FALSE)</f>
        <v>Em Teste</v>
      </c>
      <c r="J124" s="120"/>
      <c r="K124" s="145">
        <f>VLOOKUP(F124&amp;H124,'[1]MV+BI'!$E$8:$K$375,7,FALSE)</f>
        <v>45527</v>
      </c>
      <c r="L124" s="143"/>
      <c r="M124" s="143"/>
      <c r="N124" s="119"/>
      <c r="O124" s="91"/>
      <c r="P124" s="91"/>
      <c r="Q124" s="91"/>
      <c r="R124" s="91"/>
      <c r="S124" s="91"/>
      <c r="T124" s="91"/>
      <c r="U124" s="1"/>
      <c r="V124" s="1"/>
      <c r="W124" s="1"/>
      <c r="X124"/>
      <c r="Y124"/>
      <c r="Z124"/>
      <c r="AA124"/>
      <c r="AB124"/>
      <c r="AC124"/>
      <c r="AD124" s="32"/>
    </row>
    <row r="125" spans="3:30" s="2" customFormat="1" ht="15" customHeight="1">
      <c r="C125" s="136"/>
      <c r="D125" s="137"/>
      <c r="E125" s="124" t="s">
        <v>9</v>
      </c>
      <c r="F125" s="141" t="s">
        <v>95</v>
      </c>
      <c r="G125" s="143"/>
      <c r="H125" s="141" t="s">
        <v>105</v>
      </c>
      <c r="I125" s="144" t="str">
        <f>VLOOKUP(F125&amp;H125,'[1]MV+BI'!$E$8:$K$375,3,FALSE)</f>
        <v>Em Teste</v>
      </c>
      <c r="J125" s="120"/>
      <c r="K125" s="145">
        <f>VLOOKUP(F125&amp;H125,'[1]MV+BI'!$E$8:$K$375,7,FALSE)</f>
        <v>45527</v>
      </c>
      <c r="L125" s="143"/>
      <c r="M125" s="143"/>
      <c r="N125" s="119"/>
      <c r="O125" s="91"/>
      <c r="P125" s="91"/>
      <c r="Q125" s="91"/>
      <c r="R125" s="91"/>
      <c r="S125" s="91"/>
      <c r="T125" s="91"/>
      <c r="U125" s="1"/>
      <c r="V125" s="1"/>
      <c r="W125" s="1"/>
      <c r="X125"/>
      <c r="Y125"/>
      <c r="Z125"/>
      <c r="AA125"/>
      <c r="AB125"/>
      <c r="AC125"/>
      <c r="AD125" s="32"/>
    </row>
    <row r="126" spans="3:30" s="2" customFormat="1" ht="15" customHeight="1">
      <c r="C126" s="136"/>
      <c r="D126" s="137"/>
      <c r="E126" s="124" t="s">
        <v>9</v>
      </c>
      <c r="F126" s="141" t="s">
        <v>95</v>
      </c>
      <c r="G126" s="143"/>
      <c r="H126" s="141" t="s">
        <v>106</v>
      </c>
      <c r="I126" s="144" t="str">
        <f>VLOOKUP(F126&amp;H126,'[1]MV+BI'!$E$8:$K$375,3,FALSE)</f>
        <v>Em Teste</v>
      </c>
      <c r="J126" s="120"/>
      <c r="K126" s="145">
        <f>VLOOKUP(F126&amp;H126,'[1]MV+BI'!$E$8:$K$375,7,FALSE)</f>
        <v>45527</v>
      </c>
      <c r="L126" s="143"/>
      <c r="M126" s="143"/>
      <c r="N126" s="119"/>
      <c r="O126" s="91"/>
      <c r="P126" s="91"/>
      <c r="Q126" s="91"/>
      <c r="R126" s="91"/>
      <c r="S126" s="91"/>
      <c r="T126" s="91"/>
      <c r="U126" s="1"/>
      <c r="V126" s="1"/>
      <c r="W126" s="1"/>
      <c r="X126"/>
      <c r="Y126"/>
      <c r="Z126"/>
      <c r="AA126"/>
      <c r="AB126"/>
      <c r="AC126"/>
      <c r="AD126" s="32"/>
    </row>
    <row r="127" spans="3:30" s="2" customFormat="1" ht="15" customHeight="1">
      <c r="C127" s="136"/>
      <c r="D127" s="137"/>
      <c r="E127" s="124" t="s">
        <v>9</v>
      </c>
      <c r="F127" s="141" t="s">
        <v>95</v>
      </c>
      <c r="G127" s="143"/>
      <c r="H127" s="141" t="s">
        <v>107</v>
      </c>
      <c r="I127" s="144" t="str">
        <f>VLOOKUP(F127&amp;H127,'[1]MV+BI'!$E$8:$K$375,3,FALSE)</f>
        <v>Em Teste</v>
      </c>
      <c r="J127" s="120"/>
      <c r="K127" s="145">
        <f>VLOOKUP(F127&amp;H127,'[1]MV+BI'!$E$8:$K$375,7,FALSE)</f>
        <v>45527</v>
      </c>
      <c r="L127" s="143"/>
      <c r="M127" s="143"/>
      <c r="N127" s="119"/>
      <c r="O127" s="91"/>
      <c r="P127" s="91"/>
      <c r="Q127" s="91"/>
      <c r="R127" s="91"/>
      <c r="S127" s="91"/>
      <c r="T127" s="91"/>
      <c r="U127" s="1"/>
      <c r="V127" s="1"/>
      <c r="W127" s="1"/>
      <c r="X127"/>
      <c r="Y127"/>
      <c r="Z127"/>
      <c r="AA127"/>
      <c r="AB127"/>
      <c r="AC127"/>
      <c r="AD127" s="32"/>
    </row>
    <row r="128" spans="3:30" s="2" customFormat="1" ht="15" customHeight="1">
      <c r="C128" s="136"/>
      <c r="D128" s="137"/>
      <c r="E128" s="124" t="s">
        <v>9</v>
      </c>
      <c r="F128" s="141" t="s">
        <v>95</v>
      </c>
      <c r="G128" s="143"/>
      <c r="H128" s="141" t="s">
        <v>89</v>
      </c>
      <c r="I128" s="144" t="str">
        <f>VLOOKUP(F128&amp;H128,'[1]MV+BI'!$E$8:$K$375,3,FALSE)</f>
        <v>Em Teste</v>
      </c>
      <c r="J128" s="120"/>
      <c r="K128" s="145">
        <f>VLOOKUP(F128&amp;H128,'[1]MV+BI'!$E$8:$K$375,7,FALSE)</f>
        <v>45527</v>
      </c>
      <c r="L128" s="143"/>
      <c r="M128" s="143"/>
      <c r="N128" s="119"/>
      <c r="O128" s="91"/>
      <c r="P128" s="91"/>
      <c r="Q128" s="91"/>
      <c r="R128" s="91"/>
      <c r="S128" s="91"/>
      <c r="T128" s="91"/>
      <c r="U128" s="1"/>
      <c r="V128" s="1"/>
      <c r="W128" s="1"/>
      <c r="X128"/>
      <c r="Y128"/>
      <c r="Z128"/>
      <c r="AA128"/>
      <c r="AB128"/>
      <c r="AC128"/>
      <c r="AD128" s="32"/>
    </row>
    <row r="129" spans="3:30" s="2" customFormat="1" ht="15" customHeight="1">
      <c r="C129" s="136"/>
      <c r="D129" s="137"/>
      <c r="E129" s="124" t="s">
        <v>9</v>
      </c>
      <c r="F129" s="141" t="s">
        <v>95</v>
      </c>
      <c r="G129" s="143"/>
      <c r="H129" s="141" t="s">
        <v>90</v>
      </c>
      <c r="I129" s="144" t="str">
        <f>VLOOKUP(F129&amp;H129,'[1]MV+BI'!$E$8:$K$375,3,FALSE)</f>
        <v>Em Teste</v>
      </c>
      <c r="J129" s="120"/>
      <c r="K129" s="145">
        <f>VLOOKUP(F129&amp;H129,'[1]MV+BI'!$E$8:$K$375,7,FALSE)</f>
        <v>45527</v>
      </c>
      <c r="L129" s="143"/>
      <c r="M129" s="143"/>
      <c r="N129" s="119"/>
      <c r="O129" s="91"/>
      <c r="P129" s="91"/>
      <c r="Q129" s="91"/>
      <c r="R129" s="91"/>
      <c r="S129" s="91"/>
      <c r="T129" s="91"/>
      <c r="U129" s="1"/>
      <c r="V129" s="1"/>
      <c r="W129" s="1"/>
      <c r="X129"/>
      <c r="Y129"/>
      <c r="Z129"/>
      <c r="AA129"/>
      <c r="AB129"/>
      <c r="AC129"/>
      <c r="AD129" s="32"/>
    </row>
    <row r="130" spans="3:30" s="2" customFormat="1" ht="15" customHeight="1">
      <c r="C130" s="136"/>
      <c r="D130" s="137"/>
      <c r="E130" s="124" t="s">
        <v>9</v>
      </c>
      <c r="F130" s="141" t="s">
        <v>95</v>
      </c>
      <c r="G130" s="143"/>
      <c r="H130" s="141" t="s">
        <v>91</v>
      </c>
      <c r="I130" s="144" t="str">
        <f>VLOOKUP(F130&amp;H130,'[1]MV+BI'!$E$8:$K$375,3,FALSE)</f>
        <v>Em Teste</v>
      </c>
      <c r="J130" s="120"/>
      <c r="K130" s="145">
        <f>VLOOKUP(F130&amp;H130,'[1]MV+BI'!$E$8:$K$375,7,FALSE)</f>
        <v>45527</v>
      </c>
      <c r="L130" s="143"/>
      <c r="M130" s="143"/>
      <c r="N130" s="119"/>
      <c r="O130" s="91"/>
      <c r="P130" s="91"/>
      <c r="Q130" s="91"/>
      <c r="R130" s="91"/>
      <c r="S130" s="91"/>
      <c r="T130" s="91"/>
      <c r="U130" s="1"/>
      <c r="V130" s="1"/>
      <c r="W130" s="1"/>
      <c r="X130"/>
      <c r="Y130"/>
      <c r="Z130"/>
      <c r="AA130"/>
      <c r="AB130"/>
      <c r="AC130"/>
      <c r="AD130" s="32"/>
    </row>
    <row r="131" spans="3:30" s="2" customFormat="1" ht="15" customHeight="1">
      <c r="C131" s="136"/>
      <c r="D131" s="137"/>
      <c r="E131" s="124" t="s">
        <v>9</v>
      </c>
      <c r="F131" s="141" t="s">
        <v>95</v>
      </c>
      <c r="G131" s="143"/>
      <c r="H131" s="141" t="s">
        <v>92</v>
      </c>
      <c r="I131" s="144" t="str">
        <f>VLOOKUP(F131&amp;H131,'[1]MV+BI'!$E$8:$K$375,3,FALSE)</f>
        <v>Em Teste</v>
      </c>
      <c r="J131" s="120"/>
      <c r="K131" s="145">
        <f>VLOOKUP(F131&amp;H131,'[1]MV+BI'!$E$8:$K$375,7,FALSE)</f>
        <v>45527</v>
      </c>
      <c r="L131" s="143"/>
      <c r="M131" s="143"/>
      <c r="N131" s="119"/>
      <c r="O131" s="91"/>
      <c r="P131" s="91"/>
      <c r="Q131" s="91"/>
      <c r="R131" s="91"/>
      <c r="S131" s="91"/>
      <c r="T131" s="91"/>
      <c r="U131" s="1"/>
      <c r="V131" s="1"/>
      <c r="W131" s="1"/>
      <c r="X131"/>
      <c r="Y131"/>
      <c r="Z131"/>
      <c r="AA131"/>
      <c r="AB131"/>
      <c r="AC131"/>
      <c r="AD131" s="32"/>
    </row>
    <row r="132" spans="3:30" s="2" customFormat="1" ht="15" customHeight="1">
      <c r="C132" s="136"/>
      <c r="D132" s="137"/>
      <c r="E132" s="124" t="s">
        <v>9</v>
      </c>
      <c r="F132" s="141" t="s">
        <v>95</v>
      </c>
      <c r="G132" s="143"/>
      <c r="H132" s="141" t="s">
        <v>93</v>
      </c>
      <c r="I132" s="144" t="str">
        <f>VLOOKUP(F132&amp;H132,'[1]MV+BI'!$E$8:$K$375,3,FALSE)</f>
        <v>Em Teste</v>
      </c>
      <c r="J132" s="120"/>
      <c r="K132" s="145">
        <f>VLOOKUP(F132&amp;H132,'[1]MV+BI'!$E$8:$K$375,7,FALSE)</f>
        <v>45527</v>
      </c>
      <c r="L132" s="143"/>
      <c r="M132" s="143"/>
      <c r="N132" s="119"/>
      <c r="O132" s="91"/>
      <c r="P132" s="91"/>
      <c r="Q132" s="91"/>
      <c r="R132" s="91"/>
      <c r="S132" s="91"/>
      <c r="T132" s="91"/>
      <c r="U132" s="1"/>
      <c r="V132" s="1"/>
      <c r="W132" s="1"/>
      <c r="X132"/>
      <c r="Y132"/>
      <c r="Z132"/>
      <c r="AA132"/>
      <c r="AB132"/>
      <c r="AC132"/>
      <c r="AD132" s="32"/>
    </row>
    <row r="133" spans="3:30" s="2" customFormat="1" ht="15" customHeight="1">
      <c r="C133" s="136"/>
      <c r="D133" s="137"/>
      <c r="E133" s="124" t="s">
        <v>9</v>
      </c>
      <c r="F133" s="141" t="s">
        <v>95</v>
      </c>
      <c r="G133" s="143"/>
      <c r="H133" s="141" t="s">
        <v>94</v>
      </c>
      <c r="I133" s="144" t="str">
        <f>VLOOKUP(F133&amp;H133,'[1]MV+BI'!$E$8:$K$375,3,FALSE)</f>
        <v>Em Teste</v>
      </c>
      <c r="J133" s="120"/>
      <c r="K133" s="145">
        <f>VLOOKUP(F133&amp;H133,'[1]MV+BI'!$E$8:$K$375,7,FALSE)</f>
        <v>45527</v>
      </c>
      <c r="L133" s="143"/>
      <c r="M133" s="143"/>
      <c r="N133" s="119"/>
      <c r="O133" s="91"/>
      <c r="P133" s="91"/>
      <c r="Q133" s="91"/>
      <c r="R133" s="91"/>
      <c r="S133" s="91"/>
      <c r="T133" s="91"/>
      <c r="U133" s="1"/>
      <c r="V133" s="1"/>
      <c r="W133" s="1"/>
      <c r="X133"/>
      <c r="Y133"/>
      <c r="Z133"/>
      <c r="AA133"/>
      <c r="AB133"/>
      <c r="AC133"/>
      <c r="AD133" s="32"/>
    </row>
    <row r="134" spans="3:30" s="2" customFormat="1" ht="15" customHeight="1">
      <c r="C134" s="146"/>
      <c r="D134" s="104"/>
      <c r="E134" s="147"/>
      <c r="F134" s="147"/>
      <c r="G134" s="147"/>
      <c r="H134" s="148"/>
      <c r="I134" s="147"/>
      <c r="J134" s="149"/>
      <c r="K134" s="148"/>
      <c r="L134" s="150"/>
      <c r="M134" s="151"/>
      <c r="N134" s="152"/>
      <c r="O134" s="152"/>
      <c r="P134" s="152"/>
      <c r="Q134" s="104"/>
      <c r="R134" s="1"/>
      <c r="S134" s="1"/>
      <c r="T134" s="1"/>
      <c r="U134" s="1"/>
      <c r="V134" s="104"/>
      <c r="W134" s="104"/>
      <c r="X134" s="104"/>
      <c r="Y134" s="104"/>
      <c r="Z134" s="104"/>
      <c r="AA134" s="104"/>
      <c r="AB134" s="104"/>
      <c r="AC134" s="104"/>
      <c r="AD134" s="106"/>
    </row>
    <row r="135" spans="3:30" s="2" customFormat="1" ht="15" customHeight="1">
      <c r="E135" s="153"/>
      <c r="F135" s="154"/>
      <c r="G135" s="154"/>
      <c r="H135" s="153"/>
      <c r="I135" s="153"/>
      <c r="J135" s="153"/>
      <c r="K135" s="153"/>
      <c r="L135" s="107"/>
      <c r="M135" s="107"/>
      <c r="Q135" s="12"/>
      <c r="R135" s="12"/>
      <c r="S135" s="12"/>
      <c r="T135" s="12"/>
      <c r="U135" s="12"/>
      <c r="V135" s="12"/>
      <c r="W135" s="12"/>
    </row>
    <row r="136" spans="3:30" s="2" customFormat="1" ht="15" customHeight="1">
      <c r="K136" s="12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3:30" s="2" customFormat="1" ht="22.8" customHeight="1">
      <c r="C137" s="155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"/>
      <c r="R137" s="1"/>
      <c r="S137" s="1"/>
      <c r="T137" s="1"/>
      <c r="U137" s="1"/>
      <c r="V137" s="1"/>
      <c r="W137" s="1"/>
      <c r="X137"/>
      <c r="Y137"/>
      <c r="Z137"/>
      <c r="AA137"/>
      <c r="AB137"/>
      <c r="AC137"/>
      <c r="AD137" s="28"/>
    </row>
    <row r="138" spans="3:30" s="2" customFormat="1" ht="15" customHeight="1">
      <c r="C138" s="157"/>
      <c r="D138" s="1"/>
      <c r="E138" s="138" t="s">
        <v>34</v>
      </c>
      <c r="F138" s="119" t="s">
        <v>35</v>
      </c>
      <c r="G138" s="119"/>
      <c r="H138" s="119" t="s">
        <v>36</v>
      </c>
      <c r="I138" s="119" t="s">
        <v>37</v>
      </c>
      <c r="J138" s="119"/>
      <c r="K138" s="119" t="s">
        <v>108</v>
      </c>
      <c r="L138" s="62"/>
      <c r="M138" s="119" t="s">
        <v>109</v>
      </c>
      <c r="N138" s="119"/>
      <c r="O138" s="119" t="s">
        <v>79</v>
      </c>
      <c r="P138"/>
      <c r="Q138" s="119" t="s">
        <v>80</v>
      </c>
      <c r="R138" s="1"/>
      <c r="S138" s="1"/>
      <c r="T138" s="1"/>
      <c r="U138" s="1"/>
      <c r="V138" s="1"/>
      <c r="W138" s="1"/>
      <c r="X138"/>
      <c r="Y138"/>
      <c r="Z138"/>
      <c r="AA138"/>
      <c r="AB138"/>
      <c r="AC138"/>
      <c r="AD138" s="32"/>
    </row>
    <row r="139" spans="3:30" s="2" customFormat="1" ht="15" customHeight="1">
      <c r="C139" s="157"/>
      <c r="D139" s="1"/>
      <c r="E139" s="1"/>
      <c r="F139" s="1"/>
      <c r="G139" s="1"/>
      <c r="H139" s="158"/>
      <c r="I139" s="159"/>
      <c r="J139"/>
      <c r="K139"/>
      <c r="L139" s="62"/>
      <c r="M139"/>
      <c r="N139"/>
      <c r="O139" s="1"/>
      <c r="P139"/>
      <c r="Q139" s="62"/>
      <c r="R139" s="1"/>
      <c r="S139" s="1"/>
      <c r="T139" s="1"/>
      <c r="U139" s="1"/>
      <c r="V139" s="1"/>
      <c r="W139" s="1"/>
      <c r="X139"/>
      <c r="Y139"/>
      <c r="Z139"/>
      <c r="AA139"/>
      <c r="AB139"/>
      <c r="AC139"/>
      <c r="AD139" s="32"/>
    </row>
    <row r="140" spans="3:30" s="2" customFormat="1" ht="15" customHeight="1">
      <c r="C140" s="157"/>
      <c r="D140" s="1"/>
      <c r="E140" s="126" t="s">
        <v>9</v>
      </c>
      <c r="F140" s="127" t="s">
        <v>65</v>
      </c>
      <c r="G140" s="128"/>
      <c r="H140" s="127" t="s">
        <v>110</v>
      </c>
      <c r="I140" s="160" t="str">
        <f>VLOOKUP(F140&amp;H140,'[1]MV+BI'!$E$8:$K$375,3,FALSE)</f>
        <v>Validação EF</v>
      </c>
      <c r="J140" s="127"/>
      <c r="K140" s="161" t="str">
        <f>VLOOKUP(F140&amp;H140,'[1]MV+BI'!$E$8:$K$375,6,FALSE)</f>
        <v>LCM</v>
      </c>
      <c r="L140" s="162"/>
      <c r="M140" s="163" t="str">
        <f>VLOOKUP(F140&amp;H140,'[1]MV+BI'!$E$8:$K$375,5,FALSE)</f>
        <v>-</v>
      </c>
      <c r="N140" s="162"/>
      <c r="O140" s="164">
        <f>VLOOKUP(F140&amp;H140,'[1]MV+BI'!$E$8:$K$375,7,FALSE)</f>
        <v>45478</v>
      </c>
      <c r="P140" s="162"/>
      <c r="Q140" s="162" t="s">
        <v>111</v>
      </c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/>
      <c r="AC140"/>
      <c r="AD140" s="32"/>
    </row>
    <row r="141" spans="3:30" s="2" customFormat="1" ht="15" customHeight="1">
      <c r="C141" s="157"/>
      <c r="D141" s="1"/>
      <c r="E141" s="126" t="s">
        <v>9</v>
      </c>
      <c r="F141" s="127" t="s">
        <v>65</v>
      </c>
      <c r="G141" s="128"/>
      <c r="H141" s="127" t="s">
        <v>112</v>
      </c>
      <c r="I141" s="160" t="str">
        <f>VLOOKUP(F141&amp;H141,'[1]MV+BI'!$E$8:$K$375,3,FALSE)</f>
        <v>Validação EF</v>
      </c>
      <c r="J141" s="127"/>
      <c r="K141" s="161" t="str">
        <f>VLOOKUP(F141&amp;H141,'[1]MV+BI'!$E$8:$K$375,6,FALSE)</f>
        <v>LCM</v>
      </c>
      <c r="L141" s="162"/>
      <c r="M141" s="163" t="str">
        <f>VLOOKUP(F141&amp;H141,'[1]MV+BI'!$E$8:$K$375,5,FALSE)</f>
        <v>-</v>
      </c>
      <c r="N141" s="162"/>
      <c r="O141" s="164">
        <f>VLOOKUP(F141&amp;H141,'[1]MV+BI'!$E$8:$K$375,7,FALSE)</f>
        <v>45478</v>
      </c>
      <c r="P141" s="162"/>
      <c r="Q141" s="162" t="s">
        <v>111</v>
      </c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/>
      <c r="AC141"/>
      <c r="AD141" s="32"/>
    </row>
    <row r="142" spans="3:30" s="2" customFormat="1" ht="15" customHeight="1">
      <c r="C142" s="157"/>
      <c r="D142" s="1"/>
      <c r="E142" s="126" t="s">
        <v>9</v>
      </c>
      <c r="F142" s="127" t="s">
        <v>65</v>
      </c>
      <c r="G142" s="128"/>
      <c r="H142" s="127" t="s">
        <v>113</v>
      </c>
      <c r="I142" s="160" t="str">
        <f>VLOOKUP(F142&amp;H142,'[1]MV+BI'!$E$8:$K$375,3,FALSE)</f>
        <v>Em Correção</v>
      </c>
      <c r="J142" s="127"/>
      <c r="K142" s="161" t="str">
        <f>VLOOKUP(F142&amp;H142,'[1]MV+BI'!$E$8:$K$375,6,FALSE)</f>
        <v>IT</v>
      </c>
      <c r="L142" s="162"/>
      <c r="M142" s="163" t="str">
        <f>VLOOKUP(F142&amp;H142,'[1]MV+BI'!$E$8:$K$375,5,FALSE)</f>
        <v>-</v>
      </c>
      <c r="N142" s="162"/>
      <c r="O142" s="164">
        <f>VLOOKUP(F142&amp;H142,'[1]MV+BI'!$E$8:$K$375,7,FALSE)</f>
        <v>45478</v>
      </c>
      <c r="P142" s="162"/>
      <c r="Q142" s="162" t="s">
        <v>114</v>
      </c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/>
      <c r="AC142"/>
      <c r="AD142" s="32"/>
    </row>
    <row r="143" spans="3:30" s="2" customFormat="1" ht="15" customHeight="1">
      <c r="C143" s="157"/>
      <c r="D143" s="1"/>
      <c r="E143" s="126" t="s">
        <v>9</v>
      </c>
      <c r="F143" s="127" t="s">
        <v>65</v>
      </c>
      <c r="G143" s="128"/>
      <c r="H143" s="127" t="s">
        <v>115</v>
      </c>
      <c r="I143" s="160" t="str">
        <f>VLOOKUP(F143&amp;H143,'[1]MV+BI'!$E$8:$K$375,3,FALSE)</f>
        <v>Em Correção</v>
      </c>
      <c r="J143" s="127"/>
      <c r="K143" s="161" t="str">
        <f>VLOOKUP(F143&amp;H143,'[1]MV+BI'!$E$8:$K$375,6,FALSE)</f>
        <v>IT</v>
      </c>
      <c r="L143" s="162"/>
      <c r="M143" s="163" t="str">
        <f>VLOOKUP(F143&amp;H143,'[1]MV+BI'!$E$8:$K$375,5,FALSE)</f>
        <v>-</v>
      </c>
      <c r="N143" s="162"/>
      <c r="O143" s="164">
        <f>VLOOKUP(F143&amp;H143,'[1]MV+BI'!$E$8:$K$375,7,FALSE)</f>
        <v>45478</v>
      </c>
      <c r="P143" s="162"/>
      <c r="Q143" s="162" t="s">
        <v>114</v>
      </c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/>
      <c r="AC143"/>
      <c r="AD143" s="32"/>
    </row>
    <row r="144" spans="3:30" s="2" customFormat="1" ht="15" customHeight="1">
      <c r="C144" s="157"/>
      <c r="D144" s="1"/>
      <c r="E144" s="126" t="s">
        <v>9</v>
      </c>
      <c r="F144" s="127" t="s">
        <v>65</v>
      </c>
      <c r="G144" s="128"/>
      <c r="H144" s="127" t="s">
        <v>74</v>
      </c>
      <c r="I144" s="160" t="str">
        <f>VLOOKUP(F144&amp;H144,'[1]MV+BI'!$E$8:$K$375,3,FALSE)</f>
        <v>Em Correção</v>
      </c>
      <c r="J144" s="127"/>
      <c r="K144" s="161" t="str">
        <f>VLOOKUP(F144&amp;H144,'[1]MV+BI'!$E$8:$K$375,6,FALSE)</f>
        <v>IT</v>
      </c>
      <c r="L144" s="162"/>
      <c r="M144" s="163" t="str">
        <f>VLOOKUP(F144&amp;H144,'[1]MV+BI'!$E$8:$K$375,5,FALSE)</f>
        <v>-</v>
      </c>
      <c r="N144" s="162"/>
      <c r="O144" s="164">
        <f>VLOOKUP(F144&amp;H144,'[1]MV+BI'!$E$8:$K$375,7,FALSE)</f>
        <v>45478</v>
      </c>
      <c r="P144" s="162"/>
      <c r="Q144" s="162" t="s">
        <v>114</v>
      </c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/>
      <c r="AC144"/>
      <c r="AD144" s="32"/>
    </row>
    <row r="145" spans="3:30" s="2" customFormat="1" ht="15" customHeight="1">
      <c r="C145" s="157"/>
      <c r="D145" s="1"/>
      <c r="E145" s="126" t="s">
        <v>9</v>
      </c>
      <c r="F145" s="127" t="s">
        <v>65</v>
      </c>
      <c r="G145" s="128"/>
      <c r="H145" s="127" t="s">
        <v>116</v>
      </c>
      <c r="I145" s="160" t="str">
        <f>VLOOKUP(F145&amp;H145,'[1]MV+BI'!$E$8:$K$375,3,FALSE)</f>
        <v>Validação EF</v>
      </c>
      <c r="J145" s="127"/>
      <c r="K145" s="161" t="str">
        <f>VLOOKUP(F145&amp;H145,'[1]MV+BI'!$E$8:$K$375,6,FALSE)</f>
        <v>LCM</v>
      </c>
      <c r="L145" s="162"/>
      <c r="M145" s="163" t="str">
        <f>VLOOKUP(F145&amp;H145,'[1]MV+BI'!$E$8:$K$375,5,FALSE)</f>
        <v>-</v>
      </c>
      <c r="N145" s="162"/>
      <c r="O145" s="164">
        <f>VLOOKUP(F145&amp;H145,'[1]MV+BI'!$E$8:$K$375,7,FALSE)</f>
        <v>45478</v>
      </c>
      <c r="P145" s="162"/>
      <c r="Q145" s="162" t="s">
        <v>117</v>
      </c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/>
      <c r="AC145"/>
      <c r="AD145" s="32"/>
    </row>
    <row r="146" spans="3:30" s="2" customFormat="1" ht="15" customHeight="1">
      <c r="C146" s="157"/>
      <c r="D146" s="1"/>
      <c r="E146" s="126" t="s">
        <v>9</v>
      </c>
      <c r="F146" s="127" t="s">
        <v>75</v>
      </c>
      <c r="G146" s="128"/>
      <c r="H146" s="127" t="s">
        <v>107</v>
      </c>
      <c r="I146" s="160" t="str">
        <f>VLOOKUP(F146&amp;H146,'[1]MV+BI'!$E$8:$K$375,3,FALSE)</f>
        <v>Validação EF</v>
      </c>
      <c r="J146" s="127"/>
      <c r="K146" s="161" t="str">
        <f>VLOOKUP(F146&amp;H146,'[1]MV+BI'!$E$8:$K$375,6,FALSE)</f>
        <v>-</v>
      </c>
      <c r="L146" s="162"/>
      <c r="M146" s="163" t="str">
        <f>VLOOKUP(F146&amp;H146,'[1]MV+BI'!$E$8:$K$375,5,FALSE)</f>
        <v>-</v>
      </c>
      <c r="N146" s="162"/>
      <c r="O146" s="164">
        <f>VLOOKUP(F146&amp;H146,'[1]MV+BI'!$E$8:$K$375,7,FALSE)</f>
        <v>45429</v>
      </c>
      <c r="P146" s="162"/>
      <c r="Q146" s="162" t="s">
        <v>118</v>
      </c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/>
      <c r="AC146"/>
      <c r="AD146" s="32"/>
    </row>
    <row r="147" spans="3:30" s="2" customFormat="1" ht="15" customHeight="1">
      <c r="C147" s="157"/>
      <c r="D147" s="1"/>
      <c r="E147" s="126" t="s">
        <v>9</v>
      </c>
      <c r="F147" s="127" t="s">
        <v>75</v>
      </c>
      <c r="G147" s="128"/>
      <c r="H147" s="127" t="s">
        <v>113</v>
      </c>
      <c r="I147" s="160" t="str">
        <f>VLOOKUP(F147&amp;H147,'[1]MV+BI'!$E$8:$K$375,3,FALSE)</f>
        <v>Validação EF</v>
      </c>
      <c r="J147" s="127"/>
      <c r="K147" s="161" t="str">
        <f>VLOOKUP(F147&amp;H147,'[1]MV+BI'!$E$8:$K$375,6,FALSE)</f>
        <v>Leasing</v>
      </c>
      <c r="L147" s="162"/>
      <c r="M147" s="163" t="str">
        <f>VLOOKUP(F147&amp;H147,'[1]MV+BI'!$E$8:$K$375,5,FALSE)</f>
        <v>-</v>
      </c>
      <c r="N147" s="162"/>
      <c r="O147" s="164">
        <f>VLOOKUP(F147&amp;H147,'[1]MV+BI'!$E$8:$K$375,7,FALSE)</f>
        <v>45429</v>
      </c>
      <c r="P147" s="162"/>
      <c r="Q147" s="162" t="s">
        <v>119</v>
      </c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/>
      <c r="AC147"/>
      <c r="AD147" s="32"/>
    </row>
    <row r="148" spans="3:30" s="2" customFormat="1" ht="15" customHeight="1">
      <c r="C148" s="157"/>
      <c r="D148" s="1"/>
      <c r="E148" s="126" t="s">
        <v>9</v>
      </c>
      <c r="F148" s="127" t="s">
        <v>75</v>
      </c>
      <c r="G148" s="128"/>
      <c r="H148" s="127" t="s">
        <v>115</v>
      </c>
      <c r="I148" s="160" t="str">
        <f>VLOOKUP(F148&amp;H148,'[1]MV+BI'!$E$8:$K$375,3,FALSE)</f>
        <v>Validação EF</v>
      </c>
      <c r="J148" s="127"/>
      <c r="K148" s="161" t="str">
        <f>VLOOKUP(F148&amp;H148,'[1]MV+BI'!$E$8:$K$375,6,FALSE)</f>
        <v>Leasing</v>
      </c>
      <c r="L148" s="162"/>
      <c r="M148" s="163" t="str">
        <f>VLOOKUP(F148&amp;H148,'[1]MV+BI'!$E$8:$K$375,5,FALSE)</f>
        <v>-</v>
      </c>
      <c r="N148" s="162"/>
      <c r="O148" s="164">
        <f>VLOOKUP(F148&amp;H148,'[1]MV+BI'!$E$8:$K$375,7,FALSE)</f>
        <v>45429</v>
      </c>
      <c r="P148" s="162"/>
      <c r="Q148" s="162" t="s">
        <v>119</v>
      </c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/>
      <c r="AC148"/>
      <c r="AD148" s="32"/>
    </row>
    <row r="149" spans="3:30" s="2" customFormat="1" ht="15" customHeight="1">
      <c r="C149" s="157"/>
      <c r="D149" s="1"/>
      <c r="E149" s="126" t="s">
        <v>9</v>
      </c>
      <c r="F149" s="127" t="s">
        <v>75</v>
      </c>
      <c r="G149" s="128"/>
      <c r="H149" s="127" t="s">
        <v>74</v>
      </c>
      <c r="I149" s="160" t="str">
        <f>VLOOKUP(F149&amp;H149,'[1]MV+BI'!$E$8:$K$375,3,FALSE)</f>
        <v>Validação EF</v>
      </c>
      <c r="J149" s="127"/>
      <c r="K149" s="161" t="str">
        <f>VLOOKUP(F149&amp;H149,'[1]MV+BI'!$E$8:$K$375,6,FALSE)</f>
        <v>Leasing</v>
      </c>
      <c r="L149" s="162"/>
      <c r="M149" s="163" t="str">
        <f>VLOOKUP(F149&amp;H149,'[1]MV+BI'!$E$8:$K$375,5,FALSE)</f>
        <v>-</v>
      </c>
      <c r="N149" s="162"/>
      <c r="O149" s="164">
        <f>VLOOKUP(F149&amp;H149,'[1]MV+BI'!$E$8:$K$375,7,FALSE)</f>
        <v>45429</v>
      </c>
      <c r="P149" s="162"/>
      <c r="Q149" s="162" t="s">
        <v>119</v>
      </c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/>
      <c r="AC149"/>
      <c r="AD149" s="32"/>
    </row>
    <row r="150" spans="3:30" s="2" customFormat="1" ht="15" customHeight="1">
      <c r="C150" s="157"/>
      <c r="D150" s="1"/>
      <c r="E150" s="126" t="s">
        <v>9</v>
      </c>
      <c r="F150" s="127" t="s">
        <v>75</v>
      </c>
      <c r="G150" s="128"/>
      <c r="H150" s="127" t="s">
        <v>120</v>
      </c>
      <c r="I150" s="160" t="str">
        <f>VLOOKUP(F150&amp;H150,'[1]MV+BI'!$E$8:$K$375,3,FALSE)</f>
        <v>Validação EF</v>
      </c>
      <c r="J150" s="127"/>
      <c r="K150" s="161" t="str">
        <f>VLOOKUP(F150&amp;H150,'[1]MV+BI'!$E$8:$K$375,6,FALSE)</f>
        <v>Leasing</v>
      </c>
      <c r="L150" s="162"/>
      <c r="M150" s="163" t="str">
        <f>VLOOKUP(F150&amp;H150,'[1]MV+BI'!$E$8:$K$375,5,FALSE)</f>
        <v>-</v>
      </c>
      <c r="N150" s="162"/>
      <c r="O150" s="164">
        <f>VLOOKUP(F150&amp;H150,'[1]MV+BI'!$E$8:$K$375,7,FALSE)</f>
        <v>45429</v>
      </c>
      <c r="P150" s="162"/>
      <c r="Q150" s="162" t="s">
        <v>121</v>
      </c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/>
      <c r="AC150"/>
      <c r="AD150" s="32"/>
    </row>
    <row r="151" spans="3:30" s="2" customFormat="1" ht="15" customHeight="1">
      <c r="C151" s="157"/>
      <c r="D151" s="1"/>
      <c r="E151" s="126" t="s">
        <v>9</v>
      </c>
      <c r="F151" s="127" t="s">
        <v>75</v>
      </c>
      <c r="G151" s="128"/>
      <c r="H151" s="127" t="s">
        <v>122</v>
      </c>
      <c r="I151" s="160" t="str">
        <f>VLOOKUP(F151&amp;H151,'[1]MV+BI'!$E$8:$K$375,3,FALSE)</f>
        <v>Validação EF</v>
      </c>
      <c r="J151" s="127"/>
      <c r="K151" s="161" t="str">
        <f>VLOOKUP(F151&amp;H151,'[1]MV+BI'!$E$8:$K$375,6,FALSE)</f>
        <v>Leasing</v>
      </c>
      <c r="L151" s="162"/>
      <c r="M151" s="163" t="str">
        <f>VLOOKUP(F151&amp;H151,'[1]MV+BI'!$E$8:$K$375,5,FALSE)</f>
        <v>-</v>
      </c>
      <c r="N151" s="162"/>
      <c r="O151" s="164">
        <f>VLOOKUP(F151&amp;H151,'[1]MV+BI'!$E$8:$K$375,7,FALSE)</f>
        <v>45429</v>
      </c>
      <c r="P151" s="162"/>
      <c r="Q151" s="162" t="s">
        <v>123</v>
      </c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/>
      <c r="AC151"/>
      <c r="AD151" s="32"/>
    </row>
    <row r="152" spans="3:30" s="2" customFormat="1" ht="15" customHeight="1">
      <c r="C152" s="157"/>
      <c r="D152" s="1"/>
      <c r="E152" s="126" t="s">
        <v>9</v>
      </c>
      <c r="F152" s="127" t="s">
        <v>75</v>
      </c>
      <c r="G152" s="128"/>
      <c r="H152" s="127" t="s">
        <v>73</v>
      </c>
      <c r="I152" s="160" t="str">
        <f>VLOOKUP(F152&amp;H152,'[1]MV+BI'!$E$8:$K$375,3,FALSE)</f>
        <v>Validação EF</v>
      </c>
      <c r="J152" s="127"/>
      <c r="K152" s="161" t="str">
        <f>VLOOKUP(F152&amp;H152,'[1]MV+BI'!$E$8:$K$375,6,FALSE)</f>
        <v>Leasing</v>
      </c>
      <c r="L152" s="162"/>
      <c r="M152" s="163" t="str">
        <f>VLOOKUP(F152&amp;H152,'[1]MV+BI'!$E$8:$K$375,5,FALSE)</f>
        <v>-</v>
      </c>
      <c r="N152" s="162"/>
      <c r="O152" s="164">
        <f>VLOOKUP(F152&amp;H152,'[1]MV+BI'!$E$8:$K$375,7,FALSE)</f>
        <v>45429</v>
      </c>
      <c r="P152" s="162"/>
      <c r="Q152" s="162" t="s">
        <v>124</v>
      </c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/>
      <c r="AC152"/>
      <c r="AD152" s="32"/>
    </row>
    <row r="153" spans="3:30" s="2" customFormat="1" ht="15" customHeight="1">
      <c r="C153" s="157"/>
      <c r="D153" s="1"/>
      <c r="E153" s="126" t="s">
        <v>9</v>
      </c>
      <c r="F153" s="127" t="s">
        <v>68</v>
      </c>
      <c r="G153" s="128"/>
      <c r="H153" s="127" t="s">
        <v>110</v>
      </c>
      <c r="I153" s="160" t="str">
        <f>VLOOKUP(F153&amp;H153,'[1]MV+BI'!$E$8:$K$375,3,FALSE)</f>
        <v>Em Correção</v>
      </c>
      <c r="J153" s="127"/>
      <c r="K153" s="161" t="str">
        <f>VLOOKUP(F153&amp;H153,'[1]MV+BI'!$E$8:$K$375,6,FALSE)</f>
        <v>IT</v>
      </c>
      <c r="L153" s="162"/>
      <c r="M153" s="163" t="str">
        <f>VLOOKUP(F153&amp;H153,'[1]MV+BI'!$E$8:$K$375,5,FALSE)</f>
        <v>-</v>
      </c>
      <c r="N153" s="162"/>
      <c r="O153" s="164">
        <f>VLOOKUP(F153&amp;H153,'[1]MV+BI'!$E$8:$K$375,7,FALSE)</f>
        <v>45429</v>
      </c>
      <c r="P153" s="162"/>
      <c r="Q153" s="162" t="s">
        <v>125</v>
      </c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/>
      <c r="AC153"/>
      <c r="AD153" s="32"/>
    </row>
    <row r="154" spans="3:30" s="2" customFormat="1" ht="15" customHeight="1">
      <c r="C154" s="157"/>
      <c r="D154" s="1"/>
      <c r="E154" s="126" t="s">
        <v>9</v>
      </c>
      <c r="F154" s="127" t="s">
        <v>68</v>
      </c>
      <c r="G154" s="128"/>
      <c r="H154" s="127" t="s">
        <v>112</v>
      </c>
      <c r="I154" s="160" t="str">
        <f>VLOOKUP(F154&amp;H154,'[1]MV+BI'!$E$8:$K$375,3,FALSE)</f>
        <v>Em Correção</v>
      </c>
      <c r="J154" s="127"/>
      <c r="K154" s="161" t="str">
        <f>VLOOKUP(F154&amp;H154,'[1]MV+BI'!$E$8:$K$375,6,FALSE)</f>
        <v>IT</v>
      </c>
      <c r="L154" s="162"/>
      <c r="M154" s="163" t="str">
        <f>VLOOKUP(F154&amp;H154,'[1]MV+BI'!$E$8:$K$375,5,FALSE)</f>
        <v>-</v>
      </c>
      <c r="N154" s="162"/>
      <c r="O154" s="164">
        <f>VLOOKUP(F154&amp;H154,'[1]MV+BI'!$E$8:$K$375,7,FALSE)</f>
        <v>45429</v>
      </c>
      <c r="P154" s="162"/>
      <c r="Q154" s="162" t="s">
        <v>125</v>
      </c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/>
      <c r="AC154"/>
      <c r="AD154" s="32"/>
    </row>
    <row r="155" spans="3:30" s="2" customFormat="1" ht="15" customHeight="1">
      <c r="C155" s="157"/>
      <c r="D155" s="1"/>
      <c r="E155" s="126" t="s">
        <v>9</v>
      </c>
      <c r="F155" s="127" t="s">
        <v>68</v>
      </c>
      <c r="G155" s="128"/>
      <c r="H155" s="127" t="s">
        <v>126</v>
      </c>
      <c r="I155" s="160" t="str">
        <f>VLOOKUP(F155&amp;H155,'[1]MV+BI'!$E$8:$K$375,3,FALSE)</f>
        <v>Validação EF</v>
      </c>
      <c r="J155" s="127"/>
      <c r="K155" s="161" t="str">
        <f>VLOOKUP(F155&amp;H155,'[1]MV+BI'!$E$8:$K$375,6,FALSE)</f>
        <v>-</v>
      </c>
      <c r="L155" s="162"/>
      <c r="M155" s="163" t="str">
        <f>VLOOKUP(F155&amp;H155,'[1]MV+BI'!$E$8:$K$375,5,FALSE)</f>
        <v>-</v>
      </c>
      <c r="N155" s="162"/>
      <c r="O155" s="164">
        <f>VLOOKUP(F155&amp;H155,'[1]MV+BI'!$E$8:$K$375,7,FALSE)</f>
        <v>45429</v>
      </c>
      <c r="P155" s="162"/>
      <c r="Q155" s="162" t="s">
        <v>127</v>
      </c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/>
      <c r="AC155"/>
      <c r="AD155" s="32"/>
    </row>
    <row r="156" spans="3:30" s="2" customFormat="1" ht="15" customHeight="1">
      <c r="C156" s="157"/>
      <c r="D156" s="1"/>
      <c r="E156" s="126" t="s">
        <v>9</v>
      </c>
      <c r="F156" s="127" t="s">
        <v>68</v>
      </c>
      <c r="G156" s="128"/>
      <c r="H156" s="127" t="s">
        <v>128</v>
      </c>
      <c r="I156" s="160" t="str">
        <f>VLOOKUP(F156&amp;H156,'[1]MV+BI'!$E$8:$K$375,3,FALSE)</f>
        <v>Validação EF</v>
      </c>
      <c r="J156" s="127"/>
      <c r="K156" s="161" t="str">
        <f>VLOOKUP(F156&amp;H156,'[1]MV+BI'!$E$8:$K$375,6,FALSE)</f>
        <v>-</v>
      </c>
      <c r="L156" s="162"/>
      <c r="M156" s="163" t="str">
        <f>VLOOKUP(F156&amp;H156,'[1]MV+BI'!$E$8:$K$375,5,FALSE)</f>
        <v>-</v>
      </c>
      <c r="N156" s="162"/>
      <c r="O156" s="164">
        <f>VLOOKUP(F156&amp;H156,'[1]MV+BI'!$E$8:$K$375,7,FALSE)</f>
        <v>45429</v>
      </c>
      <c r="P156" s="162"/>
      <c r="Q156" s="162" t="s">
        <v>127</v>
      </c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/>
      <c r="AC156"/>
      <c r="AD156" s="32"/>
    </row>
    <row r="157" spans="3:30" s="2" customFormat="1" ht="15" customHeight="1">
      <c r="C157" s="157"/>
      <c r="D157" s="1"/>
      <c r="E157" s="126" t="s">
        <v>9</v>
      </c>
      <c r="F157" s="127" t="s">
        <v>68</v>
      </c>
      <c r="G157" s="128"/>
      <c r="H157" s="127" t="s">
        <v>113</v>
      </c>
      <c r="I157" s="160" t="str">
        <f>VLOOKUP(F157&amp;H157,'[1]MV+BI'!$E$8:$K$375,3,FALSE)</f>
        <v>Validação EF</v>
      </c>
      <c r="J157" s="127"/>
      <c r="K157" s="161" t="str">
        <f>VLOOKUP(F157&amp;H157,'[1]MV+BI'!$E$8:$K$375,6,FALSE)</f>
        <v>-</v>
      </c>
      <c r="L157" s="162"/>
      <c r="M157" s="163" t="str">
        <f>VLOOKUP(F157&amp;H157,'[1]MV+BI'!$E$8:$K$375,5,FALSE)</f>
        <v>-</v>
      </c>
      <c r="N157" s="162"/>
      <c r="O157" s="164">
        <f>VLOOKUP(F157&amp;H157,'[1]MV+BI'!$E$8:$K$375,7,FALSE)</f>
        <v>45429</v>
      </c>
      <c r="P157" s="162"/>
      <c r="Q157" s="162" t="s">
        <v>129</v>
      </c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/>
      <c r="AC157"/>
      <c r="AD157" s="32"/>
    </row>
    <row r="158" spans="3:30" s="2" customFormat="1" ht="15" customHeight="1">
      <c r="C158" s="157"/>
      <c r="D158" s="1"/>
      <c r="E158" s="126" t="s">
        <v>9</v>
      </c>
      <c r="F158" s="127" t="s">
        <v>68</v>
      </c>
      <c r="G158" s="128"/>
      <c r="H158" s="127" t="s">
        <v>115</v>
      </c>
      <c r="I158" s="160" t="str">
        <f>VLOOKUP(F158&amp;H158,'[1]MV+BI'!$E$8:$K$375,3,FALSE)</f>
        <v>Validação EF</v>
      </c>
      <c r="J158" s="127"/>
      <c r="K158" s="161" t="str">
        <f>VLOOKUP(F158&amp;H158,'[1]MV+BI'!$E$8:$K$375,6,FALSE)</f>
        <v>-</v>
      </c>
      <c r="L158" s="162"/>
      <c r="M158" s="163" t="str">
        <f>VLOOKUP(F158&amp;H158,'[1]MV+BI'!$E$8:$K$375,5,FALSE)</f>
        <v>-</v>
      </c>
      <c r="N158" s="162"/>
      <c r="O158" s="164">
        <f>VLOOKUP(F158&amp;H158,'[1]MV+BI'!$E$8:$K$375,7,FALSE)</f>
        <v>45429</v>
      </c>
      <c r="P158" s="162"/>
      <c r="Q158" s="162" t="s">
        <v>129</v>
      </c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/>
      <c r="AC158"/>
      <c r="AD158" s="32"/>
    </row>
    <row r="159" spans="3:30" s="2" customFormat="1" ht="15" customHeight="1">
      <c r="C159" s="157"/>
      <c r="D159" s="1"/>
      <c r="E159" s="126" t="s">
        <v>9</v>
      </c>
      <c r="F159" s="127" t="s">
        <v>68</v>
      </c>
      <c r="G159" s="128"/>
      <c r="H159" s="127" t="s">
        <v>76</v>
      </c>
      <c r="I159" s="160" t="str">
        <f>VLOOKUP(F159&amp;H159,'[1]MV+BI'!$E$8:$K$375,3,FALSE)</f>
        <v>Validação EF</v>
      </c>
      <c r="J159" s="127"/>
      <c r="K159" s="161" t="str">
        <f>VLOOKUP(F159&amp;H159,'[1]MV+BI'!$E$8:$K$375,6,FALSE)</f>
        <v>IT</v>
      </c>
      <c r="L159" s="162"/>
      <c r="M159" s="163" t="str">
        <f>VLOOKUP(F159&amp;H159,'[1]MV+BI'!$E$8:$K$375,5,FALSE)</f>
        <v>-</v>
      </c>
      <c r="N159" s="162"/>
      <c r="O159" s="164">
        <f>VLOOKUP(F159&amp;H159,'[1]MV+BI'!$E$8:$K$375,7,FALSE)</f>
        <v>45429</v>
      </c>
      <c r="P159" s="162"/>
      <c r="Q159" s="162" t="s">
        <v>130</v>
      </c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/>
      <c r="AC159"/>
      <c r="AD159" s="32"/>
    </row>
    <row r="160" spans="3:30" s="2" customFormat="1" ht="15" customHeight="1">
      <c r="C160" s="157"/>
      <c r="D160" s="1"/>
      <c r="E160" s="126" t="s">
        <v>9</v>
      </c>
      <c r="F160" s="127" t="s">
        <v>68</v>
      </c>
      <c r="G160" s="128"/>
      <c r="H160" s="127" t="s">
        <v>77</v>
      </c>
      <c r="I160" s="160" t="str">
        <f>VLOOKUP(F160&amp;H160,'[1]MV+BI'!$E$8:$K$375,3,FALSE)</f>
        <v>Validação EF</v>
      </c>
      <c r="J160" s="127"/>
      <c r="K160" s="161" t="str">
        <f>VLOOKUP(F160&amp;H160,'[1]MV+BI'!$E$8:$K$375,6,FALSE)</f>
        <v>IT</v>
      </c>
      <c r="L160" s="162"/>
      <c r="M160" s="163" t="str">
        <f>VLOOKUP(F160&amp;H160,'[1]MV+BI'!$E$8:$K$375,5,FALSE)</f>
        <v>-</v>
      </c>
      <c r="N160" s="162"/>
      <c r="O160" s="164">
        <f>VLOOKUP(F160&amp;H160,'[1]MV+BI'!$E$8:$K$375,7,FALSE)</f>
        <v>45429</v>
      </c>
      <c r="P160" s="162"/>
      <c r="Q160" s="162" t="s">
        <v>130</v>
      </c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/>
      <c r="AC160"/>
      <c r="AD160" s="32"/>
    </row>
    <row r="161" spans="3:30" s="2" customFormat="1" ht="15" customHeight="1">
      <c r="C161" s="157"/>
      <c r="D161" s="1"/>
      <c r="E161" s="126" t="s">
        <v>9</v>
      </c>
      <c r="F161" s="127" t="s">
        <v>68</v>
      </c>
      <c r="G161" s="128"/>
      <c r="H161" s="127" t="s">
        <v>78</v>
      </c>
      <c r="I161" s="160" t="str">
        <f>VLOOKUP(F161&amp;H161,'[1]MV+BI'!$E$8:$K$375,3,FALSE)</f>
        <v>Validação EF</v>
      </c>
      <c r="J161" s="127"/>
      <c r="K161" s="161" t="str">
        <f>VLOOKUP(F161&amp;H161,'[1]MV+BI'!$E$8:$K$375,6,FALSE)</f>
        <v>-</v>
      </c>
      <c r="L161" s="162"/>
      <c r="M161" s="163" t="str">
        <f>VLOOKUP(F161&amp;H161,'[1]MV+BI'!$E$8:$K$375,5,FALSE)</f>
        <v>-</v>
      </c>
      <c r="N161" s="162"/>
      <c r="O161" s="164">
        <f>VLOOKUP(F161&amp;H161,'[1]MV+BI'!$E$8:$K$375,7,FALSE)</f>
        <v>45429</v>
      </c>
      <c r="P161" s="162"/>
      <c r="Q161" s="162" t="s">
        <v>131</v>
      </c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/>
      <c r="AC161"/>
      <c r="AD161" s="32"/>
    </row>
    <row r="162" spans="3:30" s="2" customFormat="1" ht="15" customHeight="1">
      <c r="C162" s="157"/>
      <c r="D162" s="1"/>
      <c r="E162" s="126" t="s">
        <v>9</v>
      </c>
      <c r="F162" s="127" t="s">
        <v>68</v>
      </c>
      <c r="G162" s="128"/>
      <c r="H162" s="127" t="s">
        <v>120</v>
      </c>
      <c r="I162" s="160" t="str">
        <f>VLOOKUP(F162&amp;H162,'[1]MV+BI'!$E$8:$K$375,3,FALSE)</f>
        <v>Validação EF</v>
      </c>
      <c r="J162" s="127"/>
      <c r="K162" s="161" t="str">
        <f>VLOOKUP(F162&amp;H162,'[1]MV+BI'!$E$8:$K$375,6,FALSE)</f>
        <v>IT</v>
      </c>
      <c r="L162" s="162"/>
      <c r="M162" s="163" t="str">
        <f>VLOOKUP(F162&amp;H162,'[1]MV+BI'!$E$8:$K$375,5,FALSE)</f>
        <v>-</v>
      </c>
      <c r="N162" s="162"/>
      <c r="O162" s="164">
        <f>VLOOKUP(F162&amp;H162,'[1]MV+BI'!$E$8:$K$375,7,FALSE)</f>
        <v>45429</v>
      </c>
      <c r="P162" s="162"/>
      <c r="Q162" s="162" t="s">
        <v>132</v>
      </c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/>
      <c r="AC162"/>
      <c r="AD162" s="32"/>
    </row>
    <row r="163" spans="3:30" s="2" customFormat="1" ht="15" customHeight="1">
      <c r="C163" s="157"/>
      <c r="D163" s="1"/>
      <c r="E163" s="126" t="s">
        <v>9</v>
      </c>
      <c r="F163" s="127" t="s">
        <v>68</v>
      </c>
      <c r="G163" s="128"/>
      <c r="H163" s="127" t="s">
        <v>122</v>
      </c>
      <c r="I163" s="160" t="str">
        <f>VLOOKUP(F163&amp;H163,'[1]MV+BI'!$E$8:$K$375,3,FALSE)</f>
        <v>Validação EF</v>
      </c>
      <c r="J163" s="127"/>
      <c r="K163" s="161" t="str">
        <f>VLOOKUP(F163&amp;H163,'[1]MV+BI'!$E$8:$K$375,6,FALSE)</f>
        <v>IT</v>
      </c>
      <c r="L163" s="162"/>
      <c r="M163" s="163" t="str">
        <f>VLOOKUP(F163&amp;H163,'[1]MV+BI'!$E$8:$K$375,5,FALSE)</f>
        <v>-</v>
      </c>
      <c r="N163" s="162"/>
      <c r="O163" s="164">
        <f>VLOOKUP(F163&amp;H163,'[1]MV+BI'!$E$8:$K$375,7,FALSE)</f>
        <v>45429</v>
      </c>
      <c r="P163" s="162"/>
      <c r="Q163" s="162" t="s">
        <v>132</v>
      </c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/>
      <c r="AC163"/>
      <c r="AD163" s="32"/>
    </row>
    <row r="164" spans="3:30" s="2" customFormat="1" ht="15" customHeight="1">
      <c r="C164" s="157"/>
      <c r="D164" s="1"/>
      <c r="E164" s="141" t="s">
        <v>13</v>
      </c>
      <c r="F164" s="1" t="s">
        <v>63</v>
      </c>
      <c r="G164" s="62"/>
      <c r="H164" s="91" t="s">
        <v>133</v>
      </c>
      <c r="I164" s="165" t="str">
        <f>VLOOKUP(H164,[1]Plano!$C$7:$L$56,4,FALSE)</f>
        <v>Em Implementação - Alteração EF</v>
      </c>
      <c r="J164" s="62"/>
      <c r="K164" t="str">
        <f>VLOOKUP(H164,[1]Plano!$C$7:$J$56,8,FALSE)</f>
        <v>IT</v>
      </c>
      <c r="L164" s="62"/>
      <c r="M164" s="166">
        <f>VLOOKUP(H164,[1]Plano!$C$7:$L$56,7,FALSE)</f>
        <v>45435</v>
      </c>
      <c r="N164"/>
      <c r="O164" s="166">
        <f>VLOOKUP(H164,[1]Plano!$C$7:$L$56,10,FALSE)</f>
        <v>45492</v>
      </c>
      <c r="P164"/>
      <c r="Q164" s="62" t="s">
        <v>134</v>
      </c>
      <c r="R164" s="1"/>
      <c r="S164" s="1"/>
      <c r="T164" s="1"/>
      <c r="U164" s="1"/>
      <c r="V164" s="1"/>
      <c r="W164" s="1"/>
      <c r="X164"/>
      <c r="Y164"/>
      <c r="Z164"/>
      <c r="AA164"/>
      <c r="AB164"/>
      <c r="AC164"/>
      <c r="AD164" s="32"/>
    </row>
    <row r="165" spans="3:30" s="2" customFormat="1" ht="15" customHeight="1">
      <c r="C165" s="157"/>
      <c r="D165" s="1"/>
      <c r="E165" s="141" t="s">
        <v>13</v>
      </c>
      <c r="F165" s="1" t="s">
        <v>63</v>
      </c>
      <c r="G165" s="62"/>
      <c r="H165" s="91" t="s">
        <v>135</v>
      </c>
      <c r="I165" s="165" t="str">
        <f>VLOOKUP(H165,[1]Plano!$C$7:$L$56,4,FALSE)</f>
        <v>Em Implementação - Alteração EF</v>
      </c>
      <c r="J165" s="62"/>
      <c r="K165" t="str">
        <f>VLOOKUP(H165,[1]Plano!$C$7:$J$56,8,FALSE)</f>
        <v>IT</v>
      </c>
      <c r="L165" s="62"/>
      <c r="M165" s="166">
        <f>VLOOKUP(H165,[1]Plano!$C$7:$L$56,7,FALSE)</f>
        <v>45435</v>
      </c>
      <c r="N165"/>
      <c r="O165" s="166">
        <f>VLOOKUP(H165,[1]Plano!$C$7:$L$56,10,FALSE)</f>
        <v>45492</v>
      </c>
      <c r="P165"/>
      <c r="Q165" s="62" t="s">
        <v>134</v>
      </c>
      <c r="R165" s="1"/>
      <c r="S165" s="1"/>
      <c r="T165" s="1"/>
      <c r="U165" s="1"/>
      <c r="V165" s="1"/>
      <c r="W165" s="1"/>
      <c r="X165"/>
      <c r="Y165"/>
      <c r="Z165"/>
      <c r="AA165"/>
      <c r="AB165"/>
      <c r="AC165"/>
      <c r="AD165" s="32"/>
    </row>
    <row r="166" spans="3:30" s="2" customFormat="1" ht="15" customHeight="1">
      <c r="C166" s="157"/>
      <c r="D166" s="1"/>
      <c r="E166" s="141" t="s">
        <v>13</v>
      </c>
      <c r="F166" s="1" t="s">
        <v>63</v>
      </c>
      <c r="G166" s="62"/>
      <c r="H166" s="91" t="s">
        <v>136</v>
      </c>
      <c r="I166" s="165" t="str">
        <f>VLOOKUP(H166,[1]Plano!$C$7:$L$56,4,FALSE)</f>
        <v>Em Implementação - Alteração EF</v>
      </c>
      <c r="J166" s="62"/>
      <c r="K166" t="str">
        <f>VLOOKUP(H166,[1]Plano!$C$7:$J$56,8,FALSE)</f>
        <v>IT</v>
      </c>
      <c r="L166" s="62"/>
      <c r="M166" s="166">
        <f>VLOOKUP(H166,[1]Plano!$C$7:$L$56,7,FALSE)</f>
        <v>45435</v>
      </c>
      <c r="N166"/>
      <c r="O166" s="166">
        <f>VLOOKUP(H166,[1]Plano!$C$7:$L$56,10,FALSE)</f>
        <v>45450</v>
      </c>
      <c r="P166"/>
      <c r="Q166" s="62" t="s">
        <v>137</v>
      </c>
      <c r="R166" s="1"/>
      <c r="S166" s="1"/>
      <c r="T166" s="1"/>
      <c r="U166" s="1"/>
      <c r="V166" s="1"/>
      <c r="W166" s="1"/>
      <c r="X166"/>
      <c r="Y166"/>
      <c r="Z166"/>
      <c r="AA166"/>
      <c r="AB166"/>
      <c r="AC166"/>
      <c r="AD166" s="32"/>
    </row>
    <row r="167" spans="3:30" s="2" customFormat="1" ht="15" customHeight="1">
      <c r="C167" s="157"/>
      <c r="D167" s="1"/>
      <c r="E167" s="141" t="s">
        <v>13</v>
      </c>
      <c r="F167" s="1" t="s">
        <v>63</v>
      </c>
      <c r="G167" s="62"/>
      <c r="H167" s="91" t="s">
        <v>138</v>
      </c>
      <c r="I167" s="165" t="str">
        <f>VLOOKUP(H167,[1]Plano!$C$7:$L$56,4,FALSE)</f>
        <v>Em Implementação - Alteração EF</v>
      </c>
      <c r="J167" s="62"/>
      <c r="K167" t="str">
        <f>VLOOKUP(H167,[1]Plano!$C$7:$J$56,8,FALSE)</f>
        <v>IT</v>
      </c>
      <c r="L167" s="62"/>
      <c r="M167" s="166">
        <f>VLOOKUP(H167,[1]Plano!$C$7:$L$56,7,FALSE)</f>
        <v>45435</v>
      </c>
      <c r="N167"/>
      <c r="O167" s="166">
        <f>VLOOKUP(H167,[1]Plano!$C$7:$L$56,10,FALSE)</f>
        <v>45492</v>
      </c>
      <c r="P167"/>
      <c r="Q167" s="62" t="s">
        <v>139</v>
      </c>
      <c r="R167" s="1"/>
      <c r="S167" s="1"/>
      <c r="T167" s="1"/>
      <c r="U167" s="1"/>
      <c r="V167" s="1"/>
      <c r="W167" s="1"/>
      <c r="X167"/>
      <c r="Y167"/>
      <c r="Z167"/>
      <c r="AA167"/>
      <c r="AB167"/>
      <c r="AC167"/>
      <c r="AD167" s="32"/>
    </row>
    <row r="168" spans="3:30" s="2" customFormat="1" ht="15" customHeight="1">
      <c r="C168" s="157"/>
      <c r="D168" s="1"/>
      <c r="E168" s="141" t="s">
        <v>13</v>
      </c>
      <c r="F168" s="1" t="s">
        <v>63</v>
      </c>
      <c r="G168" s="62"/>
      <c r="H168" s="91" t="s">
        <v>140</v>
      </c>
      <c r="I168" s="165" t="str">
        <f>VLOOKUP(H168,[1]Plano!$C$7:$L$56,4,FALSE)</f>
        <v>Em Implementação - Alteração EF</v>
      </c>
      <c r="J168" s="62"/>
      <c r="K168" t="str">
        <f>VLOOKUP(H168,[1]Plano!$C$7:$J$56,8,FALSE)</f>
        <v>IT</v>
      </c>
      <c r="L168" s="62"/>
      <c r="M168" s="166">
        <f>VLOOKUP(H168,[1]Plano!$C$7:$L$56,7,FALSE)</f>
        <v>45435</v>
      </c>
      <c r="N168"/>
      <c r="O168" s="166">
        <f>VLOOKUP(H168,[1]Plano!$C$7:$L$56,10,FALSE)</f>
        <v>45492</v>
      </c>
      <c r="P168"/>
      <c r="Q168" s="62" t="s">
        <v>134</v>
      </c>
      <c r="R168" s="1"/>
      <c r="S168" s="1"/>
      <c r="T168" s="1"/>
      <c r="U168" s="1"/>
      <c r="V168" s="1"/>
      <c r="W168" s="1"/>
      <c r="X168"/>
      <c r="Y168"/>
      <c r="Z168"/>
      <c r="AA168"/>
      <c r="AB168"/>
      <c r="AC168"/>
      <c r="AD168" s="32"/>
    </row>
    <row r="169" spans="3:30" s="2" customFormat="1" ht="15" customHeight="1">
      <c r="C169" s="157"/>
      <c r="D169" s="1"/>
      <c r="E169" s="141" t="s">
        <v>13</v>
      </c>
      <c r="F169" s="167" t="s">
        <v>63</v>
      </c>
      <c r="G169" s="143"/>
      <c r="H169" s="167" t="s">
        <v>141</v>
      </c>
      <c r="I169" s="165" t="str">
        <f>VLOOKUP(H169,[1]Plano!$C$7:$L$56,4,FALSE)</f>
        <v>Em Implementação - Alteração EF</v>
      </c>
      <c r="J169" s="120"/>
      <c r="K169" t="str">
        <f>VLOOKUP(H169,[1]Plano!$C$7:$J$56,8,FALSE)</f>
        <v>IT</v>
      </c>
      <c r="L169" s="62"/>
      <c r="M169" s="166">
        <f>VLOOKUP(H169,[1]Plano!$C$7:$L$56,7,FALSE)</f>
        <v>45435</v>
      </c>
      <c r="N169"/>
      <c r="O169" s="166">
        <f>VLOOKUP(H169,[1]Plano!$C$7:$L$56,10,FALSE)</f>
        <v>45478</v>
      </c>
      <c r="P169"/>
      <c r="Q169" s="62" t="s">
        <v>142</v>
      </c>
      <c r="R169" s="1"/>
      <c r="S169" s="1"/>
      <c r="T169" s="1"/>
      <c r="U169" s="1"/>
      <c r="V169" s="1"/>
      <c r="W169" s="1"/>
      <c r="X169"/>
      <c r="Y169"/>
      <c r="Z169"/>
      <c r="AA169"/>
      <c r="AB169"/>
      <c r="AC169"/>
      <c r="AD169" s="32"/>
    </row>
    <row r="170" spans="3:30" s="2" customFormat="1" ht="15" customHeight="1">
      <c r="C170" s="157"/>
      <c r="D170" s="1"/>
      <c r="E170" s="141" t="s">
        <v>13</v>
      </c>
      <c r="F170" s="1" t="s">
        <v>63</v>
      </c>
      <c r="G170" s="62"/>
      <c r="H170" s="91" t="s">
        <v>143</v>
      </c>
      <c r="I170" s="165" t="str">
        <f>VLOOKUP(H170,[1]Plano!$C$7:$L$56,4,FALSE)</f>
        <v>Em Implementação - Alteração EF</v>
      </c>
      <c r="J170" s="62"/>
      <c r="K170" t="str">
        <f>VLOOKUP(H170,[1]Plano!$C$7:$J$56,8,FALSE)</f>
        <v>IT</v>
      </c>
      <c r="L170" s="62"/>
      <c r="M170" s="166">
        <f>VLOOKUP(H170,[1]Plano!$C$7:$L$56,7,FALSE)</f>
        <v>45435</v>
      </c>
      <c r="N170"/>
      <c r="O170" s="166">
        <f>VLOOKUP(H170,[1]Plano!$C$7:$L$56,10,FALSE)</f>
        <v>45471</v>
      </c>
      <c r="P170"/>
      <c r="Q170" s="62" t="s">
        <v>134</v>
      </c>
      <c r="R170" s="1"/>
      <c r="S170" s="1"/>
      <c r="T170" s="1"/>
      <c r="U170" s="1"/>
      <c r="V170" s="1"/>
      <c r="W170" s="1"/>
      <c r="X170"/>
      <c r="Y170"/>
      <c r="Z170"/>
      <c r="AA170"/>
      <c r="AB170"/>
      <c r="AC170"/>
      <c r="AD170" s="32"/>
    </row>
    <row r="171" spans="3:30" s="2" customFormat="1" ht="15" customHeight="1">
      <c r="C171" s="157"/>
      <c r="D171" s="1"/>
      <c r="E171" s="141" t="s">
        <v>13</v>
      </c>
      <c r="F171" s="1" t="s">
        <v>63</v>
      </c>
      <c r="G171" s="62"/>
      <c r="H171" s="91" t="s">
        <v>144</v>
      </c>
      <c r="I171" s="165" t="str">
        <f>VLOOKUP(H171,[1]Plano!$C$7:$L$56,4,FALSE)</f>
        <v>Em Implementação - Alteração EF</v>
      </c>
      <c r="J171" s="62"/>
      <c r="K171" t="str">
        <f>VLOOKUP(H171,[1]Plano!$C$7:$J$56,8,FALSE)</f>
        <v>IT</v>
      </c>
      <c r="L171" s="62"/>
      <c r="M171" s="166">
        <f>VLOOKUP(H171,[1]Plano!$C$7:$L$56,7,FALSE)</f>
        <v>45435</v>
      </c>
      <c r="N171"/>
      <c r="O171" s="166">
        <f>VLOOKUP(H171,[1]Plano!$C$7:$L$56,10,FALSE)</f>
        <v>45450</v>
      </c>
      <c r="P171"/>
      <c r="Q171" s="62" t="s">
        <v>145</v>
      </c>
      <c r="R171" s="1"/>
      <c r="S171" s="1"/>
      <c r="T171" s="1"/>
      <c r="U171" s="1"/>
      <c r="V171" s="1"/>
      <c r="W171" s="1"/>
      <c r="X171"/>
      <c r="Y171"/>
      <c r="Z171"/>
      <c r="AA171"/>
      <c r="AB171"/>
      <c r="AC171"/>
      <c r="AD171" s="32"/>
    </row>
    <row r="172" spans="3:30" s="2" customFormat="1" ht="15" customHeight="1">
      <c r="C172" s="157"/>
      <c r="D172" s="1"/>
      <c r="E172" s="141" t="s">
        <v>13</v>
      </c>
      <c r="F172" s="1" t="s">
        <v>63</v>
      </c>
      <c r="G172" s="62"/>
      <c r="H172" s="91" t="s">
        <v>146</v>
      </c>
      <c r="I172" s="165" t="str">
        <f>VLOOKUP(H172,[1]Plano!$C$7:$L$56,4,FALSE)</f>
        <v>Em Implementação - Alteração EF</v>
      </c>
      <c r="J172" s="62"/>
      <c r="K172" t="str">
        <f>VLOOKUP(H172,[1]Plano!$C$7:$J$56,8,FALSE)</f>
        <v>IT</v>
      </c>
      <c r="L172" s="62"/>
      <c r="M172" s="166">
        <f>VLOOKUP(H172,[1]Plano!$C$7:$L$56,7,FALSE)</f>
        <v>45435</v>
      </c>
      <c r="N172"/>
      <c r="O172" s="166">
        <f>VLOOKUP(H172,[1]Plano!$C$7:$L$56,10,FALSE)</f>
        <v>45450</v>
      </c>
      <c r="P172"/>
      <c r="Q172" s="62" t="s">
        <v>147</v>
      </c>
      <c r="R172" s="1"/>
      <c r="S172" s="1"/>
      <c r="T172" s="1"/>
      <c r="U172" s="1"/>
      <c r="V172" s="1"/>
      <c r="W172" s="1"/>
      <c r="X172"/>
      <c r="Y172"/>
      <c r="Z172"/>
      <c r="AA172"/>
      <c r="AB172"/>
      <c r="AC172"/>
      <c r="AD172" s="32"/>
    </row>
    <row r="173" spans="3:30" s="2" customFormat="1" ht="15" customHeight="1">
      <c r="C173" s="157"/>
      <c r="D173" s="1"/>
      <c r="E173" s="141" t="s">
        <v>13</v>
      </c>
      <c r="F173" s="1" t="s">
        <v>63</v>
      </c>
      <c r="G173" s="62"/>
      <c r="H173" s="91" t="s">
        <v>148</v>
      </c>
      <c r="I173" s="165" t="str">
        <f>VLOOKUP(H173,[1]Plano!$C$7:$L$56,4,FALSE)</f>
        <v>Em Implementação - Alteração EF</v>
      </c>
      <c r="J173" s="62"/>
      <c r="K173" t="str">
        <f>VLOOKUP(H173,[1]Plano!$C$7:$J$56,8,FALSE)</f>
        <v>IT</v>
      </c>
      <c r="L173" s="62"/>
      <c r="M173" s="166">
        <f>VLOOKUP(H173,[1]Plano!$C$7:$L$56,7,FALSE)</f>
        <v>45435</v>
      </c>
      <c r="N173"/>
      <c r="O173" s="166">
        <f>VLOOKUP(H173,[1]Plano!$C$7:$L$56,10,FALSE)</f>
        <v>45485</v>
      </c>
      <c r="P173"/>
      <c r="Q173" s="62" t="s">
        <v>149</v>
      </c>
      <c r="R173" s="1"/>
      <c r="S173" s="1"/>
      <c r="T173" s="1"/>
      <c r="U173" s="1"/>
      <c r="V173" s="1"/>
      <c r="W173" s="1"/>
      <c r="X173"/>
      <c r="Y173"/>
      <c r="Z173"/>
      <c r="AA173"/>
      <c r="AB173"/>
      <c r="AC173"/>
      <c r="AD173" s="32"/>
    </row>
    <row r="174" spans="3:30" s="2" customFormat="1" ht="15" customHeight="1">
      <c r="C174" s="157"/>
      <c r="D174" s="1"/>
      <c r="E174" s="141" t="s">
        <v>13</v>
      </c>
      <c r="F174" s="1" t="s">
        <v>63</v>
      </c>
      <c r="G174" s="62"/>
      <c r="H174" s="91" t="s">
        <v>150</v>
      </c>
      <c r="I174" s="165" t="str">
        <f>VLOOKUP(H174,[1]Plano!$C$7:$L$56,4,FALSE)</f>
        <v>Em Implementação - Alteração EF</v>
      </c>
      <c r="J174" s="62"/>
      <c r="K174" t="str">
        <f>VLOOKUP(H174,[1]Plano!$C$7:$J$56,8,FALSE)</f>
        <v>IT</v>
      </c>
      <c r="L174" s="62"/>
      <c r="M174" s="166">
        <f>VLOOKUP(H174,[1]Plano!$C$7:$L$56,7,FALSE)</f>
        <v>45435</v>
      </c>
      <c r="N174"/>
      <c r="O174" s="166">
        <f>VLOOKUP(H174,[1]Plano!$C$7:$L$56,10,FALSE)</f>
        <v>45485</v>
      </c>
      <c r="P174"/>
      <c r="Q174" s="62" t="s">
        <v>142</v>
      </c>
      <c r="R174" s="1"/>
      <c r="S174" s="1"/>
      <c r="T174" s="1"/>
      <c r="U174" s="1"/>
      <c r="V174" s="1"/>
      <c r="W174" s="1"/>
      <c r="X174"/>
      <c r="Y174"/>
      <c r="Z174"/>
      <c r="AA174"/>
      <c r="AB174"/>
      <c r="AC174"/>
      <c r="AD174" s="32"/>
    </row>
    <row r="175" spans="3:30" s="2" customFormat="1" ht="15" customHeight="1">
      <c r="C175" s="157"/>
      <c r="D175" s="1"/>
      <c r="E175" s="141" t="s">
        <v>13</v>
      </c>
      <c r="F175" s="1" t="s">
        <v>63</v>
      </c>
      <c r="G175" s="62"/>
      <c r="H175" s="91" t="s">
        <v>151</v>
      </c>
      <c r="I175" s="165" t="str">
        <f>VLOOKUP(H175,[1]Plano!$C$7:$L$56,4,FALSE)</f>
        <v>Em Implementação - Alteração EF</v>
      </c>
      <c r="J175" s="62"/>
      <c r="K175" t="str">
        <f>VLOOKUP(H175,[1]Plano!$C$7:$J$56,8,FALSE)</f>
        <v>IT</v>
      </c>
      <c r="L175" s="62"/>
      <c r="M175" s="166">
        <f>VLOOKUP(H175,[1]Plano!$C$7:$L$56,7,FALSE)</f>
        <v>45435</v>
      </c>
      <c r="N175"/>
      <c r="O175" s="166">
        <f>VLOOKUP(H175,[1]Plano!$C$7:$L$56,10,FALSE)</f>
        <v>45485</v>
      </c>
      <c r="P175"/>
      <c r="Q175" s="62" t="s">
        <v>142</v>
      </c>
      <c r="R175" s="1"/>
      <c r="S175" s="1"/>
      <c r="T175" s="1"/>
      <c r="U175" s="1"/>
      <c r="V175" s="1"/>
      <c r="W175" s="1"/>
      <c r="X175"/>
      <c r="Y175"/>
      <c r="Z175"/>
      <c r="AA175"/>
      <c r="AB175"/>
      <c r="AC175"/>
      <c r="AD175" s="32"/>
    </row>
    <row r="176" spans="3:30" s="2" customFormat="1" ht="15" customHeight="1">
      <c r="C176" s="157"/>
      <c r="D176" s="1"/>
      <c r="E176" s="141" t="s">
        <v>13</v>
      </c>
      <c r="F176" s="1" t="s">
        <v>63</v>
      </c>
      <c r="G176" s="62"/>
      <c r="H176" s="91" t="s">
        <v>152</v>
      </c>
      <c r="I176" s="165" t="str">
        <f>VLOOKUP(H176,[1]Plano!$C$7:$L$56,4,FALSE)</f>
        <v>Em Implementação - Alteração EF</v>
      </c>
      <c r="J176" s="62"/>
      <c r="K176" t="str">
        <f>VLOOKUP(H176,[1]Plano!$C$7:$J$56,8,FALSE)</f>
        <v>IT</v>
      </c>
      <c r="L176" s="62"/>
      <c r="M176" s="166">
        <f>VLOOKUP(H176,[1]Plano!$C$7:$L$56,7,FALSE)</f>
        <v>45435</v>
      </c>
      <c r="N176"/>
      <c r="O176" s="166">
        <f>VLOOKUP(H176,[1]Plano!$C$7:$L$56,10,FALSE)</f>
        <v>45485</v>
      </c>
      <c r="P176"/>
      <c r="Q176" s="62" t="s">
        <v>139</v>
      </c>
      <c r="R176" s="1"/>
      <c r="S176" s="1"/>
      <c r="T176" s="1"/>
      <c r="U176" s="1"/>
      <c r="V176" s="1"/>
      <c r="W176" s="1"/>
      <c r="X176"/>
      <c r="Y176"/>
      <c r="Z176"/>
      <c r="AA176"/>
      <c r="AB176"/>
      <c r="AC176"/>
      <c r="AD176" s="32"/>
    </row>
    <row r="177" spans="3:30" s="2" customFormat="1" ht="15" customHeight="1">
      <c r="C177" s="157"/>
      <c r="D177" s="1"/>
      <c r="E177" s="141" t="s">
        <v>13</v>
      </c>
      <c r="F177" s="1" t="s">
        <v>63</v>
      </c>
      <c r="G177" s="62"/>
      <c r="H177" s="91" t="s">
        <v>153</v>
      </c>
      <c r="I177" s="165" t="str">
        <f>VLOOKUP(H177,[1]Plano!$C$7:$L$56,4,FALSE)</f>
        <v>Em Implementação - Alteração EF</v>
      </c>
      <c r="J177" s="62"/>
      <c r="K177" t="str">
        <f>VLOOKUP(H177,[1]Plano!$C$7:$J$56,8,FALSE)</f>
        <v>IT</v>
      </c>
      <c r="L177" s="62"/>
      <c r="M177" s="166">
        <f>VLOOKUP(H177,[1]Plano!$C$7:$L$56,7,FALSE)</f>
        <v>45435</v>
      </c>
      <c r="N177"/>
      <c r="O177" s="166">
        <f>VLOOKUP(H177,[1]Plano!$C$7:$L$56,10,FALSE)</f>
        <v>45471</v>
      </c>
      <c r="P177"/>
      <c r="Q177" s="62" t="s">
        <v>139</v>
      </c>
      <c r="R177" s="1"/>
      <c r="S177" s="1"/>
      <c r="T177" s="1"/>
      <c r="U177" s="1"/>
      <c r="V177" s="1"/>
      <c r="W177" s="1"/>
      <c r="X177"/>
      <c r="Y177"/>
      <c r="Z177"/>
      <c r="AA177"/>
      <c r="AB177"/>
      <c r="AC177"/>
      <c r="AD177" s="32"/>
    </row>
    <row r="178" spans="3:30" s="2" customFormat="1" ht="15" customHeight="1">
      <c r="C178" s="157"/>
      <c r="D178" s="1"/>
      <c r="E178" s="141" t="s">
        <v>13</v>
      </c>
      <c r="F178" s="1" t="s">
        <v>154</v>
      </c>
      <c r="G178" s="62"/>
      <c r="H178" s="91" t="s">
        <v>155</v>
      </c>
      <c r="I178" s="165" t="str">
        <f>VLOOKUP(H178,[1]Plano!$C$7:$L$56,4,FALSE)</f>
        <v>Em Implementação - Alteração EF</v>
      </c>
      <c r="J178" s="62"/>
      <c r="K178" t="str">
        <f>VLOOKUP(H178,[1]Plano!$C$7:$J$56,8,FALSE)</f>
        <v>IT</v>
      </c>
      <c r="L178" s="62"/>
      <c r="M178" s="166">
        <f>VLOOKUP(H178,[1]Plano!$C$7:$L$56,7,FALSE)</f>
        <v>45435</v>
      </c>
      <c r="N178"/>
      <c r="O178" s="166">
        <f>VLOOKUP(H178,[1]Plano!$C$7:$L$56,9,FALSE)</f>
        <v>45464</v>
      </c>
      <c r="P178"/>
      <c r="Q178" s="62" t="s">
        <v>156</v>
      </c>
      <c r="R178" s="1"/>
      <c r="S178" s="1"/>
      <c r="T178" s="1"/>
      <c r="U178" s="1"/>
      <c r="V178" s="1"/>
      <c r="W178" s="1"/>
      <c r="X178"/>
      <c r="Y178"/>
      <c r="Z178"/>
      <c r="AA178"/>
      <c r="AB178"/>
      <c r="AC178"/>
      <c r="AD178" s="32"/>
    </row>
    <row r="179" spans="3:30" s="2" customFormat="1" ht="15" customHeight="1">
      <c r="C179" s="157"/>
      <c r="D179" s="1"/>
      <c r="E179" s="141" t="s">
        <v>13</v>
      </c>
      <c r="F179" s="1" t="s">
        <v>63</v>
      </c>
      <c r="G179" s="62"/>
      <c r="H179" s="91" t="s">
        <v>157</v>
      </c>
      <c r="I179" s="165" t="str">
        <f>VLOOKUP(H179,[1]Plano!$C$7:$L$56,4,FALSE)</f>
        <v>Em Implementação - Alteração EF</v>
      </c>
      <c r="J179" s="62"/>
      <c r="K179" t="str">
        <f>VLOOKUP(H179,[1]Plano!$C$7:$J$56,8,FALSE)</f>
        <v>IT</v>
      </c>
      <c r="L179" s="62"/>
      <c r="M179" s="166">
        <f>VLOOKUP(H179,[1]Plano!$C$7:$L$56,7,FALSE)</f>
        <v>45435</v>
      </c>
      <c r="N179"/>
      <c r="O179" s="166">
        <f>VLOOKUP(H179,[1]Plano!$C$7:$L$56,10,FALSE)</f>
        <v>45499</v>
      </c>
      <c r="P179"/>
      <c r="Q179" s="62" t="s">
        <v>139</v>
      </c>
      <c r="R179" s="1"/>
      <c r="S179" s="1"/>
      <c r="T179" s="1"/>
      <c r="U179" s="1"/>
      <c r="V179" s="1"/>
      <c r="W179" s="1"/>
      <c r="X179"/>
      <c r="Y179"/>
      <c r="Z179"/>
      <c r="AA179"/>
      <c r="AB179"/>
      <c r="AC179"/>
      <c r="AD179" s="32"/>
    </row>
    <row r="180" spans="3:30" s="2" customFormat="1" ht="15" customHeight="1">
      <c r="C180" s="157"/>
      <c r="D180" s="1"/>
      <c r="E180" s="141" t="s">
        <v>13</v>
      </c>
      <c r="F180" s="1" t="s">
        <v>63</v>
      </c>
      <c r="G180" s="62"/>
      <c r="H180" s="91" t="s">
        <v>158</v>
      </c>
      <c r="I180" s="165" t="str">
        <f>VLOOKUP(H180,[1]Plano!$C$7:$L$56,4,FALSE)</f>
        <v>Em Implementação - Alteração EF</v>
      </c>
      <c r="J180" s="62"/>
      <c r="K180" t="str">
        <f>VLOOKUP(H180,[1]Plano!$C$7:$J$56,8,FALSE)</f>
        <v>IT</v>
      </c>
      <c r="L180" s="62"/>
      <c r="M180" s="166">
        <f>VLOOKUP(H180,[1]Plano!$C$7:$L$56,7,FALSE)</f>
        <v>45435</v>
      </c>
      <c r="N180"/>
      <c r="O180" s="166">
        <f>VLOOKUP(H180,[1]Plano!$C$7:$L$56,10,FALSE)</f>
        <v>45499</v>
      </c>
      <c r="P180"/>
      <c r="Q180" s="62" t="s">
        <v>139</v>
      </c>
      <c r="R180" s="1"/>
      <c r="S180" s="1"/>
      <c r="T180" s="1"/>
      <c r="U180" s="1"/>
      <c r="V180" s="1"/>
      <c r="W180" s="1"/>
      <c r="X180"/>
      <c r="Y180"/>
      <c r="Z180"/>
      <c r="AA180"/>
      <c r="AB180"/>
      <c r="AC180"/>
      <c r="AD180" s="32"/>
    </row>
    <row r="181" spans="3:30" s="2" customFormat="1" ht="15" customHeight="1">
      <c r="C181" s="157"/>
      <c r="D181" s="1"/>
      <c r="E181" s="141" t="s">
        <v>13</v>
      </c>
      <c r="F181" s="1" t="s">
        <v>63</v>
      </c>
      <c r="G181" s="62"/>
      <c r="H181" s="91" t="s">
        <v>159</v>
      </c>
      <c r="I181" s="165" t="str">
        <f>VLOOKUP(H181,[1]Plano!$C$7:$L$56,4,FALSE)</f>
        <v>Em Implementação - Alteração EF</v>
      </c>
      <c r="J181" s="62"/>
      <c r="K181" t="str">
        <f>VLOOKUP(H181,[1]Plano!$C$7:$J$56,8,FALSE)</f>
        <v>IT</v>
      </c>
      <c r="L181" s="62"/>
      <c r="M181" s="166">
        <f>VLOOKUP(H181,[1]Plano!$C$7:$L$56,7,FALSE)</f>
        <v>45435</v>
      </c>
      <c r="N181"/>
      <c r="O181" s="166">
        <f>VLOOKUP(H181,[1]Plano!$C$7:$L$56,10,FALSE)</f>
        <v>45499</v>
      </c>
      <c r="P181"/>
      <c r="Q181" s="62" t="s">
        <v>139</v>
      </c>
      <c r="R181" s="1"/>
      <c r="S181" s="1"/>
      <c r="T181" s="1"/>
      <c r="U181" s="1"/>
      <c r="V181" s="1"/>
      <c r="W181" s="1"/>
      <c r="X181"/>
      <c r="Y181"/>
      <c r="Z181"/>
      <c r="AA181"/>
      <c r="AB181"/>
      <c r="AC181"/>
      <c r="AD181" s="32"/>
    </row>
    <row r="182" spans="3:30" s="2" customFormat="1" ht="15" customHeight="1">
      <c r="C182" s="157"/>
      <c r="D182" s="1"/>
      <c r="E182" s="141" t="s">
        <v>13</v>
      </c>
      <c r="F182" s="1" t="s">
        <v>63</v>
      </c>
      <c r="G182" s="62"/>
      <c r="H182" s="91" t="s">
        <v>160</v>
      </c>
      <c r="I182" s="165" t="str">
        <f>VLOOKUP(H182,[1]Plano!$C$7:$L$56,4,FALSE)</f>
        <v>Em Implementação - Alteração EF</v>
      </c>
      <c r="J182" s="62"/>
      <c r="K182" t="str">
        <f>VLOOKUP(H182,[1]Plano!$C$7:$J$56,8,FALSE)</f>
        <v>IT</v>
      </c>
      <c r="L182" s="62"/>
      <c r="M182" s="166">
        <f>VLOOKUP(H182,[1]Plano!$C$7:$L$56,7,FALSE)</f>
        <v>45435</v>
      </c>
      <c r="N182"/>
      <c r="O182" s="166">
        <f>VLOOKUP(H182,[1]Plano!$C$7:$L$56,10,FALSE)</f>
        <v>45478</v>
      </c>
      <c r="P182"/>
      <c r="Q182" s="62" t="s">
        <v>139</v>
      </c>
      <c r="R182" s="1"/>
      <c r="S182" s="1"/>
      <c r="T182" s="1"/>
      <c r="U182" s="1"/>
      <c r="V182" s="1"/>
      <c r="W182" s="1"/>
      <c r="X182"/>
      <c r="Y182"/>
      <c r="Z182"/>
      <c r="AA182"/>
      <c r="AB182"/>
      <c r="AC182"/>
      <c r="AD182" s="32"/>
    </row>
    <row r="183" spans="3:30" s="2" customFormat="1" ht="15" customHeight="1">
      <c r="C183" s="157"/>
      <c r="D183" s="1"/>
      <c r="E183" s="141" t="s">
        <v>13</v>
      </c>
      <c r="F183" s="1" t="s">
        <v>63</v>
      </c>
      <c r="G183" s="62"/>
      <c r="H183" s="91" t="s">
        <v>161</v>
      </c>
      <c r="I183" s="165" t="str">
        <f>VLOOKUP(H183,[1]Plano!$C$7:$L$56,4,FALSE)</f>
        <v>Em Implementação - Alteração EF</v>
      </c>
      <c r="J183" s="62"/>
      <c r="K183" t="str">
        <f>VLOOKUP(H183,[1]Plano!$C$7:$J$56,8,FALSE)</f>
        <v>IT</v>
      </c>
      <c r="L183" s="62"/>
      <c r="M183" s="166">
        <f>VLOOKUP(H183,[1]Plano!$C$7:$L$56,7,FALSE)</f>
        <v>45435</v>
      </c>
      <c r="N183"/>
      <c r="O183" s="166">
        <f>VLOOKUP(H183,[1]Plano!$C$7:$L$56,10,FALSE)</f>
        <v>45478</v>
      </c>
      <c r="P183"/>
      <c r="Q183" s="62" t="s">
        <v>139</v>
      </c>
      <c r="R183" s="1"/>
      <c r="S183" s="1"/>
      <c r="T183" s="1"/>
      <c r="U183" s="1"/>
      <c r="V183" s="1"/>
      <c r="W183" s="1"/>
      <c r="X183"/>
      <c r="Y183"/>
      <c r="Z183"/>
      <c r="AA183"/>
      <c r="AB183"/>
      <c r="AC183"/>
      <c r="AD183" s="32"/>
    </row>
    <row r="184" spans="3:30" s="2" customFormat="1" ht="15" customHeight="1">
      <c r="C184" s="157"/>
      <c r="D184" s="1"/>
      <c r="E184" s="141" t="s">
        <v>13</v>
      </c>
      <c r="F184" s="1" t="s">
        <v>63</v>
      </c>
      <c r="G184" s="62"/>
      <c r="H184" s="91" t="s">
        <v>162</v>
      </c>
      <c r="I184" s="165" t="str">
        <f>VLOOKUP(H184,[1]Plano!$C$7:$L$56,4,FALSE)</f>
        <v>Em Implementação - Alteração EF</v>
      </c>
      <c r="J184" s="62"/>
      <c r="K184" t="str">
        <f>VLOOKUP(H184,[1]Plano!$C$7:$J$56,8,FALSE)</f>
        <v>IT</v>
      </c>
      <c r="L184" s="62"/>
      <c r="M184" s="166">
        <f>VLOOKUP(H184,[1]Plano!$C$7:$L$56,7,FALSE)</f>
        <v>45435</v>
      </c>
      <c r="N184"/>
      <c r="O184" s="166">
        <f>VLOOKUP(H184,[1]Plano!$C$7:$L$56,10,FALSE)</f>
        <v>45464</v>
      </c>
      <c r="P184"/>
      <c r="Q184" s="62" t="s">
        <v>163</v>
      </c>
      <c r="R184" s="1"/>
      <c r="S184" s="1"/>
      <c r="T184" s="1"/>
      <c r="U184" s="1"/>
      <c r="V184" s="1"/>
      <c r="W184" s="1"/>
      <c r="X184"/>
      <c r="Y184"/>
      <c r="Z184"/>
      <c r="AA184"/>
      <c r="AB184"/>
      <c r="AC184"/>
      <c r="AD184" s="32"/>
    </row>
    <row r="185" spans="3:30" s="2" customFormat="1" ht="15" customHeight="1">
      <c r="C185" s="157"/>
      <c r="D185" s="1"/>
      <c r="E185" s="141" t="s">
        <v>13</v>
      </c>
      <c r="F185" s="1" t="s">
        <v>63</v>
      </c>
      <c r="G185" s="62"/>
      <c r="H185" s="91" t="s">
        <v>164</v>
      </c>
      <c r="I185" s="165" t="str">
        <f>VLOOKUP(H185,[1]Plano!$C$7:$L$56,4,FALSE)</f>
        <v>Em Implementação - Alteração EF</v>
      </c>
      <c r="J185" s="62"/>
      <c r="K185" t="str">
        <f>VLOOKUP(H185,[1]Plano!$C$7:$J$56,8,FALSE)</f>
        <v>IT</v>
      </c>
      <c r="L185" s="62"/>
      <c r="M185" s="166">
        <f>VLOOKUP(H185,[1]Plano!$C$7:$L$56,7,FALSE)</f>
        <v>45435</v>
      </c>
      <c r="N185"/>
      <c r="O185" s="166">
        <f>VLOOKUP(H185,[1]Plano!$C$7:$L$56,10,FALSE)</f>
        <v>45471</v>
      </c>
      <c r="P185"/>
      <c r="Q185" s="62" t="s">
        <v>163</v>
      </c>
      <c r="R185" s="1"/>
      <c r="S185" s="1"/>
      <c r="T185" s="1"/>
      <c r="U185" s="1"/>
      <c r="V185" s="1"/>
      <c r="W185" s="1"/>
      <c r="X185"/>
      <c r="Y185"/>
      <c r="Z185"/>
      <c r="AA185"/>
      <c r="AB185"/>
      <c r="AC185"/>
      <c r="AD185" s="32"/>
    </row>
    <row r="186" spans="3:30" s="2" customFormat="1" ht="15" customHeight="1">
      <c r="C186" s="157"/>
      <c r="D186" s="1"/>
      <c r="E186" s="141" t="s">
        <v>13</v>
      </c>
      <c r="F186" s="1" t="s">
        <v>63</v>
      </c>
      <c r="G186" s="62"/>
      <c r="H186" s="91" t="s">
        <v>165</v>
      </c>
      <c r="I186" s="165" t="str">
        <f>VLOOKUP(H186,[1]Plano!$C$7:$L$56,4,FALSE)</f>
        <v>Em Implementação - Alteração EF</v>
      </c>
      <c r="J186" s="62"/>
      <c r="K186" t="str">
        <f>VLOOKUP(H186,[1]Plano!$C$7:$J$56,8,FALSE)</f>
        <v>IT</v>
      </c>
      <c r="L186" s="62"/>
      <c r="M186" s="166">
        <f>VLOOKUP(H186,[1]Plano!$C$7:$L$56,7,FALSE)</f>
        <v>45435</v>
      </c>
      <c r="N186"/>
      <c r="O186" s="166">
        <f>VLOOKUP(H186,[1]Plano!$C$7:$L$56,10,FALSE)</f>
        <v>45478</v>
      </c>
      <c r="P186"/>
      <c r="Q186" s="62" t="s">
        <v>163</v>
      </c>
      <c r="R186" s="1"/>
      <c r="S186" s="1"/>
      <c r="T186" s="1"/>
      <c r="U186" s="1"/>
      <c r="V186" s="1"/>
      <c r="W186" s="1"/>
      <c r="X186"/>
      <c r="Y186"/>
      <c r="Z186"/>
      <c r="AA186"/>
      <c r="AB186"/>
      <c r="AC186"/>
      <c r="AD186" s="32"/>
    </row>
    <row r="187" spans="3:30" s="2" customFormat="1" ht="15" customHeight="1">
      <c r="C187" s="157"/>
      <c r="D187" s="1"/>
      <c r="E187" s="141" t="s">
        <v>13</v>
      </c>
      <c r="F187" s="1" t="s">
        <v>63</v>
      </c>
      <c r="G187" s="62"/>
      <c r="H187" s="91" t="s">
        <v>166</v>
      </c>
      <c r="I187" s="165" t="str">
        <f>VLOOKUP(H187,[1]Plano!$C$7:$L$56,4,FALSE)</f>
        <v>Em Implementação - Alteração EF</v>
      </c>
      <c r="J187" s="62"/>
      <c r="K187" t="str">
        <f>VLOOKUP(H187,[1]Plano!$C$7:$J$56,8,FALSE)</f>
        <v>IT</v>
      </c>
      <c r="L187" s="62"/>
      <c r="M187" s="166">
        <f>VLOOKUP(H187,[1]Plano!$C$7:$L$56,7,FALSE)</f>
        <v>45435</v>
      </c>
      <c r="N187"/>
      <c r="O187" s="166">
        <f>VLOOKUP(H187,[1]Plano!$C$7:$L$56,10,FALSE)</f>
        <v>45478</v>
      </c>
      <c r="P187"/>
      <c r="Q187" s="62" t="s">
        <v>163</v>
      </c>
      <c r="R187" s="1"/>
      <c r="S187" s="1"/>
      <c r="T187" s="1"/>
      <c r="U187" s="1"/>
      <c r="V187" s="1"/>
      <c r="W187" s="1"/>
      <c r="X187"/>
      <c r="Y187"/>
      <c r="Z187"/>
      <c r="AA187"/>
      <c r="AB187"/>
      <c r="AC187"/>
      <c r="AD187" s="32"/>
    </row>
    <row r="188" spans="3:30" s="2" customFormat="1" ht="15" customHeight="1">
      <c r="C188" s="157"/>
      <c r="D188" s="1"/>
      <c r="E188" s="79" t="s">
        <v>9</v>
      </c>
      <c r="F188" s="168" t="s">
        <v>65</v>
      </c>
      <c r="G188" s="169"/>
      <c r="H188" s="168" t="s">
        <v>167</v>
      </c>
      <c r="I188" s="165" t="str">
        <f>VLOOKUP(F188&amp;H188,'[1]MV+BI'!$E$8:$K$375,3,FALSE)</f>
        <v>Em Correção</v>
      </c>
      <c r="J188" s="93"/>
      <c r="K188" s="170" t="str">
        <f>VLOOKUP(F188&amp;H188,'[1]MV+BI'!$E$8:$K$375,6,FALSE)</f>
        <v>IT</v>
      </c>
      <c r="L188" s="171"/>
      <c r="M188" s="172" t="str">
        <f>VLOOKUP(F188&amp;H188,'[1]MV+BI'!$E$8:$K$375,5,FALSE)</f>
        <v>-</v>
      </c>
      <c r="N188" s="173"/>
      <c r="O188" s="172">
        <f>VLOOKUP(F188&amp;H188,'[1]MV+BI'!$E$8:$K$375,7,FALSE)</f>
        <v>45422</v>
      </c>
      <c r="P188" s="173"/>
      <c r="Q188" s="171"/>
      <c r="R188" s="174"/>
      <c r="S188" s="174"/>
      <c r="T188" s="174"/>
      <c r="U188" s="174"/>
      <c r="V188" s="174"/>
      <c r="W188" s="174"/>
      <c r="X188" s="173"/>
      <c r="Y188" s="173"/>
      <c r="Z188" s="173"/>
      <c r="AA188" s="173"/>
      <c r="AB188"/>
      <c r="AC188"/>
      <c r="AD188" s="32"/>
    </row>
    <row r="189" spans="3:30" s="2" customFormat="1" ht="15" customHeight="1">
      <c r="C189" s="157"/>
      <c r="D189" s="1"/>
      <c r="E189" s="79" t="s">
        <v>9</v>
      </c>
      <c r="F189" s="168" t="s">
        <v>65</v>
      </c>
      <c r="G189" s="169"/>
      <c r="H189" s="168" t="s">
        <v>168</v>
      </c>
      <c r="I189" s="165" t="str">
        <f>VLOOKUP(F189&amp;H189,'[1]MV+BI'!$E$8:$K$375,3,FALSE)</f>
        <v>Em Correção</v>
      </c>
      <c r="J189" s="93"/>
      <c r="K189" s="170" t="str">
        <f>VLOOKUP(F189&amp;H189,'[1]MV+BI'!$E$8:$K$375,6,FALSE)</f>
        <v>IT</v>
      </c>
      <c r="L189" s="171"/>
      <c r="M189" s="172" t="str">
        <f>VLOOKUP(F189&amp;H189,'[1]MV+BI'!$E$8:$K$375,5,FALSE)</f>
        <v>-</v>
      </c>
      <c r="N189" s="173"/>
      <c r="O189" s="172">
        <f>VLOOKUP(F189&amp;H189,'[1]MV+BI'!$E$8:$K$375,7,FALSE)</f>
        <v>45422</v>
      </c>
      <c r="P189" s="173"/>
      <c r="Q189" s="171"/>
      <c r="R189" s="174"/>
      <c r="S189" s="174"/>
      <c r="T189" s="174"/>
      <c r="U189" s="174"/>
      <c r="V189" s="174"/>
      <c r="W189" s="174"/>
      <c r="X189" s="173"/>
      <c r="Y189" s="173"/>
      <c r="Z189" s="173"/>
      <c r="AA189" s="173"/>
      <c r="AB189"/>
      <c r="AC189"/>
      <c r="AD189" s="32"/>
    </row>
    <row r="190" spans="3:30" s="2" customFormat="1" ht="15" customHeight="1">
      <c r="C190" s="157"/>
      <c r="D190" s="1"/>
      <c r="E190" s="79" t="s">
        <v>9</v>
      </c>
      <c r="F190" s="168" t="s">
        <v>65</v>
      </c>
      <c r="G190" s="169"/>
      <c r="H190" s="168" t="s">
        <v>169</v>
      </c>
      <c r="I190" s="165" t="str">
        <f>VLOOKUP(F190&amp;H190,'[1]MV+BI'!$E$8:$K$375,3,FALSE)</f>
        <v>Em Correção</v>
      </c>
      <c r="J190" s="93"/>
      <c r="K190" s="170" t="str">
        <f>VLOOKUP(F190&amp;H190,'[1]MV+BI'!$E$8:$K$375,6,FALSE)</f>
        <v>IT</v>
      </c>
      <c r="L190" s="171"/>
      <c r="M190" s="172" t="str">
        <f>VLOOKUP(F190&amp;H190,'[1]MV+BI'!$E$8:$K$375,5,FALSE)</f>
        <v>-</v>
      </c>
      <c r="N190" s="173"/>
      <c r="O190" s="172">
        <f>VLOOKUP(F190&amp;H190,'[1]MV+BI'!$E$8:$K$375,7,FALSE)</f>
        <v>45422</v>
      </c>
      <c r="P190" s="173"/>
      <c r="Q190" s="171"/>
      <c r="R190" s="174"/>
      <c r="S190" s="174"/>
      <c r="T190" s="174"/>
      <c r="U190" s="174"/>
      <c r="V190" s="174"/>
      <c r="W190" s="174"/>
      <c r="X190" s="173"/>
      <c r="Y190" s="173"/>
      <c r="Z190" s="173"/>
      <c r="AA190" s="173"/>
      <c r="AB190"/>
      <c r="AC190"/>
      <c r="AD190" s="32"/>
    </row>
    <row r="191" spans="3:30" s="2" customFormat="1" ht="15" customHeight="1">
      <c r="C191" s="157"/>
      <c r="D191" s="1"/>
      <c r="E191" s="79" t="s">
        <v>9</v>
      </c>
      <c r="F191" s="168" t="s">
        <v>65</v>
      </c>
      <c r="G191" s="169"/>
      <c r="H191" s="168" t="s">
        <v>170</v>
      </c>
      <c r="I191" s="165" t="str">
        <f>VLOOKUP(F191&amp;H191,'[1]MV+BI'!$E$8:$K$375,3,FALSE)</f>
        <v>Em Correção</v>
      </c>
      <c r="J191" s="93"/>
      <c r="K191" s="170" t="str">
        <f>VLOOKUP(F191&amp;H191,'[1]MV+BI'!$E$8:$K$375,6,FALSE)</f>
        <v>IT</v>
      </c>
      <c r="L191" s="171"/>
      <c r="M191" s="172" t="str">
        <f>VLOOKUP(F191&amp;H191,'[1]MV+BI'!$E$8:$K$375,5,FALSE)</f>
        <v>-</v>
      </c>
      <c r="N191" s="173"/>
      <c r="O191" s="172">
        <f>VLOOKUP(F191&amp;H191,'[1]MV+BI'!$E$8:$K$375,7,FALSE)</f>
        <v>45422</v>
      </c>
      <c r="P191" s="173"/>
      <c r="Q191" s="171"/>
      <c r="R191" s="174"/>
      <c r="S191" s="174"/>
      <c r="T191" s="174"/>
      <c r="U191" s="174"/>
      <c r="V191" s="174"/>
      <c r="W191" s="174"/>
      <c r="X191" s="173"/>
      <c r="Y191" s="173"/>
      <c r="Z191" s="173"/>
      <c r="AA191" s="173"/>
      <c r="AB191"/>
      <c r="AC191"/>
      <c r="AD191" s="32"/>
    </row>
    <row r="192" spans="3:30" s="2" customFormat="1" ht="15" customHeight="1">
      <c r="C192" s="157"/>
      <c r="D192" s="1"/>
      <c r="E192" s="79" t="s">
        <v>9</v>
      </c>
      <c r="F192" s="168" t="s">
        <v>65</v>
      </c>
      <c r="G192" s="169"/>
      <c r="H192" s="168" t="s">
        <v>171</v>
      </c>
      <c r="I192" s="165" t="str">
        <f>VLOOKUP(F192&amp;H192,'[1]MV+BI'!$E$8:$K$375,3,FALSE)</f>
        <v>Em Correção</v>
      </c>
      <c r="J192" s="93"/>
      <c r="K192" s="170" t="str">
        <f>VLOOKUP(F192&amp;H192,'[1]MV+BI'!$E$8:$K$375,6,FALSE)</f>
        <v>IT</v>
      </c>
      <c r="L192" s="171"/>
      <c r="M192" s="172" t="str">
        <f>VLOOKUP(F192&amp;H192,'[1]MV+BI'!$E$8:$K$375,5,FALSE)</f>
        <v>-</v>
      </c>
      <c r="N192" s="173"/>
      <c r="O192" s="172">
        <f>VLOOKUP(F192&amp;H192,'[1]MV+BI'!$E$8:$K$375,7,FALSE)</f>
        <v>45422</v>
      </c>
      <c r="P192" s="173"/>
      <c r="Q192" s="171"/>
      <c r="R192" s="174"/>
      <c r="S192" s="174"/>
      <c r="T192" s="174"/>
      <c r="U192" s="174"/>
      <c r="V192" s="174"/>
      <c r="W192" s="174"/>
      <c r="X192" s="173"/>
      <c r="Y192" s="173"/>
      <c r="Z192" s="173"/>
      <c r="AA192" s="173"/>
      <c r="AB192"/>
      <c r="AC192"/>
      <c r="AD192" s="32"/>
    </row>
    <row r="193" spans="3:30" s="2" customFormat="1" ht="15" customHeight="1">
      <c r="C193" s="157"/>
      <c r="D193" s="1"/>
      <c r="E193" s="79" t="s">
        <v>9</v>
      </c>
      <c r="F193" s="168" t="s">
        <v>65</v>
      </c>
      <c r="G193" s="169"/>
      <c r="H193" s="168" t="s">
        <v>172</v>
      </c>
      <c r="I193" s="165" t="str">
        <f>VLOOKUP(F193&amp;H193,'[1]MV+BI'!$E$8:$K$375,3,FALSE)</f>
        <v>Em Correção</v>
      </c>
      <c r="J193" s="93"/>
      <c r="K193" s="170" t="str">
        <f>VLOOKUP(F193&amp;H193,'[1]MV+BI'!$E$8:$K$375,6,FALSE)</f>
        <v>IT</v>
      </c>
      <c r="L193" s="171"/>
      <c r="M193" s="172" t="str">
        <f>VLOOKUP(F193&amp;H193,'[1]MV+BI'!$E$8:$K$375,5,FALSE)</f>
        <v>-</v>
      </c>
      <c r="N193" s="173"/>
      <c r="O193" s="172">
        <f>VLOOKUP(F193&amp;H193,'[1]MV+BI'!$E$8:$K$375,7,FALSE)</f>
        <v>45422</v>
      </c>
      <c r="P193" s="173"/>
      <c r="Q193" s="171"/>
      <c r="R193" s="174"/>
      <c r="S193" s="174"/>
      <c r="T193" s="174"/>
      <c r="U193" s="174"/>
      <c r="V193" s="174"/>
      <c r="W193" s="174"/>
      <c r="X193" s="173"/>
      <c r="Y193" s="173"/>
      <c r="Z193" s="173"/>
      <c r="AA193" s="173"/>
      <c r="AB193"/>
      <c r="AC193"/>
      <c r="AD193" s="32"/>
    </row>
    <row r="194" spans="3:30" s="2" customFormat="1" ht="15" customHeight="1">
      <c r="C194" s="157"/>
      <c r="D194" s="1"/>
      <c r="E194" s="79" t="s">
        <v>9</v>
      </c>
      <c r="F194" s="168" t="s">
        <v>65</v>
      </c>
      <c r="G194" s="169"/>
      <c r="H194" s="168" t="s">
        <v>173</v>
      </c>
      <c r="I194" s="165" t="str">
        <f>VLOOKUP(F194&amp;H194,'[1]MV+BI'!$E$8:$K$375,3,FALSE)</f>
        <v>Em Correção</v>
      </c>
      <c r="J194" s="93"/>
      <c r="K194" s="170" t="str">
        <f>VLOOKUP(F194&amp;H194,'[1]MV+BI'!$E$8:$K$375,6,FALSE)</f>
        <v>IT</v>
      </c>
      <c r="L194" s="171"/>
      <c r="M194" s="172" t="str">
        <f>VLOOKUP(F194&amp;H194,'[1]MV+BI'!$E$8:$K$375,5,FALSE)</f>
        <v>-</v>
      </c>
      <c r="N194" s="173"/>
      <c r="O194" s="172">
        <f>VLOOKUP(F194&amp;H194,'[1]MV+BI'!$E$8:$K$375,7,FALSE)</f>
        <v>45422</v>
      </c>
      <c r="P194" s="173"/>
      <c r="Q194" s="171"/>
      <c r="R194" s="174"/>
      <c r="S194" s="174"/>
      <c r="T194" s="174"/>
      <c r="U194" s="174"/>
      <c r="V194" s="174"/>
      <c r="W194" s="174"/>
      <c r="X194" s="173"/>
      <c r="Y194" s="173"/>
      <c r="Z194" s="173"/>
      <c r="AA194" s="173"/>
      <c r="AB194"/>
      <c r="AC194"/>
      <c r="AD194" s="32"/>
    </row>
    <row r="195" spans="3:30" s="2" customFormat="1" ht="15" customHeight="1">
      <c r="C195" s="157"/>
      <c r="D195" s="1"/>
      <c r="E195" s="79" t="s">
        <v>9</v>
      </c>
      <c r="F195" s="168" t="s">
        <v>65</v>
      </c>
      <c r="G195" s="169"/>
      <c r="H195" s="168" t="s">
        <v>174</v>
      </c>
      <c r="I195" s="165" t="str">
        <f>VLOOKUP(F195&amp;H195,'[1]MV+BI'!$E$8:$K$375,3,FALSE)</f>
        <v>Em Correção</v>
      </c>
      <c r="J195" s="93"/>
      <c r="K195" s="170" t="str">
        <f>VLOOKUP(F195&amp;H195,'[1]MV+BI'!$E$8:$K$375,6,FALSE)</f>
        <v>IT</v>
      </c>
      <c r="L195" s="171"/>
      <c r="M195" s="172" t="str">
        <f>VLOOKUP(F195&amp;H195,'[1]MV+BI'!$E$8:$K$375,5,FALSE)</f>
        <v>-</v>
      </c>
      <c r="N195" s="173"/>
      <c r="O195" s="172">
        <f>VLOOKUP(F195&amp;H195,'[1]MV+BI'!$E$8:$K$375,7,FALSE)</f>
        <v>45422</v>
      </c>
      <c r="P195" s="173"/>
      <c r="Q195" s="171"/>
      <c r="R195" s="174"/>
      <c r="S195" s="174"/>
      <c r="T195" s="174"/>
      <c r="U195" s="174"/>
      <c r="V195" s="174"/>
      <c r="W195" s="174"/>
      <c r="X195" s="173"/>
      <c r="Y195" s="173"/>
      <c r="Z195" s="173"/>
      <c r="AA195" s="173"/>
      <c r="AB195"/>
      <c r="AC195"/>
      <c r="AD195" s="32"/>
    </row>
    <row r="196" spans="3:30" s="2" customFormat="1" ht="15" customHeight="1">
      <c r="C196" s="157"/>
      <c r="D196" s="1"/>
      <c r="E196" s="79" t="s">
        <v>9</v>
      </c>
      <c r="F196" s="168" t="s">
        <v>65</v>
      </c>
      <c r="G196" s="169"/>
      <c r="H196" s="168" t="s">
        <v>175</v>
      </c>
      <c r="I196" s="165" t="str">
        <f>VLOOKUP(F196&amp;H196,'[1]MV+BI'!$E$8:$K$375,3,FALSE)</f>
        <v>Em Correção</v>
      </c>
      <c r="J196" s="93"/>
      <c r="K196" s="170" t="str">
        <f>VLOOKUP(F196&amp;H196,'[1]MV+BI'!$E$8:$K$375,6,FALSE)</f>
        <v>IT</v>
      </c>
      <c r="L196" s="171"/>
      <c r="M196" s="172" t="str">
        <f>VLOOKUP(F196&amp;H196,'[1]MV+BI'!$E$8:$K$375,5,FALSE)</f>
        <v>-</v>
      </c>
      <c r="N196" s="173"/>
      <c r="O196" s="172">
        <f>VLOOKUP(F196&amp;H196,'[1]MV+BI'!$E$8:$K$375,7,FALSE)</f>
        <v>45422</v>
      </c>
      <c r="P196" s="173"/>
      <c r="Q196" s="171"/>
      <c r="R196" s="174"/>
      <c r="S196" s="174"/>
      <c r="T196" s="174"/>
      <c r="U196" s="174"/>
      <c r="V196" s="174"/>
      <c r="W196" s="174"/>
      <c r="X196" s="173"/>
      <c r="Y196" s="173"/>
      <c r="Z196" s="173"/>
      <c r="AA196" s="173"/>
      <c r="AB196"/>
      <c r="AC196"/>
      <c r="AD196" s="32"/>
    </row>
    <row r="197" spans="3:30" s="2" customFormat="1" ht="15" customHeight="1">
      <c r="C197" s="157"/>
      <c r="D197" s="1"/>
      <c r="E197" s="79" t="s">
        <v>9</v>
      </c>
      <c r="F197" s="168" t="s">
        <v>65</v>
      </c>
      <c r="G197" s="169"/>
      <c r="H197" s="168" t="s">
        <v>176</v>
      </c>
      <c r="I197" s="165" t="str">
        <f>VLOOKUP(F197&amp;H197,'[1]MV+BI'!$E$8:$K$375,3,FALSE)</f>
        <v>Em Correção</v>
      </c>
      <c r="J197" s="93"/>
      <c r="K197" s="170" t="str">
        <f>VLOOKUP(F197&amp;H197,'[1]MV+BI'!$E$8:$K$375,6,FALSE)</f>
        <v>IT</v>
      </c>
      <c r="L197" s="171"/>
      <c r="M197" s="172" t="str">
        <f>VLOOKUP(F197&amp;H197,'[1]MV+BI'!$E$8:$K$375,5,FALSE)</f>
        <v>-</v>
      </c>
      <c r="N197" s="173"/>
      <c r="O197" s="172">
        <f>VLOOKUP(F197&amp;H197,'[1]MV+BI'!$E$8:$K$375,7,FALSE)</f>
        <v>45422</v>
      </c>
      <c r="P197" s="173"/>
      <c r="Q197" s="171"/>
      <c r="R197" s="174"/>
      <c r="S197" s="174"/>
      <c r="T197" s="174"/>
      <c r="U197" s="174"/>
      <c r="V197" s="174"/>
      <c r="W197" s="174"/>
      <c r="X197" s="173"/>
      <c r="Y197" s="173"/>
      <c r="Z197" s="173"/>
      <c r="AA197" s="173"/>
      <c r="AB197"/>
      <c r="AC197"/>
      <c r="AD197" s="32"/>
    </row>
    <row r="198" spans="3:30" s="2" customFormat="1" ht="15" customHeight="1">
      <c r="C198" s="157"/>
      <c r="D198" s="1"/>
      <c r="E198" s="79" t="s">
        <v>9</v>
      </c>
      <c r="F198" s="168" t="s">
        <v>65</v>
      </c>
      <c r="G198" s="169"/>
      <c r="H198" s="168" t="s">
        <v>177</v>
      </c>
      <c r="I198" s="165" t="str">
        <f>VLOOKUP(F198&amp;H198,'[1]MV+BI'!$E$8:$K$375,3,FALSE)</f>
        <v>Em Correção</v>
      </c>
      <c r="J198" s="93"/>
      <c r="K198" s="170" t="str">
        <f>VLOOKUP(F198&amp;H198,'[1]MV+BI'!$E$8:$K$375,6,FALSE)</f>
        <v>IT</v>
      </c>
      <c r="L198" s="171"/>
      <c r="M198" s="172" t="str">
        <f>VLOOKUP(F198&amp;H198,'[1]MV+BI'!$E$8:$K$375,5,FALSE)</f>
        <v>-</v>
      </c>
      <c r="N198" s="173"/>
      <c r="O198" s="172">
        <f>VLOOKUP(F198&amp;H198,'[1]MV+BI'!$E$8:$K$375,7,FALSE)</f>
        <v>45422</v>
      </c>
      <c r="P198" s="173"/>
      <c r="Q198" s="171"/>
      <c r="R198" s="174"/>
      <c r="S198" s="174"/>
      <c r="T198" s="174"/>
      <c r="U198" s="174"/>
      <c r="V198" s="174"/>
      <c r="W198" s="174"/>
      <c r="X198" s="173"/>
      <c r="Y198" s="173"/>
      <c r="Z198" s="173"/>
      <c r="AA198" s="173"/>
      <c r="AB198"/>
      <c r="AC198"/>
      <c r="AD198" s="32"/>
    </row>
    <row r="199" spans="3:30" s="2" customFormat="1" ht="15" customHeight="1">
      <c r="C199" s="157"/>
      <c r="D199" s="1"/>
      <c r="E199" s="79" t="s">
        <v>9</v>
      </c>
      <c r="F199" s="168" t="s">
        <v>65</v>
      </c>
      <c r="G199" s="169"/>
      <c r="H199" s="168" t="s">
        <v>178</v>
      </c>
      <c r="I199" s="165" t="str">
        <f>VLOOKUP(F199&amp;H199,'[1]MV+BI'!$E$8:$K$375,3,FALSE)</f>
        <v>Em Correção</v>
      </c>
      <c r="J199" s="93"/>
      <c r="K199" s="170" t="str">
        <f>VLOOKUP(F199&amp;H199,'[1]MV+BI'!$E$8:$K$375,6,FALSE)</f>
        <v>IT</v>
      </c>
      <c r="L199" s="171"/>
      <c r="M199" s="172" t="str">
        <f>VLOOKUP(F199&amp;H199,'[1]MV+BI'!$E$8:$K$375,5,FALSE)</f>
        <v>-</v>
      </c>
      <c r="N199" s="173"/>
      <c r="O199" s="172">
        <f>VLOOKUP(F199&amp;H199,'[1]MV+BI'!$E$8:$K$375,7,FALSE)</f>
        <v>45422</v>
      </c>
      <c r="P199" s="173"/>
      <c r="Q199" s="171"/>
      <c r="R199" s="174"/>
      <c r="S199" s="174"/>
      <c r="T199" s="174"/>
      <c r="U199" s="174"/>
      <c r="V199" s="174"/>
      <c r="W199" s="174"/>
      <c r="X199" s="173"/>
      <c r="Y199" s="173"/>
      <c r="Z199" s="173"/>
      <c r="AA199" s="173"/>
      <c r="AB199"/>
      <c r="AC199"/>
      <c r="AD199" s="32"/>
    </row>
    <row r="200" spans="3:30" s="2" customFormat="1" ht="15" customHeight="1">
      <c r="C200" s="157"/>
      <c r="D200" s="1"/>
      <c r="E200" s="79" t="s">
        <v>9</v>
      </c>
      <c r="F200" s="168" t="s">
        <v>65</v>
      </c>
      <c r="G200" s="169"/>
      <c r="H200" s="168" t="s">
        <v>179</v>
      </c>
      <c r="I200" s="165" t="str">
        <f>VLOOKUP(F200&amp;H200,'[1]MV+BI'!$E$8:$K$375,3,FALSE)</f>
        <v>Em Correção</v>
      </c>
      <c r="J200" s="93"/>
      <c r="K200" s="170" t="str">
        <f>VLOOKUP(F200&amp;H200,'[1]MV+BI'!$E$8:$K$375,6,FALSE)</f>
        <v>IT</v>
      </c>
      <c r="L200" s="171"/>
      <c r="M200" s="172" t="str">
        <f>VLOOKUP(F200&amp;H200,'[1]MV+BI'!$E$8:$K$375,5,FALSE)</f>
        <v>-</v>
      </c>
      <c r="N200" s="173"/>
      <c r="O200" s="172">
        <f>VLOOKUP(F200&amp;H200,'[1]MV+BI'!$E$8:$K$375,7,FALSE)</f>
        <v>45422</v>
      </c>
      <c r="P200" s="173"/>
      <c r="Q200" s="171"/>
      <c r="R200" s="174"/>
      <c r="S200" s="174"/>
      <c r="T200" s="174"/>
      <c r="U200" s="174"/>
      <c r="V200" s="174"/>
      <c r="W200" s="174"/>
      <c r="X200" s="173"/>
      <c r="Y200" s="173"/>
      <c r="Z200" s="173"/>
      <c r="AA200" s="173"/>
      <c r="AB200"/>
      <c r="AC200"/>
      <c r="AD200" s="32"/>
    </row>
    <row r="201" spans="3:30" s="2" customFormat="1" ht="15" customHeight="1">
      <c r="C201" s="157"/>
      <c r="D201" s="1"/>
      <c r="E201" s="79" t="s">
        <v>9</v>
      </c>
      <c r="F201" s="168" t="s">
        <v>65</v>
      </c>
      <c r="G201" s="169"/>
      <c r="H201" s="168" t="s">
        <v>180</v>
      </c>
      <c r="I201" s="165" t="str">
        <f>VLOOKUP(F201&amp;H201,'[1]MV+BI'!$E$8:$K$375,3,FALSE)</f>
        <v>Em Correção</v>
      </c>
      <c r="J201" s="93"/>
      <c r="K201" s="170" t="str">
        <f>VLOOKUP(F201&amp;H201,'[1]MV+BI'!$E$8:$K$375,6,FALSE)</f>
        <v>IT</v>
      </c>
      <c r="L201" s="171"/>
      <c r="M201" s="172" t="str">
        <f>VLOOKUP(F201&amp;H201,'[1]MV+BI'!$E$8:$K$375,5,FALSE)</f>
        <v>-</v>
      </c>
      <c r="N201" s="173"/>
      <c r="O201" s="172">
        <f>VLOOKUP(F201&amp;H201,'[1]MV+BI'!$E$8:$K$375,7,FALSE)</f>
        <v>45422</v>
      </c>
      <c r="P201" s="173"/>
      <c r="Q201" s="171"/>
      <c r="R201" s="174"/>
      <c r="S201" s="174"/>
      <c r="T201" s="174"/>
      <c r="U201" s="174"/>
      <c r="V201" s="174"/>
      <c r="W201" s="174"/>
      <c r="X201" s="173"/>
      <c r="Y201" s="173"/>
      <c r="Z201" s="173"/>
      <c r="AA201" s="173"/>
      <c r="AB201"/>
      <c r="AC201"/>
      <c r="AD201" s="32"/>
    </row>
    <row r="202" spans="3:30" s="2" customFormat="1" ht="15" customHeight="1">
      <c r="C202" s="157"/>
      <c r="D202" s="1"/>
      <c r="E202" s="79" t="s">
        <v>9</v>
      </c>
      <c r="F202" s="168" t="s">
        <v>65</v>
      </c>
      <c r="G202" s="169"/>
      <c r="H202" s="168" t="s">
        <v>181</v>
      </c>
      <c r="I202" s="165" t="str">
        <f>VLOOKUP(F202&amp;H202,'[1]MV+BI'!$E$8:$K$375,3,FALSE)</f>
        <v>Em Correção</v>
      </c>
      <c r="J202" s="93"/>
      <c r="K202" s="170" t="str">
        <f>VLOOKUP(F202&amp;H202,'[1]MV+BI'!$E$8:$K$375,6,FALSE)</f>
        <v>IT</v>
      </c>
      <c r="L202" s="171"/>
      <c r="M202" s="172" t="str">
        <f>VLOOKUP(F202&amp;H202,'[1]MV+BI'!$E$8:$K$375,5,FALSE)</f>
        <v>-</v>
      </c>
      <c r="N202" s="173"/>
      <c r="O202" s="172">
        <f>VLOOKUP(F202&amp;H202,'[1]MV+BI'!$E$8:$K$375,7,FALSE)</f>
        <v>45422</v>
      </c>
      <c r="P202" s="173"/>
      <c r="Q202" s="171"/>
      <c r="R202" s="174"/>
      <c r="S202" s="174"/>
      <c r="T202" s="174"/>
      <c r="U202" s="174"/>
      <c r="V202" s="174"/>
      <c r="W202" s="174"/>
      <c r="X202" s="173"/>
      <c r="Y202" s="173"/>
      <c r="Z202" s="173"/>
      <c r="AA202" s="173"/>
      <c r="AB202"/>
      <c r="AC202"/>
      <c r="AD202" s="32"/>
    </row>
    <row r="203" spans="3:30" s="2" customFormat="1" ht="15" customHeight="1">
      <c r="C203" s="157"/>
      <c r="D203" s="1"/>
      <c r="E203" s="79" t="s">
        <v>9</v>
      </c>
      <c r="F203" s="168" t="s">
        <v>65</v>
      </c>
      <c r="G203" s="169"/>
      <c r="H203" s="168" t="s">
        <v>182</v>
      </c>
      <c r="I203" s="165" t="str">
        <f>VLOOKUP(F203&amp;H203,'[1]MV+BI'!$E$8:$K$375,3,FALSE)</f>
        <v>Em Correção</v>
      </c>
      <c r="J203" s="93"/>
      <c r="K203" s="170" t="str">
        <f>VLOOKUP(F203&amp;H203,'[1]MV+BI'!$E$8:$K$375,6,FALSE)</f>
        <v>IT</v>
      </c>
      <c r="L203" s="171"/>
      <c r="M203" s="172" t="str">
        <f>VLOOKUP(F203&amp;H203,'[1]MV+BI'!$E$8:$K$375,5,FALSE)</f>
        <v>-</v>
      </c>
      <c r="N203" s="173"/>
      <c r="O203" s="172">
        <f>VLOOKUP(F203&amp;H203,'[1]MV+BI'!$E$8:$K$375,7,FALSE)</f>
        <v>45422</v>
      </c>
      <c r="P203" s="173"/>
      <c r="Q203" s="171"/>
      <c r="R203" s="174"/>
      <c r="S203" s="174"/>
      <c r="T203" s="174"/>
      <c r="U203" s="174"/>
      <c r="V203" s="174"/>
      <c r="W203" s="174"/>
      <c r="X203" s="173"/>
      <c r="Y203" s="173"/>
      <c r="Z203" s="173"/>
      <c r="AA203" s="173"/>
      <c r="AB203"/>
      <c r="AC203"/>
      <c r="AD203" s="32"/>
    </row>
    <row r="204" spans="3:30" s="2" customFormat="1" ht="15" customHeight="1">
      <c r="C204" s="157"/>
      <c r="D204" s="1"/>
      <c r="E204" s="79" t="s">
        <v>9</v>
      </c>
      <c r="F204" s="168" t="s">
        <v>65</v>
      </c>
      <c r="G204" s="169"/>
      <c r="H204" s="168" t="s">
        <v>183</v>
      </c>
      <c r="I204" s="165" t="str">
        <f>VLOOKUP(F204&amp;H204,'[1]MV+BI'!$E$8:$K$375,3,FALSE)</f>
        <v>Em Correção</v>
      </c>
      <c r="J204" s="93"/>
      <c r="K204" s="170" t="str">
        <f>VLOOKUP(F204&amp;H204,'[1]MV+BI'!$E$8:$K$375,6,FALSE)</f>
        <v>IT</v>
      </c>
      <c r="L204" s="171"/>
      <c r="M204" s="172" t="str">
        <f>VLOOKUP(F204&amp;H204,'[1]MV+BI'!$E$8:$K$375,5,FALSE)</f>
        <v>-</v>
      </c>
      <c r="N204" s="173"/>
      <c r="O204" s="172">
        <f>VLOOKUP(F204&amp;H204,'[1]MV+BI'!$E$8:$K$375,7,FALSE)</f>
        <v>45422</v>
      </c>
      <c r="P204" s="173"/>
      <c r="Q204" s="171"/>
      <c r="R204" s="174"/>
      <c r="S204" s="174"/>
      <c r="T204" s="174"/>
      <c r="U204" s="174"/>
      <c r="V204" s="174"/>
      <c r="W204" s="174"/>
      <c r="X204" s="173"/>
      <c r="Y204" s="173"/>
      <c r="Z204" s="173"/>
      <c r="AA204" s="173"/>
      <c r="AB204"/>
      <c r="AC204"/>
      <c r="AD204" s="32"/>
    </row>
    <row r="205" spans="3:30" s="2" customFormat="1" ht="15" customHeight="1">
      <c r="C205" s="157"/>
      <c r="D205" s="1"/>
      <c r="E205" s="79" t="s">
        <v>9</v>
      </c>
      <c r="F205" s="168" t="s">
        <v>65</v>
      </c>
      <c r="G205" s="169"/>
      <c r="H205" s="168" t="s">
        <v>184</v>
      </c>
      <c r="I205" s="165" t="str">
        <f>VLOOKUP(F205&amp;H205,'[1]MV+BI'!$E$8:$K$375,3,FALSE)</f>
        <v>Em Correção</v>
      </c>
      <c r="J205" s="93"/>
      <c r="K205" s="170" t="str">
        <f>VLOOKUP(F205&amp;H205,'[1]MV+BI'!$E$8:$K$375,6,FALSE)</f>
        <v>IT</v>
      </c>
      <c r="L205" s="171"/>
      <c r="M205" s="172" t="str">
        <f>VLOOKUP(F205&amp;H205,'[1]MV+BI'!$E$8:$K$375,5,FALSE)</f>
        <v>-</v>
      </c>
      <c r="N205" s="173"/>
      <c r="O205" s="172">
        <f>VLOOKUP(F205&amp;H205,'[1]MV+BI'!$E$8:$K$375,7,FALSE)</f>
        <v>45422</v>
      </c>
      <c r="P205" s="173"/>
      <c r="Q205" s="171"/>
      <c r="R205" s="174"/>
      <c r="S205" s="174"/>
      <c r="T205" s="174"/>
      <c r="U205" s="174"/>
      <c r="V205" s="174"/>
      <c r="W205" s="174"/>
      <c r="X205" s="173"/>
      <c r="Y205" s="173"/>
      <c r="Z205" s="173"/>
      <c r="AA205" s="173"/>
      <c r="AB205"/>
      <c r="AC205"/>
      <c r="AD205" s="32"/>
    </row>
    <row r="206" spans="3:30" s="2" customFormat="1" ht="15" customHeight="1">
      <c r="C206" s="157"/>
      <c r="D206" s="1"/>
      <c r="E206" s="79" t="s">
        <v>9</v>
      </c>
      <c r="F206" s="168" t="s">
        <v>65</v>
      </c>
      <c r="G206" s="169"/>
      <c r="H206" s="168" t="s">
        <v>185</v>
      </c>
      <c r="I206" s="165" t="str">
        <f>VLOOKUP(F206&amp;H206,'[1]MV+BI'!$E$8:$K$375,3,FALSE)</f>
        <v>Em Correção</v>
      </c>
      <c r="J206" s="93"/>
      <c r="K206" s="170" t="str">
        <f>VLOOKUP(F206&amp;H206,'[1]MV+BI'!$E$8:$K$375,6,FALSE)</f>
        <v>IT</v>
      </c>
      <c r="L206" s="171"/>
      <c r="M206" s="172" t="str">
        <f>VLOOKUP(F206&amp;H206,'[1]MV+BI'!$E$8:$K$375,5,FALSE)</f>
        <v>-</v>
      </c>
      <c r="N206" s="173"/>
      <c r="O206" s="172">
        <f>VLOOKUP(F206&amp;H206,'[1]MV+BI'!$E$8:$K$375,7,FALSE)</f>
        <v>45422</v>
      </c>
      <c r="P206" s="173"/>
      <c r="Q206" s="171"/>
      <c r="R206" s="174"/>
      <c r="S206" s="174"/>
      <c r="T206" s="174"/>
      <c r="U206" s="174"/>
      <c r="V206" s="174"/>
      <c r="W206" s="174"/>
      <c r="X206" s="173"/>
      <c r="Y206" s="173"/>
      <c r="Z206" s="173"/>
      <c r="AA206" s="173"/>
      <c r="AB206"/>
      <c r="AC206"/>
      <c r="AD206" s="32"/>
    </row>
    <row r="207" spans="3:30" s="2" customFormat="1" ht="15" customHeight="1">
      <c r="C207" s="157"/>
      <c r="D207" s="1"/>
      <c r="E207" s="79" t="s">
        <v>9</v>
      </c>
      <c r="F207" s="168" t="s">
        <v>65</v>
      </c>
      <c r="G207" s="169"/>
      <c r="H207" s="168" t="s">
        <v>126</v>
      </c>
      <c r="I207" s="165" t="str">
        <f>VLOOKUP(F207&amp;H207,'[1]MV+BI'!$E$8:$K$375,3,FALSE)</f>
        <v>Em Correção</v>
      </c>
      <c r="J207" s="93"/>
      <c r="K207" s="170" t="str">
        <f>VLOOKUP(F207&amp;H207,'[1]MV+BI'!$E$8:$K$375,6,FALSE)</f>
        <v>IT</v>
      </c>
      <c r="L207" s="171"/>
      <c r="M207" s="172" t="str">
        <f>VLOOKUP(F207&amp;H207,'[1]MV+BI'!$E$8:$K$375,5,FALSE)</f>
        <v>-</v>
      </c>
      <c r="N207" s="173"/>
      <c r="O207" s="172">
        <f>VLOOKUP(F207&amp;H207,'[1]MV+BI'!$E$8:$K$375,7,FALSE)</f>
        <v>45422</v>
      </c>
      <c r="P207" s="173"/>
      <c r="Q207" s="171"/>
      <c r="R207" s="174"/>
      <c r="S207" s="174"/>
      <c r="T207" s="174"/>
      <c r="U207" s="174"/>
      <c r="V207" s="174"/>
      <c r="W207" s="174"/>
      <c r="X207" s="173"/>
      <c r="Y207" s="173"/>
      <c r="Z207" s="173"/>
      <c r="AA207" s="173"/>
      <c r="AB207"/>
      <c r="AC207"/>
      <c r="AD207" s="32"/>
    </row>
    <row r="208" spans="3:30" s="2" customFormat="1" ht="15" customHeight="1">
      <c r="C208" s="157"/>
      <c r="D208" s="1"/>
      <c r="E208" s="79" t="s">
        <v>9</v>
      </c>
      <c r="F208" s="168" t="s">
        <v>65</v>
      </c>
      <c r="G208" s="169"/>
      <c r="H208" s="168" t="s">
        <v>128</v>
      </c>
      <c r="I208" s="165" t="str">
        <f>VLOOKUP(F208&amp;H208,'[1]MV+BI'!$E$8:$K$375,3,FALSE)</f>
        <v>Em Correção</v>
      </c>
      <c r="J208" s="93"/>
      <c r="K208" s="170" t="str">
        <f>VLOOKUP(F208&amp;H208,'[1]MV+BI'!$E$8:$K$375,6,FALSE)</f>
        <v>IT</v>
      </c>
      <c r="L208" s="171"/>
      <c r="M208" s="172" t="str">
        <f>VLOOKUP(F208&amp;H208,'[1]MV+BI'!$E$8:$K$375,5,FALSE)</f>
        <v>-</v>
      </c>
      <c r="N208" s="173"/>
      <c r="O208" s="172">
        <f>VLOOKUP(F208&amp;H208,'[1]MV+BI'!$E$8:$K$375,7,FALSE)</f>
        <v>45422</v>
      </c>
      <c r="P208" s="173"/>
      <c r="Q208" s="171"/>
      <c r="R208" s="174"/>
      <c r="S208" s="174"/>
      <c r="T208" s="174"/>
      <c r="U208" s="174"/>
      <c r="V208" s="174"/>
      <c r="W208" s="174"/>
      <c r="X208" s="173"/>
      <c r="Y208" s="173"/>
      <c r="Z208" s="173"/>
      <c r="AA208" s="173"/>
      <c r="AB208"/>
      <c r="AC208"/>
      <c r="AD208" s="32"/>
    </row>
    <row r="209" spans="3:30" s="2" customFormat="1" ht="15" customHeight="1">
      <c r="C209" s="157"/>
      <c r="D209" s="1"/>
      <c r="E209" s="79" t="s">
        <v>9</v>
      </c>
      <c r="F209" s="168" t="s">
        <v>65</v>
      </c>
      <c r="G209" s="169"/>
      <c r="H209" s="168" t="s">
        <v>120</v>
      </c>
      <c r="I209" s="165" t="str">
        <f>VLOOKUP(F209&amp;H209,'[1]MV+BI'!$E$8:$K$375,3,FALSE)</f>
        <v>Em Correção</v>
      </c>
      <c r="J209" s="93"/>
      <c r="K209" s="170" t="str">
        <f>VLOOKUP(F209&amp;H209,'[1]MV+BI'!$E$8:$K$375,6,FALSE)</f>
        <v>IT</v>
      </c>
      <c r="L209" s="171"/>
      <c r="M209" s="172" t="str">
        <f>VLOOKUP(F209&amp;H209,'[1]MV+BI'!$E$8:$K$375,5,FALSE)</f>
        <v>-</v>
      </c>
      <c r="N209" s="173"/>
      <c r="O209" s="172">
        <f>VLOOKUP(F209&amp;H209,'[1]MV+BI'!$E$8:$K$375,7,FALSE)</f>
        <v>45422</v>
      </c>
      <c r="P209" s="173"/>
      <c r="Q209" s="171"/>
      <c r="R209" s="174"/>
      <c r="S209" s="174"/>
      <c r="T209" s="174"/>
      <c r="U209" s="174"/>
      <c r="V209" s="174"/>
      <c r="W209" s="174"/>
      <c r="X209" s="173"/>
      <c r="Y209" s="173"/>
      <c r="Z209" s="173"/>
      <c r="AA209" s="173"/>
      <c r="AB209"/>
      <c r="AC209"/>
      <c r="AD209" s="32"/>
    </row>
    <row r="210" spans="3:30" s="2" customFormat="1" ht="15" customHeight="1">
      <c r="C210" s="157"/>
      <c r="D210" s="1"/>
      <c r="E210" s="79" t="s">
        <v>9</v>
      </c>
      <c r="F210" s="168" t="s">
        <v>65</v>
      </c>
      <c r="G210" s="169"/>
      <c r="H210" s="168" t="s">
        <v>122</v>
      </c>
      <c r="I210" s="165" t="str">
        <f>VLOOKUP(F210&amp;H210,'[1]MV+BI'!$E$8:$K$375,3,FALSE)</f>
        <v>Em Correção</v>
      </c>
      <c r="J210" s="93"/>
      <c r="K210" s="170" t="str">
        <f>VLOOKUP(F210&amp;H210,'[1]MV+BI'!$E$8:$K$375,6,FALSE)</f>
        <v>IT</v>
      </c>
      <c r="L210" s="171"/>
      <c r="M210" s="172" t="str">
        <f>VLOOKUP(F210&amp;H210,'[1]MV+BI'!$E$8:$K$375,5,FALSE)</f>
        <v>-</v>
      </c>
      <c r="N210" s="173"/>
      <c r="O210" s="172">
        <f>VLOOKUP(F210&amp;H210,'[1]MV+BI'!$E$8:$K$375,7,FALSE)</f>
        <v>45422</v>
      </c>
      <c r="P210" s="173"/>
      <c r="Q210" s="171"/>
      <c r="R210" s="174"/>
      <c r="S210" s="174"/>
      <c r="T210" s="174"/>
      <c r="U210" s="174"/>
      <c r="V210" s="174"/>
      <c r="W210" s="174"/>
      <c r="X210" s="173"/>
      <c r="Y210" s="173"/>
      <c r="Z210" s="173"/>
      <c r="AA210" s="173"/>
      <c r="AB210"/>
      <c r="AC210"/>
      <c r="AD210" s="32"/>
    </row>
    <row r="211" spans="3:30" s="2" customFormat="1" ht="15" customHeight="1">
      <c r="C211" s="157"/>
      <c r="D211" s="1"/>
      <c r="E211" s="79" t="s">
        <v>9</v>
      </c>
      <c r="F211" s="168" t="s">
        <v>65</v>
      </c>
      <c r="G211" s="169"/>
      <c r="H211" s="168" t="s">
        <v>73</v>
      </c>
      <c r="I211" s="165" t="str">
        <f>VLOOKUP(F211&amp;H211,'[1]MV+BI'!$E$8:$K$375,3,FALSE)</f>
        <v>Em Correção</v>
      </c>
      <c r="J211" s="93"/>
      <c r="K211" s="170" t="str">
        <f>VLOOKUP(F211&amp;H211,'[1]MV+BI'!$E$8:$K$375,6,FALSE)</f>
        <v>IT</v>
      </c>
      <c r="L211" s="171"/>
      <c r="M211" s="172" t="str">
        <f>VLOOKUP(F211&amp;H211,'[1]MV+BI'!$E$8:$K$375,5,FALSE)</f>
        <v>-</v>
      </c>
      <c r="N211" s="173"/>
      <c r="O211" s="172">
        <f>VLOOKUP(F211&amp;H211,'[1]MV+BI'!$E$8:$K$375,7,FALSE)</f>
        <v>45422</v>
      </c>
      <c r="P211" s="173"/>
      <c r="Q211" s="171"/>
      <c r="R211" s="174"/>
      <c r="S211" s="174"/>
      <c r="T211" s="174"/>
      <c r="U211" s="174"/>
      <c r="V211" s="174"/>
      <c r="W211" s="174"/>
      <c r="X211" s="173"/>
      <c r="Y211" s="173"/>
      <c r="Z211" s="173"/>
      <c r="AA211" s="173"/>
      <c r="AB211"/>
      <c r="AC211"/>
      <c r="AD211" s="32"/>
    </row>
    <row r="212" spans="3:30" s="2" customFormat="1" ht="15" customHeight="1">
      <c r="C212" s="157"/>
      <c r="D212" s="1"/>
      <c r="E212" s="79" t="s">
        <v>9</v>
      </c>
      <c r="F212" s="79" t="s">
        <v>186</v>
      </c>
      <c r="G212" s="175"/>
      <c r="H212" s="79" t="s">
        <v>67</v>
      </c>
      <c r="I212" s="176" t="str">
        <f>VLOOKUP(F212&amp;H212,'[1]MV+BI'!$E$8:$K$375,3,FALSE)</f>
        <v>Em Implementação</v>
      </c>
      <c r="J212" s="171"/>
      <c r="K212" s="170" t="str">
        <f>VLOOKUP(F212&amp;H212,'[1]MV+BI'!$E$8:$K$375,6,FALSE)</f>
        <v>IT</v>
      </c>
      <c r="L212" s="171"/>
      <c r="M212" s="172">
        <f>VLOOKUP(F212&amp;H212,'[1]MV+BI'!$E$8:$K$375,5,FALSE)</f>
        <v>45432</v>
      </c>
      <c r="N212" s="172"/>
      <c r="O212" s="172">
        <f>VLOOKUP(F212&amp;H212,'[1]MV+BI'!$E$8:$K$375,7,FALSE)</f>
        <v>45478</v>
      </c>
      <c r="P212" s="86"/>
      <c r="Q212" s="300" t="s">
        <v>187</v>
      </c>
      <c r="R212" s="300"/>
      <c r="S212" s="300"/>
      <c r="T212" s="300"/>
      <c r="U212" s="300"/>
      <c r="V212" s="300"/>
      <c r="W212" s="300"/>
      <c r="X212" s="300"/>
      <c r="Y212" s="300"/>
      <c r="Z212" s="300"/>
      <c r="AA212" s="300"/>
      <c r="AB212"/>
      <c r="AC212"/>
      <c r="AD212" s="32"/>
    </row>
    <row r="213" spans="3:30" s="2" customFormat="1" ht="15" customHeight="1">
      <c r="C213" s="157"/>
      <c r="D213" s="1"/>
      <c r="E213" s="124" t="s">
        <v>9</v>
      </c>
      <c r="F213" s="79" t="s">
        <v>186</v>
      </c>
      <c r="G213" s="62"/>
      <c r="H213" s="79" t="s">
        <v>188</v>
      </c>
      <c r="I213" s="176" t="str">
        <f>VLOOKUP(F213&amp;H213,'[1]MV+BI'!$E$8:$K$375,3,FALSE)</f>
        <v>Em Implementação</v>
      </c>
      <c r="J213" s="62"/>
      <c r="K213" s="170" t="str">
        <f>VLOOKUP(F213&amp;H213,'[1]MV+BI'!$E$8:$K$375,6,FALSE)</f>
        <v>IT</v>
      </c>
      <c r="L213" s="62"/>
      <c r="M213" s="172">
        <f>VLOOKUP(F213&amp;H213,'[1]MV+BI'!$E$8:$K$375,5,FALSE)</f>
        <v>45432</v>
      </c>
      <c r="N213" s="172"/>
      <c r="O213" s="172">
        <f>VLOOKUP(F213&amp;H213,'[1]MV+BI'!$E$8:$K$375,7,FALSE)</f>
        <v>45478</v>
      </c>
      <c r="P213" s="86"/>
      <c r="Q213" s="300" t="s">
        <v>187</v>
      </c>
      <c r="R213" s="300"/>
      <c r="S213" s="300"/>
      <c r="T213" s="300"/>
      <c r="U213" s="300"/>
      <c r="V213" s="300"/>
      <c r="W213" s="300"/>
      <c r="X213" s="300"/>
      <c r="Y213" s="300"/>
      <c r="Z213" s="300"/>
      <c r="AA213" s="300"/>
      <c r="AB213"/>
      <c r="AC213"/>
      <c r="AD213" s="32"/>
    </row>
    <row r="214" spans="3:30" s="2" customFormat="1" ht="15" customHeight="1">
      <c r="C214" s="157"/>
      <c r="D214" s="1"/>
      <c r="E214" s="124" t="s">
        <v>9</v>
      </c>
      <c r="F214" s="79" t="s">
        <v>186</v>
      </c>
      <c r="G214" s="62"/>
      <c r="H214" s="79" t="s">
        <v>189</v>
      </c>
      <c r="I214" s="176" t="str">
        <f>VLOOKUP(F214&amp;H214,'[1]MV+BI'!$E$8:$K$375,3,FALSE)</f>
        <v>Em Implementação</v>
      </c>
      <c r="J214" s="62"/>
      <c r="K214" s="170" t="str">
        <f>VLOOKUP(F214&amp;H214,'[1]MV+BI'!$E$8:$K$375,6,FALSE)</f>
        <v>IT</v>
      </c>
      <c r="L214" s="62"/>
      <c r="M214" s="172">
        <f>VLOOKUP(F214&amp;H214,'[1]MV+BI'!$E$8:$K$375,5,FALSE)</f>
        <v>45432</v>
      </c>
      <c r="N214" s="172"/>
      <c r="O214" s="172">
        <f>VLOOKUP(F214&amp;H214,'[1]MV+BI'!$E$8:$K$375,7,FALSE)</f>
        <v>45478</v>
      </c>
      <c r="P214" s="86"/>
      <c r="Q214" s="300" t="s">
        <v>187</v>
      </c>
      <c r="R214" s="300"/>
      <c r="S214" s="300"/>
      <c r="T214" s="300"/>
      <c r="U214" s="300"/>
      <c r="V214" s="300"/>
      <c r="W214" s="300"/>
      <c r="X214" s="300"/>
      <c r="Y214" s="300"/>
      <c r="Z214" s="300"/>
      <c r="AA214" s="300"/>
      <c r="AB214"/>
      <c r="AC214"/>
      <c r="AD214" s="32"/>
    </row>
    <row r="215" spans="3:30" s="2" customFormat="1" ht="15" customHeight="1">
      <c r="C215" s="157"/>
      <c r="D215" s="1"/>
      <c r="E215" s="124" t="s">
        <v>9</v>
      </c>
      <c r="F215" s="79" t="s">
        <v>186</v>
      </c>
      <c r="G215" s="62"/>
      <c r="H215" s="79" t="s">
        <v>190</v>
      </c>
      <c r="I215" s="176" t="str">
        <f>VLOOKUP(F215&amp;H215,'[1]MV+BI'!$E$8:$K$375,3,FALSE)</f>
        <v>Em Implementação</v>
      </c>
      <c r="J215" s="62"/>
      <c r="K215" s="170" t="str">
        <f>VLOOKUP(F215&amp;H215,'[1]MV+BI'!$E$8:$K$375,6,FALSE)</f>
        <v>IT</v>
      </c>
      <c r="L215" s="62"/>
      <c r="M215" s="172">
        <f>VLOOKUP(F215&amp;H215,'[1]MV+BI'!$E$8:$K$375,5,FALSE)</f>
        <v>45432</v>
      </c>
      <c r="N215" s="172"/>
      <c r="O215" s="172">
        <f>VLOOKUP(F215&amp;H215,'[1]MV+BI'!$E$8:$K$375,7,FALSE)</f>
        <v>45478</v>
      </c>
      <c r="P215" s="86"/>
      <c r="Q215" s="300" t="s">
        <v>187</v>
      </c>
      <c r="R215" s="300"/>
      <c r="S215" s="300"/>
      <c r="T215" s="300"/>
      <c r="U215" s="300"/>
      <c r="V215" s="300"/>
      <c r="W215" s="300"/>
      <c r="X215" s="300"/>
      <c r="Y215" s="300"/>
      <c r="Z215" s="300"/>
      <c r="AA215" s="300"/>
      <c r="AB215"/>
      <c r="AC215"/>
      <c r="AD215" s="32"/>
    </row>
    <row r="216" spans="3:30" s="2" customFormat="1" ht="15" customHeight="1">
      <c r="C216" s="157"/>
      <c r="D216" s="1"/>
      <c r="E216" s="124" t="s">
        <v>9</v>
      </c>
      <c r="F216" s="79" t="s">
        <v>186</v>
      </c>
      <c r="G216" s="62"/>
      <c r="H216" s="79" t="s">
        <v>191</v>
      </c>
      <c r="I216" s="176" t="str">
        <f>VLOOKUP(F216&amp;H216,'[1]MV+BI'!$E$8:$K$375,3,FALSE)</f>
        <v>Em Implementação</v>
      </c>
      <c r="J216" s="62"/>
      <c r="K216" s="170" t="str">
        <f>VLOOKUP(F216&amp;H216,'[1]MV+BI'!$E$8:$K$375,6,FALSE)</f>
        <v>IT</v>
      </c>
      <c r="L216" s="62"/>
      <c r="M216" s="172">
        <f>VLOOKUP(F216&amp;H216,'[1]MV+BI'!$E$8:$K$375,5,FALSE)</f>
        <v>45432</v>
      </c>
      <c r="N216" s="172"/>
      <c r="O216" s="172">
        <f>VLOOKUP(F216&amp;H216,'[1]MV+BI'!$E$8:$K$375,7,FALSE)</f>
        <v>45478</v>
      </c>
      <c r="P216" s="86"/>
      <c r="Q216" s="300" t="s">
        <v>187</v>
      </c>
      <c r="R216" s="300"/>
      <c r="S216" s="300"/>
      <c r="T216" s="300"/>
      <c r="U216" s="300"/>
      <c r="V216" s="300"/>
      <c r="W216" s="300"/>
      <c r="X216" s="300"/>
      <c r="Y216" s="300"/>
      <c r="Z216" s="300"/>
      <c r="AA216" s="300"/>
      <c r="AB216"/>
      <c r="AC216"/>
      <c r="AD216" s="32"/>
    </row>
    <row r="217" spans="3:30" s="2" customFormat="1" ht="15" customHeight="1">
      <c r="C217" s="157"/>
      <c r="D217" s="1"/>
      <c r="E217" s="124" t="s">
        <v>9</v>
      </c>
      <c r="F217" s="79" t="s">
        <v>186</v>
      </c>
      <c r="G217" s="62"/>
      <c r="H217" s="79" t="s">
        <v>192</v>
      </c>
      <c r="I217" s="176" t="str">
        <f>VLOOKUP(F217&amp;H217,'[1]MV+BI'!$E$8:$K$375,3,FALSE)</f>
        <v>Em Implementação</v>
      </c>
      <c r="J217" s="62"/>
      <c r="K217" s="170" t="str">
        <f>VLOOKUP(F217&amp;H217,'[1]MV+BI'!$E$8:$K$375,6,FALSE)</f>
        <v>IT</v>
      </c>
      <c r="L217" s="62"/>
      <c r="M217" s="172">
        <f>VLOOKUP(F217&amp;H217,'[1]MV+BI'!$E$8:$K$375,5,FALSE)</f>
        <v>45432</v>
      </c>
      <c r="N217" s="172"/>
      <c r="O217" s="172">
        <f>VLOOKUP(F217&amp;H217,'[1]MV+BI'!$E$8:$K$375,7,FALSE)</f>
        <v>45478</v>
      </c>
      <c r="P217" s="86"/>
      <c r="Q217" s="300" t="s">
        <v>187</v>
      </c>
      <c r="R217" s="300"/>
      <c r="S217" s="300"/>
      <c r="T217" s="300"/>
      <c r="U217" s="300"/>
      <c r="V217" s="300"/>
      <c r="W217" s="300"/>
      <c r="X217" s="300"/>
      <c r="Y217" s="300"/>
      <c r="Z217" s="300"/>
      <c r="AA217" s="300"/>
      <c r="AB217"/>
      <c r="AC217"/>
      <c r="AD217" s="32"/>
    </row>
    <row r="218" spans="3:30" s="2" customFormat="1" ht="15" customHeight="1">
      <c r="C218" s="157"/>
      <c r="D218" s="1"/>
      <c r="E218" s="124" t="s">
        <v>9</v>
      </c>
      <c r="F218" s="79" t="s">
        <v>186</v>
      </c>
      <c r="G218" s="62"/>
      <c r="H218" s="79" t="s">
        <v>193</v>
      </c>
      <c r="I218" s="176" t="str">
        <f>VLOOKUP(F218&amp;H218,'[1]MV+BI'!$E$8:$K$375,3,FALSE)</f>
        <v>Em Implementação</v>
      </c>
      <c r="J218" s="62"/>
      <c r="K218" s="170" t="str">
        <f>VLOOKUP(F218&amp;H218,'[1]MV+BI'!$E$8:$K$375,6,FALSE)</f>
        <v>IT</v>
      </c>
      <c r="L218" s="62"/>
      <c r="M218" s="172">
        <f>VLOOKUP(F218&amp;H218,'[1]MV+BI'!$E$8:$K$375,5,FALSE)</f>
        <v>45432</v>
      </c>
      <c r="N218" s="172"/>
      <c r="O218" s="172">
        <f>VLOOKUP(F218&amp;H218,'[1]MV+BI'!$E$8:$K$375,7,FALSE)</f>
        <v>45478</v>
      </c>
      <c r="P218" s="86"/>
      <c r="Q218" s="300" t="s">
        <v>187</v>
      </c>
      <c r="R218" s="300"/>
      <c r="S218" s="300"/>
      <c r="T218" s="300"/>
      <c r="U218" s="300"/>
      <c r="V218" s="300"/>
      <c r="W218" s="300"/>
      <c r="X218" s="300"/>
      <c r="Y218" s="300"/>
      <c r="Z218" s="300"/>
      <c r="AA218" s="300"/>
      <c r="AB218"/>
      <c r="AC218"/>
      <c r="AD218" s="32"/>
    </row>
    <row r="219" spans="3:30" s="2" customFormat="1" ht="15" customHeight="1">
      <c r="C219" s="157"/>
      <c r="D219" s="1"/>
      <c r="E219" s="124" t="s">
        <v>9</v>
      </c>
      <c r="F219" s="79" t="s">
        <v>194</v>
      </c>
      <c r="G219" s="62"/>
      <c r="H219" s="79" t="s">
        <v>67</v>
      </c>
      <c r="I219" s="176" t="str">
        <f>VLOOKUP(F219&amp;H219,'[1]MV+BI'!$E$8:$K$375,3,FALSE)</f>
        <v>Em Implementação</v>
      </c>
      <c r="J219" s="62"/>
      <c r="K219" s="170" t="str">
        <f>VLOOKUP(F219&amp;H219,'[1]MV+BI'!$E$8:$K$375,6,FALSE)</f>
        <v>IT</v>
      </c>
      <c r="L219" s="62"/>
      <c r="M219" s="172">
        <f>VLOOKUP(F219&amp;H219,'[1]MV+BI'!$E$8:$K$375,5,FALSE)</f>
        <v>45432</v>
      </c>
      <c r="N219" s="172"/>
      <c r="O219" s="172">
        <f>VLOOKUP(F219&amp;H219,'[1]MV+BI'!$E$8:$K$375,7,FALSE)</f>
        <v>45443</v>
      </c>
      <c r="P219" s="86"/>
      <c r="Q219" s="300" t="s">
        <v>187</v>
      </c>
      <c r="R219" s="300"/>
      <c r="S219" s="300"/>
      <c r="T219" s="300"/>
      <c r="U219" s="300"/>
      <c r="V219" s="300"/>
      <c r="W219" s="300"/>
      <c r="X219" s="300"/>
      <c r="Y219" s="300"/>
      <c r="Z219" s="300"/>
      <c r="AA219" s="300"/>
      <c r="AB219"/>
      <c r="AC219"/>
      <c r="AD219" s="32"/>
    </row>
    <row r="220" spans="3:30" s="2" customFormat="1" ht="15" customHeight="1">
      <c r="C220" s="157"/>
      <c r="D220" s="1"/>
      <c r="E220" s="124" t="s">
        <v>9</v>
      </c>
      <c r="F220" s="79" t="s">
        <v>194</v>
      </c>
      <c r="G220" s="62"/>
      <c r="H220" s="79" t="s">
        <v>193</v>
      </c>
      <c r="I220" s="176" t="str">
        <f>VLOOKUP(F220&amp;H220,'[1]MV+BI'!$E$8:$K$375,3,FALSE)</f>
        <v>Em Implementação</v>
      </c>
      <c r="J220" s="62"/>
      <c r="K220" s="170" t="str">
        <f>VLOOKUP(F220&amp;H220,'[1]MV+BI'!$E$8:$K$375,6,FALSE)</f>
        <v>IT</v>
      </c>
      <c r="L220" s="62"/>
      <c r="M220" s="172">
        <f>VLOOKUP(F220&amp;H220,'[1]MV+BI'!$E$8:$K$375,5,FALSE)</f>
        <v>45432</v>
      </c>
      <c r="N220" s="172"/>
      <c r="O220" s="172">
        <f>VLOOKUP(F220&amp;H220,'[1]MV+BI'!$E$8:$K$375,7,FALSE)</f>
        <v>45443</v>
      </c>
      <c r="P220" s="86"/>
      <c r="Q220" s="300" t="s">
        <v>187</v>
      </c>
      <c r="R220" s="300"/>
      <c r="S220" s="300"/>
      <c r="T220" s="300"/>
      <c r="U220" s="300"/>
      <c r="V220" s="300"/>
      <c r="W220" s="300"/>
      <c r="X220" s="300"/>
      <c r="Y220" s="300"/>
      <c r="Z220" s="300"/>
      <c r="AA220" s="300"/>
      <c r="AB220"/>
      <c r="AC220"/>
      <c r="AD220" s="32"/>
    </row>
    <row r="221" spans="3:30" s="2" customFormat="1" ht="15" customHeight="1">
      <c r="C221" s="157"/>
      <c r="D221" s="1"/>
      <c r="E221" s="124" t="s">
        <v>9</v>
      </c>
      <c r="F221" s="79" t="s">
        <v>194</v>
      </c>
      <c r="G221" s="62"/>
      <c r="H221" s="79" t="s">
        <v>195</v>
      </c>
      <c r="I221" s="176" t="str">
        <f>VLOOKUP(F221&amp;H221,'[1]MV+BI'!$E$8:$K$375,3,FALSE)</f>
        <v>Em Implementação</v>
      </c>
      <c r="J221" s="62"/>
      <c r="K221" s="170" t="str">
        <f>VLOOKUP(F221&amp;H221,'[1]MV+BI'!$E$8:$K$375,6,FALSE)</f>
        <v>IT</v>
      </c>
      <c r="L221" s="62"/>
      <c r="M221" s="172">
        <f>VLOOKUP(F221&amp;H221,'[1]MV+BI'!$E$8:$K$375,5,FALSE)</f>
        <v>45432</v>
      </c>
      <c r="N221" s="172"/>
      <c r="O221" s="172">
        <f>VLOOKUP(F221&amp;H221,'[1]MV+BI'!$E$8:$K$375,7,FALSE)</f>
        <v>45443</v>
      </c>
      <c r="P221" s="86"/>
      <c r="Q221" s="300" t="s">
        <v>187</v>
      </c>
      <c r="R221" s="300"/>
      <c r="S221" s="300"/>
      <c r="T221" s="300"/>
      <c r="U221" s="300"/>
      <c r="V221" s="300"/>
      <c r="W221" s="300"/>
      <c r="X221" s="300"/>
      <c r="Y221" s="300"/>
      <c r="Z221" s="300"/>
      <c r="AA221" s="300"/>
      <c r="AB221"/>
      <c r="AC221"/>
      <c r="AD221" s="32"/>
    </row>
    <row r="222" spans="3:30" s="2" customFormat="1" ht="15" customHeight="1">
      <c r="C222" s="157"/>
      <c r="D222" s="1"/>
      <c r="E222" s="124" t="s">
        <v>9</v>
      </c>
      <c r="F222" s="79" t="s">
        <v>194</v>
      </c>
      <c r="G222" s="62"/>
      <c r="H222" s="79" t="s">
        <v>116</v>
      </c>
      <c r="I222" s="176" t="str">
        <f>VLOOKUP(F222&amp;H222,'[1]MV+BI'!$E$8:$K$375,3,FALSE)</f>
        <v>Em Implementação</v>
      </c>
      <c r="J222" s="62"/>
      <c r="K222" s="170" t="str">
        <f>VLOOKUP(F222&amp;H222,'[1]MV+BI'!$E$8:$K$375,6,FALSE)</f>
        <v>IT</v>
      </c>
      <c r="L222" s="62"/>
      <c r="M222" s="172">
        <f>VLOOKUP(F222&amp;H222,'[1]MV+BI'!$E$8:$K$375,5,FALSE)</f>
        <v>45432</v>
      </c>
      <c r="N222" s="172"/>
      <c r="O222" s="172">
        <f>VLOOKUP(F222&amp;H222,'[1]MV+BI'!$E$8:$K$375,7,FALSE)</f>
        <v>45443</v>
      </c>
      <c r="P222" s="86"/>
      <c r="Q222" s="300" t="s">
        <v>187</v>
      </c>
      <c r="R222" s="300"/>
      <c r="S222" s="300"/>
      <c r="T222" s="300"/>
      <c r="U222" s="300"/>
      <c r="V222" s="300"/>
      <c r="W222" s="300"/>
      <c r="X222" s="300"/>
      <c r="Y222" s="300"/>
      <c r="Z222" s="300"/>
      <c r="AA222" s="300"/>
      <c r="AB222"/>
      <c r="AC222"/>
      <c r="AD222" s="32"/>
    </row>
    <row r="223" spans="3:30" s="2" customFormat="1" ht="15" customHeight="1">
      <c r="C223" s="157"/>
      <c r="D223" s="1"/>
      <c r="E223" s="124" t="s">
        <v>9</v>
      </c>
      <c r="F223" s="79" t="s">
        <v>194</v>
      </c>
      <c r="G223" s="62"/>
      <c r="H223" s="79" t="s">
        <v>196</v>
      </c>
      <c r="I223" s="176" t="str">
        <f>VLOOKUP(F223&amp;H223,'[1]MV+BI'!$E$8:$K$375,3,FALSE)</f>
        <v>Em Implementação</v>
      </c>
      <c r="J223" s="62"/>
      <c r="K223" s="170" t="str">
        <f>VLOOKUP(F223&amp;H223,'[1]MV+BI'!$E$8:$K$375,6,FALSE)</f>
        <v>IT</v>
      </c>
      <c r="L223" s="62"/>
      <c r="M223" s="172">
        <f>VLOOKUP(F223&amp;H223,'[1]MV+BI'!$E$8:$K$375,5,FALSE)</f>
        <v>45432</v>
      </c>
      <c r="N223" s="172"/>
      <c r="O223" s="172">
        <f>VLOOKUP(F223&amp;H223,'[1]MV+BI'!$E$8:$K$375,7,FALSE)</f>
        <v>45443</v>
      </c>
      <c r="P223" s="86"/>
      <c r="Q223" s="300" t="s">
        <v>187</v>
      </c>
      <c r="R223" s="300"/>
      <c r="S223" s="300"/>
      <c r="T223" s="300"/>
      <c r="U223" s="300"/>
      <c r="V223" s="300"/>
      <c r="W223" s="300"/>
      <c r="X223" s="300"/>
      <c r="Y223" s="300"/>
      <c r="Z223" s="300"/>
      <c r="AA223" s="300"/>
      <c r="AB223"/>
      <c r="AC223"/>
      <c r="AD223" s="32"/>
    </row>
    <row r="224" spans="3:30" s="2" customFormat="1" ht="15" customHeight="1">
      <c r="C224" s="157"/>
      <c r="D224" s="1"/>
      <c r="E224" s="124" t="s">
        <v>9</v>
      </c>
      <c r="F224" s="177" t="s">
        <v>194</v>
      </c>
      <c r="G224" s="62"/>
      <c r="H224" s="178" t="s">
        <v>197</v>
      </c>
      <c r="I224" s="176" t="str">
        <f>VLOOKUP(F224&amp;H224,'[1]MV+BI'!$E$8:$K$375,3,FALSE)</f>
        <v>Em Implementação</v>
      </c>
      <c r="J224" s="62"/>
      <c r="K224" s="170" t="str">
        <f>VLOOKUP(F224&amp;H224,'[1]MV+BI'!$E$8:$K$375,6,FALSE)</f>
        <v>IT</v>
      </c>
      <c r="L224" s="62"/>
      <c r="M224" s="172">
        <f>VLOOKUP(F224&amp;H224,'[1]MV+BI'!$E$8:$K$375,5,FALSE)</f>
        <v>45432</v>
      </c>
      <c r="N224" s="172"/>
      <c r="O224" s="172">
        <f>VLOOKUP(F224&amp;H224,'[1]MV+BI'!$E$8:$K$375,7,FALSE)</f>
        <v>45443</v>
      </c>
      <c r="P224" s="86"/>
      <c r="Q224" s="300" t="s">
        <v>187</v>
      </c>
      <c r="R224" s="300"/>
      <c r="S224" s="300"/>
      <c r="T224" s="300"/>
      <c r="U224" s="300"/>
      <c r="V224" s="300"/>
      <c r="W224" s="300"/>
      <c r="X224" s="300"/>
      <c r="Y224" s="300"/>
      <c r="Z224" s="300"/>
      <c r="AA224" s="300"/>
      <c r="AB224"/>
      <c r="AC224"/>
      <c r="AD224" s="32"/>
    </row>
    <row r="225" spans="3:30" s="2" customFormat="1" ht="15" customHeight="1">
      <c r="C225" s="157"/>
      <c r="D225" s="1"/>
      <c r="E225" s="124" t="s">
        <v>9</v>
      </c>
      <c r="F225" s="177" t="s">
        <v>194</v>
      </c>
      <c r="G225" s="62"/>
      <c r="H225" s="178" t="s">
        <v>198</v>
      </c>
      <c r="I225" s="176" t="str">
        <f>VLOOKUP(F225&amp;H225,'[1]MV+BI'!$E$8:$K$375,3,FALSE)</f>
        <v>Em Implementação</v>
      </c>
      <c r="J225" s="62"/>
      <c r="K225" s="170" t="str">
        <f>VLOOKUP(F225&amp;H225,'[1]MV+BI'!$E$8:$K$375,6,FALSE)</f>
        <v>IT</v>
      </c>
      <c r="L225" s="62"/>
      <c r="M225" s="172">
        <f>VLOOKUP(F225&amp;H225,'[1]MV+BI'!$E$8:$K$375,5,FALSE)</f>
        <v>45432</v>
      </c>
      <c r="N225" s="172"/>
      <c r="O225" s="172">
        <f>VLOOKUP(F225&amp;H225,'[1]MV+BI'!$E$8:$K$375,7,FALSE)</f>
        <v>45443</v>
      </c>
      <c r="P225" s="86"/>
      <c r="Q225" s="300" t="s">
        <v>187</v>
      </c>
      <c r="R225" s="300"/>
      <c r="S225" s="300"/>
      <c r="T225" s="300"/>
      <c r="U225" s="300"/>
      <c r="V225" s="300"/>
      <c r="W225" s="300"/>
      <c r="X225" s="300"/>
      <c r="Y225" s="300"/>
      <c r="Z225" s="300"/>
      <c r="AA225" s="300"/>
      <c r="AB225"/>
      <c r="AC225"/>
      <c r="AD225" s="32"/>
    </row>
    <row r="226" spans="3:30" s="2" customFormat="1" ht="15" customHeight="1">
      <c r="C226" s="157"/>
      <c r="D226" s="1"/>
      <c r="E226" s="124" t="s">
        <v>9</v>
      </c>
      <c r="F226" s="177" t="s">
        <v>194</v>
      </c>
      <c r="G226" s="62"/>
      <c r="H226" s="178" t="s">
        <v>199</v>
      </c>
      <c r="I226" s="176" t="str">
        <f>VLOOKUP(F226&amp;H226,'[1]MV+BI'!$E$8:$K$375,3,FALSE)</f>
        <v>Em Implementação</v>
      </c>
      <c r="J226" s="62"/>
      <c r="K226" s="170" t="str">
        <f>VLOOKUP(F226&amp;H226,'[1]MV+BI'!$E$8:$K$375,6,FALSE)</f>
        <v>IT</v>
      </c>
      <c r="L226" s="62"/>
      <c r="M226" s="172">
        <f>VLOOKUP(F226&amp;H226,'[1]MV+BI'!$E$8:$K$375,5,FALSE)</f>
        <v>45432</v>
      </c>
      <c r="N226" s="172"/>
      <c r="O226" s="172">
        <f>VLOOKUP(F226&amp;H226,'[1]MV+BI'!$E$8:$K$375,7,FALSE)</f>
        <v>45443</v>
      </c>
      <c r="P226" s="86"/>
      <c r="Q226" s="300" t="s">
        <v>187</v>
      </c>
      <c r="R226" s="300"/>
      <c r="S226" s="300"/>
      <c r="T226" s="300"/>
      <c r="U226" s="300"/>
      <c r="V226" s="300"/>
      <c r="W226" s="300"/>
      <c r="X226" s="300"/>
      <c r="Y226" s="300"/>
      <c r="Z226" s="300"/>
      <c r="AA226" s="300"/>
      <c r="AB226"/>
      <c r="AC226"/>
      <c r="AD226" s="32"/>
    </row>
    <row r="227" spans="3:30" s="2" customFormat="1" ht="15" customHeight="1">
      <c r="C227" s="157"/>
      <c r="D227" s="1"/>
      <c r="E227" s="124" t="s">
        <v>9</v>
      </c>
      <c r="F227" s="177" t="s">
        <v>194</v>
      </c>
      <c r="G227" s="62"/>
      <c r="H227" s="178" t="s">
        <v>200</v>
      </c>
      <c r="I227" s="176" t="str">
        <f>VLOOKUP(F227&amp;H227,'[1]MV+BI'!$E$8:$K$375,3,FALSE)</f>
        <v>Em Implementação</v>
      </c>
      <c r="J227" s="62"/>
      <c r="K227" s="170" t="str">
        <f>VLOOKUP(F227&amp;H227,'[1]MV+BI'!$E$8:$K$375,6,FALSE)</f>
        <v>IT</v>
      </c>
      <c r="L227" s="62"/>
      <c r="M227" s="172">
        <f>VLOOKUP(F227&amp;H227,'[1]MV+BI'!$E$8:$K$375,5,FALSE)</f>
        <v>45432</v>
      </c>
      <c r="N227" s="172"/>
      <c r="O227" s="172">
        <f>VLOOKUP(F227&amp;H227,'[1]MV+BI'!$E$8:$K$375,7,FALSE)</f>
        <v>45443</v>
      </c>
      <c r="P227" s="86"/>
      <c r="Q227" s="300" t="s">
        <v>187</v>
      </c>
      <c r="R227" s="300"/>
      <c r="S227" s="300"/>
      <c r="T227" s="300"/>
      <c r="U227" s="300"/>
      <c r="V227" s="300"/>
      <c r="W227" s="300"/>
      <c r="X227" s="300"/>
      <c r="Y227" s="300"/>
      <c r="Z227" s="300"/>
      <c r="AA227" s="300"/>
      <c r="AB227"/>
      <c r="AC227"/>
      <c r="AD227" s="32"/>
    </row>
    <row r="228" spans="3:30" s="2" customFormat="1" ht="15" customHeight="1">
      <c r="C228" s="157"/>
      <c r="D228" s="1"/>
      <c r="E228" s="124" t="s">
        <v>9</v>
      </c>
      <c r="F228" s="177" t="s">
        <v>194</v>
      </c>
      <c r="G228" s="62"/>
      <c r="H228" s="178" t="s">
        <v>201</v>
      </c>
      <c r="I228" s="176" t="str">
        <f>VLOOKUP(F228&amp;H228,'[1]MV+BI'!$E$8:$K$375,3,FALSE)</f>
        <v>Em Implementação</v>
      </c>
      <c r="J228" s="62"/>
      <c r="K228" s="170" t="str">
        <f>VLOOKUP(F228&amp;H228,'[1]MV+BI'!$E$8:$K$375,6,FALSE)</f>
        <v>IT</v>
      </c>
      <c r="L228" s="62"/>
      <c r="M228" s="172">
        <f>VLOOKUP(F228&amp;H228,'[1]MV+BI'!$E$8:$K$375,5,FALSE)</f>
        <v>45432</v>
      </c>
      <c r="N228" s="172"/>
      <c r="O228" s="172">
        <f>VLOOKUP(F228&amp;H228,'[1]MV+BI'!$E$8:$K$375,7,FALSE)</f>
        <v>45443</v>
      </c>
      <c r="P228" s="86"/>
      <c r="Q228" s="300" t="s">
        <v>187</v>
      </c>
      <c r="R228" s="300"/>
      <c r="S228" s="300"/>
      <c r="T228" s="300"/>
      <c r="U228" s="300"/>
      <c r="V228" s="300"/>
      <c r="W228" s="300"/>
      <c r="X228" s="300"/>
      <c r="Y228" s="300"/>
      <c r="Z228" s="300"/>
      <c r="AA228" s="300"/>
      <c r="AB228"/>
      <c r="AC228"/>
      <c r="AD228" s="32"/>
    </row>
    <row r="229" spans="3:30" s="2" customFormat="1" ht="15" customHeight="1">
      <c r="C229" s="157"/>
      <c r="D229" s="1"/>
      <c r="E229" s="124" t="s">
        <v>9</v>
      </c>
      <c r="F229" s="177" t="s">
        <v>194</v>
      </c>
      <c r="G229" s="62"/>
      <c r="H229" s="178" t="s">
        <v>202</v>
      </c>
      <c r="I229" s="176" t="str">
        <f>VLOOKUP(F229&amp;H229,'[1]MV+BI'!$E$8:$K$375,3,FALSE)</f>
        <v>Em Implementação</v>
      </c>
      <c r="J229" s="62"/>
      <c r="K229" s="170" t="str">
        <f>VLOOKUP(F229&amp;H229,'[1]MV+BI'!$E$8:$K$375,6,FALSE)</f>
        <v>IT</v>
      </c>
      <c r="L229" s="62"/>
      <c r="M229" s="172">
        <f>VLOOKUP(F229&amp;H229,'[1]MV+BI'!$E$8:$K$375,5,FALSE)</f>
        <v>45432</v>
      </c>
      <c r="N229" s="172"/>
      <c r="O229" s="172">
        <f>VLOOKUP(F229&amp;H229,'[1]MV+BI'!$E$8:$K$375,7,FALSE)</f>
        <v>45443</v>
      </c>
      <c r="P229" s="86"/>
      <c r="Q229" s="300" t="s">
        <v>187</v>
      </c>
      <c r="R229" s="300"/>
      <c r="S229" s="300"/>
      <c r="T229" s="300"/>
      <c r="U229" s="300"/>
      <c r="V229" s="300"/>
      <c r="W229" s="300"/>
      <c r="X229" s="300"/>
      <c r="Y229" s="300"/>
      <c r="Z229" s="300"/>
      <c r="AA229" s="300"/>
      <c r="AB229"/>
      <c r="AC229"/>
      <c r="AD229" s="32"/>
    </row>
    <row r="230" spans="3:30" s="2" customFormat="1" ht="15" customHeight="1">
      <c r="C230" s="157"/>
      <c r="D230" s="1"/>
      <c r="E230" s="124" t="s">
        <v>9</v>
      </c>
      <c r="F230" s="177" t="s">
        <v>194</v>
      </c>
      <c r="G230" s="62"/>
      <c r="H230" s="178" t="s">
        <v>203</v>
      </c>
      <c r="I230" s="176" t="str">
        <f>VLOOKUP(F230&amp;H230,'[1]MV+BI'!$E$8:$K$375,3,FALSE)</f>
        <v>Em Implementação</v>
      </c>
      <c r="J230" s="62"/>
      <c r="K230" s="170" t="str">
        <f>VLOOKUP(F230&amp;H230,'[1]MV+BI'!$E$8:$K$375,6,FALSE)</f>
        <v>IT</v>
      </c>
      <c r="L230" s="62"/>
      <c r="M230" s="172">
        <f>VLOOKUP(F230&amp;H230,'[1]MV+BI'!$E$8:$K$375,5,FALSE)</f>
        <v>45432</v>
      </c>
      <c r="N230" s="172"/>
      <c r="O230" s="172">
        <f>VLOOKUP(F230&amp;H230,'[1]MV+BI'!$E$8:$K$375,7,FALSE)</f>
        <v>45443</v>
      </c>
      <c r="P230" s="86"/>
      <c r="Q230" s="300" t="s">
        <v>187</v>
      </c>
      <c r="R230" s="300"/>
      <c r="S230" s="300"/>
      <c r="T230" s="300"/>
      <c r="U230" s="300"/>
      <c r="V230" s="300"/>
      <c r="W230" s="300"/>
      <c r="X230" s="300"/>
      <c r="Y230" s="300"/>
      <c r="Z230" s="300"/>
      <c r="AA230" s="300"/>
      <c r="AB230"/>
      <c r="AC230"/>
      <c r="AD230" s="32"/>
    </row>
    <row r="231" spans="3:30" s="2" customFormat="1" ht="15" customHeight="1">
      <c r="C231" s="157"/>
      <c r="D231" s="1"/>
      <c r="E231" s="124" t="s">
        <v>9</v>
      </c>
      <c r="F231" s="177" t="s">
        <v>194</v>
      </c>
      <c r="G231" s="62"/>
      <c r="H231" s="178" t="s">
        <v>204</v>
      </c>
      <c r="I231" s="176" t="str">
        <f>VLOOKUP(F231&amp;H231,'[1]MV+BI'!$E$8:$K$375,3,FALSE)</f>
        <v>Em Implementação</v>
      </c>
      <c r="J231" s="62"/>
      <c r="K231" s="170" t="str">
        <f>VLOOKUP(F231&amp;H231,'[1]MV+BI'!$E$8:$K$375,6,FALSE)</f>
        <v>IT</v>
      </c>
      <c r="L231" s="62"/>
      <c r="M231" s="172">
        <f>VLOOKUP(F231&amp;H231,'[1]MV+BI'!$E$8:$K$375,5,FALSE)</f>
        <v>45432</v>
      </c>
      <c r="N231" s="172"/>
      <c r="O231" s="172">
        <f>VLOOKUP(F231&amp;H231,'[1]MV+BI'!$E$8:$K$375,7,FALSE)</f>
        <v>45443</v>
      </c>
      <c r="P231" s="86"/>
      <c r="Q231" s="300" t="s">
        <v>187</v>
      </c>
      <c r="R231" s="300"/>
      <c r="S231" s="300"/>
      <c r="T231" s="300"/>
      <c r="U231" s="300"/>
      <c r="V231" s="300"/>
      <c r="W231" s="300"/>
      <c r="X231" s="300"/>
      <c r="Y231" s="300"/>
      <c r="Z231" s="300"/>
      <c r="AA231" s="300"/>
      <c r="AB231"/>
      <c r="AC231"/>
      <c r="AD231" s="32"/>
    </row>
    <row r="232" spans="3:30" s="2" customFormat="1" ht="15" customHeight="1">
      <c r="C232" s="157"/>
      <c r="D232" s="1"/>
      <c r="E232" s="124" t="s">
        <v>9</v>
      </c>
      <c r="F232" s="177" t="s">
        <v>194</v>
      </c>
      <c r="G232" s="62"/>
      <c r="H232" s="178" t="s">
        <v>205</v>
      </c>
      <c r="I232" s="176" t="str">
        <f>VLOOKUP(F232&amp;H232,'[1]MV+BI'!$E$8:$K$375,3,FALSE)</f>
        <v>Em Implementação</v>
      </c>
      <c r="J232" s="62"/>
      <c r="K232" s="170" t="str">
        <f>VLOOKUP(F232&amp;H232,'[1]MV+BI'!$E$8:$K$375,6,FALSE)</f>
        <v>IT</v>
      </c>
      <c r="L232" s="62"/>
      <c r="M232" s="172">
        <f>VLOOKUP(F232&amp;H232,'[1]MV+BI'!$E$8:$K$375,5,FALSE)</f>
        <v>45432</v>
      </c>
      <c r="N232" s="172"/>
      <c r="O232" s="172">
        <f>VLOOKUP(F232&amp;H232,'[1]MV+BI'!$E$8:$K$375,7,FALSE)</f>
        <v>45443</v>
      </c>
      <c r="P232" s="86"/>
      <c r="Q232" s="300" t="s">
        <v>187</v>
      </c>
      <c r="R232" s="300"/>
      <c r="S232" s="300"/>
      <c r="T232" s="300"/>
      <c r="U232" s="300"/>
      <c r="V232" s="300"/>
      <c r="W232" s="300"/>
      <c r="X232" s="300"/>
      <c r="Y232" s="300"/>
      <c r="Z232" s="300"/>
      <c r="AA232" s="300"/>
      <c r="AB232"/>
      <c r="AC232"/>
      <c r="AD232" s="32"/>
    </row>
    <row r="233" spans="3:30" s="2" customFormat="1" ht="15" customHeight="1">
      <c r="C233" s="157"/>
      <c r="D233" s="1"/>
      <c r="E233" s="124" t="s">
        <v>9</v>
      </c>
      <c r="F233" s="177" t="s">
        <v>194</v>
      </c>
      <c r="G233" s="62"/>
      <c r="H233" s="178" t="s">
        <v>206</v>
      </c>
      <c r="I233" s="176" t="str">
        <f>VLOOKUP(F233&amp;H233,'[1]MV+BI'!$E$8:$K$375,3,FALSE)</f>
        <v>Em Implementação</v>
      </c>
      <c r="J233" s="62"/>
      <c r="K233" s="170" t="str">
        <f>VLOOKUP(F233&amp;H233,'[1]MV+BI'!$E$8:$K$375,6,FALSE)</f>
        <v>IT</v>
      </c>
      <c r="L233" s="62"/>
      <c r="M233" s="172">
        <f>VLOOKUP(F233&amp;H233,'[1]MV+BI'!$E$8:$K$375,5,FALSE)</f>
        <v>45432</v>
      </c>
      <c r="N233" s="172"/>
      <c r="O233" s="172">
        <f>VLOOKUP(F233&amp;H233,'[1]MV+BI'!$E$8:$K$375,7,FALSE)</f>
        <v>45443</v>
      </c>
      <c r="P233" s="86"/>
      <c r="Q233" s="300" t="s">
        <v>187</v>
      </c>
      <c r="R233" s="300"/>
      <c r="S233" s="300"/>
      <c r="T233" s="300"/>
      <c r="U233" s="300"/>
      <c r="V233" s="300"/>
      <c r="W233" s="300"/>
      <c r="X233" s="300"/>
      <c r="Y233" s="300"/>
      <c r="Z233" s="300"/>
      <c r="AA233" s="300"/>
      <c r="AB233"/>
      <c r="AC233"/>
      <c r="AD233" s="32"/>
    </row>
    <row r="234" spans="3:30" s="2" customFormat="1" ht="15" customHeight="1">
      <c r="C234" s="157"/>
      <c r="D234" s="1"/>
      <c r="E234" s="124" t="s">
        <v>9</v>
      </c>
      <c r="F234" s="177" t="s">
        <v>194</v>
      </c>
      <c r="G234" s="62"/>
      <c r="H234" s="178" t="s">
        <v>207</v>
      </c>
      <c r="I234" s="176" t="str">
        <f>VLOOKUP(F234&amp;H234,'[1]MV+BI'!$E$8:$K$375,3,FALSE)</f>
        <v>Em Implementação</v>
      </c>
      <c r="J234" s="62"/>
      <c r="K234" s="170" t="str">
        <f>VLOOKUP(F234&amp;H234,'[1]MV+BI'!$E$8:$K$375,6,FALSE)</f>
        <v>IT</v>
      </c>
      <c r="L234" s="62"/>
      <c r="M234" s="172">
        <f>VLOOKUP(F234&amp;H234,'[1]MV+BI'!$E$8:$K$375,5,FALSE)</f>
        <v>45432</v>
      </c>
      <c r="N234" s="172"/>
      <c r="O234" s="172">
        <f>VLOOKUP(F234&amp;H234,'[1]MV+BI'!$E$8:$K$375,7,FALSE)</f>
        <v>45443</v>
      </c>
      <c r="P234" s="86"/>
      <c r="Q234" s="300" t="s">
        <v>187</v>
      </c>
      <c r="R234" s="300"/>
      <c r="S234" s="300"/>
      <c r="T234" s="300"/>
      <c r="U234" s="300"/>
      <c r="V234" s="300"/>
      <c r="W234" s="300"/>
      <c r="X234" s="300"/>
      <c r="Y234" s="300"/>
      <c r="Z234" s="300"/>
      <c r="AA234" s="300"/>
      <c r="AB234"/>
      <c r="AC234"/>
      <c r="AD234" s="32"/>
    </row>
    <row r="235" spans="3:30" s="2" customFormat="1" ht="15" customHeight="1">
      <c r="C235" s="157"/>
      <c r="D235" s="1"/>
      <c r="E235" s="124" t="s">
        <v>9</v>
      </c>
      <c r="F235" s="177" t="s">
        <v>208</v>
      </c>
      <c r="G235" s="62"/>
      <c r="H235" s="178" t="s">
        <v>67</v>
      </c>
      <c r="I235" s="176" t="str">
        <f>VLOOKUP(F235&amp;H235,'[1]MV+BI'!$E$8:$K$375,3,FALSE)</f>
        <v>Em Implementação</v>
      </c>
      <c r="J235" s="62"/>
      <c r="K235" s="170" t="str">
        <f>VLOOKUP(F235&amp;H235,'[1]MV+BI'!$E$8:$K$375,6,FALSE)</f>
        <v>IT</v>
      </c>
      <c r="L235" s="62"/>
      <c r="M235" s="172">
        <f>VLOOKUP(F235&amp;H235,'[1]MV+BI'!$E$8:$K$375,5,FALSE)</f>
        <v>45432</v>
      </c>
      <c r="N235" s="172"/>
      <c r="O235" s="172">
        <f>VLOOKUP(F235&amp;H235,'[1]MV+BI'!$E$8:$K$375,7,FALSE)</f>
        <v>45450</v>
      </c>
      <c r="P235" s="86"/>
      <c r="Q235" s="300" t="s">
        <v>187</v>
      </c>
      <c r="R235" s="300"/>
      <c r="S235" s="300"/>
      <c r="T235" s="300"/>
      <c r="U235" s="300"/>
      <c r="V235" s="300"/>
      <c r="W235" s="300"/>
      <c r="X235" s="300"/>
      <c r="Y235" s="300"/>
      <c r="Z235" s="300"/>
      <c r="AA235" s="300"/>
      <c r="AB235"/>
      <c r="AC235"/>
      <c r="AD235" s="32"/>
    </row>
    <row r="236" spans="3:30" s="2" customFormat="1" ht="15" customHeight="1">
      <c r="C236" s="157"/>
      <c r="D236" s="1"/>
      <c r="E236" s="124" t="s">
        <v>9</v>
      </c>
      <c r="F236" s="177" t="s">
        <v>208</v>
      </c>
      <c r="G236" s="62"/>
      <c r="H236" s="178" t="s">
        <v>190</v>
      </c>
      <c r="I236" s="176" t="str">
        <f>VLOOKUP(F236&amp;H236,'[1]MV+BI'!$E$8:$K$375,3,FALSE)</f>
        <v>Em Implementação</v>
      </c>
      <c r="J236" s="62"/>
      <c r="K236" s="170" t="str">
        <f>VLOOKUP(F236&amp;H236,'[1]MV+BI'!$E$8:$K$375,6,FALSE)</f>
        <v>IT</v>
      </c>
      <c r="L236" s="62"/>
      <c r="M236" s="172">
        <f>VLOOKUP(F236&amp;H236,'[1]MV+BI'!$E$8:$K$375,5,FALSE)</f>
        <v>45432</v>
      </c>
      <c r="N236" s="172"/>
      <c r="O236" s="172">
        <f>VLOOKUP(F236&amp;H236,'[1]MV+BI'!$E$8:$K$375,7,FALSE)</f>
        <v>45450</v>
      </c>
      <c r="P236" s="86"/>
      <c r="Q236" s="300" t="s">
        <v>187</v>
      </c>
      <c r="R236" s="300"/>
      <c r="S236" s="300"/>
      <c r="T236" s="300"/>
      <c r="U236" s="300"/>
      <c r="V236" s="300"/>
      <c r="W236" s="300"/>
      <c r="X236" s="300"/>
      <c r="Y236" s="300"/>
      <c r="Z236" s="300"/>
      <c r="AA236" s="300"/>
      <c r="AB236"/>
      <c r="AC236"/>
      <c r="AD236" s="32"/>
    </row>
    <row r="237" spans="3:30" s="2" customFormat="1" ht="15" customHeight="1">
      <c r="C237" s="157"/>
      <c r="D237" s="1"/>
      <c r="E237" s="124" t="s">
        <v>9</v>
      </c>
      <c r="F237" s="177" t="s">
        <v>208</v>
      </c>
      <c r="G237" s="62"/>
      <c r="H237" s="178" t="s">
        <v>209</v>
      </c>
      <c r="I237" s="176" t="str">
        <f>VLOOKUP(F237&amp;H237,'[1]MV+BI'!$E$8:$K$375,3,FALSE)</f>
        <v>Em Implementação</v>
      </c>
      <c r="J237" s="62"/>
      <c r="K237" s="170" t="str">
        <f>VLOOKUP(F237&amp;H237,'[1]MV+BI'!$E$8:$K$375,6,FALSE)</f>
        <v>IT</v>
      </c>
      <c r="L237" s="62"/>
      <c r="M237" s="172">
        <f>VLOOKUP(F237&amp;H237,'[1]MV+BI'!$E$8:$K$375,5,FALSE)</f>
        <v>45432</v>
      </c>
      <c r="N237" s="172"/>
      <c r="O237" s="172">
        <f>VLOOKUP(F237&amp;H237,'[1]MV+BI'!$E$8:$K$375,7,FALSE)</f>
        <v>45450</v>
      </c>
      <c r="P237" s="86"/>
      <c r="Q237" s="300" t="s">
        <v>187</v>
      </c>
      <c r="R237" s="300"/>
      <c r="S237" s="300"/>
      <c r="T237" s="300"/>
      <c r="U237" s="300"/>
      <c r="V237" s="300"/>
      <c r="W237" s="300"/>
      <c r="X237" s="300"/>
      <c r="Y237" s="300"/>
      <c r="Z237" s="300"/>
      <c r="AA237" s="300"/>
      <c r="AB237"/>
      <c r="AC237"/>
      <c r="AD237" s="32"/>
    </row>
    <row r="238" spans="3:30" s="2" customFormat="1" ht="15" customHeight="1">
      <c r="C238" s="157"/>
      <c r="D238" s="1"/>
      <c r="E238" s="124" t="s">
        <v>9</v>
      </c>
      <c r="F238" s="177" t="s">
        <v>208</v>
      </c>
      <c r="G238" s="62"/>
      <c r="H238" s="178" t="s">
        <v>188</v>
      </c>
      <c r="I238" s="176" t="str">
        <f>VLOOKUP(F238&amp;H238,'[1]MV+BI'!$E$8:$K$375,3,FALSE)</f>
        <v>Em Implementação</v>
      </c>
      <c r="J238" s="62"/>
      <c r="K238" s="170" t="str">
        <f>VLOOKUP(F238&amp;H238,'[1]MV+BI'!$E$8:$K$375,6,FALSE)</f>
        <v>IT</v>
      </c>
      <c r="L238" s="62"/>
      <c r="M238" s="172">
        <f>VLOOKUP(F238&amp;H238,'[1]MV+BI'!$E$8:$K$375,5,FALSE)</f>
        <v>45432</v>
      </c>
      <c r="N238" s="172"/>
      <c r="O238" s="172">
        <f>VLOOKUP(F238&amp;H238,'[1]MV+BI'!$E$8:$K$375,7,FALSE)</f>
        <v>45450</v>
      </c>
      <c r="P238" s="86"/>
      <c r="Q238" s="300" t="s">
        <v>187</v>
      </c>
      <c r="R238" s="300"/>
      <c r="S238" s="300"/>
      <c r="T238" s="300"/>
      <c r="U238" s="300"/>
      <c r="V238" s="300"/>
      <c r="W238" s="300"/>
      <c r="X238" s="300"/>
      <c r="Y238" s="300"/>
      <c r="Z238" s="300"/>
      <c r="AA238" s="300"/>
      <c r="AB238"/>
      <c r="AC238"/>
      <c r="AD238" s="32"/>
    </row>
    <row r="239" spans="3:30" s="2" customFormat="1" ht="15" customHeight="1">
      <c r="C239" s="157"/>
      <c r="D239" s="1"/>
      <c r="E239" s="124" t="s">
        <v>9</v>
      </c>
      <c r="F239" s="177" t="s">
        <v>208</v>
      </c>
      <c r="G239" s="62"/>
      <c r="H239" s="178" t="s">
        <v>189</v>
      </c>
      <c r="I239" s="176" t="str">
        <f>VLOOKUP(F239&amp;H239,'[1]MV+BI'!$E$8:$K$375,3,FALSE)</f>
        <v>Em Implementação</v>
      </c>
      <c r="J239" s="62"/>
      <c r="K239" s="170" t="str">
        <f>VLOOKUP(F239&amp;H239,'[1]MV+BI'!$E$8:$K$375,6,FALSE)</f>
        <v>IT</v>
      </c>
      <c r="L239" s="62"/>
      <c r="M239" s="172">
        <f>VLOOKUP(F239&amp;H239,'[1]MV+BI'!$E$8:$K$375,5,FALSE)</f>
        <v>45432</v>
      </c>
      <c r="N239" s="172"/>
      <c r="O239" s="172">
        <f>VLOOKUP(F239&amp;H239,'[1]MV+BI'!$E$8:$K$375,7,FALSE)</f>
        <v>45450</v>
      </c>
      <c r="P239" s="86"/>
      <c r="Q239" s="300" t="s">
        <v>187</v>
      </c>
      <c r="R239" s="300"/>
      <c r="S239" s="300"/>
      <c r="T239" s="300"/>
      <c r="U239" s="300"/>
      <c r="V239" s="300"/>
      <c r="W239" s="300"/>
      <c r="X239" s="300"/>
      <c r="Y239" s="300"/>
      <c r="Z239" s="300"/>
      <c r="AA239" s="300"/>
      <c r="AB239"/>
      <c r="AC239"/>
      <c r="AD239" s="32"/>
    </row>
    <row r="240" spans="3:30" s="2" customFormat="1" ht="15" customHeight="1">
      <c r="C240" s="157"/>
      <c r="D240" s="1"/>
      <c r="E240" s="124" t="s">
        <v>9</v>
      </c>
      <c r="F240" s="177" t="s">
        <v>208</v>
      </c>
      <c r="G240" s="62"/>
      <c r="H240" s="178" t="s">
        <v>113</v>
      </c>
      <c r="I240" s="176" t="str">
        <f>VLOOKUP(F240&amp;H240,'[1]MV+BI'!$E$8:$K$375,3,FALSE)</f>
        <v>Em Implementação</v>
      </c>
      <c r="J240" s="62"/>
      <c r="K240" s="170" t="str">
        <f>VLOOKUP(F240&amp;H240,'[1]MV+BI'!$E$8:$K$375,6,FALSE)</f>
        <v>IT</v>
      </c>
      <c r="L240" s="62"/>
      <c r="M240" s="172">
        <f>VLOOKUP(F240&amp;H240,'[1]MV+BI'!$E$8:$K$375,5,FALSE)</f>
        <v>45432</v>
      </c>
      <c r="N240" s="172"/>
      <c r="O240" s="172">
        <f>VLOOKUP(F240&amp;H240,'[1]MV+BI'!$E$8:$K$375,7,FALSE)</f>
        <v>45450</v>
      </c>
      <c r="P240" s="86"/>
      <c r="Q240" s="300" t="s">
        <v>187</v>
      </c>
      <c r="R240" s="300"/>
      <c r="S240" s="300"/>
      <c r="T240" s="300"/>
      <c r="U240" s="300"/>
      <c r="V240" s="300"/>
      <c r="W240" s="300"/>
      <c r="X240" s="300"/>
      <c r="Y240" s="300"/>
      <c r="Z240" s="300"/>
      <c r="AA240" s="300"/>
      <c r="AB240"/>
      <c r="AC240"/>
      <c r="AD240" s="32"/>
    </row>
    <row r="241" spans="3:30" s="2" customFormat="1" ht="15" customHeight="1">
      <c r="C241" s="157"/>
      <c r="D241" s="1"/>
      <c r="E241" s="124" t="s">
        <v>9</v>
      </c>
      <c r="F241" s="177" t="s">
        <v>208</v>
      </c>
      <c r="G241" s="62"/>
      <c r="H241" s="178" t="s">
        <v>115</v>
      </c>
      <c r="I241" s="176" t="str">
        <f>VLOOKUP(F241&amp;H241,'[1]MV+BI'!$E$8:$K$375,3,FALSE)</f>
        <v>Em Implementação</v>
      </c>
      <c r="J241" s="62"/>
      <c r="K241" s="170" t="str">
        <f>VLOOKUP(F241&amp;H241,'[1]MV+BI'!$E$8:$K$375,6,FALSE)</f>
        <v>IT</v>
      </c>
      <c r="L241" s="62"/>
      <c r="M241" s="172">
        <f>VLOOKUP(F241&amp;H241,'[1]MV+BI'!$E$8:$K$375,5,FALSE)</f>
        <v>45432</v>
      </c>
      <c r="N241" s="172"/>
      <c r="O241" s="172">
        <f>VLOOKUP(F241&amp;H241,'[1]MV+BI'!$E$8:$K$375,7,FALSE)</f>
        <v>45450</v>
      </c>
      <c r="P241" s="86"/>
      <c r="Q241" s="300" t="s">
        <v>187</v>
      </c>
      <c r="R241" s="300"/>
      <c r="S241" s="300"/>
      <c r="T241" s="300"/>
      <c r="U241" s="300"/>
      <c r="V241" s="300"/>
      <c r="W241" s="300"/>
      <c r="X241" s="300"/>
      <c r="Y241" s="300"/>
      <c r="Z241" s="300"/>
      <c r="AA241" s="300"/>
      <c r="AB241"/>
      <c r="AC241"/>
      <c r="AD241" s="32"/>
    </row>
    <row r="242" spans="3:30" s="2" customFormat="1" ht="15" customHeight="1">
      <c r="C242" s="157"/>
      <c r="D242" s="1"/>
      <c r="E242" s="124" t="s">
        <v>9</v>
      </c>
      <c r="F242" s="177" t="s">
        <v>208</v>
      </c>
      <c r="G242" s="62"/>
      <c r="H242" s="178" t="s">
        <v>74</v>
      </c>
      <c r="I242" s="176" t="str">
        <f>VLOOKUP(F242&amp;H242,'[1]MV+BI'!$E$8:$K$375,3,FALSE)</f>
        <v>Em Implementação</v>
      </c>
      <c r="J242" s="62"/>
      <c r="K242" s="170" t="str">
        <f>VLOOKUP(F242&amp;H242,'[1]MV+BI'!$E$8:$K$375,6,FALSE)</f>
        <v>IT</v>
      </c>
      <c r="L242" s="62"/>
      <c r="M242" s="172">
        <f>VLOOKUP(F242&amp;H242,'[1]MV+BI'!$E$8:$K$375,5,FALSE)</f>
        <v>45432</v>
      </c>
      <c r="N242" s="172"/>
      <c r="O242" s="172">
        <f>VLOOKUP(F242&amp;H242,'[1]MV+BI'!$E$8:$K$375,7,FALSE)</f>
        <v>45450</v>
      </c>
      <c r="P242" s="86"/>
      <c r="Q242" s="300" t="s">
        <v>187</v>
      </c>
      <c r="R242" s="300"/>
      <c r="S242" s="300"/>
      <c r="T242" s="300"/>
      <c r="U242" s="300"/>
      <c r="V242" s="300"/>
      <c r="W242" s="300"/>
      <c r="X242" s="300"/>
      <c r="Y242" s="300"/>
      <c r="Z242" s="300"/>
      <c r="AA242" s="300"/>
      <c r="AB242"/>
      <c r="AC242"/>
      <c r="AD242" s="32"/>
    </row>
    <row r="243" spans="3:30" s="2" customFormat="1" ht="15" customHeight="1">
      <c r="C243" s="157"/>
      <c r="D243" s="1"/>
      <c r="E243" s="124" t="s">
        <v>9</v>
      </c>
      <c r="F243" s="177" t="s">
        <v>208</v>
      </c>
      <c r="G243" s="62"/>
      <c r="H243" s="178" t="s">
        <v>210</v>
      </c>
      <c r="I243" s="176" t="str">
        <f>VLOOKUP(F243&amp;H243,'[1]MV+BI'!$E$8:$K$375,3,FALSE)</f>
        <v>Em Implementação</v>
      </c>
      <c r="J243" s="62"/>
      <c r="K243" s="170" t="str">
        <f>VLOOKUP(F243&amp;H243,'[1]MV+BI'!$E$8:$K$375,6,FALSE)</f>
        <v>IT</v>
      </c>
      <c r="L243" s="62"/>
      <c r="M243" s="172">
        <f>VLOOKUP(F243&amp;H243,'[1]MV+BI'!$E$8:$K$375,5,FALSE)</f>
        <v>45432</v>
      </c>
      <c r="N243" s="172"/>
      <c r="O243" s="172">
        <f>VLOOKUP(F243&amp;H243,'[1]MV+BI'!$E$8:$K$375,7,FALSE)</f>
        <v>45450</v>
      </c>
      <c r="P243" s="86"/>
      <c r="Q243" s="300" t="s">
        <v>187</v>
      </c>
      <c r="R243" s="300"/>
      <c r="S243" s="300"/>
      <c r="T243" s="300"/>
      <c r="U243" s="300"/>
      <c r="V243" s="300"/>
      <c r="W243" s="300"/>
      <c r="X243" s="300"/>
      <c r="Y243" s="300"/>
      <c r="Z243" s="300"/>
      <c r="AA243" s="300"/>
      <c r="AB243"/>
      <c r="AC243"/>
      <c r="AD243" s="32"/>
    </row>
    <row r="244" spans="3:30" s="2" customFormat="1" ht="15" customHeight="1">
      <c r="C244" s="157"/>
      <c r="D244" s="1"/>
      <c r="E244" s="124" t="s">
        <v>9</v>
      </c>
      <c r="F244" s="177" t="s">
        <v>208</v>
      </c>
      <c r="G244" s="62"/>
      <c r="H244" s="178" t="s">
        <v>211</v>
      </c>
      <c r="I244" s="176" t="str">
        <f>VLOOKUP(F244&amp;H244,'[1]MV+BI'!$E$8:$K$375,3,FALSE)</f>
        <v>Em Implementação</v>
      </c>
      <c r="J244" s="62"/>
      <c r="K244" s="170" t="str">
        <f>VLOOKUP(F244&amp;H244,'[1]MV+BI'!$E$8:$K$375,6,FALSE)</f>
        <v>IT</v>
      </c>
      <c r="L244" s="62"/>
      <c r="M244" s="172">
        <f>VLOOKUP(F244&amp;H244,'[1]MV+BI'!$E$8:$K$375,5,FALSE)</f>
        <v>45432</v>
      </c>
      <c r="N244" s="172"/>
      <c r="O244" s="172">
        <f>VLOOKUP(F244&amp;H244,'[1]MV+BI'!$E$8:$K$375,7,FALSE)</f>
        <v>45450</v>
      </c>
      <c r="P244" s="86"/>
      <c r="Q244" s="300" t="s">
        <v>187</v>
      </c>
      <c r="R244" s="300"/>
      <c r="S244" s="300"/>
      <c r="T244" s="300"/>
      <c r="U244" s="300"/>
      <c r="V244" s="300"/>
      <c r="W244" s="300"/>
      <c r="X244" s="300"/>
      <c r="Y244" s="300"/>
      <c r="Z244" s="300"/>
      <c r="AA244" s="300"/>
      <c r="AB244"/>
      <c r="AC244"/>
      <c r="AD244" s="32"/>
    </row>
    <row r="245" spans="3:30" s="2" customFormat="1" ht="15" customHeight="1">
      <c r="C245" s="157"/>
      <c r="D245" s="1"/>
      <c r="E245" s="124" t="s">
        <v>9</v>
      </c>
      <c r="F245" s="177" t="s">
        <v>208</v>
      </c>
      <c r="G245" s="62"/>
      <c r="H245" s="178" t="s">
        <v>212</v>
      </c>
      <c r="I245" s="176" t="str">
        <f>VLOOKUP(F245&amp;H245,'[1]MV+BI'!$E$8:$K$375,3,FALSE)</f>
        <v>Em Implementação</v>
      </c>
      <c r="J245" s="62"/>
      <c r="K245" s="170" t="str">
        <f>VLOOKUP(F245&amp;H245,'[1]MV+BI'!$E$8:$K$375,6,FALSE)</f>
        <v>IT</v>
      </c>
      <c r="L245" s="62"/>
      <c r="M245" s="172">
        <f>VLOOKUP(F245&amp;H245,'[1]MV+BI'!$E$8:$K$375,5,FALSE)</f>
        <v>45432</v>
      </c>
      <c r="N245" s="172"/>
      <c r="O245" s="172">
        <f>VLOOKUP(F245&amp;H245,'[1]MV+BI'!$E$8:$K$375,7,FALSE)</f>
        <v>45450</v>
      </c>
      <c r="P245" s="86"/>
      <c r="Q245" s="300" t="s">
        <v>187</v>
      </c>
      <c r="R245" s="300"/>
      <c r="S245" s="300"/>
      <c r="T245" s="300"/>
      <c r="U245" s="300"/>
      <c r="V245" s="300"/>
      <c r="W245" s="300"/>
      <c r="X245" s="300"/>
      <c r="Y245" s="300"/>
      <c r="Z245" s="300"/>
      <c r="AA245" s="300"/>
      <c r="AB245"/>
      <c r="AC245"/>
      <c r="AD245" s="32"/>
    </row>
    <row r="246" spans="3:30" s="2" customFormat="1" ht="15" customHeight="1">
      <c r="C246" s="157"/>
      <c r="D246" s="1"/>
      <c r="E246" s="124" t="s">
        <v>9</v>
      </c>
      <c r="F246" s="177" t="s">
        <v>208</v>
      </c>
      <c r="G246" s="62"/>
      <c r="H246" s="178" t="s">
        <v>213</v>
      </c>
      <c r="I246" s="176" t="str">
        <f>VLOOKUP(F246&amp;H246,'[1]MV+BI'!$E$8:$K$375,3,FALSE)</f>
        <v>Em Implementação</v>
      </c>
      <c r="J246" s="62"/>
      <c r="K246" s="170" t="str">
        <f>VLOOKUP(F246&amp;H246,'[1]MV+BI'!$E$8:$K$375,6,FALSE)</f>
        <v>IT</v>
      </c>
      <c r="L246" s="62"/>
      <c r="M246" s="172">
        <f>VLOOKUP(F246&amp;H246,'[1]MV+BI'!$E$8:$K$375,5,FALSE)</f>
        <v>45432</v>
      </c>
      <c r="N246" s="172"/>
      <c r="O246" s="172">
        <f>VLOOKUP(F246&amp;H246,'[1]MV+BI'!$E$8:$K$375,7,FALSE)</f>
        <v>45450</v>
      </c>
      <c r="P246" s="86"/>
      <c r="Q246" s="300" t="s">
        <v>187</v>
      </c>
      <c r="R246" s="300"/>
      <c r="S246" s="300"/>
      <c r="T246" s="300"/>
      <c r="U246" s="300"/>
      <c r="V246" s="300"/>
      <c r="W246" s="300"/>
      <c r="X246" s="300"/>
      <c r="Y246" s="300"/>
      <c r="Z246" s="300"/>
      <c r="AA246" s="300"/>
      <c r="AB246"/>
      <c r="AC246"/>
      <c r="AD246" s="32"/>
    </row>
    <row r="247" spans="3:30" s="2" customFormat="1" ht="15" customHeight="1">
      <c r="C247" s="157"/>
      <c r="D247" s="1"/>
      <c r="E247" s="124" t="s">
        <v>9</v>
      </c>
      <c r="F247" s="177" t="s">
        <v>208</v>
      </c>
      <c r="G247" s="62"/>
      <c r="H247" s="178" t="s">
        <v>214</v>
      </c>
      <c r="I247" s="176" t="str">
        <f>VLOOKUP(F247&amp;H247,'[1]MV+BI'!$E$8:$K$375,3,FALSE)</f>
        <v>Em Implementação</v>
      </c>
      <c r="J247" s="62"/>
      <c r="K247" s="170" t="str">
        <f>VLOOKUP(F247&amp;H247,'[1]MV+BI'!$E$8:$K$375,6,FALSE)</f>
        <v>IT</v>
      </c>
      <c r="L247" s="62"/>
      <c r="M247" s="172">
        <f>VLOOKUP(F247&amp;H247,'[1]MV+BI'!$E$8:$K$375,5,FALSE)</f>
        <v>45432</v>
      </c>
      <c r="N247" s="172"/>
      <c r="O247" s="172">
        <f>VLOOKUP(F247&amp;H247,'[1]MV+BI'!$E$8:$K$375,7,FALSE)</f>
        <v>45450</v>
      </c>
      <c r="P247" s="86"/>
      <c r="Q247" s="300" t="s">
        <v>187</v>
      </c>
      <c r="R247" s="300"/>
      <c r="S247" s="300"/>
      <c r="T247" s="300"/>
      <c r="U247" s="300"/>
      <c r="V247" s="300"/>
      <c r="W247" s="300"/>
      <c r="X247" s="300"/>
      <c r="Y247" s="300"/>
      <c r="Z247" s="300"/>
      <c r="AA247" s="300"/>
      <c r="AB247"/>
      <c r="AC247"/>
      <c r="AD247" s="32"/>
    </row>
    <row r="248" spans="3:30" s="2" customFormat="1" ht="15" customHeight="1">
      <c r="C248" s="157"/>
      <c r="D248" s="1"/>
      <c r="E248" s="124" t="s">
        <v>9</v>
      </c>
      <c r="F248" s="177" t="s">
        <v>208</v>
      </c>
      <c r="G248" s="62"/>
      <c r="H248" s="178" t="s">
        <v>215</v>
      </c>
      <c r="I248" s="176" t="str">
        <f>VLOOKUP(F248&amp;H248,'[1]MV+BI'!$E$8:$K$375,3,FALSE)</f>
        <v>Em Implementação</v>
      </c>
      <c r="J248" s="62"/>
      <c r="K248" s="170" t="str">
        <f>VLOOKUP(F248&amp;H248,'[1]MV+BI'!$E$8:$K$375,6,FALSE)</f>
        <v>IT</v>
      </c>
      <c r="L248" s="62"/>
      <c r="M248" s="172">
        <f>VLOOKUP(F248&amp;H248,'[1]MV+BI'!$E$8:$K$375,5,FALSE)</f>
        <v>45432</v>
      </c>
      <c r="N248" s="172"/>
      <c r="O248" s="172">
        <f>VLOOKUP(F248&amp;H248,'[1]MV+BI'!$E$8:$K$375,7,FALSE)</f>
        <v>45450</v>
      </c>
      <c r="P248" s="86"/>
      <c r="Q248" s="300" t="s">
        <v>187</v>
      </c>
      <c r="R248" s="300"/>
      <c r="S248" s="300"/>
      <c r="T248" s="300"/>
      <c r="U248" s="300"/>
      <c r="V248" s="300"/>
      <c r="W248" s="300"/>
      <c r="X248" s="300"/>
      <c r="Y248" s="300"/>
      <c r="Z248" s="300"/>
      <c r="AA248" s="300"/>
      <c r="AB248"/>
      <c r="AC248"/>
      <c r="AD248" s="32"/>
    </row>
    <row r="249" spans="3:30" s="2" customFormat="1" ht="15" customHeight="1">
      <c r="C249" s="157"/>
      <c r="D249" s="1"/>
      <c r="E249" s="124" t="s">
        <v>9</v>
      </c>
      <c r="F249" s="177" t="s">
        <v>208</v>
      </c>
      <c r="G249" s="62"/>
      <c r="H249" s="179" t="s">
        <v>216</v>
      </c>
      <c r="I249" s="176" t="str">
        <f>VLOOKUP(F249&amp;H249,'[1]MV+BI'!$E$8:$K$375,3,FALSE)</f>
        <v>Em Implementação</v>
      </c>
      <c r="J249" s="62"/>
      <c r="K249" s="170" t="str">
        <f>VLOOKUP(F249&amp;H249,'[1]MV+BI'!$E$8:$K$375,6,FALSE)</f>
        <v>IT</v>
      </c>
      <c r="L249" s="62"/>
      <c r="M249" s="172">
        <f>VLOOKUP(F249&amp;H249,'[1]MV+BI'!$E$8:$K$375,5,FALSE)</f>
        <v>45432</v>
      </c>
      <c r="N249" s="172"/>
      <c r="O249" s="172">
        <f>VLOOKUP(F249&amp;H249,'[1]MV+BI'!$E$8:$K$375,7,FALSE)</f>
        <v>45450</v>
      </c>
      <c r="P249" s="86"/>
      <c r="Q249" s="300" t="s">
        <v>187</v>
      </c>
      <c r="R249" s="300"/>
      <c r="S249" s="300"/>
      <c r="T249" s="300"/>
      <c r="U249" s="300"/>
      <c r="V249" s="300"/>
      <c r="W249" s="300"/>
      <c r="X249" s="300"/>
      <c r="Y249" s="300"/>
      <c r="Z249" s="300"/>
      <c r="AA249" s="300"/>
      <c r="AB249"/>
      <c r="AC249"/>
      <c r="AD249" s="32"/>
    </row>
    <row r="250" spans="3:30" s="2" customFormat="1" ht="15" customHeight="1">
      <c r="C250" s="157"/>
      <c r="D250" s="1"/>
      <c r="E250" s="124" t="s">
        <v>9</v>
      </c>
      <c r="F250" s="177" t="s">
        <v>208</v>
      </c>
      <c r="G250" s="62"/>
      <c r="H250" s="180" t="s">
        <v>217</v>
      </c>
      <c r="I250" s="176" t="str">
        <f>VLOOKUP(F250&amp;H250,'[1]MV+BI'!$E$8:$K$375,3,FALSE)</f>
        <v>Em Implementação</v>
      </c>
      <c r="J250" s="62"/>
      <c r="K250" s="170" t="str">
        <f>VLOOKUP(F250&amp;H250,'[1]MV+BI'!$E$8:$K$375,6,FALSE)</f>
        <v>IT</v>
      </c>
      <c r="L250" s="62"/>
      <c r="M250" s="172">
        <f>VLOOKUP(F250&amp;H250,'[1]MV+BI'!$E$8:$K$375,5,FALSE)</f>
        <v>45432</v>
      </c>
      <c r="N250" s="172"/>
      <c r="O250" s="172">
        <f>VLOOKUP(F250&amp;H250,'[1]MV+BI'!$E$8:$K$375,7,FALSE)</f>
        <v>45450</v>
      </c>
      <c r="P250" s="86"/>
      <c r="Q250" s="300" t="s">
        <v>187</v>
      </c>
      <c r="R250" s="300"/>
      <c r="S250" s="300"/>
      <c r="T250" s="300"/>
      <c r="U250" s="300"/>
      <c r="V250" s="300"/>
      <c r="W250" s="300"/>
      <c r="X250" s="300"/>
      <c r="Y250" s="300"/>
      <c r="Z250" s="300"/>
      <c r="AA250" s="300"/>
      <c r="AB250"/>
      <c r="AC250"/>
      <c r="AD250" s="32"/>
    </row>
    <row r="251" spans="3:30" s="2" customFormat="1" ht="15" customHeight="1">
      <c r="C251" s="157"/>
      <c r="D251" s="1"/>
      <c r="E251" s="124" t="s">
        <v>9</v>
      </c>
      <c r="F251" s="177" t="s">
        <v>208</v>
      </c>
      <c r="G251" s="62"/>
      <c r="H251" s="180" t="s">
        <v>218</v>
      </c>
      <c r="I251" s="176" t="str">
        <f>VLOOKUP(F251&amp;H251,'[1]MV+BI'!$E$8:$K$375,3,FALSE)</f>
        <v>Em Implementação</v>
      </c>
      <c r="J251" s="62"/>
      <c r="K251" s="170" t="str">
        <f>VLOOKUP(F251&amp;H251,'[1]MV+BI'!$E$8:$K$375,6,FALSE)</f>
        <v>IT</v>
      </c>
      <c r="L251" s="62"/>
      <c r="M251" s="172">
        <f>VLOOKUP(F251&amp;H251,'[1]MV+BI'!$E$8:$K$375,5,FALSE)</f>
        <v>45432</v>
      </c>
      <c r="N251" s="172"/>
      <c r="O251" s="172">
        <f>VLOOKUP(F251&amp;H251,'[1]MV+BI'!$E$8:$K$375,7,FALSE)</f>
        <v>45450</v>
      </c>
      <c r="P251" s="86"/>
      <c r="Q251" s="300" t="s">
        <v>187</v>
      </c>
      <c r="R251" s="300"/>
      <c r="S251" s="300"/>
      <c r="T251" s="300"/>
      <c r="U251" s="300"/>
      <c r="V251" s="300"/>
      <c r="W251" s="300"/>
      <c r="X251" s="300"/>
      <c r="Y251" s="300"/>
      <c r="Z251" s="300"/>
      <c r="AA251" s="300"/>
      <c r="AB251"/>
      <c r="AC251"/>
      <c r="AD251" s="32"/>
    </row>
    <row r="252" spans="3:30" s="2" customFormat="1" ht="15" customHeight="1">
      <c r="C252" s="157"/>
      <c r="D252" s="1"/>
      <c r="E252" s="124" t="s">
        <v>9</v>
      </c>
      <c r="F252" s="177" t="s">
        <v>219</v>
      </c>
      <c r="G252" s="62"/>
      <c r="H252" s="180" t="s">
        <v>67</v>
      </c>
      <c r="I252" s="176" t="str">
        <f>VLOOKUP(F252&amp;H252,'[1]MV+BI'!$E$8:$K$375,3,FALSE)</f>
        <v>Em Implementação</v>
      </c>
      <c r="J252" s="62"/>
      <c r="K252" s="170" t="str">
        <f>VLOOKUP(F252&amp;H252,'[1]MV+BI'!$E$8:$K$375,6,FALSE)</f>
        <v>IT</v>
      </c>
      <c r="L252" s="62"/>
      <c r="M252" s="172">
        <f>VLOOKUP(F252&amp;H252,'[1]MV+BI'!$E$8:$K$375,5,FALSE)</f>
        <v>45432</v>
      </c>
      <c r="N252" s="172"/>
      <c r="O252" s="172">
        <f>VLOOKUP(F252&amp;H252,'[1]MV+BI'!$E$8:$K$375,7,FALSE)</f>
        <v>45478</v>
      </c>
      <c r="P252" s="86"/>
      <c r="Q252" s="300" t="s">
        <v>187</v>
      </c>
      <c r="R252" s="300"/>
      <c r="S252" s="300"/>
      <c r="T252" s="300"/>
      <c r="U252" s="300"/>
      <c r="V252" s="300"/>
      <c r="W252" s="300"/>
      <c r="X252" s="300"/>
      <c r="Y252" s="300"/>
      <c r="Z252" s="300"/>
      <c r="AA252" s="300"/>
      <c r="AB252"/>
      <c r="AC252"/>
      <c r="AD252" s="32"/>
    </row>
    <row r="253" spans="3:30" s="2" customFormat="1" ht="15" customHeight="1">
      <c r="C253" s="157"/>
      <c r="D253" s="1"/>
      <c r="E253" s="124" t="s">
        <v>9</v>
      </c>
      <c r="F253" s="177" t="s">
        <v>219</v>
      </c>
      <c r="G253" s="62"/>
      <c r="H253" s="180" t="s">
        <v>190</v>
      </c>
      <c r="I253" s="176" t="str">
        <f>VLOOKUP(F253&amp;H253,'[1]MV+BI'!$E$8:$K$375,3,FALSE)</f>
        <v>Em Implementação</v>
      </c>
      <c r="J253" s="62"/>
      <c r="K253" s="170" t="str">
        <f>VLOOKUP(F253&amp;H253,'[1]MV+BI'!$E$8:$K$375,6,FALSE)</f>
        <v>IT</v>
      </c>
      <c r="L253" s="62"/>
      <c r="M253" s="172">
        <f>VLOOKUP(F253&amp;H253,'[1]MV+BI'!$E$8:$K$375,5,FALSE)</f>
        <v>45432</v>
      </c>
      <c r="N253" s="172"/>
      <c r="O253" s="172">
        <f>VLOOKUP(F253&amp;H253,'[1]MV+BI'!$E$8:$K$375,7,FALSE)</f>
        <v>45478</v>
      </c>
      <c r="P253" s="86"/>
      <c r="Q253" s="300" t="s">
        <v>187</v>
      </c>
      <c r="R253" s="300"/>
      <c r="S253" s="300"/>
      <c r="T253" s="300"/>
      <c r="U253" s="300"/>
      <c r="V253" s="300"/>
      <c r="W253" s="300"/>
      <c r="X253" s="300"/>
      <c r="Y253" s="300"/>
      <c r="Z253" s="300"/>
      <c r="AA253" s="300"/>
      <c r="AB253"/>
      <c r="AC253"/>
      <c r="AD253" s="32"/>
    </row>
    <row r="254" spans="3:30" s="2" customFormat="1" ht="15" customHeight="1">
      <c r="C254" s="157"/>
      <c r="D254" s="1"/>
      <c r="E254" s="124" t="s">
        <v>9</v>
      </c>
      <c r="F254" s="177" t="s">
        <v>219</v>
      </c>
      <c r="G254" s="62"/>
      <c r="H254" s="180" t="s">
        <v>189</v>
      </c>
      <c r="I254" s="176" t="str">
        <f>VLOOKUP(F254&amp;H254,'[1]MV+BI'!$E$8:$K$375,3,FALSE)</f>
        <v>Em Implementação</v>
      </c>
      <c r="J254" s="62"/>
      <c r="K254" s="170" t="str">
        <f>VLOOKUP(F254&amp;H254,'[1]MV+BI'!$E$8:$K$375,6,FALSE)</f>
        <v>IT</v>
      </c>
      <c r="L254" s="62"/>
      <c r="M254" s="172">
        <f>VLOOKUP(F254&amp;H254,'[1]MV+BI'!$E$8:$K$375,5,FALSE)</f>
        <v>45432</v>
      </c>
      <c r="N254" s="172"/>
      <c r="O254" s="172">
        <f>VLOOKUP(F254&amp;H254,'[1]MV+BI'!$E$8:$K$375,7,FALSE)</f>
        <v>45478</v>
      </c>
      <c r="P254" s="86"/>
      <c r="Q254" s="300" t="s">
        <v>187</v>
      </c>
      <c r="R254" s="300"/>
      <c r="S254" s="300"/>
      <c r="T254" s="300"/>
      <c r="U254" s="300"/>
      <c r="V254" s="300"/>
      <c r="W254" s="300"/>
      <c r="X254" s="300"/>
      <c r="Y254" s="300"/>
      <c r="Z254" s="300"/>
      <c r="AA254" s="300"/>
      <c r="AB254"/>
      <c r="AC254"/>
      <c r="AD254" s="32"/>
    </row>
    <row r="255" spans="3:30" s="2" customFormat="1" ht="15" customHeight="1">
      <c r="C255" s="157"/>
      <c r="D255" s="1"/>
      <c r="E255" s="124" t="s">
        <v>9</v>
      </c>
      <c r="F255" s="177" t="s">
        <v>219</v>
      </c>
      <c r="G255" s="62"/>
      <c r="H255" s="180" t="s">
        <v>220</v>
      </c>
      <c r="I255" s="176" t="str">
        <f>VLOOKUP(F255&amp;H255,'[1]MV+BI'!$E$8:$K$375,3,FALSE)</f>
        <v>Em Implementação</v>
      </c>
      <c r="J255" s="62"/>
      <c r="K255" s="170" t="str">
        <f>VLOOKUP(F255&amp;H255,'[1]MV+BI'!$E$8:$K$375,6,FALSE)</f>
        <v>IT</v>
      </c>
      <c r="L255" s="62"/>
      <c r="M255" s="172">
        <f>VLOOKUP(F255&amp;H255,'[1]MV+BI'!$E$8:$K$375,5,FALSE)</f>
        <v>45432</v>
      </c>
      <c r="N255" s="172"/>
      <c r="O255" s="172">
        <f>VLOOKUP(F255&amp;H255,'[1]MV+BI'!$E$8:$K$375,7,FALSE)</f>
        <v>45478</v>
      </c>
      <c r="P255" s="86"/>
      <c r="Q255" s="300" t="s">
        <v>187</v>
      </c>
      <c r="R255" s="300"/>
      <c r="S255" s="300"/>
      <c r="T255" s="300"/>
      <c r="U255" s="300"/>
      <c r="V255" s="300"/>
      <c r="W255" s="300"/>
      <c r="X255" s="300"/>
      <c r="Y255" s="300"/>
      <c r="Z255" s="300"/>
      <c r="AA255" s="300"/>
      <c r="AB255"/>
      <c r="AC255"/>
      <c r="AD255" s="32"/>
    </row>
    <row r="256" spans="3:30" s="2" customFormat="1" ht="15" customHeight="1">
      <c r="C256" s="157"/>
      <c r="D256" s="1"/>
      <c r="E256" s="124" t="s">
        <v>9</v>
      </c>
      <c r="F256" s="177" t="s">
        <v>219</v>
      </c>
      <c r="G256" s="62"/>
      <c r="H256" s="180" t="s">
        <v>191</v>
      </c>
      <c r="I256" s="176" t="str">
        <f>VLOOKUP(F256&amp;H256,'[1]MV+BI'!$E$8:$K$375,3,FALSE)</f>
        <v>Em Implementação</v>
      </c>
      <c r="J256" s="62"/>
      <c r="K256" s="170" t="str">
        <f>VLOOKUP(F256&amp;H256,'[1]MV+BI'!$E$8:$K$375,6,FALSE)</f>
        <v>IT</v>
      </c>
      <c r="L256" s="62"/>
      <c r="M256" s="172">
        <f>VLOOKUP(F256&amp;H256,'[1]MV+BI'!$E$8:$K$375,5,FALSE)</f>
        <v>45432</v>
      </c>
      <c r="N256" s="172"/>
      <c r="O256" s="172">
        <f>VLOOKUP(F256&amp;H256,'[1]MV+BI'!$E$8:$K$375,7,FALSE)</f>
        <v>45478</v>
      </c>
      <c r="P256" s="86"/>
      <c r="Q256" s="300" t="s">
        <v>187</v>
      </c>
      <c r="R256" s="300"/>
      <c r="S256" s="300"/>
      <c r="T256" s="300"/>
      <c r="U256" s="300"/>
      <c r="V256" s="300"/>
      <c r="W256" s="300"/>
      <c r="X256" s="300"/>
      <c r="Y256" s="300"/>
      <c r="Z256" s="300"/>
      <c r="AA256" s="300"/>
      <c r="AB256"/>
      <c r="AC256"/>
      <c r="AD256" s="32"/>
    </row>
    <row r="257" spans="3:30" s="2" customFormat="1" ht="15" customHeight="1">
      <c r="C257" s="157"/>
      <c r="D257" s="1"/>
      <c r="E257" s="124" t="s">
        <v>9</v>
      </c>
      <c r="F257" s="177" t="s">
        <v>219</v>
      </c>
      <c r="G257" s="62"/>
      <c r="H257" s="180" t="s">
        <v>167</v>
      </c>
      <c r="I257" s="176" t="str">
        <f>VLOOKUP(F257&amp;H257,'[1]MV+BI'!$E$8:$K$375,3,FALSE)</f>
        <v>Em Implementação</v>
      </c>
      <c r="J257" s="62"/>
      <c r="K257" s="170" t="str">
        <f>VLOOKUP(F257&amp;H257,'[1]MV+BI'!$E$8:$K$375,6,FALSE)</f>
        <v>IT</v>
      </c>
      <c r="L257" s="62"/>
      <c r="M257" s="172">
        <f>VLOOKUP(F257&amp;H257,'[1]MV+BI'!$E$8:$K$375,5,FALSE)</f>
        <v>45432</v>
      </c>
      <c r="N257" s="172"/>
      <c r="O257" s="172">
        <f>VLOOKUP(F257&amp;H257,'[1]MV+BI'!$E$8:$K$375,7,FALSE)</f>
        <v>45478</v>
      </c>
      <c r="P257" s="86"/>
      <c r="Q257" s="300" t="s">
        <v>187</v>
      </c>
      <c r="R257" s="300"/>
      <c r="S257" s="300"/>
      <c r="T257" s="300"/>
      <c r="U257" s="300"/>
      <c r="V257" s="300"/>
      <c r="W257" s="300"/>
      <c r="X257" s="300"/>
      <c r="Y257" s="300"/>
      <c r="Z257" s="300"/>
      <c r="AA257" s="300"/>
      <c r="AB257"/>
      <c r="AC257"/>
      <c r="AD257" s="32"/>
    </row>
    <row r="258" spans="3:30" s="2" customFormat="1" ht="15" customHeight="1">
      <c r="C258" s="157"/>
      <c r="D258" s="1"/>
      <c r="E258" s="124" t="s">
        <v>9</v>
      </c>
      <c r="F258" s="177" t="s">
        <v>219</v>
      </c>
      <c r="G258" s="62"/>
      <c r="H258" s="180" t="s">
        <v>171</v>
      </c>
      <c r="I258" s="176" t="str">
        <f>VLOOKUP(F258&amp;H258,'[1]MV+BI'!$E$8:$K$375,3,FALSE)</f>
        <v>Em Implementação</v>
      </c>
      <c r="J258" s="62"/>
      <c r="K258" s="170" t="str">
        <f>VLOOKUP(F258&amp;H258,'[1]MV+BI'!$E$8:$K$375,6,FALSE)</f>
        <v>IT</v>
      </c>
      <c r="L258" s="62"/>
      <c r="M258" s="172">
        <f>VLOOKUP(F258&amp;H258,'[1]MV+BI'!$E$8:$K$375,5,FALSE)</f>
        <v>45432</v>
      </c>
      <c r="N258" s="172"/>
      <c r="O258" s="172">
        <f>VLOOKUP(F258&amp;H258,'[1]MV+BI'!$E$8:$K$375,7,FALSE)</f>
        <v>45478</v>
      </c>
      <c r="P258" s="86"/>
      <c r="Q258" s="300" t="s">
        <v>187</v>
      </c>
      <c r="R258" s="300"/>
      <c r="S258" s="300"/>
      <c r="T258" s="300"/>
      <c r="U258" s="300"/>
      <c r="V258" s="300"/>
      <c r="W258" s="300"/>
      <c r="X258" s="300"/>
      <c r="Y258" s="300"/>
      <c r="Z258" s="300"/>
      <c r="AA258" s="300"/>
      <c r="AB258"/>
      <c r="AC258"/>
      <c r="AD258" s="32"/>
    </row>
    <row r="259" spans="3:30" s="2" customFormat="1" ht="15" customHeight="1">
      <c r="C259" s="157"/>
      <c r="D259" s="1"/>
      <c r="E259" s="124" t="s">
        <v>9</v>
      </c>
      <c r="F259" s="177" t="s">
        <v>219</v>
      </c>
      <c r="G259" s="62"/>
      <c r="H259" s="180" t="s">
        <v>172</v>
      </c>
      <c r="I259" s="176" t="str">
        <f>VLOOKUP(F259&amp;H259,'[1]MV+BI'!$E$8:$K$375,3,FALSE)</f>
        <v>Em Implementação</v>
      </c>
      <c r="J259" s="62"/>
      <c r="K259" s="170" t="str">
        <f>VLOOKUP(F259&amp;H259,'[1]MV+BI'!$E$8:$K$375,6,FALSE)</f>
        <v>IT</v>
      </c>
      <c r="L259" s="62"/>
      <c r="M259" s="172">
        <f>VLOOKUP(F259&amp;H259,'[1]MV+BI'!$E$8:$K$375,5,FALSE)</f>
        <v>45432</v>
      </c>
      <c r="N259" s="172"/>
      <c r="O259" s="172">
        <f>VLOOKUP(F259&amp;H259,'[1]MV+BI'!$E$8:$K$375,7,FALSE)</f>
        <v>45478</v>
      </c>
      <c r="P259" s="86"/>
      <c r="Q259" s="300" t="s">
        <v>187</v>
      </c>
      <c r="R259" s="300"/>
      <c r="S259" s="300"/>
      <c r="T259" s="300"/>
      <c r="U259" s="300"/>
      <c r="V259" s="300"/>
      <c r="W259" s="300"/>
      <c r="X259" s="300"/>
      <c r="Y259" s="300"/>
      <c r="Z259" s="300"/>
      <c r="AA259" s="300"/>
      <c r="AB259"/>
      <c r="AC259"/>
      <c r="AD259" s="32"/>
    </row>
    <row r="260" spans="3:30" s="2" customFormat="1" ht="15" customHeight="1">
      <c r="C260" s="157"/>
      <c r="D260" s="1"/>
      <c r="E260" s="124" t="s">
        <v>9</v>
      </c>
      <c r="F260" s="177" t="s">
        <v>219</v>
      </c>
      <c r="G260" s="62"/>
      <c r="H260" s="180" t="s">
        <v>173</v>
      </c>
      <c r="I260" s="176" t="str">
        <f>VLOOKUP(F260&amp;H260,'[1]MV+BI'!$E$8:$K$375,3,FALSE)</f>
        <v>Em Implementação</v>
      </c>
      <c r="J260" s="62"/>
      <c r="K260" s="170" t="str">
        <f>VLOOKUP(F260&amp;H260,'[1]MV+BI'!$E$8:$K$375,6,FALSE)</f>
        <v>IT</v>
      </c>
      <c r="L260" s="62"/>
      <c r="M260" s="172">
        <f>VLOOKUP(F260&amp;H260,'[1]MV+BI'!$E$8:$K$375,5,FALSE)</f>
        <v>45432</v>
      </c>
      <c r="N260" s="172"/>
      <c r="O260" s="172">
        <f>VLOOKUP(F260&amp;H260,'[1]MV+BI'!$E$8:$K$375,7,FALSE)</f>
        <v>45478</v>
      </c>
      <c r="P260" s="86"/>
      <c r="Q260" s="300" t="s">
        <v>187</v>
      </c>
      <c r="R260" s="300"/>
      <c r="S260" s="300"/>
      <c r="T260" s="300"/>
      <c r="U260" s="300"/>
      <c r="V260" s="300"/>
      <c r="W260" s="300"/>
      <c r="X260" s="300"/>
      <c r="Y260" s="300"/>
      <c r="Z260" s="300"/>
      <c r="AA260" s="300"/>
      <c r="AB260"/>
      <c r="AC260"/>
      <c r="AD260" s="32"/>
    </row>
    <row r="261" spans="3:30" s="2" customFormat="1" ht="15" customHeight="1">
      <c r="C261" s="157"/>
      <c r="D261" s="1"/>
      <c r="E261" s="124" t="s">
        <v>9</v>
      </c>
      <c r="F261" s="177" t="s">
        <v>219</v>
      </c>
      <c r="G261" s="62"/>
      <c r="H261" s="180" t="s">
        <v>174</v>
      </c>
      <c r="I261" s="176" t="str">
        <f>VLOOKUP(F261&amp;H261,'[1]MV+BI'!$E$8:$K$375,3,FALSE)</f>
        <v>Em Implementação</v>
      </c>
      <c r="J261" s="62"/>
      <c r="K261" s="170" t="str">
        <f>VLOOKUP(F261&amp;H261,'[1]MV+BI'!$E$8:$K$375,6,FALSE)</f>
        <v>IT</v>
      </c>
      <c r="L261" s="62"/>
      <c r="M261" s="172">
        <f>VLOOKUP(F261&amp;H261,'[1]MV+BI'!$E$8:$K$375,5,FALSE)</f>
        <v>45432</v>
      </c>
      <c r="N261" s="172"/>
      <c r="O261" s="172">
        <f>VLOOKUP(F261&amp;H261,'[1]MV+BI'!$E$8:$K$375,7,FALSE)</f>
        <v>45478</v>
      </c>
      <c r="P261" s="86"/>
      <c r="Q261" s="300" t="s">
        <v>187</v>
      </c>
      <c r="R261" s="300"/>
      <c r="S261" s="300"/>
      <c r="T261" s="300"/>
      <c r="U261" s="300"/>
      <c r="V261" s="300"/>
      <c r="W261" s="300"/>
      <c r="X261" s="300"/>
      <c r="Y261" s="300"/>
      <c r="Z261" s="300"/>
      <c r="AA261" s="300"/>
      <c r="AB261"/>
      <c r="AC261"/>
      <c r="AD261" s="32"/>
    </row>
    <row r="262" spans="3:30" s="2" customFormat="1" ht="15" customHeight="1">
      <c r="C262" s="157"/>
      <c r="D262" s="1"/>
      <c r="E262" s="124" t="s">
        <v>9</v>
      </c>
      <c r="F262" s="177" t="s">
        <v>219</v>
      </c>
      <c r="G262" s="62"/>
      <c r="H262" s="180" t="s">
        <v>175</v>
      </c>
      <c r="I262" s="176" t="str">
        <f>VLOOKUP(F262&amp;H262,'[1]MV+BI'!$E$8:$K$375,3,FALSE)</f>
        <v>Em Implementação</v>
      </c>
      <c r="J262" s="62"/>
      <c r="K262" s="170" t="str">
        <f>VLOOKUP(F262&amp;H262,'[1]MV+BI'!$E$8:$K$375,6,FALSE)</f>
        <v>IT</v>
      </c>
      <c r="L262" s="62"/>
      <c r="M262" s="172">
        <f>VLOOKUP(F262&amp;H262,'[1]MV+BI'!$E$8:$K$375,5,FALSE)</f>
        <v>45432</v>
      </c>
      <c r="N262" s="172"/>
      <c r="O262" s="172">
        <f>VLOOKUP(F262&amp;H262,'[1]MV+BI'!$E$8:$K$375,7,FALSE)</f>
        <v>45478</v>
      </c>
      <c r="P262" s="86"/>
      <c r="Q262" s="300" t="s">
        <v>187</v>
      </c>
      <c r="R262" s="300"/>
      <c r="S262" s="300"/>
      <c r="T262" s="300"/>
      <c r="U262" s="300"/>
      <c r="V262" s="300"/>
      <c r="W262" s="300"/>
      <c r="X262" s="300"/>
      <c r="Y262" s="300"/>
      <c r="Z262" s="300"/>
      <c r="AA262" s="300"/>
      <c r="AB262"/>
      <c r="AC262"/>
      <c r="AD262" s="32"/>
    </row>
    <row r="263" spans="3:30" s="2" customFormat="1" ht="15" customHeight="1">
      <c r="C263" s="157"/>
      <c r="D263" s="1"/>
      <c r="E263" s="124" t="s">
        <v>9</v>
      </c>
      <c r="F263" s="177" t="s">
        <v>219</v>
      </c>
      <c r="G263" s="62"/>
      <c r="H263" s="180" t="s">
        <v>176</v>
      </c>
      <c r="I263" s="176" t="str">
        <f>VLOOKUP(F263&amp;H263,'[1]MV+BI'!$E$8:$K$375,3,FALSE)</f>
        <v>Em Implementação</v>
      </c>
      <c r="J263" s="62"/>
      <c r="K263" s="170" t="str">
        <f>VLOOKUP(F263&amp;H263,'[1]MV+BI'!$E$8:$K$375,6,FALSE)</f>
        <v>IT</v>
      </c>
      <c r="L263" s="62"/>
      <c r="M263" s="172">
        <f>VLOOKUP(F263&amp;H263,'[1]MV+BI'!$E$8:$K$375,5,FALSE)</f>
        <v>45432</v>
      </c>
      <c r="N263" s="172"/>
      <c r="O263" s="172">
        <f>VLOOKUP(F263&amp;H263,'[1]MV+BI'!$E$8:$K$375,7,FALSE)</f>
        <v>45478</v>
      </c>
      <c r="P263" s="86"/>
      <c r="Q263" s="300" t="s">
        <v>187</v>
      </c>
      <c r="R263" s="300"/>
      <c r="S263" s="300"/>
      <c r="T263" s="300"/>
      <c r="U263" s="300"/>
      <c r="V263" s="300"/>
      <c r="W263" s="300"/>
      <c r="X263" s="300"/>
      <c r="Y263" s="300"/>
      <c r="Z263" s="300"/>
      <c r="AA263" s="300"/>
      <c r="AB263"/>
      <c r="AC263"/>
      <c r="AD263" s="32"/>
    </row>
    <row r="264" spans="3:30" s="2" customFormat="1" ht="15" customHeight="1">
      <c r="C264" s="157"/>
      <c r="D264" s="1"/>
      <c r="E264" s="124" t="s">
        <v>9</v>
      </c>
      <c r="F264" s="177" t="s">
        <v>219</v>
      </c>
      <c r="G264" s="62"/>
      <c r="H264" s="180" t="s">
        <v>177</v>
      </c>
      <c r="I264" s="176" t="str">
        <f>VLOOKUP(F264&amp;H264,'[1]MV+BI'!$E$8:$K$375,3,FALSE)</f>
        <v>Em Implementação</v>
      </c>
      <c r="J264" s="62"/>
      <c r="K264" s="170" t="str">
        <f>VLOOKUP(F264&amp;H264,'[1]MV+BI'!$E$8:$K$375,6,FALSE)</f>
        <v>IT</v>
      </c>
      <c r="L264" s="62"/>
      <c r="M264" s="172">
        <f>VLOOKUP(F264&amp;H264,'[1]MV+BI'!$E$8:$K$375,5,FALSE)</f>
        <v>45432</v>
      </c>
      <c r="N264" s="172"/>
      <c r="O264" s="172">
        <f>VLOOKUP(F264&amp;H264,'[1]MV+BI'!$E$8:$K$375,7,FALSE)</f>
        <v>45478</v>
      </c>
      <c r="P264" s="86"/>
      <c r="Q264" s="300" t="s">
        <v>187</v>
      </c>
      <c r="R264" s="300"/>
      <c r="S264" s="300"/>
      <c r="T264" s="300"/>
      <c r="U264" s="300"/>
      <c r="V264" s="300"/>
      <c r="W264" s="300"/>
      <c r="X264" s="300"/>
      <c r="Y264" s="300"/>
      <c r="Z264" s="300"/>
      <c r="AA264" s="300"/>
      <c r="AB264"/>
      <c r="AC264"/>
      <c r="AD264" s="32"/>
    </row>
    <row r="265" spans="3:30" s="2" customFormat="1" ht="15" customHeight="1">
      <c r="C265" s="157"/>
      <c r="D265" s="1"/>
      <c r="E265" s="124" t="s">
        <v>9</v>
      </c>
      <c r="F265" s="177" t="s">
        <v>219</v>
      </c>
      <c r="G265" s="62"/>
      <c r="H265" s="180" t="s">
        <v>178</v>
      </c>
      <c r="I265" s="176" t="str">
        <f>VLOOKUP(F265&amp;H265,'[1]MV+BI'!$E$8:$K$375,3,FALSE)</f>
        <v>Em Implementação</v>
      </c>
      <c r="J265" s="62"/>
      <c r="K265" s="170" t="str">
        <f>VLOOKUP(F265&amp;H265,'[1]MV+BI'!$E$8:$K$375,6,FALSE)</f>
        <v>IT</v>
      </c>
      <c r="L265" s="62"/>
      <c r="M265" s="172">
        <f>VLOOKUP(F265&amp;H265,'[1]MV+BI'!$E$8:$K$375,5,FALSE)</f>
        <v>45432</v>
      </c>
      <c r="N265" s="172"/>
      <c r="O265" s="172">
        <f>VLOOKUP(F265&amp;H265,'[1]MV+BI'!$E$8:$K$375,7,FALSE)</f>
        <v>45478</v>
      </c>
      <c r="P265" s="86"/>
      <c r="Q265" s="300" t="s">
        <v>187</v>
      </c>
      <c r="R265" s="300"/>
      <c r="S265" s="300"/>
      <c r="T265" s="300"/>
      <c r="U265" s="300"/>
      <c r="V265" s="300"/>
      <c r="W265" s="300"/>
      <c r="X265" s="300"/>
      <c r="Y265" s="300"/>
      <c r="Z265" s="300"/>
      <c r="AA265" s="300"/>
      <c r="AB265"/>
      <c r="AC265"/>
      <c r="AD265" s="32"/>
    </row>
    <row r="266" spans="3:30" s="2" customFormat="1" ht="15" customHeight="1">
      <c r="C266" s="157"/>
      <c r="D266" s="1"/>
      <c r="E266" s="124" t="s">
        <v>9</v>
      </c>
      <c r="F266" s="177" t="s">
        <v>219</v>
      </c>
      <c r="G266" s="62"/>
      <c r="H266" s="180" t="s">
        <v>179</v>
      </c>
      <c r="I266" s="176" t="str">
        <f>VLOOKUP(F266&amp;H266,'[1]MV+BI'!$E$8:$K$375,3,FALSE)</f>
        <v>Em Implementação</v>
      </c>
      <c r="J266" s="62"/>
      <c r="K266" s="170" t="str">
        <f>VLOOKUP(F266&amp;H266,'[1]MV+BI'!$E$8:$K$375,6,FALSE)</f>
        <v>IT</v>
      </c>
      <c r="L266" s="62"/>
      <c r="M266" s="172">
        <f>VLOOKUP(F266&amp;H266,'[1]MV+BI'!$E$8:$K$375,5,FALSE)</f>
        <v>45432</v>
      </c>
      <c r="N266" s="172"/>
      <c r="O266" s="172">
        <f>VLOOKUP(F266&amp;H266,'[1]MV+BI'!$E$8:$K$375,7,FALSE)</f>
        <v>45478</v>
      </c>
      <c r="P266" s="86"/>
      <c r="Q266" s="300" t="s">
        <v>187</v>
      </c>
      <c r="R266" s="300"/>
      <c r="S266" s="300"/>
      <c r="T266" s="300"/>
      <c r="U266" s="300"/>
      <c r="V266" s="300"/>
      <c r="W266" s="300"/>
      <c r="X266" s="300"/>
      <c r="Y266" s="300"/>
      <c r="Z266" s="300"/>
      <c r="AA266" s="300"/>
      <c r="AB266"/>
      <c r="AC266"/>
      <c r="AD266" s="32"/>
    </row>
    <row r="267" spans="3:30" s="2" customFormat="1" ht="15" customHeight="1">
      <c r="C267" s="157"/>
      <c r="D267" s="1"/>
      <c r="E267" s="124" t="s">
        <v>9</v>
      </c>
      <c r="F267" s="177" t="s">
        <v>219</v>
      </c>
      <c r="G267" s="62"/>
      <c r="H267" s="180" t="s">
        <v>180</v>
      </c>
      <c r="I267" s="176" t="str">
        <f>VLOOKUP(F267&amp;H267,'[1]MV+BI'!$E$8:$K$375,3,FALSE)</f>
        <v>Em Implementação</v>
      </c>
      <c r="J267" s="62"/>
      <c r="K267" s="170" t="str">
        <f>VLOOKUP(F267&amp;H267,'[1]MV+BI'!$E$8:$K$375,6,FALSE)</f>
        <v>IT</v>
      </c>
      <c r="L267" s="62"/>
      <c r="M267" s="172">
        <f>VLOOKUP(F267&amp;H267,'[1]MV+BI'!$E$8:$K$375,5,FALSE)</f>
        <v>45432</v>
      </c>
      <c r="N267" s="172"/>
      <c r="O267" s="172">
        <f>VLOOKUP(F267&amp;H267,'[1]MV+BI'!$E$8:$K$375,7,FALSE)</f>
        <v>45478</v>
      </c>
      <c r="P267" s="86"/>
      <c r="Q267" s="300" t="s">
        <v>187</v>
      </c>
      <c r="R267" s="300"/>
      <c r="S267" s="300"/>
      <c r="T267" s="300"/>
      <c r="U267" s="300"/>
      <c r="V267" s="300"/>
      <c r="W267" s="300"/>
      <c r="X267" s="300"/>
      <c r="Y267" s="300"/>
      <c r="Z267" s="300"/>
      <c r="AA267" s="300"/>
      <c r="AB267"/>
      <c r="AC267"/>
      <c r="AD267" s="32"/>
    </row>
    <row r="268" spans="3:30" s="2" customFormat="1" ht="15" customHeight="1">
      <c r="C268" s="157"/>
      <c r="D268" s="1"/>
      <c r="E268" s="124" t="s">
        <v>9</v>
      </c>
      <c r="F268" s="177" t="s">
        <v>219</v>
      </c>
      <c r="G268" s="62"/>
      <c r="H268" s="180" t="s">
        <v>181</v>
      </c>
      <c r="I268" s="176" t="str">
        <f>VLOOKUP(F268&amp;H268,'[1]MV+BI'!$E$8:$K$375,3,FALSE)</f>
        <v>Em Implementação</v>
      </c>
      <c r="J268" s="62"/>
      <c r="K268" s="170" t="str">
        <f>VLOOKUP(F268&amp;H268,'[1]MV+BI'!$E$8:$K$375,6,FALSE)</f>
        <v>IT</v>
      </c>
      <c r="L268" s="62"/>
      <c r="M268" s="172">
        <f>VLOOKUP(F268&amp;H268,'[1]MV+BI'!$E$8:$K$375,5,FALSE)</f>
        <v>45432</v>
      </c>
      <c r="N268" s="172"/>
      <c r="O268" s="172">
        <f>VLOOKUP(F268&amp;H268,'[1]MV+BI'!$E$8:$K$375,7,FALSE)</f>
        <v>45478</v>
      </c>
      <c r="P268" s="86"/>
      <c r="Q268" s="300" t="s">
        <v>187</v>
      </c>
      <c r="R268" s="300"/>
      <c r="S268" s="300"/>
      <c r="T268" s="300"/>
      <c r="U268" s="300"/>
      <c r="V268" s="300"/>
      <c r="W268" s="300"/>
      <c r="X268" s="300"/>
      <c r="Y268" s="300"/>
      <c r="Z268" s="300"/>
      <c r="AA268" s="300"/>
      <c r="AB268"/>
      <c r="AC268"/>
      <c r="AD268" s="32"/>
    </row>
    <row r="269" spans="3:30" s="2" customFormat="1" ht="15" customHeight="1">
      <c r="C269" s="157"/>
      <c r="D269" s="1"/>
      <c r="E269" s="124" t="s">
        <v>9</v>
      </c>
      <c r="F269" s="177" t="s">
        <v>219</v>
      </c>
      <c r="G269" s="62"/>
      <c r="H269" s="180" t="s">
        <v>182</v>
      </c>
      <c r="I269" s="176" t="str">
        <f>VLOOKUP(F269&amp;H269,'[1]MV+BI'!$E$8:$K$375,3,FALSE)</f>
        <v>Em Implementação</v>
      </c>
      <c r="J269" s="62"/>
      <c r="K269" s="170" t="str">
        <f>VLOOKUP(F269&amp;H269,'[1]MV+BI'!$E$8:$K$375,6,FALSE)</f>
        <v>IT</v>
      </c>
      <c r="L269" s="62"/>
      <c r="M269" s="172">
        <f>VLOOKUP(F269&amp;H269,'[1]MV+BI'!$E$8:$K$375,5,FALSE)</f>
        <v>45432</v>
      </c>
      <c r="N269" s="172"/>
      <c r="O269" s="172">
        <f>VLOOKUP(F269&amp;H269,'[1]MV+BI'!$E$8:$K$375,7,FALSE)</f>
        <v>45478</v>
      </c>
      <c r="P269" s="86"/>
      <c r="Q269" s="300" t="s">
        <v>187</v>
      </c>
      <c r="R269" s="300"/>
      <c r="S269" s="300"/>
      <c r="T269" s="300"/>
      <c r="U269" s="300"/>
      <c r="V269" s="300"/>
      <c r="W269" s="300"/>
      <c r="X269" s="300"/>
      <c r="Y269" s="300"/>
      <c r="Z269" s="300"/>
      <c r="AA269" s="300"/>
      <c r="AB269"/>
      <c r="AC269"/>
      <c r="AD269" s="32"/>
    </row>
    <row r="270" spans="3:30" s="2" customFormat="1" ht="15" customHeight="1">
      <c r="C270" s="157"/>
      <c r="D270" s="1"/>
      <c r="E270" s="124" t="s">
        <v>9</v>
      </c>
      <c r="F270" s="177" t="s">
        <v>219</v>
      </c>
      <c r="G270" s="62"/>
      <c r="H270" s="180" t="s">
        <v>183</v>
      </c>
      <c r="I270" s="176" t="str">
        <f>VLOOKUP(F270&amp;H270,'[1]MV+BI'!$E$8:$K$375,3,FALSE)</f>
        <v>Em Implementação</v>
      </c>
      <c r="J270" s="62"/>
      <c r="K270" s="170" t="str">
        <f>VLOOKUP(F270&amp;H270,'[1]MV+BI'!$E$8:$K$375,6,FALSE)</f>
        <v>IT</v>
      </c>
      <c r="L270" s="62"/>
      <c r="M270" s="172">
        <f>VLOOKUP(F270&amp;H270,'[1]MV+BI'!$E$8:$K$375,5,FALSE)</f>
        <v>45432</v>
      </c>
      <c r="N270" s="172"/>
      <c r="O270" s="172">
        <f>VLOOKUP(F270&amp;H270,'[1]MV+BI'!$E$8:$K$375,7,FALSE)</f>
        <v>45478</v>
      </c>
      <c r="P270" s="86"/>
      <c r="Q270" s="300" t="s">
        <v>187</v>
      </c>
      <c r="R270" s="300"/>
      <c r="S270" s="300"/>
      <c r="T270" s="300"/>
      <c r="U270" s="300"/>
      <c r="V270" s="300"/>
      <c r="W270" s="300"/>
      <c r="X270" s="300"/>
      <c r="Y270" s="300"/>
      <c r="Z270" s="300"/>
      <c r="AA270" s="300"/>
      <c r="AB270"/>
      <c r="AC270"/>
      <c r="AD270" s="32"/>
    </row>
    <row r="271" spans="3:30" s="2" customFormat="1" ht="15" customHeight="1">
      <c r="C271" s="157"/>
      <c r="D271" s="1"/>
      <c r="E271" s="124" t="s">
        <v>9</v>
      </c>
      <c r="F271" s="177" t="s">
        <v>219</v>
      </c>
      <c r="G271" s="62"/>
      <c r="H271" s="180" t="s">
        <v>184</v>
      </c>
      <c r="I271" s="176" t="str">
        <f>VLOOKUP(F271&amp;H271,'[1]MV+BI'!$E$8:$K$375,3,FALSE)</f>
        <v>Em Implementação</v>
      </c>
      <c r="J271" s="62"/>
      <c r="K271" s="170" t="str">
        <f>VLOOKUP(F271&amp;H271,'[1]MV+BI'!$E$8:$K$375,6,FALSE)</f>
        <v>IT</v>
      </c>
      <c r="L271" s="62"/>
      <c r="M271" s="172">
        <f>VLOOKUP(F271&amp;H271,'[1]MV+BI'!$E$8:$K$375,5,FALSE)</f>
        <v>45432</v>
      </c>
      <c r="N271" s="172"/>
      <c r="O271" s="172">
        <f>VLOOKUP(F271&amp;H271,'[1]MV+BI'!$E$8:$K$375,7,FALSE)</f>
        <v>45478</v>
      </c>
      <c r="P271" s="86"/>
      <c r="Q271" s="300" t="s">
        <v>187</v>
      </c>
      <c r="R271" s="300"/>
      <c r="S271" s="300"/>
      <c r="T271" s="300"/>
      <c r="U271" s="300"/>
      <c r="V271" s="300"/>
      <c r="W271" s="300"/>
      <c r="X271" s="300"/>
      <c r="Y271" s="300"/>
      <c r="Z271" s="300"/>
      <c r="AA271" s="300"/>
      <c r="AB271"/>
      <c r="AC271"/>
      <c r="AD271" s="32"/>
    </row>
    <row r="272" spans="3:30" s="2" customFormat="1" ht="15" customHeight="1">
      <c r="C272" s="157"/>
      <c r="D272" s="1"/>
      <c r="E272" s="124" t="s">
        <v>9</v>
      </c>
      <c r="F272" s="177" t="s">
        <v>221</v>
      </c>
      <c r="G272" s="62"/>
      <c r="H272" s="180" t="s">
        <v>67</v>
      </c>
      <c r="I272" s="176" t="str">
        <f>VLOOKUP(F272&amp;H272,'[1]MV+BI'!$E$8:$K$375,3,FALSE)</f>
        <v>Em Implementação</v>
      </c>
      <c r="J272" s="62"/>
      <c r="K272" s="170" t="str">
        <f>VLOOKUP(F272&amp;H272,'[1]MV+BI'!$E$8:$K$375,6,FALSE)</f>
        <v>IT</v>
      </c>
      <c r="L272" s="62"/>
      <c r="M272" s="172">
        <f>VLOOKUP(F272&amp;H272,'[1]MV+BI'!$E$8:$K$375,5,FALSE)</f>
        <v>45432</v>
      </c>
      <c r="N272" s="172"/>
      <c r="O272" s="172">
        <f>VLOOKUP(F272&amp;H272,'[1]MV+BI'!$E$8:$K$375,7,FALSE)</f>
        <v>45436</v>
      </c>
      <c r="P272" s="86"/>
      <c r="Q272" s="300" t="s">
        <v>187</v>
      </c>
      <c r="R272" s="300"/>
      <c r="S272" s="300"/>
      <c r="T272" s="300"/>
      <c r="U272" s="300"/>
      <c r="V272" s="300"/>
      <c r="W272" s="300"/>
      <c r="X272" s="300"/>
      <c r="Y272" s="300"/>
      <c r="Z272" s="300"/>
      <c r="AA272" s="300"/>
      <c r="AB272"/>
      <c r="AC272"/>
      <c r="AD272" s="32"/>
    </row>
    <row r="273" spans="3:30" s="2" customFormat="1" ht="15" customHeight="1">
      <c r="C273" s="157"/>
      <c r="D273" s="1"/>
      <c r="E273" s="124" t="s">
        <v>9</v>
      </c>
      <c r="F273" s="177" t="s">
        <v>221</v>
      </c>
      <c r="G273" s="62"/>
      <c r="H273" s="180" t="s">
        <v>222</v>
      </c>
      <c r="I273" s="176" t="str">
        <f>VLOOKUP(F273&amp;H273,'[1]MV+BI'!$E$8:$K$375,3,FALSE)</f>
        <v>Em Implementação</v>
      </c>
      <c r="J273" s="62"/>
      <c r="K273" s="170" t="str">
        <f>VLOOKUP(F273&amp;H273,'[1]MV+BI'!$E$8:$K$375,6,FALSE)</f>
        <v>IT</v>
      </c>
      <c r="L273" s="62"/>
      <c r="M273" s="172">
        <f>VLOOKUP(F273&amp;H273,'[1]MV+BI'!$E$8:$K$375,5,FALSE)</f>
        <v>45432</v>
      </c>
      <c r="N273" s="172"/>
      <c r="O273" s="172">
        <f>VLOOKUP(F273&amp;H273,'[1]MV+BI'!$E$8:$K$375,7,FALSE)</f>
        <v>45436</v>
      </c>
      <c r="P273" s="86"/>
      <c r="Q273" s="300" t="s">
        <v>187</v>
      </c>
      <c r="R273" s="300"/>
      <c r="S273" s="300"/>
      <c r="T273" s="300"/>
      <c r="U273" s="300"/>
      <c r="V273" s="300"/>
      <c r="W273" s="300"/>
      <c r="X273" s="300"/>
      <c r="Y273" s="300"/>
      <c r="Z273" s="300"/>
      <c r="AA273" s="300"/>
      <c r="AB273"/>
      <c r="AC273"/>
      <c r="AD273" s="32"/>
    </row>
    <row r="274" spans="3:30" s="2" customFormat="1" ht="15" customHeight="1">
      <c r="C274" s="157"/>
      <c r="D274" s="1"/>
      <c r="E274" s="124" t="s">
        <v>9</v>
      </c>
      <c r="F274" s="177" t="s">
        <v>221</v>
      </c>
      <c r="G274" s="62"/>
      <c r="H274" s="180" t="s">
        <v>223</v>
      </c>
      <c r="I274" s="176" t="str">
        <f>VLOOKUP(F274&amp;H274,'[1]MV+BI'!$E$8:$K$375,3,FALSE)</f>
        <v>Em Implementação</v>
      </c>
      <c r="J274" s="62"/>
      <c r="K274" s="170" t="str">
        <f>VLOOKUP(F274&amp;H274,'[1]MV+BI'!$E$8:$K$375,6,FALSE)</f>
        <v>IT</v>
      </c>
      <c r="L274" s="62"/>
      <c r="M274" s="172">
        <f>VLOOKUP(F274&amp;H274,'[1]MV+BI'!$E$8:$K$375,5,FALSE)</f>
        <v>45432</v>
      </c>
      <c r="N274" s="172"/>
      <c r="O274" s="172">
        <f>VLOOKUP(F274&amp;H274,'[1]MV+BI'!$E$8:$K$375,7,FALSE)</f>
        <v>45436</v>
      </c>
      <c r="P274" s="86"/>
      <c r="Q274" s="300" t="s">
        <v>187</v>
      </c>
      <c r="R274" s="300"/>
      <c r="S274" s="300"/>
      <c r="T274" s="300"/>
      <c r="U274" s="300"/>
      <c r="V274" s="300"/>
      <c r="W274" s="300"/>
      <c r="X274" s="300"/>
      <c r="Y274" s="300"/>
      <c r="Z274" s="300"/>
      <c r="AA274" s="300"/>
      <c r="AB274"/>
      <c r="AC274"/>
      <c r="AD274" s="32"/>
    </row>
    <row r="275" spans="3:30" s="2" customFormat="1" ht="15" customHeight="1">
      <c r="C275" s="157"/>
      <c r="D275" s="1"/>
      <c r="E275" s="124" t="s">
        <v>9</v>
      </c>
      <c r="F275" s="177" t="s">
        <v>221</v>
      </c>
      <c r="G275" s="62"/>
      <c r="H275" s="180" t="s">
        <v>116</v>
      </c>
      <c r="I275" s="176" t="str">
        <f>VLOOKUP(F275&amp;H275,'[1]MV+BI'!$E$8:$K$375,3,FALSE)</f>
        <v>Em Implementação</v>
      </c>
      <c r="J275" s="62"/>
      <c r="K275" s="170" t="str">
        <f>VLOOKUP(F275&amp;H275,'[1]MV+BI'!$E$8:$K$375,6,FALSE)</f>
        <v>IT</v>
      </c>
      <c r="L275" s="62"/>
      <c r="M275" s="172">
        <f>VLOOKUP(F275&amp;H275,'[1]MV+BI'!$E$8:$K$375,5,FALSE)</f>
        <v>45432</v>
      </c>
      <c r="N275" s="172"/>
      <c r="O275" s="172">
        <f>VLOOKUP(F275&amp;H275,'[1]MV+BI'!$E$8:$K$375,7,FALSE)</f>
        <v>45436</v>
      </c>
      <c r="P275" s="86"/>
      <c r="Q275" s="300" t="s">
        <v>187</v>
      </c>
      <c r="R275" s="300"/>
      <c r="S275" s="300"/>
      <c r="T275" s="300"/>
      <c r="U275" s="300"/>
      <c r="V275" s="300"/>
      <c r="W275" s="300"/>
      <c r="X275" s="300"/>
      <c r="Y275" s="300"/>
      <c r="Z275" s="300"/>
      <c r="AA275" s="300"/>
      <c r="AB275"/>
      <c r="AC275"/>
      <c r="AD275" s="32"/>
    </row>
    <row r="276" spans="3:30" s="2" customFormat="1" ht="15" customHeight="1">
      <c r="C276" s="157"/>
      <c r="D276" s="1"/>
      <c r="E276" s="124" t="s">
        <v>9</v>
      </c>
      <c r="F276" s="177" t="s">
        <v>221</v>
      </c>
      <c r="G276" s="62"/>
      <c r="H276" s="180" t="s">
        <v>110</v>
      </c>
      <c r="I276" s="176" t="str">
        <f>VLOOKUP(F276&amp;H276,'[1]MV+BI'!$E$8:$K$375,3,FALSE)</f>
        <v>Em Implementação</v>
      </c>
      <c r="J276" s="62"/>
      <c r="K276" s="170" t="str">
        <f>VLOOKUP(F276&amp;H276,'[1]MV+BI'!$E$8:$K$375,6,FALSE)</f>
        <v>IT</v>
      </c>
      <c r="L276" s="62"/>
      <c r="M276" s="172">
        <f>VLOOKUP(F276&amp;H276,'[1]MV+BI'!$E$8:$K$375,5,FALSE)</f>
        <v>45432</v>
      </c>
      <c r="N276" s="172"/>
      <c r="O276" s="172">
        <f>VLOOKUP(F276&amp;H276,'[1]MV+BI'!$E$8:$K$375,7,FALSE)</f>
        <v>45436</v>
      </c>
      <c r="P276" s="86"/>
      <c r="Q276" s="300" t="s">
        <v>187</v>
      </c>
      <c r="R276" s="300"/>
      <c r="S276" s="300"/>
      <c r="T276" s="300"/>
      <c r="U276" s="300"/>
      <c r="V276" s="300"/>
      <c r="W276" s="300"/>
      <c r="X276" s="300"/>
      <c r="Y276" s="300"/>
      <c r="Z276" s="300"/>
      <c r="AA276" s="300"/>
      <c r="AB276"/>
      <c r="AC276"/>
      <c r="AD276" s="32"/>
    </row>
    <row r="277" spans="3:30" s="2" customFormat="1" ht="15" customHeight="1">
      <c r="C277" s="157"/>
      <c r="D277" s="1"/>
      <c r="E277" s="124" t="s">
        <v>9</v>
      </c>
      <c r="F277" s="177" t="s">
        <v>221</v>
      </c>
      <c r="G277" s="62"/>
      <c r="H277" s="180" t="s">
        <v>112</v>
      </c>
      <c r="I277" s="176" t="str">
        <f>VLOOKUP(F277&amp;H277,'[1]MV+BI'!$E$8:$K$375,3,FALSE)</f>
        <v>Em Implementação</v>
      </c>
      <c r="J277" s="62"/>
      <c r="K277" s="170" t="str">
        <f>VLOOKUP(F277&amp;H277,'[1]MV+BI'!$E$8:$K$375,6,FALSE)</f>
        <v>IT</v>
      </c>
      <c r="L277" s="62"/>
      <c r="M277" s="172">
        <f>VLOOKUP(F277&amp;H277,'[1]MV+BI'!$E$8:$K$375,5,FALSE)</f>
        <v>45432</v>
      </c>
      <c r="N277" s="172"/>
      <c r="O277" s="172">
        <f>VLOOKUP(F277&amp;H277,'[1]MV+BI'!$E$8:$K$375,7,FALSE)</f>
        <v>45436</v>
      </c>
      <c r="P277" s="86"/>
      <c r="Q277" s="300" t="s">
        <v>187</v>
      </c>
      <c r="R277" s="300"/>
      <c r="S277" s="300"/>
      <c r="T277" s="300"/>
      <c r="U277" s="300"/>
      <c r="V277" s="300"/>
      <c r="W277" s="300"/>
      <c r="X277" s="300"/>
      <c r="Y277" s="300"/>
      <c r="Z277" s="300"/>
      <c r="AA277" s="300"/>
      <c r="AB277"/>
      <c r="AC277"/>
      <c r="AD277" s="32"/>
    </row>
    <row r="278" spans="3:30" s="2" customFormat="1" ht="15" customHeight="1">
      <c r="C278" s="157"/>
      <c r="D278" s="1"/>
      <c r="E278" s="124" t="s">
        <v>9</v>
      </c>
      <c r="F278" s="177" t="s">
        <v>224</v>
      </c>
      <c r="G278" s="62"/>
      <c r="H278" s="180" t="s">
        <v>67</v>
      </c>
      <c r="I278" s="176" t="str">
        <f>VLOOKUP(F278&amp;H278,'[1]MV+BI'!$E$8:$K$375,3,FALSE)</f>
        <v>Em Implementação</v>
      </c>
      <c r="J278" s="62"/>
      <c r="K278" s="170" t="str">
        <f>VLOOKUP(F278&amp;H278,'[1]MV+BI'!$E$8:$K$375,6,FALSE)</f>
        <v>IT</v>
      </c>
      <c r="L278" s="62"/>
      <c r="M278" s="172">
        <f>VLOOKUP(F278&amp;H278,'[1]MV+BI'!$E$8:$K$375,5,FALSE)</f>
        <v>45432</v>
      </c>
      <c r="N278" s="172"/>
      <c r="O278" s="172">
        <f>VLOOKUP(F278&amp;H278,'[1]MV+BI'!$E$8:$K$375,7,FALSE)</f>
        <v>45471</v>
      </c>
      <c r="P278" s="86"/>
      <c r="Q278" s="300" t="s">
        <v>187</v>
      </c>
      <c r="R278" s="300"/>
      <c r="S278" s="300"/>
      <c r="T278" s="300"/>
      <c r="U278" s="300"/>
      <c r="V278" s="300"/>
      <c r="W278" s="300"/>
      <c r="X278" s="300"/>
      <c r="Y278" s="300"/>
      <c r="Z278" s="300"/>
      <c r="AA278" s="300"/>
      <c r="AB278"/>
      <c r="AC278"/>
      <c r="AD278" s="32"/>
    </row>
    <row r="279" spans="3:30" s="2" customFormat="1" ht="15" customHeight="1">
      <c r="C279" s="157"/>
      <c r="D279" s="1"/>
      <c r="E279" s="124" t="s">
        <v>9</v>
      </c>
      <c r="F279" s="177" t="s">
        <v>224</v>
      </c>
      <c r="G279" s="62"/>
      <c r="H279" s="180" t="s">
        <v>193</v>
      </c>
      <c r="I279" s="176" t="str">
        <f>VLOOKUP(F279&amp;H279,'[1]MV+BI'!$E$8:$K$375,3,FALSE)</f>
        <v>Em Implementação</v>
      </c>
      <c r="J279" s="62"/>
      <c r="K279" s="170" t="str">
        <f>VLOOKUP(F279&amp;H279,'[1]MV+BI'!$E$8:$K$375,6,FALSE)</f>
        <v>IT</v>
      </c>
      <c r="L279" s="62"/>
      <c r="M279" s="172">
        <f>VLOOKUP(F279&amp;H279,'[1]MV+BI'!$E$8:$K$375,5,FALSE)</f>
        <v>45432</v>
      </c>
      <c r="N279" s="172"/>
      <c r="O279" s="172">
        <f>VLOOKUP(F279&amp;H279,'[1]MV+BI'!$E$8:$K$375,7,FALSE)</f>
        <v>45471</v>
      </c>
      <c r="P279" s="86"/>
      <c r="Q279" s="300" t="s">
        <v>187</v>
      </c>
      <c r="R279" s="300"/>
      <c r="S279" s="300"/>
      <c r="T279" s="300"/>
      <c r="U279" s="300"/>
      <c r="V279" s="300"/>
      <c r="W279" s="300"/>
      <c r="X279" s="300"/>
      <c r="Y279" s="300"/>
      <c r="Z279" s="300"/>
      <c r="AA279" s="300"/>
      <c r="AB279"/>
      <c r="AC279"/>
      <c r="AD279" s="32"/>
    </row>
    <row r="280" spans="3:30" s="2" customFormat="1" ht="15" customHeight="1">
      <c r="C280" s="157"/>
      <c r="D280" s="1"/>
      <c r="E280" s="124" t="s">
        <v>9</v>
      </c>
      <c r="F280" s="177" t="s">
        <v>224</v>
      </c>
      <c r="G280" s="62"/>
      <c r="H280" s="180" t="s">
        <v>225</v>
      </c>
      <c r="I280" s="176" t="str">
        <f>VLOOKUP(F280&amp;H280,'[1]MV+BI'!$E$8:$K$375,3,FALSE)</f>
        <v>Em Implementação</v>
      </c>
      <c r="J280" s="62"/>
      <c r="K280" s="170" t="str">
        <f>VLOOKUP(F280&amp;H280,'[1]MV+BI'!$E$8:$K$375,6,FALSE)</f>
        <v>IT</v>
      </c>
      <c r="L280" s="62"/>
      <c r="M280" s="172">
        <f>VLOOKUP(F280&amp;H280,'[1]MV+BI'!$E$8:$K$375,5,FALSE)</f>
        <v>45432</v>
      </c>
      <c r="N280" s="172"/>
      <c r="O280" s="172">
        <f>VLOOKUP(F280&amp;H280,'[1]MV+BI'!$E$8:$K$375,7,FALSE)</f>
        <v>45471</v>
      </c>
      <c r="P280" s="86"/>
      <c r="Q280" s="300" t="s">
        <v>187</v>
      </c>
      <c r="R280" s="300"/>
      <c r="S280" s="300"/>
      <c r="T280" s="300"/>
      <c r="U280" s="300"/>
      <c r="V280" s="300"/>
      <c r="W280" s="300"/>
      <c r="X280" s="300"/>
      <c r="Y280" s="300"/>
      <c r="Z280" s="300"/>
      <c r="AA280" s="300"/>
      <c r="AB280"/>
      <c r="AC280"/>
      <c r="AD280" s="32"/>
    </row>
    <row r="281" spans="3:30" s="2" customFormat="1" ht="15" customHeight="1">
      <c r="C281" s="157"/>
      <c r="D281" s="1"/>
      <c r="E281" s="124" t="s">
        <v>9</v>
      </c>
      <c r="F281" s="177" t="s">
        <v>224</v>
      </c>
      <c r="G281" s="62"/>
      <c r="H281" s="180" t="s">
        <v>193</v>
      </c>
      <c r="I281" s="176" t="str">
        <f>VLOOKUP(F281&amp;H281,'[1]MV+BI'!$E$8:$K$375,3,FALSE)</f>
        <v>Em Implementação</v>
      </c>
      <c r="J281" s="62"/>
      <c r="K281" s="170" t="str">
        <f>VLOOKUP(F281&amp;H281,'[1]MV+BI'!$E$8:$K$375,6,FALSE)</f>
        <v>IT</v>
      </c>
      <c r="L281" s="62"/>
      <c r="M281" s="172">
        <f>VLOOKUP(F281&amp;H281,'[1]MV+BI'!$E$8:$K$375,5,FALSE)</f>
        <v>45432</v>
      </c>
      <c r="N281" s="172"/>
      <c r="O281" s="172">
        <f>VLOOKUP(F281&amp;H281,'[1]MV+BI'!$E$8:$K$375,7,FALSE)</f>
        <v>45471</v>
      </c>
      <c r="P281" s="86"/>
      <c r="Q281" s="300" t="s">
        <v>187</v>
      </c>
      <c r="R281" s="300"/>
      <c r="S281" s="300"/>
      <c r="T281" s="300"/>
      <c r="U281" s="300"/>
      <c r="V281" s="300"/>
      <c r="W281" s="300"/>
      <c r="X281" s="300"/>
      <c r="Y281" s="300"/>
      <c r="Z281" s="300"/>
      <c r="AA281" s="300"/>
      <c r="AB281"/>
      <c r="AC281"/>
      <c r="AD281" s="32"/>
    </row>
    <row r="282" spans="3:30" s="2" customFormat="1" ht="15" customHeight="1">
      <c r="C282" s="157"/>
      <c r="D282" s="1"/>
      <c r="E282" s="124" t="s">
        <v>9</v>
      </c>
      <c r="F282" s="177" t="s">
        <v>224</v>
      </c>
      <c r="G282" s="62"/>
      <c r="H282" s="180" t="s">
        <v>226</v>
      </c>
      <c r="I282" s="176" t="str">
        <f>VLOOKUP(F282&amp;H282,'[1]MV+BI'!$E$8:$K$375,3,FALSE)</f>
        <v>Em Implementação</v>
      </c>
      <c r="J282" s="62"/>
      <c r="K282" s="170" t="str">
        <f>VLOOKUP(F282&amp;H282,'[1]MV+BI'!$E$8:$K$375,6,FALSE)</f>
        <v>IT</v>
      </c>
      <c r="L282" s="62"/>
      <c r="M282" s="172">
        <f>VLOOKUP(F282&amp;H282,'[1]MV+BI'!$E$8:$K$375,5,FALSE)</f>
        <v>45432</v>
      </c>
      <c r="N282" s="172"/>
      <c r="O282" s="172">
        <f>VLOOKUP(F282&amp;H282,'[1]MV+BI'!$E$8:$K$375,7,FALSE)</f>
        <v>45471</v>
      </c>
      <c r="P282" s="86"/>
      <c r="Q282" s="300" t="s">
        <v>187</v>
      </c>
      <c r="R282" s="300"/>
      <c r="S282" s="300"/>
      <c r="T282" s="300"/>
      <c r="U282" s="300"/>
      <c r="V282" s="300"/>
      <c r="W282" s="300"/>
      <c r="X282" s="300"/>
      <c r="Y282" s="300"/>
      <c r="Z282" s="300"/>
      <c r="AA282" s="300"/>
      <c r="AB282"/>
      <c r="AC282"/>
      <c r="AD282" s="32"/>
    </row>
    <row r="283" spans="3:30" s="2" customFormat="1" ht="15" customHeight="1">
      <c r="C283" s="157"/>
      <c r="D283" s="1"/>
      <c r="E283" s="124" t="s">
        <v>9</v>
      </c>
      <c r="F283" s="177" t="s">
        <v>224</v>
      </c>
      <c r="G283" s="62"/>
      <c r="H283" s="180" t="s">
        <v>227</v>
      </c>
      <c r="I283" s="176" t="str">
        <f>VLOOKUP(F283&amp;H283,'[1]MV+BI'!$E$8:$K$375,3,FALSE)</f>
        <v>Em Implementação</v>
      </c>
      <c r="J283" s="62"/>
      <c r="K283" s="170" t="str">
        <f>VLOOKUP(F283&amp;H283,'[1]MV+BI'!$E$8:$K$375,6,FALSE)</f>
        <v>IT</v>
      </c>
      <c r="L283" s="62"/>
      <c r="M283" s="172">
        <f>VLOOKUP(F283&amp;H283,'[1]MV+BI'!$E$8:$K$375,5,FALSE)</f>
        <v>45432</v>
      </c>
      <c r="N283" s="172"/>
      <c r="O283" s="172">
        <f>VLOOKUP(F283&amp;H283,'[1]MV+BI'!$E$8:$K$375,7,FALSE)</f>
        <v>45471</v>
      </c>
      <c r="P283" s="86"/>
      <c r="Q283" s="300" t="s">
        <v>187</v>
      </c>
      <c r="R283" s="300"/>
      <c r="S283" s="300"/>
      <c r="T283" s="300"/>
      <c r="U283" s="300"/>
      <c r="V283" s="300"/>
      <c r="W283" s="300"/>
      <c r="X283" s="300"/>
      <c r="Y283" s="300"/>
      <c r="Z283" s="300"/>
      <c r="AA283" s="300"/>
      <c r="AB283"/>
      <c r="AC283"/>
      <c r="AD283" s="32"/>
    </row>
    <row r="284" spans="3:30" s="2" customFormat="1" ht="15" customHeight="1">
      <c r="C284" s="157"/>
      <c r="D284" s="1"/>
      <c r="E284" s="124" t="s">
        <v>9</v>
      </c>
      <c r="F284" s="177" t="s">
        <v>224</v>
      </c>
      <c r="G284" s="62"/>
      <c r="H284" s="180" t="s">
        <v>228</v>
      </c>
      <c r="I284" s="176" t="str">
        <f>VLOOKUP(F284&amp;H284,'[1]MV+BI'!$E$8:$K$375,3,FALSE)</f>
        <v>Em Implementação</v>
      </c>
      <c r="J284" s="62"/>
      <c r="K284" s="170" t="str">
        <f>VLOOKUP(F284&amp;H284,'[1]MV+BI'!$E$8:$K$375,6,FALSE)</f>
        <v>IT</v>
      </c>
      <c r="L284" s="62"/>
      <c r="M284" s="172">
        <f>VLOOKUP(F284&amp;H284,'[1]MV+BI'!$E$8:$K$375,5,FALSE)</f>
        <v>45432</v>
      </c>
      <c r="N284" s="172"/>
      <c r="O284" s="172">
        <f>VLOOKUP(F284&amp;H284,'[1]MV+BI'!$E$8:$K$375,7,FALSE)</f>
        <v>45471</v>
      </c>
      <c r="P284" s="86"/>
      <c r="Q284" s="300" t="s">
        <v>187</v>
      </c>
      <c r="R284" s="300"/>
      <c r="S284" s="300"/>
      <c r="T284" s="300"/>
      <c r="U284" s="300"/>
      <c r="V284" s="300"/>
      <c r="W284" s="300"/>
      <c r="X284" s="300"/>
      <c r="Y284" s="300"/>
      <c r="Z284" s="300"/>
      <c r="AA284" s="300"/>
      <c r="AB284"/>
      <c r="AC284"/>
      <c r="AD284" s="32"/>
    </row>
    <row r="285" spans="3:30" s="2" customFormat="1" ht="15" customHeight="1">
      <c r="C285" s="157"/>
      <c r="D285" s="1"/>
      <c r="E285" s="124" t="s">
        <v>9</v>
      </c>
      <c r="F285" s="177" t="s">
        <v>224</v>
      </c>
      <c r="G285" s="62"/>
      <c r="H285" s="180" t="s">
        <v>200</v>
      </c>
      <c r="I285" s="176" t="str">
        <f>VLOOKUP(F285&amp;H285,'[1]MV+BI'!$E$8:$K$375,3,FALSE)</f>
        <v>Em Implementação</v>
      </c>
      <c r="J285" s="62"/>
      <c r="K285" s="170" t="str">
        <f>VLOOKUP(F285&amp;H285,'[1]MV+BI'!$E$8:$K$375,6,FALSE)</f>
        <v>IT</v>
      </c>
      <c r="L285" s="62"/>
      <c r="M285" s="172">
        <f>VLOOKUP(F285&amp;H285,'[1]MV+BI'!$E$8:$K$375,5,FALSE)</f>
        <v>45432</v>
      </c>
      <c r="N285" s="172"/>
      <c r="O285" s="172">
        <f>VLOOKUP(F285&amp;H285,'[1]MV+BI'!$E$8:$K$375,7,FALSE)</f>
        <v>45471</v>
      </c>
      <c r="P285" s="86"/>
      <c r="Q285" s="300" t="s">
        <v>187</v>
      </c>
      <c r="R285" s="300"/>
      <c r="S285" s="300"/>
      <c r="T285" s="300"/>
      <c r="U285" s="300"/>
      <c r="V285" s="300"/>
      <c r="W285" s="300"/>
      <c r="X285" s="300"/>
      <c r="Y285" s="300"/>
      <c r="Z285" s="300"/>
      <c r="AA285" s="300"/>
      <c r="AB285"/>
      <c r="AC285"/>
      <c r="AD285" s="32"/>
    </row>
    <row r="286" spans="3:30" s="2" customFormat="1" ht="15" customHeight="1">
      <c r="C286" s="157"/>
      <c r="D286" s="1"/>
      <c r="E286" s="124" t="s">
        <v>9</v>
      </c>
      <c r="F286" s="177" t="s">
        <v>224</v>
      </c>
      <c r="G286" s="62"/>
      <c r="H286" s="180" t="s">
        <v>229</v>
      </c>
      <c r="I286" s="176" t="str">
        <f>VLOOKUP(F286&amp;H286,'[1]MV+BI'!$E$8:$K$375,3,FALSE)</f>
        <v>Em Implementação</v>
      </c>
      <c r="J286" s="62"/>
      <c r="K286" s="170" t="str">
        <f>VLOOKUP(F286&amp;H286,'[1]MV+BI'!$E$8:$K$375,6,FALSE)</f>
        <v>IT</v>
      </c>
      <c r="L286" s="62"/>
      <c r="M286" s="172">
        <f>VLOOKUP(F286&amp;H286,'[1]MV+BI'!$E$8:$K$375,5,FALSE)</f>
        <v>45432</v>
      </c>
      <c r="N286" s="172"/>
      <c r="O286" s="172">
        <f>VLOOKUP(F286&amp;H286,'[1]MV+BI'!$E$8:$K$375,7,FALSE)</f>
        <v>45471</v>
      </c>
      <c r="P286" s="86"/>
      <c r="Q286" s="300" t="s">
        <v>187</v>
      </c>
      <c r="R286" s="300"/>
      <c r="S286" s="300"/>
      <c r="T286" s="300"/>
      <c r="U286" s="300"/>
      <c r="V286" s="300"/>
      <c r="W286" s="300"/>
      <c r="X286" s="300"/>
      <c r="Y286" s="300"/>
      <c r="Z286" s="300"/>
      <c r="AA286" s="300"/>
      <c r="AB286"/>
      <c r="AC286"/>
      <c r="AD286" s="32"/>
    </row>
    <row r="287" spans="3:30" s="2" customFormat="1" ht="15" customHeight="1">
      <c r="C287" s="157"/>
      <c r="D287" s="1"/>
      <c r="E287" s="124" t="s">
        <v>9</v>
      </c>
      <c r="F287" s="177" t="s">
        <v>224</v>
      </c>
      <c r="G287" s="62"/>
      <c r="H287" s="180" t="s">
        <v>230</v>
      </c>
      <c r="I287" s="176" t="str">
        <f>VLOOKUP(F287&amp;H287,'[1]MV+BI'!$E$8:$K$375,3,FALSE)</f>
        <v>Em Implementação</v>
      </c>
      <c r="J287" s="62"/>
      <c r="K287" s="170" t="str">
        <f>VLOOKUP(F287&amp;H287,'[1]MV+BI'!$E$8:$K$375,6,FALSE)</f>
        <v>IT</v>
      </c>
      <c r="L287" s="62"/>
      <c r="M287" s="172">
        <f>VLOOKUP(F287&amp;H287,'[1]MV+BI'!$E$8:$K$375,5,FALSE)</f>
        <v>45432</v>
      </c>
      <c r="N287" s="172"/>
      <c r="O287" s="172">
        <f>VLOOKUP(F287&amp;H287,'[1]MV+BI'!$E$8:$K$375,7,FALSE)</f>
        <v>45471</v>
      </c>
      <c r="P287" s="86"/>
      <c r="Q287" s="300" t="s">
        <v>187</v>
      </c>
      <c r="R287" s="300"/>
      <c r="S287" s="300"/>
      <c r="T287" s="300"/>
      <c r="U287" s="300"/>
      <c r="V287" s="300"/>
      <c r="W287" s="300"/>
      <c r="X287" s="300"/>
      <c r="Y287" s="300"/>
      <c r="Z287" s="300"/>
      <c r="AA287" s="300"/>
      <c r="AB287"/>
      <c r="AC287"/>
      <c r="AD287" s="32"/>
    </row>
    <row r="288" spans="3:30" s="2" customFormat="1" ht="15" customHeight="1">
      <c r="C288" s="157"/>
      <c r="D288" s="1"/>
      <c r="E288" s="124" t="s">
        <v>9</v>
      </c>
      <c r="F288" s="177" t="s">
        <v>224</v>
      </c>
      <c r="G288" s="62"/>
      <c r="H288" s="180" t="s">
        <v>204</v>
      </c>
      <c r="I288" s="176" t="str">
        <f>VLOOKUP(F288&amp;H288,'[1]MV+BI'!$E$8:$K$375,3,FALSE)</f>
        <v>Em Implementação</v>
      </c>
      <c r="J288" s="62"/>
      <c r="K288" s="170" t="str">
        <f>VLOOKUP(F288&amp;H288,'[1]MV+BI'!$E$8:$K$375,6,FALSE)</f>
        <v>IT</v>
      </c>
      <c r="L288" s="62"/>
      <c r="M288" s="172">
        <f>VLOOKUP(F288&amp;H288,'[1]MV+BI'!$E$8:$K$375,5,FALSE)</f>
        <v>45432</v>
      </c>
      <c r="N288" s="172"/>
      <c r="O288" s="172">
        <f>VLOOKUP(F288&amp;H288,'[1]MV+BI'!$E$8:$K$375,7,FALSE)</f>
        <v>45471</v>
      </c>
      <c r="P288" s="86"/>
      <c r="Q288" s="300" t="s">
        <v>187</v>
      </c>
      <c r="R288" s="300"/>
      <c r="S288" s="300"/>
      <c r="T288" s="300"/>
      <c r="U288" s="300"/>
      <c r="V288" s="300"/>
      <c r="W288" s="300"/>
      <c r="X288" s="300"/>
      <c r="Y288" s="300"/>
      <c r="Z288" s="300"/>
      <c r="AA288" s="300"/>
      <c r="AB288"/>
      <c r="AC288"/>
      <c r="AD288" s="32"/>
    </row>
    <row r="289" spans="3:30" s="2" customFormat="1" ht="15" customHeight="1">
      <c r="C289" s="157"/>
      <c r="D289" s="1"/>
      <c r="E289" s="124" t="s">
        <v>9</v>
      </c>
      <c r="F289" s="177" t="s">
        <v>224</v>
      </c>
      <c r="G289" s="62"/>
      <c r="H289" s="180" t="s">
        <v>205</v>
      </c>
      <c r="I289" s="176" t="str">
        <f>VLOOKUP(F289&amp;H289,'[1]MV+BI'!$E$8:$K$375,3,FALSE)</f>
        <v>Em Implementação</v>
      </c>
      <c r="J289" s="62"/>
      <c r="K289" s="170" t="str">
        <f>VLOOKUP(F289&amp;H289,'[1]MV+BI'!$E$8:$K$375,6,FALSE)</f>
        <v>IT</v>
      </c>
      <c r="L289" s="62"/>
      <c r="M289" s="172">
        <f>VLOOKUP(F289&amp;H289,'[1]MV+BI'!$E$8:$K$375,5,FALSE)</f>
        <v>45432</v>
      </c>
      <c r="N289" s="172"/>
      <c r="O289" s="172">
        <f>VLOOKUP(F289&amp;H289,'[1]MV+BI'!$E$8:$K$375,7,FALSE)</f>
        <v>45471</v>
      </c>
      <c r="P289" s="86"/>
      <c r="Q289" s="300" t="s">
        <v>187</v>
      </c>
      <c r="R289" s="300"/>
      <c r="S289" s="300"/>
      <c r="T289" s="300"/>
      <c r="U289" s="300"/>
      <c r="V289" s="300"/>
      <c r="W289" s="300"/>
      <c r="X289" s="300"/>
      <c r="Y289" s="300"/>
      <c r="Z289" s="300"/>
      <c r="AA289" s="300"/>
      <c r="AB289"/>
      <c r="AC289"/>
      <c r="AD289" s="32"/>
    </row>
    <row r="290" spans="3:30" s="2" customFormat="1" ht="15" customHeight="1">
      <c r="C290" s="157"/>
      <c r="D290" s="1"/>
      <c r="E290" s="124" t="s">
        <v>9</v>
      </c>
      <c r="F290" s="177" t="s">
        <v>224</v>
      </c>
      <c r="G290" s="62"/>
      <c r="H290" s="180" t="s">
        <v>207</v>
      </c>
      <c r="I290" s="176" t="str">
        <f>VLOOKUP(F290&amp;H290,'[1]MV+BI'!$E$8:$K$375,3,FALSE)</f>
        <v>Em Implementação</v>
      </c>
      <c r="J290" s="62"/>
      <c r="K290" s="170" t="str">
        <f>VLOOKUP(F290&amp;H290,'[1]MV+BI'!$E$8:$K$375,6,FALSE)</f>
        <v>IT</v>
      </c>
      <c r="L290" s="62"/>
      <c r="M290" s="172">
        <f>VLOOKUP(F290&amp;H290,'[1]MV+BI'!$E$8:$K$375,5,FALSE)</f>
        <v>45432</v>
      </c>
      <c r="N290" s="172"/>
      <c r="O290" s="172">
        <f>VLOOKUP(F290&amp;H290,'[1]MV+BI'!$E$8:$K$375,7,FALSE)</f>
        <v>45471</v>
      </c>
      <c r="P290" s="86"/>
      <c r="Q290" s="300" t="s">
        <v>187</v>
      </c>
      <c r="R290" s="300"/>
      <c r="S290" s="300"/>
      <c r="T290" s="300"/>
      <c r="U290" s="300"/>
      <c r="V290" s="300"/>
      <c r="W290" s="300"/>
      <c r="X290" s="300"/>
      <c r="Y290" s="300"/>
      <c r="Z290" s="300"/>
      <c r="AA290" s="300"/>
      <c r="AB290"/>
      <c r="AC290"/>
      <c r="AD290" s="32"/>
    </row>
    <row r="291" spans="3:30" s="2" customFormat="1" ht="15" customHeight="1">
      <c r="C291" s="157"/>
      <c r="D291" s="1"/>
      <c r="E291" s="124" t="s">
        <v>9</v>
      </c>
      <c r="F291" s="177" t="s">
        <v>231</v>
      </c>
      <c r="G291" s="62"/>
      <c r="H291" s="180" t="s">
        <v>67</v>
      </c>
      <c r="I291" s="176" t="str">
        <f>VLOOKUP(F291&amp;H291,'[1]MV+BI'!$E$8:$K$375,3,FALSE)</f>
        <v>Em Implementação</v>
      </c>
      <c r="J291" s="62"/>
      <c r="K291" s="170" t="str">
        <f>VLOOKUP(F291&amp;H291,'[1]MV+BI'!$E$8:$K$375,6,FALSE)</f>
        <v>IT</v>
      </c>
      <c r="L291" s="62"/>
      <c r="M291" s="172">
        <f>VLOOKUP(F291&amp;H291,'[1]MV+BI'!$E$8:$K$375,5,FALSE)</f>
        <v>45432</v>
      </c>
      <c r="N291" s="172"/>
      <c r="O291" s="172">
        <f>VLOOKUP(F291&amp;H291,'[1]MV+BI'!$E$8:$K$375,7,FALSE)</f>
        <v>45471</v>
      </c>
      <c r="P291" s="86"/>
      <c r="Q291" s="300" t="s">
        <v>187</v>
      </c>
      <c r="R291" s="300"/>
      <c r="S291" s="300"/>
      <c r="T291" s="300"/>
      <c r="U291" s="300"/>
      <c r="V291" s="300"/>
      <c r="W291" s="300"/>
      <c r="X291" s="300"/>
      <c r="Y291" s="300"/>
      <c r="Z291" s="300"/>
      <c r="AA291" s="300"/>
      <c r="AB291"/>
      <c r="AC291"/>
      <c r="AD291" s="32"/>
    </row>
    <row r="292" spans="3:30" s="2" customFormat="1" ht="15" customHeight="1">
      <c r="C292" s="157"/>
      <c r="D292" s="1"/>
      <c r="E292" s="124" t="s">
        <v>9</v>
      </c>
      <c r="F292" s="177" t="s">
        <v>231</v>
      </c>
      <c r="G292" s="62"/>
      <c r="H292" s="180" t="s">
        <v>193</v>
      </c>
      <c r="I292" s="176" t="str">
        <f>VLOOKUP(F292&amp;H292,'[1]MV+BI'!$E$8:$K$375,3,FALSE)</f>
        <v>Em Implementação</v>
      </c>
      <c r="J292" s="62"/>
      <c r="K292" s="170" t="str">
        <f>VLOOKUP(F292&amp;H292,'[1]MV+BI'!$E$8:$K$375,6,FALSE)</f>
        <v>IT</v>
      </c>
      <c r="L292" s="62"/>
      <c r="M292" s="172">
        <f>VLOOKUP(F292&amp;H292,'[1]MV+BI'!$E$8:$K$375,5,FALSE)</f>
        <v>45432</v>
      </c>
      <c r="N292" s="172"/>
      <c r="O292" s="172">
        <f>VLOOKUP(F292&amp;H292,'[1]MV+BI'!$E$8:$K$375,7,FALSE)</f>
        <v>45471</v>
      </c>
      <c r="P292" s="86"/>
      <c r="Q292" s="300" t="s">
        <v>187</v>
      </c>
      <c r="R292" s="300"/>
      <c r="S292" s="300"/>
      <c r="T292" s="300"/>
      <c r="U292" s="300"/>
      <c r="V292" s="300"/>
      <c r="W292" s="300"/>
      <c r="X292" s="300"/>
      <c r="Y292" s="300"/>
      <c r="Z292" s="300"/>
      <c r="AA292" s="300"/>
      <c r="AB292"/>
      <c r="AC292"/>
      <c r="AD292" s="32"/>
    </row>
    <row r="293" spans="3:30" s="2" customFormat="1" ht="15" customHeight="1">
      <c r="C293" s="157"/>
      <c r="D293" s="1"/>
      <c r="E293" s="124" t="s">
        <v>9</v>
      </c>
      <c r="F293" s="177" t="s">
        <v>231</v>
      </c>
      <c r="G293" s="62"/>
      <c r="H293" s="180" t="s">
        <v>232</v>
      </c>
      <c r="I293" s="176" t="str">
        <f>VLOOKUP(F293&amp;H293,'[1]MV+BI'!$E$8:$K$375,3,FALSE)</f>
        <v>Em Implementação</v>
      </c>
      <c r="J293" s="62"/>
      <c r="K293" s="170" t="str">
        <f>VLOOKUP(F293&amp;H293,'[1]MV+BI'!$E$8:$K$375,6,FALSE)</f>
        <v>IT</v>
      </c>
      <c r="L293" s="62"/>
      <c r="M293" s="172">
        <f>VLOOKUP(F293&amp;H293,'[1]MV+BI'!$E$8:$K$375,5,FALSE)</f>
        <v>45432</v>
      </c>
      <c r="N293" s="172"/>
      <c r="O293" s="172">
        <f>VLOOKUP(F293&amp;H293,'[1]MV+BI'!$E$8:$K$375,7,FALSE)</f>
        <v>45471</v>
      </c>
      <c r="P293" s="86"/>
      <c r="Q293" s="300" t="s">
        <v>187</v>
      </c>
      <c r="R293" s="300"/>
      <c r="S293" s="300"/>
      <c r="T293" s="300"/>
      <c r="U293" s="300"/>
      <c r="V293" s="300"/>
      <c r="W293" s="300"/>
      <c r="X293" s="300"/>
      <c r="Y293" s="300"/>
      <c r="Z293" s="300"/>
      <c r="AA293" s="300"/>
      <c r="AB293"/>
      <c r="AC293"/>
      <c r="AD293" s="32"/>
    </row>
    <row r="294" spans="3:30" s="2" customFormat="1" ht="15" customHeight="1">
      <c r="C294" s="157"/>
      <c r="D294" s="1"/>
      <c r="E294" s="124" t="s">
        <v>9</v>
      </c>
      <c r="F294" s="177" t="s">
        <v>231</v>
      </c>
      <c r="G294" s="62"/>
      <c r="H294" s="180" t="s">
        <v>225</v>
      </c>
      <c r="I294" s="176" t="str">
        <f>VLOOKUP(F294&amp;H294,'[1]MV+BI'!$E$8:$K$375,3,FALSE)</f>
        <v>Em Implementação</v>
      </c>
      <c r="J294" s="62"/>
      <c r="K294" s="170" t="str">
        <f>VLOOKUP(F294&amp;H294,'[1]MV+BI'!$E$8:$K$375,6,FALSE)</f>
        <v>IT</v>
      </c>
      <c r="L294" s="62"/>
      <c r="M294" s="172">
        <f>VLOOKUP(F294&amp;H294,'[1]MV+BI'!$E$8:$K$375,5,FALSE)</f>
        <v>45432</v>
      </c>
      <c r="N294" s="172"/>
      <c r="O294" s="172">
        <f>VLOOKUP(F294&amp;H294,'[1]MV+BI'!$E$8:$K$375,7,FALSE)</f>
        <v>45471</v>
      </c>
      <c r="P294" s="86"/>
      <c r="Q294" s="300" t="s">
        <v>187</v>
      </c>
      <c r="R294" s="300"/>
      <c r="S294" s="300"/>
      <c r="T294" s="300"/>
      <c r="U294" s="300"/>
      <c r="V294" s="300"/>
      <c r="W294" s="300"/>
      <c r="X294" s="300"/>
      <c r="Y294" s="300"/>
      <c r="Z294" s="300"/>
      <c r="AA294" s="300"/>
      <c r="AB294"/>
      <c r="AC294"/>
      <c r="AD294" s="32"/>
    </row>
    <row r="295" spans="3:30" s="2" customFormat="1" ht="15" customHeight="1">
      <c r="C295" s="157"/>
      <c r="D295" s="1"/>
      <c r="E295" s="124" t="s">
        <v>9</v>
      </c>
      <c r="F295" s="177" t="s">
        <v>231</v>
      </c>
      <c r="G295" s="62"/>
      <c r="H295" s="180" t="s">
        <v>233</v>
      </c>
      <c r="I295" s="176" t="str">
        <f>VLOOKUP(F295&amp;H295,'[1]MV+BI'!$E$8:$K$375,3,FALSE)</f>
        <v>Em Implementação</v>
      </c>
      <c r="J295" s="62"/>
      <c r="K295" s="170" t="str">
        <f>VLOOKUP(F295&amp;H295,'[1]MV+BI'!$E$8:$K$375,6,FALSE)</f>
        <v>IT</v>
      </c>
      <c r="L295" s="62"/>
      <c r="M295" s="172">
        <f>VLOOKUP(F295&amp;H295,'[1]MV+BI'!$E$8:$K$375,5,FALSE)</f>
        <v>45432</v>
      </c>
      <c r="N295" s="172"/>
      <c r="O295" s="172">
        <f>VLOOKUP(F295&amp;H295,'[1]MV+BI'!$E$8:$K$375,7,FALSE)</f>
        <v>45471</v>
      </c>
      <c r="P295" s="86"/>
      <c r="Q295" s="300" t="s">
        <v>187</v>
      </c>
      <c r="R295" s="300"/>
      <c r="S295" s="300"/>
      <c r="T295" s="300"/>
      <c r="U295" s="300"/>
      <c r="V295" s="300"/>
      <c r="W295" s="300"/>
      <c r="X295" s="300"/>
      <c r="Y295" s="300"/>
      <c r="Z295" s="300"/>
      <c r="AA295" s="300"/>
      <c r="AB295"/>
      <c r="AC295"/>
      <c r="AD295" s="32"/>
    </row>
    <row r="296" spans="3:30" s="2" customFormat="1" ht="15" customHeight="1">
      <c r="C296" s="157"/>
      <c r="D296" s="1"/>
      <c r="E296" s="124" t="s">
        <v>9</v>
      </c>
      <c r="F296" s="177" t="s">
        <v>231</v>
      </c>
      <c r="G296" s="62"/>
      <c r="H296" s="180" t="s">
        <v>234</v>
      </c>
      <c r="I296" s="176" t="str">
        <f>VLOOKUP(F296&amp;H296,'[1]MV+BI'!$E$8:$K$375,3,FALSE)</f>
        <v>Em Implementação</v>
      </c>
      <c r="J296" s="62"/>
      <c r="K296" s="170" t="str">
        <f>VLOOKUP(F296&amp;H296,'[1]MV+BI'!$E$8:$K$375,6,FALSE)</f>
        <v>IT</v>
      </c>
      <c r="L296" s="62"/>
      <c r="M296" s="172">
        <f>VLOOKUP(F296&amp;H296,'[1]MV+BI'!$E$8:$K$375,5,FALSE)</f>
        <v>45432</v>
      </c>
      <c r="N296" s="172"/>
      <c r="O296" s="172">
        <f>VLOOKUP(F296&amp;H296,'[1]MV+BI'!$E$8:$K$375,7,FALSE)</f>
        <v>45471</v>
      </c>
      <c r="P296" s="86"/>
      <c r="Q296" s="300" t="s">
        <v>187</v>
      </c>
      <c r="R296" s="300"/>
      <c r="S296" s="300"/>
      <c r="T296" s="300"/>
      <c r="U296" s="300"/>
      <c r="V296" s="300"/>
      <c r="W296" s="300"/>
      <c r="X296" s="300"/>
      <c r="Y296" s="300"/>
      <c r="Z296" s="300"/>
      <c r="AA296" s="300"/>
      <c r="AB296"/>
      <c r="AC296"/>
      <c r="AD296" s="32"/>
    </row>
    <row r="297" spans="3:30" s="2" customFormat="1" ht="15" customHeight="1">
      <c r="C297" s="157"/>
      <c r="D297" s="1"/>
      <c r="E297" s="124" t="s">
        <v>9</v>
      </c>
      <c r="F297" s="177" t="s">
        <v>231</v>
      </c>
      <c r="G297" s="62"/>
      <c r="H297" s="180" t="s">
        <v>235</v>
      </c>
      <c r="I297" s="176" t="str">
        <f>VLOOKUP(F297&amp;H297,'[1]MV+BI'!$E$8:$K$375,3,FALSE)</f>
        <v>Em Implementação</v>
      </c>
      <c r="J297" s="62"/>
      <c r="K297" s="170" t="str">
        <f>VLOOKUP(F297&amp;H297,'[1]MV+BI'!$E$8:$K$375,6,FALSE)</f>
        <v>IT</v>
      </c>
      <c r="L297" s="62"/>
      <c r="M297" s="172">
        <f>VLOOKUP(F297&amp;H297,'[1]MV+BI'!$E$8:$K$375,5,FALSE)</f>
        <v>45432</v>
      </c>
      <c r="N297" s="172"/>
      <c r="O297" s="172">
        <f>VLOOKUP(F297&amp;H297,'[1]MV+BI'!$E$8:$K$375,7,FALSE)</f>
        <v>45471</v>
      </c>
      <c r="P297" s="86"/>
      <c r="Q297" s="300" t="s">
        <v>187</v>
      </c>
      <c r="R297" s="300"/>
      <c r="S297" s="300"/>
      <c r="T297" s="300"/>
      <c r="U297" s="300"/>
      <c r="V297" s="300"/>
      <c r="W297" s="300"/>
      <c r="X297" s="300"/>
      <c r="Y297" s="300"/>
      <c r="Z297" s="300"/>
      <c r="AA297" s="300"/>
      <c r="AB297"/>
      <c r="AC297"/>
      <c r="AD297" s="32"/>
    </row>
    <row r="298" spans="3:30" s="2" customFormat="1" ht="15" customHeight="1">
      <c r="C298" s="157"/>
      <c r="D298" s="1"/>
      <c r="E298" s="124" t="s">
        <v>9</v>
      </c>
      <c r="F298" s="177" t="s">
        <v>231</v>
      </c>
      <c r="G298" s="62"/>
      <c r="H298" s="180" t="s">
        <v>236</v>
      </c>
      <c r="I298" s="176" t="str">
        <f>VLOOKUP(F298&amp;H298,'[1]MV+BI'!$E$8:$K$375,3,FALSE)</f>
        <v>Em Implementação</v>
      </c>
      <c r="J298" s="62"/>
      <c r="K298" s="170" t="str">
        <f>VLOOKUP(F298&amp;H298,'[1]MV+BI'!$E$8:$K$375,6,FALSE)</f>
        <v>IT</v>
      </c>
      <c r="L298" s="62"/>
      <c r="M298" s="172">
        <f>VLOOKUP(F298&amp;H298,'[1]MV+BI'!$E$8:$K$375,5,FALSE)</f>
        <v>45432</v>
      </c>
      <c r="N298" s="172"/>
      <c r="O298" s="172">
        <f>VLOOKUP(F298&amp;H298,'[1]MV+BI'!$E$8:$K$375,7,FALSE)</f>
        <v>45471</v>
      </c>
      <c r="P298" s="86"/>
      <c r="Q298" s="300" t="s">
        <v>187</v>
      </c>
      <c r="R298" s="300"/>
      <c r="S298" s="300"/>
      <c r="T298" s="300"/>
      <c r="U298" s="300"/>
      <c r="V298" s="300"/>
      <c r="W298" s="300"/>
      <c r="X298" s="300"/>
      <c r="Y298" s="300"/>
      <c r="Z298" s="300"/>
      <c r="AA298" s="300"/>
      <c r="AB298"/>
      <c r="AC298"/>
      <c r="AD298" s="32"/>
    </row>
    <row r="299" spans="3:30" s="2" customFormat="1" ht="15" customHeight="1">
      <c r="C299" s="157"/>
      <c r="D299" s="1"/>
      <c r="E299" s="124" t="s">
        <v>9</v>
      </c>
      <c r="F299" s="177" t="s">
        <v>231</v>
      </c>
      <c r="G299" s="62"/>
      <c r="H299" s="180" t="s">
        <v>228</v>
      </c>
      <c r="I299" s="176" t="str">
        <f>VLOOKUP(F299&amp;H299,'[1]MV+BI'!$E$8:$K$375,3,FALSE)</f>
        <v>Em Implementação</v>
      </c>
      <c r="J299" s="62"/>
      <c r="K299" s="170" t="str">
        <f>VLOOKUP(F299&amp;H299,'[1]MV+BI'!$E$8:$K$375,6,FALSE)</f>
        <v>IT</v>
      </c>
      <c r="L299" s="62"/>
      <c r="M299" s="172">
        <f>VLOOKUP(F299&amp;H299,'[1]MV+BI'!$E$8:$K$375,5,FALSE)</f>
        <v>45432</v>
      </c>
      <c r="N299" s="172"/>
      <c r="O299" s="172">
        <f>VLOOKUP(F299&amp;H299,'[1]MV+BI'!$E$8:$K$375,7,FALSE)</f>
        <v>45471</v>
      </c>
      <c r="P299" s="86"/>
      <c r="Q299" s="300" t="s">
        <v>187</v>
      </c>
      <c r="R299" s="300"/>
      <c r="S299" s="300"/>
      <c r="T299" s="300"/>
      <c r="U299" s="300"/>
      <c r="V299" s="300"/>
      <c r="W299" s="300"/>
      <c r="X299" s="300"/>
      <c r="Y299" s="300"/>
      <c r="Z299" s="300"/>
      <c r="AA299" s="300"/>
      <c r="AB299"/>
      <c r="AC299"/>
      <c r="AD299" s="32"/>
    </row>
    <row r="300" spans="3:30" s="2" customFormat="1" ht="15" customHeight="1">
      <c r="C300" s="157"/>
      <c r="D300" s="1"/>
      <c r="E300" s="124" t="s">
        <v>9</v>
      </c>
      <c r="F300" s="177" t="s">
        <v>231</v>
      </c>
      <c r="G300" s="62"/>
      <c r="H300" s="180" t="s">
        <v>200</v>
      </c>
      <c r="I300" s="176" t="str">
        <f>VLOOKUP(F300&amp;H300,'[1]MV+BI'!$E$8:$K$375,3,FALSE)</f>
        <v>Em Implementação</v>
      </c>
      <c r="J300" s="62"/>
      <c r="K300" s="170" t="str">
        <f>VLOOKUP(F300&amp;H300,'[1]MV+BI'!$E$8:$K$375,6,FALSE)</f>
        <v>IT</v>
      </c>
      <c r="L300" s="62"/>
      <c r="M300" s="172">
        <f>VLOOKUP(F300&amp;H300,'[1]MV+BI'!$E$8:$K$375,5,FALSE)</f>
        <v>45432</v>
      </c>
      <c r="N300" s="172"/>
      <c r="O300" s="172">
        <f>VLOOKUP(F300&amp;H300,'[1]MV+BI'!$E$8:$K$375,7,FALSE)</f>
        <v>45471</v>
      </c>
      <c r="P300" s="86"/>
      <c r="Q300" s="300" t="s">
        <v>187</v>
      </c>
      <c r="R300" s="300"/>
      <c r="S300" s="300"/>
      <c r="T300" s="300"/>
      <c r="U300" s="300"/>
      <c r="V300" s="300"/>
      <c r="W300" s="300"/>
      <c r="X300" s="300"/>
      <c r="Y300" s="300"/>
      <c r="Z300" s="300"/>
      <c r="AA300" s="300"/>
      <c r="AB300"/>
      <c r="AC300"/>
      <c r="AD300" s="32"/>
    </row>
    <row r="301" spans="3:30" s="2" customFormat="1" ht="15" customHeight="1">
      <c r="C301" s="157"/>
      <c r="D301" s="1"/>
      <c r="E301" s="124" t="s">
        <v>9</v>
      </c>
      <c r="F301" s="177" t="s">
        <v>231</v>
      </c>
      <c r="G301" s="62"/>
      <c r="H301" s="180" t="s">
        <v>229</v>
      </c>
      <c r="I301" s="176" t="str">
        <f>VLOOKUP(F301&amp;H301,'[1]MV+BI'!$E$8:$K$375,3,FALSE)</f>
        <v>Em Implementação</v>
      </c>
      <c r="J301" s="62"/>
      <c r="K301" s="170" t="str">
        <f>VLOOKUP(F301&amp;H301,'[1]MV+BI'!$E$8:$K$375,6,FALSE)</f>
        <v>IT</v>
      </c>
      <c r="L301" s="62"/>
      <c r="M301" s="172">
        <f>VLOOKUP(F301&amp;H301,'[1]MV+BI'!$E$8:$K$375,5,FALSE)</f>
        <v>45432</v>
      </c>
      <c r="N301" s="172"/>
      <c r="O301" s="172">
        <f>VLOOKUP(F301&amp;H301,'[1]MV+BI'!$E$8:$K$375,7,FALSE)</f>
        <v>45471</v>
      </c>
      <c r="P301" s="86"/>
      <c r="Q301" s="300" t="s">
        <v>187</v>
      </c>
      <c r="R301" s="300"/>
      <c r="S301" s="300"/>
      <c r="T301" s="300"/>
      <c r="U301" s="300"/>
      <c r="V301" s="300"/>
      <c r="W301" s="300"/>
      <c r="X301" s="300"/>
      <c r="Y301" s="300"/>
      <c r="Z301" s="300"/>
      <c r="AA301" s="300"/>
      <c r="AB301"/>
      <c r="AC301"/>
      <c r="AD301" s="32"/>
    </row>
    <row r="302" spans="3:30" s="2" customFormat="1" ht="15" customHeight="1">
      <c r="C302" s="157"/>
      <c r="D302" s="1"/>
      <c r="E302" s="124" t="s">
        <v>9</v>
      </c>
      <c r="F302" s="177" t="s">
        <v>231</v>
      </c>
      <c r="G302" s="62"/>
      <c r="H302" s="180" t="s">
        <v>230</v>
      </c>
      <c r="I302" s="176" t="str">
        <f>VLOOKUP(F302&amp;H302,'[1]MV+BI'!$E$8:$K$375,3,FALSE)</f>
        <v>Em Implementação</v>
      </c>
      <c r="J302" s="62"/>
      <c r="K302" s="170" t="str">
        <f>VLOOKUP(F302&amp;H302,'[1]MV+BI'!$E$8:$K$375,6,FALSE)</f>
        <v>IT</v>
      </c>
      <c r="L302" s="62"/>
      <c r="M302" s="172">
        <f>VLOOKUP(F302&amp;H302,'[1]MV+BI'!$E$8:$K$375,5,FALSE)</f>
        <v>45432</v>
      </c>
      <c r="N302" s="172"/>
      <c r="O302" s="172">
        <f>VLOOKUP(F302&amp;H302,'[1]MV+BI'!$E$8:$K$375,7,FALSE)</f>
        <v>45471</v>
      </c>
      <c r="P302" s="86"/>
      <c r="Q302" s="300" t="s">
        <v>187</v>
      </c>
      <c r="R302" s="300"/>
      <c r="S302" s="300"/>
      <c r="T302" s="300"/>
      <c r="U302" s="300"/>
      <c r="V302" s="300"/>
      <c r="W302" s="300"/>
      <c r="X302" s="300"/>
      <c r="Y302" s="300"/>
      <c r="Z302" s="300"/>
      <c r="AA302" s="300"/>
      <c r="AB302"/>
      <c r="AC302"/>
      <c r="AD302" s="32"/>
    </row>
    <row r="303" spans="3:30" s="2" customFormat="1" ht="15" customHeight="1">
      <c r="C303" s="157"/>
      <c r="D303" s="1"/>
      <c r="E303" s="124" t="s">
        <v>9</v>
      </c>
      <c r="F303" s="177" t="s">
        <v>231</v>
      </c>
      <c r="G303" s="62"/>
      <c r="H303" s="180" t="s">
        <v>204</v>
      </c>
      <c r="I303" s="176" t="str">
        <f>VLOOKUP(F303&amp;H303,'[1]MV+BI'!$E$8:$K$375,3,FALSE)</f>
        <v>Em Implementação</v>
      </c>
      <c r="J303" s="62"/>
      <c r="K303" s="170" t="str">
        <f>VLOOKUP(F303&amp;H303,'[1]MV+BI'!$E$8:$K$375,6,FALSE)</f>
        <v>IT</v>
      </c>
      <c r="L303" s="62"/>
      <c r="M303" s="172">
        <f>VLOOKUP(F303&amp;H303,'[1]MV+BI'!$E$8:$K$375,5,FALSE)</f>
        <v>45432</v>
      </c>
      <c r="N303" s="172"/>
      <c r="O303" s="172">
        <f>VLOOKUP(F303&amp;H303,'[1]MV+BI'!$E$8:$K$375,7,FALSE)</f>
        <v>45471</v>
      </c>
      <c r="P303" s="86"/>
      <c r="Q303" s="300" t="s">
        <v>187</v>
      </c>
      <c r="R303" s="300"/>
      <c r="S303" s="300"/>
      <c r="T303" s="300"/>
      <c r="U303" s="300"/>
      <c r="V303" s="300"/>
      <c r="W303" s="300"/>
      <c r="X303" s="300"/>
      <c r="Y303" s="300"/>
      <c r="Z303" s="300"/>
      <c r="AA303" s="300"/>
      <c r="AB303"/>
      <c r="AC303"/>
      <c r="AD303" s="32"/>
    </row>
    <row r="304" spans="3:30" s="2" customFormat="1" ht="15" customHeight="1">
      <c r="C304" s="157"/>
      <c r="D304" s="1"/>
      <c r="E304" s="124" t="s">
        <v>9</v>
      </c>
      <c r="F304" s="177" t="s">
        <v>231</v>
      </c>
      <c r="G304" s="62"/>
      <c r="H304" s="180" t="s">
        <v>205</v>
      </c>
      <c r="I304" s="176" t="str">
        <f>VLOOKUP(F304&amp;H304,'[1]MV+BI'!$E$8:$K$375,3,FALSE)</f>
        <v>Em Implementação</v>
      </c>
      <c r="J304" s="62"/>
      <c r="K304" s="170" t="str">
        <f>VLOOKUP(F304&amp;H304,'[1]MV+BI'!$E$8:$K$375,6,FALSE)</f>
        <v>IT</v>
      </c>
      <c r="L304" s="62"/>
      <c r="M304" s="172">
        <f>VLOOKUP(F304&amp;H304,'[1]MV+BI'!$E$8:$K$375,5,FALSE)</f>
        <v>45432</v>
      </c>
      <c r="N304" s="172"/>
      <c r="O304" s="172">
        <f>VLOOKUP(F304&amp;H304,'[1]MV+BI'!$E$8:$K$375,7,FALSE)</f>
        <v>45471</v>
      </c>
      <c r="P304" s="86"/>
      <c r="Q304" s="300" t="s">
        <v>187</v>
      </c>
      <c r="R304" s="300"/>
      <c r="S304" s="300"/>
      <c r="T304" s="300"/>
      <c r="U304" s="300"/>
      <c r="V304" s="300"/>
      <c r="W304" s="300"/>
      <c r="X304" s="300"/>
      <c r="Y304" s="300"/>
      <c r="Z304" s="300"/>
      <c r="AA304" s="300"/>
      <c r="AB304"/>
      <c r="AC304"/>
      <c r="AD304" s="32"/>
    </row>
    <row r="305" spans="3:30" s="2" customFormat="1" ht="15" customHeight="1">
      <c r="C305" s="157"/>
      <c r="D305" s="1"/>
      <c r="E305" s="124" t="s">
        <v>9</v>
      </c>
      <c r="F305" s="177" t="s">
        <v>231</v>
      </c>
      <c r="G305" s="62"/>
      <c r="H305" s="180" t="s">
        <v>206</v>
      </c>
      <c r="I305" s="176" t="str">
        <f>VLOOKUP(F305&amp;H305,'[1]MV+BI'!$E$8:$K$375,3,FALSE)</f>
        <v>Em Implementação</v>
      </c>
      <c r="J305" s="62"/>
      <c r="K305" s="170" t="str">
        <f>VLOOKUP(F305&amp;H305,'[1]MV+BI'!$E$8:$K$375,6,FALSE)</f>
        <v>IT</v>
      </c>
      <c r="L305" s="62"/>
      <c r="M305" s="172">
        <f>VLOOKUP(F305&amp;H305,'[1]MV+BI'!$E$8:$K$375,5,FALSE)</f>
        <v>45432</v>
      </c>
      <c r="N305" s="172"/>
      <c r="O305" s="172">
        <f>VLOOKUP(F305&amp;H305,'[1]MV+BI'!$E$8:$K$375,7,FALSE)</f>
        <v>45471</v>
      </c>
      <c r="P305" s="86"/>
      <c r="Q305" s="300" t="s">
        <v>187</v>
      </c>
      <c r="R305" s="300"/>
      <c r="S305" s="300"/>
      <c r="T305" s="300"/>
      <c r="U305" s="300"/>
      <c r="V305" s="300"/>
      <c r="W305" s="300"/>
      <c r="X305" s="300"/>
      <c r="Y305" s="300"/>
      <c r="Z305" s="300"/>
      <c r="AA305" s="300"/>
      <c r="AB305"/>
      <c r="AC305"/>
      <c r="AD305" s="32"/>
    </row>
    <row r="306" spans="3:30" s="2" customFormat="1" ht="15" customHeight="1">
      <c r="C306" s="157"/>
      <c r="D306" s="1"/>
      <c r="E306" s="124" t="s">
        <v>9</v>
      </c>
      <c r="F306" s="177" t="s">
        <v>231</v>
      </c>
      <c r="G306" s="62"/>
      <c r="H306" s="180" t="s">
        <v>207</v>
      </c>
      <c r="I306" s="176" t="str">
        <f>VLOOKUP(F306&amp;H306,'[1]MV+BI'!$E$8:$K$375,3,FALSE)</f>
        <v>Em Implementação</v>
      </c>
      <c r="J306" s="62"/>
      <c r="K306" s="170" t="str">
        <f>VLOOKUP(F306&amp;H306,'[1]MV+BI'!$E$8:$K$375,6,FALSE)</f>
        <v>IT</v>
      </c>
      <c r="L306" s="62"/>
      <c r="M306" s="172">
        <f>VLOOKUP(F306&amp;H306,'[1]MV+BI'!$E$8:$K$375,5,FALSE)</f>
        <v>45432</v>
      </c>
      <c r="N306" s="172"/>
      <c r="O306" s="172">
        <f>VLOOKUP(F306&amp;H306,'[1]MV+BI'!$E$8:$K$375,7,FALSE)</f>
        <v>45471</v>
      </c>
      <c r="P306" s="86"/>
      <c r="Q306" s="300" t="s">
        <v>187</v>
      </c>
      <c r="R306" s="300"/>
      <c r="S306" s="300"/>
      <c r="T306" s="300"/>
      <c r="U306" s="300"/>
      <c r="V306" s="300"/>
      <c r="W306" s="300"/>
      <c r="X306" s="300"/>
      <c r="Y306" s="300"/>
      <c r="Z306" s="300"/>
      <c r="AA306" s="300"/>
      <c r="AB306"/>
      <c r="AC306"/>
      <c r="AD306" s="32"/>
    </row>
    <row r="307" spans="3:30" s="2" customFormat="1" ht="15" customHeight="1">
      <c r="C307" s="157"/>
      <c r="D307" s="1"/>
      <c r="E307" s="124" t="s">
        <v>9</v>
      </c>
      <c r="F307" s="177" t="s">
        <v>237</v>
      </c>
      <c r="G307" s="62"/>
      <c r="H307" s="180" t="s">
        <v>67</v>
      </c>
      <c r="I307" s="176" t="str">
        <f>VLOOKUP(F307&amp;H307,'[1]MV+BI'!$E$8:$K$375,3,FALSE)</f>
        <v>Em Implementação</v>
      </c>
      <c r="J307" s="62"/>
      <c r="K307" s="170" t="str">
        <f>VLOOKUP(F307&amp;H307,'[1]MV+BI'!$E$8:$K$375,6,FALSE)</f>
        <v>IT</v>
      </c>
      <c r="L307" s="62"/>
      <c r="M307" s="172">
        <f>VLOOKUP(F307&amp;H307,'[1]MV+BI'!$E$8:$K$375,5,FALSE)</f>
        <v>45432</v>
      </c>
      <c r="N307" s="172"/>
      <c r="O307" s="172">
        <f>VLOOKUP(F307&amp;H307,'[1]MV+BI'!$E$8:$K$375,7,FALSE)</f>
        <v>45436</v>
      </c>
      <c r="P307" s="86"/>
      <c r="Q307" s="300" t="s">
        <v>187</v>
      </c>
      <c r="R307" s="300"/>
      <c r="S307" s="300"/>
      <c r="T307" s="300"/>
      <c r="U307" s="300"/>
      <c r="V307" s="300"/>
      <c r="W307" s="300"/>
      <c r="X307" s="300"/>
      <c r="Y307" s="300"/>
      <c r="Z307" s="300"/>
      <c r="AA307" s="300"/>
      <c r="AB307"/>
      <c r="AC307"/>
      <c r="AD307" s="32"/>
    </row>
    <row r="308" spans="3:30" s="2" customFormat="1" ht="15" customHeight="1">
      <c r="C308" s="157"/>
      <c r="D308" s="1"/>
      <c r="E308" s="124" t="s">
        <v>9</v>
      </c>
      <c r="F308" s="177" t="s">
        <v>237</v>
      </c>
      <c r="G308" s="62"/>
      <c r="H308" s="178" t="s">
        <v>222</v>
      </c>
      <c r="I308" s="176" t="str">
        <f>VLOOKUP(F308&amp;H308,'[1]MV+BI'!$E$8:$K$375,3,FALSE)</f>
        <v>Em Implementação</v>
      </c>
      <c r="J308" s="62"/>
      <c r="K308" s="170" t="str">
        <f>VLOOKUP(F308&amp;H308,'[1]MV+BI'!$E$8:$K$375,6,FALSE)</f>
        <v>IT</v>
      </c>
      <c r="L308" s="62"/>
      <c r="M308" s="172">
        <f>VLOOKUP(F308&amp;H308,'[1]MV+BI'!$E$8:$K$375,5,FALSE)</f>
        <v>45432</v>
      </c>
      <c r="N308" s="172"/>
      <c r="O308" s="172">
        <f>VLOOKUP(F308&amp;H308,'[1]MV+BI'!$E$8:$K$375,7,FALSE)</f>
        <v>45436</v>
      </c>
      <c r="P308" s="86"/>
      <c r="Q308" s="300" t="s">
        <v>187</v>
      </c>
      <c r="R308" s="300"/>
      <c r="S308" s="300"/>
      <c r="T308" s="300"/>
      <c r="U308" s="300"/>
      <c r="V308" s="300"/>
      <c r="W308" s="300"/>
      <c r="X308" s="300"/>
      <c r="Y308" s="300"/>
      <c r="Z308" s="300"/>
      <c r="AA308" s="300"/>
      <c r="AB308"/>
      <c r="AC308"/>
      <c r="AD308" s="32"/>
    </row>
    <row r="309" spans="3:30" s="2" customFormat="1" ht="15" customHeight="1">
      <c r="C309" s="157"/>
      <c r="D309" s="1"/>
      <c r="E309" s="124" t="s">
        <v>9</v>
      </c>
      <c r="F309" s="177" t="s">
        <v>237</v>
      </c>
      <c r="G309" s="62"/>
      <c r="H309" s="178" t="s">
        <v>238</v>
      </c>
      <c r="I309" s="176" t="str">
        <f>VLOOKUP(F309&amp;H309,'[1]MV+BI'!$E$8:$K$375,3,FALSE)</f>
        <v>Em Implementação</v>
      </c>
      <c r="J309" s="62"/>
      <c r="K309" s="170" t="str">
        <f>VLOOKUP(F309&amp;H309,'[1]MV+BI'!$E$8:$K$375,6,FALSE)</f>
        <v>IT</v>
      </c>
      <c r="L309" s="62"/>
      <c r="M309" s="172">
        <f>VLOOKUP(F309&amp;H309,'[1]MV+BI'!$E$8:$K$375,5,FALSE)</f>
        <v>45432</v>
      </c>
      <c r="N309" s="172"/>
      <c r="O309" s="172">
        <f>VLOOKUP(F309&amp;H309,'[1]MV+BI'!$E$8:$K$375,7,FALSE)</f>
        <v>45436</v>
      </c>
      <c r="P309" s="86"/>
      <c r="Q309" s="300" t="s">
        <v>187</v>
      </c>
      <c r="R309" s="300"/>
      <c r="S309" s="300"/>
      <c r="T309" s="300"/>
      <c r="U309" s="300"/>
      <c r="V309" s="300"/>
      <c r="W309" s="300"/>
      <c r="X309" s="300"/>
      <c r="Y309" s="300"/>
      <c r="Z309" s="300"/>
      <c r="AA309" s="300"/>
      <c r="AB309"/>
      <c r="AC309"/>
      <c r="AD309" s="32"/>
    </row>
    <row r="310" spans="3:30" s="2" customFormat="1" ht="15" customHeight="1">
      <c r="C310" s="157"/>
      <c r="D310" s="1"/>
      <c r="E310" s="124" t="s">
        <v>9</v>
      </c>
      <c r="F310" s="177" t="s">
        <v>237</v>
      </c>
      <c r="G310" s="62"/>
      <c r="H310" s="178" t="s">
        <v>234</v>
      </c>
      <c r="I310" s="176" t="str">
        <f>VLOOKUP(F310&amp;H310,'[1]MV+BI'!$E$8:$K$375,3,FALSE)</f>
        <v>Em Implementação</v>
      </c>
      <c r="J310" s="62"/>
      <c r="K310" s="170" t="str">
        <f>VLOOKUP(F310&amp;H310,'[1]MV+BI'!$E$8:$K$375,6,FALSE)</f>
        <v>IT</v>
      </c>
      <c r="L310" s="62"/>
      <c r="M310" s="172">
        <f>VLOOKUP(F310&amp;H310,'[1]MV+BI'!$E$8:$K$375,5,FALSE)</f>
        <v>45432</v>
      </c>
      <c r="N310" s="172"/>
      <c r="O310" s="172">
        <f>VLOOKUP(F310&amp;H310,'[1]MV+BI'!$E$8:$K$375,7,FALSE)</f>
        <v>45436</v>
      </c>
      <c r="P310" s="86"/>
      <c r="Q310" s="300" t="s">
        <v>187</v>
      </c>
      <c r="R310" s="300"/>
      <c r="S310" s="300"/>
      <c r="T310" s="300"/>
      <c r="U310" s="300"/>
      <c r="V310" s="300"/>
      <c r="W310" s="300"/>
      <c r="X310" s="300"/>
      <c r="Y310" s="300"/>
      <c r="Z310" s="300"/>
      <c r="AA310" s="300"/>
      <c r="AB310"/>
      <c r="AC310"/>
      <c r="AD310" s="32"/>
    </row>
    <row r="311" spans="3:30" s="2" customFormat="1" ht="15" customHeight="1">
      <c r="C311" s="157"/>
      <c r="D311" s="1"/>
      <c r="E311" s="124" t="s">
        <v>9</v>
      </c>
      <c r="F311" s="177" t="s">
        <v>237</v>
      </c>
      <c r="G311" s="62"/>
      <c r="H311" s="180" t="s">
        <v>239</v>
      </c>
      <c r="I311" s="176" t="str">
        <f>VLOOKUP(F311&amp;H311,'[1]MV+BI'!$E$8:$K$375,3,FALSE)</f>
        <v>Em Implementação</v>
      </c>
      <c r="J311" s="62"/>
      <c r="K311" s="170" t="str">
        <f>VLOOKUP(F311&amp;H311,'[1]MV+BI'!$E$8:$K$375,6,FALSE)</f>
        <v>IT</v>
      </c>
      <c r="L311" s="62"/>
      <c r="M311" s="172">
        <f>VLOOKUP(F311&amp;H311,'[1]MV+BI'!$E$8:$K$375,5,FALSE)</f>
        <v>45432</v>
      </c>
      <c r="N311" s="172"/>
      <c r="O311" s="172">
        <f>VLOOKUP(F311&amp;H311,'[1]MV+BI'!$E$8:$K$375,7,FALSE)</f>
        <v>45436</v>
      </c>
      <c r="P311" s="86"/>
      <c r="Q311" s="300" t="s">
        <v>187</v>
      </c>
      <c r="R311" s="300"/>
      <c r="S311" s="300"/>
      <c r="T311" s="300"/>
      <c r="U311" s="300"/>
      <c r="V311" s="300"/>
      <c r="W311" s="300"/>
      <c r="X311" s="300"/>
      <c r="Y311" s="300"/>
      <c r="Z311" s="300"/>
      <c r="AA311" s="300"/>
      <c r="AB311"/>
      <c r="AC311"/>
      <c r="AD311" s="32"/>
    </row>
    <row r="312" spans="3:30" s="2" customFormat="1" ht="15" customHeight="1">
      <c r="C312" s="157"/>
      <c r="D312" s="1"/>
      <c r="E312" s="124" t="s">
        <v>9</v>
      </c>
      <c r="F312" s="177" t="s">
        <v>237</v>
      </c>
      <c r="G312" s="62"/>
      <c r="H312" s="180" t="s">
        <v>240</v>
      </c>
      <c r="I312" s="176" t="str">
        <f>VLOOKUP(F312&amp;H312,'[1]MV+BI'!$E$8:$K$375,3,FALSE)</f>
        <v>Em Implementação</v>
      </c>
      <c r="J312" s="62"/>
      <c r="K312" s="170" t="str">
        <f>VLOOKUP(F312&amp;H312,'[1]MV+BI'!$E$8:$K$375,6,FALSE)</f>
        <v>IT</v>
      </c>
      <c r="L312" s="62"/>
      <c r="M312" s="172">
        <f>VLOOKUP(F312&amp;H312,'[1]MV+BI'!$E$8:$K$375,5,FALSE)</f>
        <v>45432</v>
      </c>
      <c r="N312" s="172"/>
      <c r="O312" s="172">
        <f>VLOOKUP(F312&amp;H312,'[1]MV+BI'!$E$8:$K$375,7,FALSE)</f>
        <v>45436</v>
      </c>
      <c r="P312" s="86"/>
      <c r="Q312" s="300" t="s">
        <v>187</v>
      </c>
      <c r="R312" s="300"/>
      <c r="S312" s="300"/>
      <c r="T312" s="300"/>
      <c r="U312" s="300"/>
      <c r="V312" s="300"/>
      <c r="W312" s="300"/>
      <c r="X312" s="300"/>
      <c r="Y312" s="300"/>
      <c r="Z312" s="300"/>
      <c r="AA312" s="300"/>
      <c r="AB312"/>
      <c r="AC312"/>
      <c r="AD312" s="32"/>
    </row>
    <row r="313" spans="3:30" s="2" customFormat="1" ht="15" customHeight="1">
      <c r="C313" s="157"/>
      <c r="D313" s="1"/>
      <c r="E313" s="124" t="s">
        <v>9</v>
      </c>
      <c r="F313" s="177" t="s">
        <v>237</v>
      </c>
      <c r="G313" s="62"/>
      <c r="H313" s="180" t="s">
        <v>241</v>
      </c>
      <c r="I313" s="176" t="str">
        <f>VLOOKUP(F313&amp;H313,'[1]MV+BI'!$E$8:$K$375,3,FALSE)</f>
        <v>Em Implementação</v>
      </c>
      <c r="J313" s="62"/>
      <c r="K313" s="170" t="str">
        <f>VLOOKUP(F313&amp;H313,'[1]MV+BI'!$E$8:$K$375,6,FALSE)</f>
        <v>IT</v>
      </c>
      <c r="L313" s="62"/>
      <c r="M313" s="172">
        <f>VLOOKUP(F313&amp;H313,'[1]MV+BI'!$E$8:$K$375,5,FALSE)</f>
        <v>45432</v>
      </c>
      <c r="N313" s="172"/>
      <c r="O313" s="172">
        <f>VLOOKUP(F313&amp;H313,'[1]MV+BI'!$E$8:$K$375,7,FALSE)</f>
        <v>45436</v>
      </c>
      <c r="P313" s="86"/>
      <c r="Q313" s="300" t="s">
        <v>187</v>
      </c>
      <c r="R313" s="300"/>
      <c r="S313" s="300"/>
      <c r="T313" s="300"/>
      <c r="U313" s="300"/>
      <c r="V313" s="300"/>
      <c r="W313" s="300"/>
      <c r="X313" s="300"/>
      <c r="Y313" s="300"/>
      <c r="Z313" s="300"/>
      <c r="AA313" s="300"/>
      <c r="AB313"/>
      <c r="AC313"/>
      <c r="AD313" s="32"/>
    </row>
    <row r="314" spans="3:30" s="2" customFormat="1" ht="15" customHeight="1">
      <c r="C314" s="157"/>
      <c r="D314" s="1"/>
      <c r="E314" s="124" t="s">
        <v>9</v>
      </c>
      <c r="F314" s="178" t="s">
        <v>237</v>
      </c>
      <c r="G314" s="62"/>
      <c r="H314" s="180" t="s">
        <v>242</v>
      </c>
      <c r="I314" s="176" t="str">
        <f>VLOOKUP(F314&amp;H314,'[1]MV+BI'!$E$8:$K$375,3,FALSE)</f>
        <v>Em Implementação</v>
      </c>
      <c r="J314" s="62"/>
      <c r="K314" s="170" t="str">
        <f>VLOOKUP(F314&amp;H314,'[1]MV+BI'!$E$8:$K$375,6,FALSE)</f>
        <v>IT</v>
      </c>
      <c r="L314" s="62"/>
      <c r="M314" s="172">
        <f>VLOOKUP(F314&amp;H314,'[1]MV+BI'!$E$8:$K$375,5,FALSE)</f>
        <v>45432</v>
      </c>
      <c r="N314" s="172"/>
      <c r="O314" s="172">
        <f>VLOOKUP(F314&amp;H314,'[1]MV+BI'!$E$8:$K$375,7,FALSE)</f>
        <v>45436</v>
      </c>
      <c r="P314" s="86"/>
      <c r="Q314" s="300" t="s">
        <v>187</v>
      </c>
      <c r="R314" s="300"/>
      <c r="S314" s="300"/>
      <c r="T314" s="300"/>
      <c r="U314" s="300"/>
      <c r="V314" s="300"/>
      <c r="W314" s="300"/>
      <c r="X314" s="300"/>
      <c r="Y314" s="300"/>
      <c r="Z314" s="300"/>
      <c r="AA314" s="300"/>
      <c r="AB314"/>
      <c r="AC314"/>
      <c r="AD314" s="32"/>
    </row>
    <row r="315" spans="3:30" s="2" customFormat="1" ht="15" customHeight="1">
      <c r="C315" s="157"/>
      <c r="D315" s="1"/>
      <c r="E315" s="124" t="s">
        <v>26</v>
      </c>
      <c r="F315" s="178" t="s">
        <v>243</v>
      </c>
      <c r="G315" s="62"/>
      <c r="H315" s="62" t="s">
        <v>244</v>
      </c>
      <c r="I315" s="176" t="str">
        <f>VLOOKUP(F315&amp;H315,'[1]MV+BI'!$E$8:$K$375,3,FALSE)</f>
        <v>Em Implementação</v>
      </c>
      <c r="J315" s="62"/>
      <c r="K315" s="62" t="str">
        <f>VLOOKUP(F315&amp;H315,'[1]MV+BI'!$E$8:$K$375,6,FALSE)</f>
        <v>IT</v>
      </c>
      <c r="L315" s="62"/>
      <c r="M315" s="172">
        <f>VLOOKUP(F315&amp;H315,'[1]MV+BI'!$E$8:$K$375,5,FALSE)</f>
        <v>45432</v>
      </c>
      <c r="N315" s="62"/>
      <c r="O315" s="172">
        <f>VLOOKUP(F315&amp;H315,'[1]MV+BI'!$E$8:$K$375,7,FALSE)</f>
        <v>45436</v>
      </c>
      <c r="P315" s="62"/>
      <c r="Q315" s="300" t="s">
        <v>187</v>
      </c>
      <c r="R315" s="300"/>
      <c r="S315" s="300"/>
      <c r="T315" s="300"/>
      <c r="U315" s="300"/>
      <c r="V315" s="300"/>
      <c r="W315" s="300"/>
      <c r="X315" s="300"/>
      <c r="Y315" s="300"/>
      <c r="Z315" s="300"/>
      <c r="AA315" s="300"/>
      <c r="AB315"/>
      <c r="AC315"/>
      <c r="AD315" s="32"/>
    </row>
    <row r="316" spans="3:30" s="2" customFormat="1" ht="15" customHeight="1">
      <c r="C316" s="157"/>
      <c r="D316" s="1"/>
      <c r="E316" s="124" t="s">
        <v>26</v>
      </c>
      <c r="F316" s="178" t="s">
        <v>243</v>
      </c>
      <c r="G316" s="62"/>
      <c r="H316" s="62" t="s">
        <v>69</v>
      </c>
      <c r="I316" s="176" t="str">
        <f>VLOOKUP(F316&amp;H316,'[1]MV+BI'!$E$8:$K$375,3,FALSE)</f>
        <v>Em Implementação</v>
      </c>
      <c r="J316" s="62"/>
      <c r="K316" s="62" t="str">
        <f>VLOOKUP(F316&amp;H316,'[1]MV+BI'!$E$8:$K$375,6,FALSE)</f>
        <v>IT</v>
      </c>
      <c r="L316" s="62"/>
      <c r="M316" s="172">
        <f>VLOOKUP(F316&amp;H316,'[1]MV+BI'!$E$8:$K$375,5,FALSE)</f>
        <v>45432</v>
      </c>
      <c r="N316" s="62"/>
      <c r="O316" s="172">
        <f>VLOOKUP(F316&amp;H316,'[1]MV+BI'!$E$8:$K$375,7,FALSE)</f>
        <v>45436</v>
      </c>
      <c r="P316" s="62"/>
      <c r="Q316" s="300" t="s">
        <v>187</v>
      </c>
      <c r="R316" s="300"/>
      <c r="S316" s="300"/>
      <c r="T316" s="300"/>
      <c r="U316" s="300"/>
      <c r="V316" s="300"/>
      <c r="W316" s="300"/>
      <c r="X316" s="300"/>
      <c r="Y316" s="300"/>
      <c r="Z316" s="300"/>
      <c r="AA316" s="300"/>
      <c r="AB316"/>
      <c r="AC316"/>
      <c r="AD316" s="32"/>
    </row>
    <row r="317" spans="3:30" s="2" customFormat="1" ht="15" customHeight="1">
      <c r="C317" s="157"/>
      <c r="D317" s="1"/>
      <c r="E317" s="124" t="s">
        <v>26</v>
      </c>
      <c r="F317" s="178" t="s">
        <v>243</v>
      </c>
      <c r="G317" s="62"/>
      <c r="H317" s="62" t="s">
        <v>70</v>
      </c>
      <c r="I317" s="176" t="str">
        <f>VLOOKUP(F317&amp;H317,'[1]MV+BI'!$E$8:$K$375,3,FALSE)</f>
        <v>Em Implementação</v>
      </c>
      <c r="J317" s="62"/>
      <c r="K317" s="62" t="str">
        <f>VLOOKUP(F317&amp;H317,'[1]MV+BI'!$E$8:$K$375,6,FALSE)</f>
        <v>IT</v>
      </c>
      <c r="L317" s="62"/>
      <c r="M317" s="172">
        <f>VLOOKUP(F317&amp;H317,'[1]MV+BI'!$E$8:$K$375,5,FALSE)</f>
        <v>45432</v>
      </c>
      <c r="N317" s="62"/>
      <c r="O317" s="172">
        <f>VLOOKUP(F317&amp;H317,'[1]MV+BI'!$E$8:$K$375,7,FALSE)</f>
        <v>45436</v>
      </c>
      <c r="P317" s="62"/>
      <c r="Q317" s="300" t="s">
        <v>187</v>
      </c>
      <c r="R317" s="300"/>
      <c r="S317" s="300"/>
      <c r="T317" s="300"/>
      <c r="U317" s="300"/>
      <c r="V317" s="300"/>
      <c r="W317" s="300"/>
      <c r="X317" s="300"/>
      <c r="Y317" s="300"/>
      <c r="Z317" s="300"/>
      <c r="AA317" s="300"/>
      <c r="AB317"/>
      <c r="AC317"/>
      <c r="AD317" s="32"/>
    </row>
    <row r="318" spans="3:30" s="2" customFormat="1" ht="15" customHeight="1">
      <c r="C318" s="157"/>
      <c r="D318" s="1"/>
      <c r="E318" s="124" t="s">
        <v>26</v>
      </c>
      <c r="F318" s="178" t="s">
        <v>243</v>
      </c>
      <c r="G318" s="62"/>
      <c r="H318" s="62" t="s">
        <v>71</v>
      </c>
      <c r="I318" s="176" t="str">
        <f>VLOOKUP(F318&amp;H318,'[1]MV+BI'!$E$8:$K$375,3,FALSE)</f>
        <v>Em Implementação</v>
      </c>
      <c r="J318" s="62"/>
      <c r="K318" s="62" t="str">
        <f>VLOOKUP(F318&amp;H318,'[1]MV+BI'!$E$8:$K$375,6,FALSE)</f>
        <v>IT</v>
      </c>
      <c r="L318" s="62"/>
      <c r="M318" s="172">
        <f>VLOOKUP(F318&amp;H318,'[1]MV+BI'!$E$8:$K$375,5,FALSE)</f>
        <v>45432</v>
      </c>
      <c r="N318" s="62"/>
      <c r="O318" s="172">
        <f>VLOOKUP(F318&amp;H318,'[1]MV+BI'!$E$8:$K$375,7,FALSE)</f>
        <v>45436</v>
      </c>
      <c r="P318" s="62"/>
      <c r="Q318" s="300" t="s">
        <v>187</v>
      </c>
      <c r="R318" s="300"/>
      <c r="S318" s="300"/>
      <c r="T318" s="300"/>
      <c r="U318" s="300"/>
      <c r="V318" s="300"/>
      <c r="W318" s="300"/>
      <c r="X318" s="300"/>
      <c r="Y318" s="300"/>
      <c r="Z318" s="300"/>
      <c r="AA318" s="300"/>
      <c r="AB318"/>
      <c r="AC318"/>
      <c r="AD318" s="32"/>
    </row>
    <row r="319" spans="3:30" s="2" customFormat="1" ht="15" customHeight="1">
      <c r="C319" s="157"/>
      <c r="D319" s="1"/>
      <c r="E319" s="124" t="s">
        <v>26</v>
      </c>
      <c r="F319" s="178" t="s">
        <v>243</v>
      </c>
      <c r="G319" s="62"/>
      <c r="H319" s="62" t="s">
        <v>72</v>
      </c>
      <c r="I319" s="176" t="str">
        <f>VLOOKUP(F319&amp;H319,'[1]MV+BI'!$E$8:$K$375,3,FALSE)</f>
        <v>Em Implementação</v>
      </c>
      <c r="J319" s="62"/>
      <c r="K319" s="62" t="str">
        <f>VLOOKUP(F319&amp;H319,'[1]MV+BI'!$E$8:$K$375,6,FALSE)</f>
        <v>IT</v>
      </c>
      <c r="L319" s="62"/>
      <c r="M319" s="172">
        <f>VLOOKUP(F319&amp;H319,'[1]MV+BI'!$E$8:$K$375,5,FALSE)</f>
        <v>45432</v>
      </c>
      <c r="N319" s="62"/>
      <c r="O319" s="172">
        <f>VLOOKUP(F319&amp;H319,'[1]MV+BI'!$E$8:$K$375,7,FALSE)</f>
        <v>45436</v>
      </c>
      <c r="P319" s="62"/>
      <c r="Q319" s="300" t="s">
        <v>187</v>
      </c>
      <c r="R319" s="300"/>
      <c r="S319" s="300"/>
      <c r="T319" s="300"/>
      <c r="U319" s="300"/>
      <c r="V319" s="300"/>
      <c r="W319" s="300"/>
      <c r="X319" s="300"/>
      <c r="Y319" s="300"/>
      <c r="Z319" s="300"/>
      <c r="AA319" s="300"/>
      <c r="AB319"/>
      <c r="AC319"/>
      <c r="AD319" s="32"/>
    </row>
    <row r="320" spans="3:30" s="2" customFormat="1" ht="15" customHeight="1">
      <c r="C320" s="157"/>
      <c r="D320" s="1"/>
      <c r="E320" s="124" t="s">
        <v>26</v>
      </c>
      <c r="F320" s="178" t="s">
        <v>243</v>
      </c>
      <c r="G320" s="62"/>
      <c r="H320" s="62" t="s">
        <v>245</v>
      </c>
      <c r="I320" s="176" t="str">
        <f>VLOOKUP(F320&amp;H320,'[1]MV+BI'!$E$8:$K$375,3,FALSE)</f>
        <v>Em Implementação</v>
      </c>
      <c r="J320" s="62"/>
      <c r="K320" s="62" t="str">
        <f>VLOOKUP(F320&amp;H320,'[1]MV+BI'!$E$8:$K$375,6,FALSE)</f>
        <v>IT</v>
      </c>
      <c r="L320" s="62"/>
      <c r="M320" s="172">
        <f>VLOOKUP(F320&amp;H320,'[1]MV+BI'!$E$8:$K$375,5,FALSE)</f>
        <v>45432</v>
      </c>
      <c r="N320" s="62"/>
      <c r="O320" s="172">
        <f>VLOOKUP(F320&amp;H320,'[1]MV+BI'!$E$8:$K$375,7,FALSE)</f>
        <v>45436</v>
      </c>
      <c r="P320" s="62"/>
      <c r="Q320" s="300" t="s">
        <v>187</v>
      </c>
      <c r="R320" s="300"/>
      <c r="S320" s="300"/>
      <c r="T320" s="300"/>
      <c r="U320" s="300"/>
      <c r="V320" s="300"/>
      <c r="W320" s="300"/>
      <c r="X320" s="300"/>
      <c r="Y320" s="300"/>
      <c r="Z320" s="300"/>
      <c r="AA320" s="300"/>
      <c r="AB320"/>
      <c r="AC320"/>
      <c r="AD320" s="32"/>
    </row>
    <row r="321" spans="3:30" s="2" customFormat="1" ht="15" customHeight="1">
      <c r="C321" s="157"/>
      <c r="D321" s="1"/>
      <c r="E321" s="124" t="s">
        <v>26</v>
      </c>
      <c r="F321" s="178" t="s">
        <v>243</v>
      </c>
      <c r="G321" s="62"/>
      <c r="H321" s="62" t="s">
        <v>246</v>
      </c>
      <c r="I321" s="176" t="str">
        <f>VLOOKUP(F321&amp;H321,'[1]MV+BI'!$E$8:$K$375,3,FALSE)</f>
        <v>Em Implementação</v>
      </c>
      <c r="J321" s="62"/>
      <c r="K321" s="62" t="str">
        <f>VLOOKUP(F321&amp;H321,'[1]MV+BI'!$E$8:$K$375,6,FALSE)</f>
        <v>IT</v>
      </c>
      <c r="L321" s="62"/>
      <c r="M321" s="172">
        <f>VLOOKUP(F321&amp;H321,'[1]MV+BI'!$E$8:$K$375,5,FALSE)</f>
        <v>45432</v>
      </c>
      <c r="N321" s="62"/>
      <c r="O321" s="172">
        <f>VLOOKUP(F321&amp;H321,'[1]MV+BI'!$E$8:$K$375,7,FALSE)</f>
        <v>45436</v>
      </c>
      <c r="P321" s="62"/>
      <c r="Q321" s="300" t="s">
        <v>187</v>
      </c>
      <c r="R321" s="300"/>
      <c r="S321" s="300"/>
      <c r="T321" s="300"/>
      <c r="U321" s="300"/>
      <c r="V321" s="300"/>
      <c r="W321" s="300"/>
      <c r="X321" s="300"/>
      <c r="Y321" s="300"/>
      <c r="Z321" s="300"/>
      <c r="AA321" s="300"/>
      <c r="AB321"/>
      <c r="AC321"/>
      <c r="AD321" s="32"/>
    </row>
    <row r="322" spans="3:30" s="2" customFormat="1" ht="15" customHeight="1">
      <c r="C322" s="157"/>
      <c r="D322" s="1"/>
      <c r="E322" s="124" t="s">
        <v>26</v>
      </c>
      <c r="F322" s="178" t="s">
        <v>243</v>
      </c>
      <c r="G322" s="62"/>
      <c r="H322" s="62" t="s">
        <v>105</v>
      </c>
      <c r="I322" s="176" t="str">
        <f>VLOOKUP(F322&amp;H322,'[1]MV+BI'!$E$8:$K$375,3,FALSE)</f>
        <v>Em Implementação</v>
      </c>
      <c r="J322" s="62"/>
      <c r="K322" s="62" t="str">
        <f>VLOOKUP(F322&amp;H322,'[1]MV+BI'!$E$8:$K$375,6,FALSE)</f>
        <v>IT</v>
      </c>
      <c r="L322" s="62"/>
      <c r="M322" s="172">
        <f>VLOOKUP(F322&amp;H322,'[1]MV+BI'!$E$8:$K$375,5,FALSE)</f>
        <v>45432</v>
      </c>
      <c r="N322" s="62"/>
      <c r="O322" s="172">
        <f>VLOOKUP(F322&amp;H322,'[1]MV+BI'!$E$8:$K$375,7,FALSE)</f>
        <v>45436</v>
      </c>
      <c r="P322" s="62"/>
      <c r="Q322" s="300" t="s">
        <v>187</v>
      </c>
      <c r="R322" s="300"/>
      <c r="S322" s="300"/>
      <c r="T322" s="300"/>
      <c r="U322" s="300"/>
      <c r="V322" s="300"/>
      <c r="W322" s="300"/>
      <c r="X322" s="300"/>
      <c r="Y322" s="300"/>
      <c r="Z322" s="300"/>
      <c r="AA322" s="300"/>
      <c r="AB322"/>
      <c r="AC322"/>
      <c r="AD322" s="32"/>
    </row>
    <row r="323" spans="3:30" s="2" customFormat="1" ht="15" customHeight="1">
      <c r="C323" s="157"/>
      <c r="D323" s="1"/>
      <c r="E323" s="124" t="s">
        <v>26</v>
      </c>
      <c r="F323" s="178" t="s">
        <v>243</v>
      </c>
      <c r="G323" s="62"/>
      <c r="H323" s="62" t="s">
        <v>247</v>
      </c>
      <c r="I323" s="176" t="str">
        <f>VLOOKUP(F323&amp;H323,'[1]MV+BI'!$E$8:$K$375,3,FALSE)</f>
        <v>Em Implementação</v>
      </c>
      <c r="J323" s="62"/>
      <c r="K323" s="62" t="str">
        <f>VLOOKUP(F323&amp;H323,'[1]MV+BI'!$E$8:$K$375,6,FALSE)</f>
        <v>IT</v>
      </c>
      <c r="L323" s="62"/>
      <c r="M323" s="172">
        <f>VLOOKUP(F323&amp;H323,'[1]MV+BI'!$E$8:$K$375,5,FALSE)</f>
        <v>45432</v>
      </c>
      <c r="N323" s="62"/>
      <c r="O323" s="172">
        <f>VLOOKUP(F323&amp;H323,'[1]MV+BI'!$E$8:$K$375,7,FALSE)</f>
        <v>45436</v>
      </c>
      <c r="P323" s="62"/>
      <c r="Q323" s="300" t="s">
        <v>187</v>
      </c>
      <c r="R323" s="300"/>
      <c r="S323" s="300"/>
      <c r="T323" s="300"/>
      <c r="U323" s="300"/>
      <c r="V323" s="300"/>
      <c r="W323" s="300"/>
      <c r="X323" s="300"/>
      <c r="Y323" s="300"/>
      <c r="Z323" s="300"/>
      <c r="AA323" s="300"/>
      <c r="AB323"/>
      <c r="AC323"/>
      <c r="AD323" s="32"/>
    </row>
    <row r="324" spans="3:30" s="2" customFormat="1" ht="15" customHeight="1">
      <c r="C324" s="157"/>
      <c r="D324" s="1"/>
      <c r="E324" s="124" t="s">
        <v>26</v>
      </c>
      <c r="F324" s="178" t="s">
        <v>243</v>
      </c>
      <c r="G324" s="62"/>
      <c r="H324" s="62" t="s">
        <v>248</v>
      </c>
      <c r="I324" s="176" t="str">
        <f>VLOOKUP(F324&amp;H324,'[1]MV+BI'!$E$8:$K$375,3,FALSE)</f>
        <v>Em Implementação</v>
      </c>
      <c r="J324" s="62"/>
      <c r="K324" s="62" t="str">
        <f>VLOOKUP(F324&amp;H324,'[1]MV+BI'!$E$8:$K$375,6,FALSE)</f>
        <v>IT</v>
      </c>
      <c r="L324" s="62"/>
      <c r="M324" s="172">
        <f>VLOOKUP(F324&amp;H324,'[1]MV+BI'!$E$8:$K$375,5,FALSE)</f>
        <v>45432</v>
      </c>
      <c r="N324" s="62"/>
      <c r="O324" s="172">
        <f>VLOOKUP(F324&amp;H324,'[1]MV+BI'!$E$8:$K$375,7,FALSE)</f>
        <v>45436</v>
      </c>
      <c r="P324" s="62"/>
      <c r="Q324" s="300" t="s">
        <v>187</v>
      </c>
      <c r="R324" s="300"/>
      <c r="S324" s="300"/>
      <c r="T324" s="300"/>
      <c r="U324" s="300"/>
      <c r="V324" s="300"/>
      <c r="W324" s="300"/>
      <c r="X324" s="300"/>
      <c r="Y324" s="300"/>
      <c r="Z324" s="300"/>
      <c r="AA324" s="300"/>
      <c r="AB324"/>
      <c r="AC324"/>
      <c r="AD324" s="32"/>
    </row>
    <row r="325" spans="3:30" s="2" customFormat="1" ht="15" customHeight="1">
      <c r="C325" s="157"/>
      <c r="D325" s="1"/>
      <c r="E325" s="124" t="s">
        <v>26</v>
      </c>
      <c r="F325" s="178" t="s">
        <v>243</v>
      </c>
      <c r="G325" s="62"/>
      <c r="H325" s="62" t="s">
        <v>249</v>
      </c>
      <c r="I325" s="176" t="str">
        <f>VLOOKUP(F325&amp;H325,'[1]MV+BI'!$E$8:$K$375,3,FALSE)</f>
        <v>Em Implementação</v>
      </c>
      <c r="J325" s="62"/>
      <c r="K325" s="62" t="str">
        <f>VLOOKUP(F325&amp;H325,'[1]MV+BI'!$E$8:$K$375,6,FALSE)</f>
        <v>IT</v>
      </c>
      <c r="L325" s="62"/>
      <c r="M325" s="172">
        <f>VLOOKUP(F325&amp;H325,'[1]MV+BI'!$E$8:$K$375,5,FALSE)</f>
        <v>45432</v>
      </c>
      <c r="N325" s="62"/>
      <c r="O325" s="172">
        <f>VLOOKUP(F325&amp;H325,'[1]MV+BI'!$E$8:$K$375,7,FALSE)</f>
        <v>45436</v>
      </c>
      <c r="P325" s="62"/>
      <c r="Q325" s="300" t="s">
        <v>187</v>
      </c>
      <c r="R325" s="300"/>
      <c r="S325" s="300"/>
      <c r="T325" s="300"/>
      <c r="U325" s="300"/>
      <c r="V325" s="300"/>
      <c r="W325" s="300"/>
      <c r="X325" s="300"/>
      <c r="Y325" s="300"/>
      <c r="Z325" s="300"/>
      <c r="AA325" s="300"/>
      <c r="AB325"/>
      <c r="AC325"/>
      <c r="AD325" s="32"/>
    </row>
    <row r="326" spans="3:30" s="2" customFormat="1" ht="15" customHeight="1">
      <c r="C326" s="157"/>
      <c r="D326" s="1"/>
      <c r="E326" s="124" t="s">
        <v>26</v>
      </c>
      <c r="F326" s="178" t="s">
        <v>243</v>
      </c>
      <c r="G326" s="62"/>
      <c r="H326" s="62" t="s">
        <v>207</v>
      </c>
      <c r="I326" s="176" t="str">
        <f>VLOOKUP(F326&amp;H326,'[1]MV+BI'!$E$8:$K$375,3,FALSE)</f>
        <v>Em Implementação</v>
      </c>
      <c r="J326" s="62"/>
      <c r="K326" s="62" t="str">
        <f>VLOOKUP(F326&amp;H326,'[1]MV+BI'!$E$8:$K$375,6,FALSE)</f>
        <v>IT</v>
      </c>
      <c r="L326" s="62"/>
      <c r="M326" s="172">
        <f>VLOOKUP(F326&amp;H326,'[1]MV+BI'!$E$8:$K$375,5,FALSE)</f>
        <v>45432</v>
      </c>
      <c r="N326" s="62"/>
      <c r="O326" s="172">
        <f>VLOOKUP(F326&amp;H326,'[1]MV+BI'!$E$8:$K$375,7,FALSE)</f>
        <v>45436</v>
      </c>
      <c r="P326" s="62"/>
      <c r="Q326" s="300" t="s">
        <v>187</v>
      </c>
      <c r="R326" s="300"/>
      <c r="S326" s="300"/>
      <c r="T326" s="300"/>
      <c r="U326" s="300"/>
      <c r="V326" s="300"/>
      <c r="W326" s="300"/>
      <c r="X326" s="300"/>
      <c r="Y326" s="300"/>
      <c r="Z326" s="300"/>
      <c r="AA326" s="300"/>
      <c r="AB326"/>
      <c r="AC326"/>
      <c r="AD326" s="32"/>
    </row>
    <row r="327" spans="3:30" s="2" customFormat="1" ht="15" customHeight="1">
      <c r="C327" s="157"/>
      <c r="D327" s="1"/>
      <c r="E327" s="124" t="s">
        <v>26</v>
      </c>
      <c r="F327" s="178" t="s">
        <v>250</v>
      </c>
      <c r="G327" s="62"/>
      <c r="H327" s="62" t="s">
        <v>69</v>
      </c>
      <c r="I327" s="176" t="str">
        <f>VLOOKUP(F327&amp;H327,'[1]MV+BI'!$E$8:$K$375,3,FALSE)</f>
        <v>Em Teste - Alteração EF</v>
      </c>
      <c r="J327" s="62"/>
      <c r="K327" s="62" t="str">
        <f>VLOOKUP(F327&amp;H327,'[1]MV+BI'!$E$8:$K$375,6,FALSE)</f>
        <v>CDO</v>
      </c>
      <c r="L327" s="62"/>
      <c r="M327" s="62" t="str">
        <f>VLOOKUP(F327&amp;H327,'[1]MV+BI'!$E$8:$K$375,5,FALSE)</f>
        <v>-</v>
      </c>
      <c r="N327" s="62"/>
      <c r="O327" s="172">
        <f>VLOOKUP(F327&amp;H327,'[1]MV+BI'!$E$8:$K$375,7,FALSE)</f>
        <v>45443</v>
      </c>
      <c r="P327" s="62"/>
      <c r="Q327" s="79" t="s">
        <v>251</v>
      </c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/>
      <c r="AC327"/>
      <c r="AD327" s="32"/>
    </row>
    <row r="328" spans="3:30" s="2" customFormat="1" ht="15" customHeight="1">
      <c r="C328" s="157"/>
      <c r="D328" s="1"/>
      <c r="E328" s="124" t="s">
        <v>26</v>
      </c>
      <c r="F328" s="178" t="s">
        <v>250</v>
      </c>
      <c r="G328" s="62"/>
      <c r="H328" s="62" t="s">
        <v>70</v>
      </c>
      <c r="I328" s="176" t="str">
        <f>VLOOKUP(F328&amp;H328,'[1]MV+BI'!$E$8:$K$375,3,FALSE)</f>
        <v>Em Teste - Alteração EF</v>
      </c>
      <c r="J328" s="62"/>
      <c r="K328" s="62" t="str">
        <f>VLOOKUP(F328&amp;H328,'[1]MV+BI'!$E$8:$K$375,6,FALSE)</f>
        <v>CDO</v>
      </c>
      <c r="L328" s="62"/>
      <c r="M328" s="62" t="str">
        <f>VLOOKUP(F328&amp;H328,'[1]MV+BI'!$E$8:$K$375,5,FALSE)</f>
        <v>-</v>
      </c>
      <c r="N328" s="62"/>
      <c r="O328" s="172">
        <f>VLOOKUP(F328&amp;H328,'[1]MV+BI'!$E$8:$K$375,7,FALSE)</f>
        <v>45443</v>
      </c>
      <c r="P328" s="62"/>
      <c r="Q328" s="79" t="s">
        <v>251</v>
      </c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/>
      <c r="AC328"/>
      <c r="AD328" s="32"/>
    </row>
    <row r="329" spans="3:30" s="2" customFormat="1" ht="15" customHeight="1">
      <c r="C329" s="157"/>
      <c r="D329" s="1"/>
      <c r="E329" s="124" t="s">
        <v>26</v>
      </c>
      <c r="F329" s="178" t="s">
        <v>250</v>
      </c>
      <c r="G329" s="62"/>
      <c r="H329" s="62" t="s">
        <v>71</v>
      </c>
      <c r="I329" s="176" t="str">
        <f>VLOOKUP(F329&amp;H329,'[1]MV+BI'!$E$8:$K$375,3,FALSE)</f>
        <v>Em Teste - Alteração EF</v>
      </c>
      <c r="J329" s="62"/>
      <c r="K329" s="62" t="str">
        <f>VLOOKUP(F329&amp;H329,'[1]MV+BI'!$E$8:$K$375,6,FALSE)</f>
        <v>CDO</v>
      </c>
      <c r="L329" s="62"/>
      <c r="M329" s="62" t="str">
        <f>VLOOKUP(F329&amp;H329,'[1]MV+BI'!$E$8:$K$375,5,FALSE)</f>
        <v>-</v>
      </c>
      <c r="N329" s="62"/>
      <c r="O329" s="172">
        <f>VLOOKUP(F329&amp;H329,'[1]MV+BI'!$E$8:$K$375,7,FALSE)</f>
        <v>45443</v>
      </c>
      <c r="P329" s="62"/>
      <c r="Q329" s="79" t="s">
        <v>251</v>
      </c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/>
      <c r="AC329"/>
      <c r="AD329" s="32"/>
    </row>
    <row r="330" spans="3:30" s="2" customFormat="1" ht="15" customHeight="1">
      <c r="C330" s="157"/>
      <c r="D330" s="1"/>
      <c r="E330" s="124" t="s">
        <v>26</v>
      </c>
      <c r="F330" s="178" t="s">
        <v>250</v>
      </c>
      <c r="G330" s="62"/>
      <c r="H330" s="62" t="s">
        <v>72</v>
      </c>
      <c r="I330" s="176" t="str">
        <f>VLOOKUP(F330&amp;H330,'[1]MV+BI'!$E$8:$K$375,3,FALSE)</f>
        <v>Em Teste - Alteração EF</v>
      </c>
      <c r="J330" s="62"/>
      <c r="K330" s="62" t="str">
        <f>VLOOKUP(F330&amp;H330,'[1]MV+BI'!$E$8:$K$375,6,FALSE)</f>
        <v>CDO</v>
      </c>
      <c r="L330" s="62"/>
      <c r="M330" s="62" t="str">
        <f>VLOOKUP(F330&amp;H330,'[1]MV+BI'!$E$8:$K$375,5,FALSE)</f>
        <v>-</v>
      </c>
      <c r="N330" s="62"/>
      <c r="O330" s="172">
        <f>VLOOKUP(F330&amp;H330,'[1]MV+BI'!$E$8:$K$375,7,FALSE)</f>
        <v>45443</v>
      </c>
      <c r="P330" s="62"/>
      <c r="Q330" s="79" t="s">
        <v>251</v>
      </c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/>
      <c r="AC330"/>
      <c r="AD330" s="32"/>
    </row>
    <row r="331" spans="3:30" s="2" customFormat="1" ht="15" customHeight="1">
      <c r="C331" s="157"/>
      <c r="D331" s="1"/>
      <c r="E331" s="124" t="s">
        <v>26</v>
      </c>
      <c r="F331" s="178" t="s">
        <v>250</v>
      </c>
      <c r="G331" s="62"/>
      <c r="H331" s="62" t="s">
        <v>252</v>
      </c>
      <c r="I331" s="176" t="str">
        <f>VLOOKUP(F331&amp;H331,'[1]MV+BI'!$E$8:$K$375,3,FALSE)</f>
        <v>Em Teste - Alteração EF</v>
      </c>
      <c r="J331" s="62"/>
      <c r="K331" s="62" t="str">
        <f>VLOOKUP(F331&amp;H331,'[1]MV+BI'!$E$8:$K$375,6,FALSE)</f>
        <v>CDO</v>
      </c>
      <c r="L331" s="62"/>
      <c r="M331" s="62" t="str">
        <f>VLOOKUP(F331&amp;H331,'[1]MV+BI'!$E$8:$K$375,5,FALSE)</f>
        <v>-</v>
      </c>
      <c r="N331" s="62"/>
      <c r="O331" s="172">
        <f>VLOOKUP(F331&amp;H331,'[1]MV+BI'!$E$8:$K$375,7,FALSE)</f>
        <v>45443</v>
      </c>
      <c r="P331" s="62"/>
      <c r="Q331" s="79" t="s">
        <v>251</v>
      </c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/>
      <c r="AC331"/>
      <c r="AD331" s="32"/>
    </row>
    <row r="332" spans="3:30" s="2" customFormat="1" ht="15" customHeight="1">
      <c r="C332" s="157"/>
      <c r="D332" s="1"/>
      <c r="E332" s="124" t="s">
        <v>26</v>
      </c>
      <c r="F332" s="178" t="s">
        <v>250</v>
      </c>
      <c r="G332" s="62"/>
      <c r="H332" s="62" t="s">
        <v>253</v>
      </c>
      <c r="I332" s="176" t="str">
        <f>VLOOKUP(F332&amp;H332,'[1]MV+BI'!$E$8:$K$375,3,FALSE)</f>
        <v>Em Teste - Alteração EF</v>
      </c>
      <c r="J332" s="62"/>
      <c r="K332" s="62" t="str">
        <f>VLOOKUP(F332&amp;H332,'[1]MV+BI'!$E$8:$K$375,6,FALSE)</f>
        <v>CDO</v>
      </c>
      <c r="L332" s="62"/>
      <c r="M332" s="62" t="str">
        <f>VLOOKUP(F332&amp;H332,'[1]MV+BI'!$E$8:$K$375,5,FALSE)</f>
        <v>-</v>
      </c>
      <c r="N332" s="62"/>
      <c r="O332" s="172">
        <f>VLOOKUP(F332&amp;H332,'[1]MV+BI'!$E$8:$K$375,7,FALSE)</f>
        <v>45443</v>
      </c>
      <c r="P332" s="62"/>
      <c r="Q332" s="79" t="s">
        <v>251</v>
      </c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/>
      <c r="AC332"/>
      <c r="AD332" s="32"/>
    </row>
    <row r="333" spans="3:30" s="2" customFormat="1" ht="15" customHeight="1">
      <c r="C333" s="157"/>
      <c r="D333" s="1"/>
      <c r="E333" s="124" t="s">
        <v>26</v>
      </c>
      <c r="F333" s="178" t="s">
        <v>250</v>
      </c>
      <c r="G333" s="62"/>
      <c r="H333" s="62" t="s">
        <v>254</v>
      </c>
      <c r="I333" s="176" t="str">
        <f>VLOOKUP(F333&amp;H333,'[1]MV+BI'!$E$8:$K$375,3,FALSE)</f>
        <v>Em Teste - Alteração EF</v>
      </c>
      <c r="J333" s="62"/>
      <c r="K333" s="62" t="str">
        <f>VLOOKUP(F333&amp;H333,'[1]MV+BI'!$E$8:$K$375,6,FALSE)</f>
        <v>CDO</v>
      </c>
      <c r="L333" s="62"/>
      <c r="M333" s="62" t="str">
        <f>VLOOKUP(F333&amp;H333,'[1]MV+BI'!$E$8:$K$375,5,FALSE)</f>
        <v>-</v>
      </c>
      <c r="N333" s="62"/>
      <c r="O333" s="172">
        <f>VLOOKUP(F333&amp;H333,'[1]MV+BI'!$E$8:$K$375,7,FALSE)</f>
        <v>45443</v>
      </c>
      <c r="P333" s="62"/>
      <c r="Q333" s="79" t="s">
        <v>251</v>
      </c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/>
      <c r="AC333"/>
      <c r="AD333" s="32"/>
    </row>
    <row r="334" spans="3:30" s="2" customFormat="1" ht="15" customHeight="1">
      <c r="C334" s="157"/>
      <c r="D334" s="1"/>
      <c r="E334" s="124" t="s">
        <v>26</v>
      </c>
      <c r="F334" s="178" t="s">
        <v>250</v>
      </c>
      <c r="G334" s="62"/>
      <c r="H334" s="62" t="s">
        <v>255</v>
      </c>
      <c r="I334" s="176" t="str">
        <f>VLOOKUP(F334&amp;H334,'[1]MV+BI'!$E$8:$K$375,3,FALSE)</f>
        <v>Em Teste - Alteração EF</v>
      </c>
      <c r="J334" s="62"/>
      <c r="K334" s="62" t="str">
        <f>VLOOKUP(F334&amp;H334,'[1]MV+BI'!$E$8:$K$375,6,FALSE)</f>
        <v>CDO</v>
      </c>
      <c r="L334" s="62"/>
      <c r="M334" s="62" t="str">
        <f>VLOOKUP(F334&amp;H334,'[1]MV+BI'!$E$8:$K$375,5,FALSE)</f>
        <v>-</v>
      </c>
      <c r="N334" s="62"/>
      <c r="O334" s="172">
        <f>VLOOKUP(F334&amp;H334,'[1]MV+BI'!$E$8:$K$375,7,FALSE)</f>
        <v>45443</v>
      </c>
      <c r="P334" s="62"/>
      <c r="Q334" s="79" t="s">
        <v>251</v>
      </c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/>
      <c r="AC334"/>
      <c r="AD334" s="32"/>
    </row>
    <row r="335" spans="3:30" s="2" customFormat="1" ht="15" customHeight="1">
      <c r="C335" s="157"/>
      <c r="D335" s="1"/>
      <c r="E335" s="124" t="s">
        <v>26</v>
      </c>
      <c r="F335" s="178" t="s">
        <v>250</v>
      </c>
      <c r="G335" s="62"/>
      <c r="H335" s="62" t="s">
        <v>256</v>
      </c>
      <c r="I335" s="176" t="str">
        <f>VLOOKUP(F335&amp;H335,'[1]MV+BI'!$E$8:$K$375,3,FALSE)</f>
        <v>Em Teste - Alteração EF</v>
      </c>
      <c r="J335" s="62"/>
      <c r="K335" s="62" t="str">
        <f>VLOOKUP(F335&amp;H335,'[1]MV+BI'!$E$8:$K$375,6,FALSE)</f>
        <v>CDO</v>
      </c>
      <c r="L335" s="62"/>
      <c r="M335" s="62" t="str">
        <f>VLOOKUP(F335&amp;H335,'[1]MV+BI'!$E$8:$K$375,5,FALSE)</f>
        <v>-</v>
      </c>
      <c r="N335" s="62"/>
      <c r="O335" s="172">
        <f>VLOOKUP(F335&amp;H335,'[1]MV+BI'!$E$8:$K$375,7,FALSE)</f>
        <v>45443</v>
      </c>
      <c r="P335" s="62"/>
      <c r="Q335" s="79" t="s">
        <v>251</v>
      </c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/>
      <c r="AC335"/>
      <c r="AD335" s="32"/>
    </row>
    <row r="336" spans="3:30" s="2" customFormat="1" ht="15" customHeight="1">
      <c r="C336" s="157"/>
      <c r="D336" s="1"/>
      <c r="E336" s="124" t="s">
        <v>26</v>
      </c>
      <c r="F336" s="178" t="s">
        <v>250</v>
      </c>
      <c r="G336" s="62"/>
      <c r="H336" s="62" t="s">
        <v>257</v>
      </c>
      <c r="I336" s="176" t="str">
        <f>VLOOKUP(F336&amp;H336,'[1]MV+BI'!$E$8:$K$375,3,FALSE)</f>
        <v>Em Teste - Alteração EF</v>
      </c>
      <c r="J336" s="62"/>
      <c r="K336" s="62" t="str">
        <f>VLOOKUP(F336&amp;H336,'[1]MV+BI'!$E$8:$K$375,6,FALSE)</f>
        <v>CDO</v>
      </c>
      <c r="L336" s="62"/>
      <c r="M336" s="62" t="str">
        <f>VLOOKUP(F336&amp;H336,'[1]MV+BI'!$E$8:$K$375,5,FALSE)</f>
        <v>-</v>
      </c>
      <c r="N336" s="62"/>
      <c r="O336" s="172">
        <f>VLOOKUP(F336&amp;H336,'[1]MV+BI'!$E$8:$K$375,7,FALSE)</f>
        <v>45443</v>
      </c>
      <c r="P336" s="62"/>
      <c r="Q336" s="79" t="s">
        <v>251</v>
      </c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/>
      <c r="AC336"/>
      <c r="AD336" s="32"/>
    </row>
    <row r="337" spans="3:30" s="2" customFormat="1" ht="15" customHeight="1">
      <c r="C337" s="157"/>
      <c r="D337" s="1"/>
      <c r="E337" s="124" t="s">
        <v>26</v>
      </c>
      <c r="F337" s="178" t="s">
        <v>250</v>
      </c>
      <c r="G337" s="62"/>
      <c r="H337" s="62" t="s">
        <v>258</v>
      </c>
      <c r="I337" s="176" t="str">
        <f>VLOOKUP(F337&amp;H337,'[1]MV+BI'!$E$8:$K$375,3,FALSE)</f>
        <v>Em Teste - Alteração EF</v>
      </c>
      <c r="J337" s="62"/>
      <c r="K337" s="62" t="str">
        <f>VLOOKUP(F337&amp;H337,'[1]MV+BI'!$E$8:$K$375,6,FALSE)</f>
        <v>CDO</v>
      </c>
      <c r="L337" s="62"/>
      <c r="M337" s="62" t="str">
        <f>VLOOKUP(F337&amp;H337,'[1]MV+BI'!$E$8:$K$375,5,FALSE)</f>
        <v>-</v>
      </c>
      <c r="N337" s="62"/>
      <c r="O337" s="172">
        <f>VLOOKUP(F337&amp;H337,'[1]MV+BI'!$E$8:$K$375,7,FALSE)</f>
        <v>45443</v>
      </c>
      <c r="P337" s="62"/>
      <c r="Q337" s="79" t="s">
        <v>251</v>
      </c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/>
      <c r="AC337"/>
      <c r="AD337" s="32"/>
    </row>
    <row r="338" spans="3:30" s="2" customFormat="1" ht="15" customHeight="1">
      <c r="C338" s="157"/>
      <c r="D338" s="1"/>
      <c r="E338" s="124" t="s">
        <v>26</v>
      </c>
      <c r="F338" s="178" t="s">
        <v>250</v>
      </c>
      <c r="G338" s="62"/>
      <c r="H338" s="62" t="s">
        <v>259</v>
      </c>
      <c r="I338" s="176" t="str">
        <f>VLOOKUP(F338&amp;H338,'[1]MV+BI'!$E$8:$K$375,3,FALSE)</f>
        <v>Em Teste - Alteração EF</v>
      </c>
      <c r="J338" s="62"/>
      <c r="K338" s="62" t="str">
        <f>VLOOKUP(F338&amp;H338,'[1]MV+BI'!$E$8:$K$375,6,FALSE)</f>
        <v>CDO</v>
      </c>
      <c r="L338" s="62"/>
      <c r="M338" s="62" t="str">
        <f>VLOOKUP(F338&amp;H338,'[1]MV+BI'!$E$8:$K$375,5,FALSE)</f>
        <v>-</v>
      </c>
      <c r="N338" s="62"/>
      <c r="O338" s="172">
        <f>VLOOKUP(F338&amp;H338,'[1]MV+BI'!$E$8:$K$375,7,FALSE)</f>
        <v>45443</v>
      </c>
      <c r="P338" s="62"/>
      <c r="Q338" s="79" t="s">
        <v>251</v>
      </c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/>
      <c r="AC338"/>
      <c r="AD338" s="32"/>
    </row>
    <row r="339" spans="3:30" s="2" customFormat="1" ht="15" customHeight="1">
      <c r="C339" s="157"/>
      <c r="D339" s="1"/>
      <c r="E339" s="124" t="s">
        <v>26</v>
      </c>
      <c r="F339" s="178" t="s">
        <v>250</v>
      </c>
      <c r="G339" s="62"/>
      <c r="H339" s="62" t="s">
        <v>260</v>
      </c>
      <c r="I339" s="176" t="str">
        <f>VLOOKUP(F339&amp;H339,'[1]MV+BI'!$E$8:$K$375,3,FALSE)</f>
        <v>Em Teste - Alteração EF</v>
      </c>
      <c r="J339" s="62"/>
      <c r="K339" s="62" t="str">
        <f>VLOOKUP(F339&amp;H339,'[1]MV+BI'!$E$8:$K$375,6,FALSE)</f>
        <v>CDO</v>
      </c>
      <c r="L339" s="62"/>
      <c r="M339" s="62" t="str">
        <f>VLOOKUP(F339&amp;H339,'[1]MV+BI'!$E$8:$K$375,5,FALSE)</f>
        <v>-</v>
      </c>
      <c r="N339" s="62"/>
      <c r="O339" s="172">
        <f>VLOOKUP(F339&amp;H339,'[1]MV+BI'!$E$8:$K$375,7,FALSE)</f>
        <v>45443</v>
      </c>
      <c r="P339" s="62"/>
      <c r="Q339" s="79" t="s">
        <v>251</v>
      </c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/>
      <c r="AC339"/>
      <c r="AD339" s="32"/>
    </row>
    <row r="340" spans="3:30" s="2" customFormat="1" ht="15" customHeight="1">
      <c r="C340" s="157"/>
      <c r="D340" s="1"/>
      <c r="E340" s="124" t="s">
        <v>26</v>
      </c>
      <c r="F340" s="178" t="s">
        <v>250</v>
      </c>
      <c r="G340" s="62"/>
      <c r="H340" s="62" t="s">
        <v>261</v>
      </c>
      <c r="I340" s="176" t="str">
        <f>VLOOKUP(F340&amp;H340,'[1]MV+BI'!$E$8:$K$375,3,FALSE)</f>
        <v>Em Teste - Alteração EF</v>
      </c>
      <c r="J340" s="62"/>
      <c r="K340" s="62" t="str">
        <f>VLOOKUP(F340&amp;H340,'[1]MV+BI'!$E$8:$K$375,6,FALSE)</f>
        <v>CDO</v>
      </c>
      <c r="L340" s="62"/>
      <c r="M340" s="62" t="str">
        <f>VLOOKUP(F340&amp;H340,'[1]MV+BI'!$E$8:$K$375,5,FALSE)</f>
        <v>-</v>
      </c>
      <c r="N340" s="62"/>
      <c r="O340" s="172">
        <f>VLOOKUP(F340&amp;H340,'[1]MV+BI'!$E$8:$K$375,7,FALSE)</f>
        <v>45443</v>
      </c>
      <c r="P340" s="62"/>
      <c r="Q340" s="79" t="s">
        <v>251</v>
      </c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/>
      <c r="AC340"/>
      <c r="AD340" s="32"/>
    </row>
    <row r="341" spans="3:30" s="2" customFormat="1" ht="15" customHeight="1">
      <c r="C341" s="157"/>
      <c r="D341" s="1"/>
      <c r="E341" s="124" t="s">
        <v>26</v>
      </c>
      <c r="F341" s="178" t="s">
        <v>250</v>
      </c>
      <c r="G341" s="62"/>
      <c r="H341" s="62" t="s">
        <v>222</v>
      </c>
      <c r="I341" s="176" t="str">
        <f>VLOOKUP(F341&amp;H341,'[1]MV+BI'!$E$8:$K$375,3,FALSE)</f>
        <v>Em Teste - Alteração EF</v>
      </c>
      <c r="J341" s="62"/>
      <c r="K341" s="62" t="str">
        <f>VLOOKUP(F341&amp;H341,'[1]MV+BI'!$E$8:$K$375,6,FALSE)</f>
        <v>CDO</v>
      </c>
      <c r="L341" s="62"/>
      <c r="M341" s="62" t="str">
        <f>VLOOKUP(F341&amp;H341,'[1]MV+BI'!$E$8:$K$375,5,FALSE)</f>
        <v>-</v>
      </c>
      <c r="N341" s="62"/>
      <c r="O341" s="172">
        <f>VLOOKUP(F341&amp;H341,'[1]MV+BI'!$E$8:$K$375,7,FALSE)</f>
        <v>45443</v>
      </c>
      <c r="P341" s="62"/>
      <c r="Q341" s="79" t="s">
        <v>251</v>
      </c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/>
      <c r="AC341"/>
      <c r="AD341" s="32"/>
    </row>
    <row r="342" spans="3:30" s="2" customFormat="1" ht="15" customHeight="1">
      <c r="C342" s="157"/>
      <c r="D342" s="1"/>
      <c r="E342" s="124" t="s">
        <v>26</v>
      </c>
      <c r="F342" s="178" t="s">
        <v>250</v>
      </c>
      <c r="G342" s="62"/>
      <c r="H342" s="62" t="s">
        <v>262</v>
      </c>
      <c r="I342" s="176" t="str">
        <f>VLOOKUP(F342&amp;H342,'[1]MV+BI'!$E$8:$K$375,3,FALSE)</f>
        <v>Em Teste - Alteração EF</v>
      </c>
      <c r="J342" s="62"/>
      <c r="K342" s="62" t="str">
        <f>VLOOKUP(F342&amp;H342,'[1]MV+BI'!$E$8:$K$375,6,FALSE)</f>
        <v>CDO</v>
      </c>
      <c r="L342" s="62"/>
      <c r="M342" s="62" t="str">
        <f>VLOOKUP(F342&amp;H342,'[1]MV+BI'!$E$8:$K$375,5,FALSE)</f>
        <v>-</v>
      </c>
      <c r="N342" s="62"/>
      <c r="O342" s="172">
        <f>VLOOKUP(F342&amp;H342,'[1]MV+BI'!$E$8:$K$375,7,FALSE)</f>
        <v>45443</v>
      </c>
      <c r="P342" s="62"/>
      <c r="Q342" s="79" t="s">
        <v>251</v>
      </c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/>
      <c r="AC342"/>
      <c r="AD342" s="32"/>
    </row>
    <row r="343" spans="3:30" s="2" customFormat="1" ht="15" customHeight="1">
      <c r="C343" s="157"/>
      <c r="D343" s="1"/>
      <c r="E343" s="124" t="s">
        <v>26</v>
      </c>
      <c r="F343" s="178" t="s">
        <v>250</v>
      </c>
      <c r="G343" s="62"/>
      <c r="H343" s="62" t="s">
        <v>263</v>
      </c>
      <c r="I343" s="176" t="str">
        <f>VLOOKUP(F343&amp;H343,'[1]MV+BI'!$E$8:$K$375,3,FALSE)</f>
        <v>Em Teste - Alteração EF</v>
      </c>
      <c r="J343" s="62"/>
      <c r="K343" s="62" t="str">
        <f>VLOOKUP(F343&amp;H343,'[1]MV+BI'!$E$8:$K$375,6,FALSE)</f>
        <v>CDO</v>
      </c>
      <c r="L343" s="62"/>
      <c r="M343" s="62" t="str">
        <f>VLOOKUP(F343&amp;H343,'[1]MV+BI'!$E$8:$K$375,5,FALSE)</f>
        <v>-</v>
      </c>
      <c r="N343" s="62"/>
      <c r="O343" s="172">
        <f>VLOOKUP(F343&amp;H343,'[1]MV+BI'!$E$8:$K$375,7,FALSE)</f>
        <v>45443</v>
      </c>
      <c r="P343" s="62"/>
      <c r="Q343" s="79" t="s">
        <v>251</v>
      </c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/>
      <c r="AC343"/>
      <c r="AD343" s="32"/>
    </row>
    <row r="344" spans="3:30" s="2" customFormat="1" ht="15" customHeight="1">
      <c r="C344" s="157"/>
      <c r="D344" s="1"/>
      <c r="E344" s="124" t="s">
        <v>26</v>
      </c>
      <c r="F344" s="178" t="s">
        <v>250</v>
      </c>
      <c r="G344" s="62"/>
      <c r="H344" s="62" t="s">
        <v>264</v>
      </c>
      <c r="I344" s="176" t="str">
        <f>VLOOKUP(F344&amp;H344,'[1]MV+BI'!$E$8:$K$375,3,FALSE)</f>
        <v>Em Teste - Alteração EF</v>
      </c>
      <c r="J344" s="62"/>
      <c r="K344" s="62" t="str">
        <f>VLOOKUP(F344&amp;H344,'[1]MV+BI'!$E$8:$K$375,6,FALSE)</f>
        <v>CDO</v>
      </c>
      <c r="L344" s="62"/>
      <c r="M344" s="62" t="str">
        <f>VLOOKUP(F344&amp;H344,'[1]MV+BI'!$E$8:$K$375,5,FALSE)</f>
        <v>-</v>
      </c>
      <c r="N344" s="62"/>
      <c r="O344" s="172">
        <f>VLOOKUP(F344&amp;H344,'[1]MV+BI'!$E$8:$K$375,7,FALSE)</f>
        <v>45443</v>
      </c>
      <c r="P344" s="62"/>
      <c r="Q344" s="79" t="s">
        <v>251</v>
      </c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/>
      <c r="AC344"/>
      <c r="AD344" s="32"/>
    </row>
    <row r="345" spans="3:30" s="2" customFormat="1" ht="15" customHeight="1">
      <c r="C345" s="157"/>
      <c r="D345" s="1"/>
      <c r="E345" s="124" t="s">
        <v>26</v>
      </c>
      <c r="F345" s="178" t="s">
        <v>250</v>
      </c>
      <c r="G345" s="62"/>
      <c r="H345" s="62" t="s">
        <v>265</v>
      </c>
      <c r="I345" s="176" t="str">
        <f>VLOOKUP(F345&amp;H345,'[1]MV+BI'!$E$8:$K$375,3,FALSE)</f>
        <v>Em Teste - Alteração EF</v>
      </c>
      <c r="J345" s="62"/>
      <c r="K345" s="62" t="str">
        <f>VLOOKUP(F345&amp;H345,'[1]MV+BI'!$E$8:$K$375,6,FALSE)</f>
        <v>CDO</v>
      </c>
      <c r="L345" s="62"/>
      <c r="M345" s="62" t="str">
        <f>VLOOKUP(F345&amp;H345,'[1]MV+BI'!$E$8:$K$375,5,FALSE)</f>
        <v>-</v>
      </c>
      <c r="N345" s="62"/>
      <c r="O345" s="172">
        <f>VLOOKUP(F345&amp;H345,'[1]MV+BI'!$E$8:$K$375,7,FALSE)</f>
        <v>45443</v>
      </c>
      <c r="P345" s="62"/>
      <c r="Q345" s="79" t="s">
        <v>251</v>
      </c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/>
      <c r="AC345"/>
      <c r="AD345" s="32"/>
    </row>
    <row r="346" spans="3:30" s="2" customFormat="1" ht="15" customHeight="1">
      <c r="C346" s="157"/>
      <c r="D346" s="1"/>
      <c r="E346" s="124" t="s">
        <v>26</v>
      </c>
      <c r="F346" s="178" t="s">
        <v>250</v>
      </c>
      <c r="G346" s="62"/>
      <c r="H346" s="62" t="s">
        <v>266</v>
      </c>
      <c r="I346" s="176" t="str">
        <f>VLOOKUP(F346&amp;H346,'[1]MV+BI'!$E$8:$K$375,3,FALSE)</f>
        <v>Em Teste - Alteração EF</v>
      </c>
      <c r="J346" s="62"/>
      <c r="K346" s="62" t="str">
        <f>VLOOKUP(F346&amp;H346,'[1]MV+BI'!$E$8:$K$375,6,FALSE)</f>
        <v>CDO</v>
      </c>
      <c r="L346" s="62"/>
      <c r="M346" s="62" t="str">
        <f>VLOOKUP(F346&amp;H346,'[1]MV+BI'!$E$8:$K$375,5,FALSE)</f>
        <v>-</v>
      </c>
      <c r="N346" s="62"/>
      <c r="O346" s="172">
        <f>VLOOKUP(F346&amp;H346,'[1]MV+BI'!$E$8:$K$375,7,FALSE)</f>
        <v>45443</v>
      </c>
      <c r="P346" s="62"/>
      <c r="Q346" s="79" t="s">
        <v>251</v>
      </c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/>
      <c r="AC346"/>
      <c r="AD346" s="32"/>
    </row>
    <row r="347" spans="3:30" s="2" customFormat="1" ht="15" customHeight="1">
      <c r="C347" s="157"/>
      <c r="D347" s="1"/>
      <c r="E347" s="124" t="s">
        <v>26</v>
      </c>
      <c r="F347" s="178" t="s">
        <v>250</v>
      </c>
      <c r="G347" s="62"/>
      <c r="H347" s="62" t="s">
        <v>267</v>
      </c>
      <c r="I347" s="176" t="str">
        <f>VLOOKUP(F347&amp;H347,'[1]MV+BI'!$E$8:$K$375,3,FALSE)</f>
        <v>Em Teste - Alteração EF</v>
      </c>
      <c r="J347" s="62"/>
      <c r="K347" s="62" t="str">
        <f>VLOOKUP(F347&amp;H347,'[1]MV+BI'!$E$8:$K$375,6,FALSE)</f>
        <v>CDO</v>
      </c>
      <c r="L347" s="62"/>
      <c r="M347" s="62" t="str">
        <f>VLOOKUP(F347&amp;H347,'[1]MV+BI'!$E$8:$K$375,5,FALSE)</f>
        <v>-</v>
      </c>
      <c r="N347" s="62"/>
      <c r="O347" s="172">
        <f>VLOOKUP(F347&amp;H347,'[1]MV+BI'!$E$8:$K$375,7,FALSE)</f>
        <v>45443</v>
      </c>
      <c r="P347" s="62"/>
      <c r="Q347" s="79" t="s">
        <v>251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/>
      <c r="AC347"/>
      <c r="AD347" s="32"/>
    </row>
    <row r="348" spans="3:30" s="2" customFormat="1" ht="15" customHeight="1">
      <c r="C348" s="157"/>
      <c r="D348" s="1"/>
      <c r="E348" s="124" t="s">
        <v>26</v>
      </c>
      <c r="F348" s="178" t="s">
        <v>250</v>
      </c>
      <c r="G348" s="62"/>
      <c r="H348" s="62" t="s">
        <v>268</v>
      </c>
      <c r="I348" s="176" t="str">
        <f>VLOOKUP(F348&amp;H348,'[1]MV+BI'!$E$8:$K$375,3,FALSE)</f>
        <v>Em Teste - Alteração EF</v>
      </c>
      <c r="J348" s="62"/>
      <c r="K348" s="62" t="str">
        <f>VLOOKUP(F348&amp;H348,'[1]MV+BI'!$E$8:$K$375,6,FALSE)</f>
        <v>CDO</v>
      </c>
      <c r="L348" s="62"/>
      <c r="M348" s="62" t="str">
        <f>VLOOKUP(F348&amp;H348,'[1]MV+BI'!$E$8:$K$375,5,FALSE)</f>
        <v>-</v>
      </c>
      <c r="N348" s="62"/>
      <c r="O348" s="172">
        <f>VLOOKUP(F348&amp;H348,'[1]MV+BI'!$E$8:$K$375,7,FALSE)</f>
        <v>45443</v>
      </c>
      <c r="P348" s="62"/>
      <c r="Q348" s="79" t="s">
        <v>251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/>
      <c r="AC348"/>
      <c r="AD348" s="32"/>
    </row>
    <row r="349" spans="3:30" s="2" customFormat="1" ht="15" customHeight="1">
      <c r="C349" s="157"/>
      <c r="D349" s="1"/>
      <c r="E349" s="124" t="s">
        <v>26</v>
      </c>
      <c r="F349" s="178" t="s">
        <v>250</v>
      </c>
      <c r="G349" s="62"/>
      <c r="H349" s="62" t="s">
        <v>269</v>
      </c>
      <c r="I349" s="176" t="str">
        <f>VLOOKUP(F349&amp;H349,'[1]MV+BI'!$E$8:$K$375,3,FALSE)</f>
        <v>Em Teste - Alteração EF</v>
      </c>
      <c r="J349" s="62"/>
      <c r="K349" s="62" t="str">
        <f>VLOOKUP(F349&amp;H349,'[1]MV+BI'!$E$8:$K$375,6,FALSE)</f>
        <v>CDO</v>
      </c>
      <c r="L349" s="62"/>
      <c r="M349" s="62" t="str">
        <f>VLOOKUP(F349&amp;H349,'[1]MV+BI'!$E$8:$K$375,5,FALSE)</f>
        <v>-</v>
      </c>
      <c r="N349" s="62"/>
      <c r="O349" s="172">
        <f>VLOOKUP(F349&amp;H349,'[1]MV+BI'!$E$8:$K$375,7,FALSE)</f>
        <v>45443</v>
      </c>
      <c r="P349" s="62"/>
      <c r="Q349" s="79" t="s">
        <v>251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/>
      <c r="AC349"/>
      <c r="AD349" s="32"/>
    </row>
    <row r="350" spans="3:30" s="2" customFormat="1" ht="15" customHeight="1">
      <c r="C350" s="157"/>
      <c r="D350" s="1"/>
      <c r="E350" s="124" t="s">
        <v>26</v>
      </c>
      <c r="F350" s="178" t="s">
        <v>250</v>
      </c>
      <c r="G350" s="62"/>
      <c r="H350" s="62" t="s">
        <v>270</v>
      </c>
      <c r="I350" s="176" t="str">
        <f>VLOOKUP(F350&amp;H350,'[1]MV+BI'!$E$8:$K$375,3,FALSE)</f>
        <v>Em Teste - Alteração EF</v>
      </c>
      <c r="J350" s="62"/>
      <c r="K350" s="62" t="str">
        <f>VLOOKUP(F350&amp;H350,'[1]MV+BI'!$E$8:$K$375,6,FALSE)</f>
        <v>CDO</v>
      </c>
      <c r="L350" s="62"/>
      <c r="M350" s="62" t="str">
        <f>VLOOKUP(F350&amp;H350,'[1]MV+BI'!$E$8:$K$375,5,FALSE)</f>
        <v>-</v>
      </c>
      <c r="N350" s="62"/>
      <c r="O350" s="172">
        <f>VLOOKUP(F350&amp;H350,'[1]MV+BI'!$E$8:$K$375,7,FALSE)</f>
        <v>45443</v>
      </c>
      <c r="P350" s="62"/>
      <c r="Q350" s="79" t="s">
        <v>251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/>
      <c r="AC350"/>
      <c r="AD350" s="32"/>
    </row>
    <row r="351" spans="3:30" s="2" customFormat="1" ht="15" customHeight="1">
      <c r="C351" s="157"/>
      <c r="D351" s="1"/>
      <c r="E351" s="124" t="s">
        <v>26</v>
      </c>
      <c r="F351" s="178" t="s">
        <v>250</v>
      </c>
      <c r="G351" s="62"/>
      <c r="H351" s="62" t="s">
        <v>271</v>
      </c>
      <c r="I351" s="176" t="str">
        <f>VLOOKUP(F351&amp;H351,'[1]MV+BI'!$E$8:$K$375,3,FALSE)</f>
        <v>Em Teste - Alteração EF</v>
      </c>
      <c r="J351" s="62"/>
      <c r="K351" s="62" t="str">
        <f>VLOOKUP(F351&amp;H351,'[1]MV+BI'!$E$8:$K$375,6,FALSE)</f>
        <v>CDO</v>
      </c>
      <c r="L351" s="62"/>
      <c r="M351" s="62" t="str">
        <f>VLOOKUP(F351&amp;H351,'[1]MV+BI'!$E$8:$K$375,5,FALSE)</f>
        <v>-</v>
      </c>
      <c r="N351" s="62"/>
      <c r="O351" s="172">
        <f>VLOOKUP(F351&amp;H351,'[1]MV+BI'!$E$8:$K$375,7,FALSE)</f>
        <v>45443</v>
      </c>
      <c r="P351" s="62"/>
      <c r="Q351" s="79" t="s">
        <v>251</v>
      </c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/>
      <c r="AC351"/>
      <c r="AD351" s="32"/>
    </row>
    <row r="352" spans="3:30" s="2" customFormat="1" ht="15" customHeight="1">
      <c r="C352" s="157"/>
      <c r="D352" s="1"/>
      <c r="E352" s="124" t="s">
        <v>26</v>
      </c>
      <c r="F352" s="178" t="s">
        <v>250</v>
      </c>
      <c r="G352" s="62"/>
      <c r="H352" s="62" t="s">
        <v>272</v>
      </c>
      <c r="I352" s="176" t="str">
        <f>VLOOKUP(F352&amp;H352,'[1]MV+BI'!$E$8:$K$375,3,FALSE)</f>
        <v>Em Teste - Alteração EF</v>
      </c>
      <c r="J352" s="62"/>
      <c r="K352" s="62" t="str">
        <f>VLOOKUP(F352&amp;H352,'[1]MV+BI'!$E$8:$K$375,6,FALSE)</f>
        <v>CDO</v>
      </c>
      <c r="L352" s="62"/>
      <c r="M352" s="62" t="str">
        <f>VLOOKUP(F352&amp;H352,'[1]MV+BI'!$E$8:$K$375,5,FALSE)</f>
        <v>-</v>
      </c>
      <c r="N352" s="62"/>
      <c r="O352" s="172">
        <f>VLOOKUP(F352&amp;H352,'[1]MV+BI'!$E$8:$K$375,7,FALSE)</f>
        <v>45443</v>
      </c>
      <c r="P352" s="62"/>
      <c r="Q352" s="79" t="s">
        <v>251</v>
      </c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/>
      <c r="AC352"/>
      <c r="AD352" s="32"/>
    </row>
    <row r="353" spans="3:30" s="2" customFormat="1" ht="15" customHeight="1">
      <c r="C353" s="157"/>
      <c r="D353" s="1"/>
      <c r="E353" s="124" t="s">
        <v>26</v>
      </c>
      <c r="F353" s="178" t="s">
        <v>250</v>
      </c>
      <c r="G353" s="62"/>
      <c r="H353" s="62" t="s">
        <v>273</v>
      </c>
      <c r="I353" s="176" t="str">
        <f>VLOOKUP(F353&amp;H353,'[1]MV+BI'!$E$8:$K$375,3,FALSE)</f>
        <v>Em Teste - Alteração EF</v>
      </c>
      <c r="J353" s="62"/>
      <c r="K353" s="62" t="str">
        <f>VLOOKUP(F353&amp;H353,'[1]MV+BI'!$E$8:$K$375,6,FALSE)</f>
        <v>CDO</v>
      </c>
      <c r="L353" s="62"/>
      <c r="M353" s="62" t="str">
        <f>VLOOKUP(F353&amp;H353,'[1]MV+BI'!$E$8:$K$375,5,FALSE)</f>
        <v>-</v>
      </c>
      <c r="N353" s="62"/>
      <c r="O353" s="172">
        <f>VLOOKUP(F353&amp;H353,'[1]MV+BI'!$E$8:$K$375,7,FALSE)</f>
        <v>45443</v>
      </c>
      <c r="P353" s="62"/>
      <c r="Q353" s="79" t="s">
        <v>251</v>
      </c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/>
      <c r="AC353"/>
      <c r="AD353" s="32"/>
    </row>
    <row r="354" spans="3:30" s="2" customFormat="1" ht="15" customHeight="1">
      <c r="C354" s="157"/>
      <c r="D354" s="1"/>
      <c r="E354" s="124" t="s">
        <v>26</v>
      </c>
      <c r="F354" s="178" t="s">
        <v>250</v>
      </c>
      <c r="G354" s="62"/>
      <c r="H354" s="62" t="s">
        <v>274</v>
      </c>
      <c r="I354" s="176" t="str">
        <f>VLOOKUP(F354&amp;H354,'[1]MV+BI'!$E$8:$K$375,3,FALSE)</f>
        <v>Em Teste - Alteração EF</v>
      </c>
      <c r="J354" s="62"/>
      <c r="K354" s="62" t="str">
        <f>VLOOKUP(F354&amp;H354,'[1]MV+BI'!$E$8:$K$375,6,FALSE)</f>
        <v>CDO</v>
      </c>
      <c r="L354" s="62"/>
      <c r="M354" s="62" t="str">
        <f>VLOOKUP(F354&amp;H354,'[1]MV+BI'!$E$8:$K$375,5,FALSE)</f>
        <v>-</v>
      </c>
      <c r="N354" s="62"/>
      <c r="O354" s="172">
        <f>VLOOKUP(F354&amp;H354,'[1]MV+BI'!$E$8:$K$375,7,FALSE)</f>
        <v>45443</v>
      </c>
      <c r="P354" s="62"/>
      <c r="Q354" s="79" t="s">
        <v>251</v>
      </c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/>
      <c r="AC354"/>
      <c r="AD354" s="32"/>
    </row>
    <row r="355" spans="3:30" s="2" customFormat="1" ht="15" customHeight="1">
      <c r="C355" s="157"/>
      <c r="D355" s="1"/>
      <c r="E355" s="124" t="s">
        <v>26</v>
      </c>
      <c r="F355" s="178" t="s">
        <v>250</v>
      </c>
      <c r="G355" s="62"/>
      <c r="H355" s="62" t="s">
        <v>275</v>
      </c>
      <c r="I355" s="176" t="str">
        <f>VLOOKUP(F355&amp;H355,'[1]MV+BI'!$E$8:$K$375,3,FALSE)</f>
        <v>Em Teste - Alteração EF</v>
      </c>
      <c r="J355" s="62"/>
      <c r="K355" s="62" t="str">
        <f>VLOOKUP(F355&amp;H355,'[1]MV+BI'!$E$8:$K$375,6,FALSE)</f>
        <v>CDO</v>
      </c>
      <c r="L355" s="62"/>
      <c r="M355" s="62" t="str">
        <f>VLOOKUP(F355&amp;H355,'[1]MV+BI'!$E$8:$K$375,5,FALSE)</f>
        <v>-</v>
      </c>
      <c r="N355" s="62"/>
      <c r="O355" s="172">
        <f>VLOOKUP(F355&amp;H355,'[1]MV+BI'!$E$8:$K$375,7,FALSE)</f>
        <v>45443</v>
      </c>
      <c r="P355" s="62"/>
      <c r="Q355" s="79" t="s">
        <v>251</v>
      </c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/>
      <c r="AC355"/>
      <c r="AD355" s="32"/>
    </row>
    <row r="356" spans="3:30" s="2" customFormat="1" ht="15" customHeight="1">
      <c r="C356" s="157"/>
      <c r="D356" s="1"/>
      <c r="E356" s="124" t="s">
        <v>26</v>
      </c>
      <c r="F356" s="178" t="s">
        <v>250</v>
      </c>
      <c r="G356" s="62"/>
      <c r="H356" s="62" t="s">
        <v>276</v>
      </c>
      <c r="I356" s="176" t="str">
        <f>VLOOKUP(F356&amp;H356,'[1]MV+BI'!$E$8:$K$375,3,FALSE)</f>
        <v>Em Teste - Alteração EF</v>
      </c>
      <c r="J356" s="62"/>
      <c r="K356" s="62" t="str">
        <f>VLOOKUP(F356&amp;H356,'[1]MV+BI'!$E$8:$K$375,6,FALSE)</f>
        <v>CDO</v>
      </c>
      <c r="L356" s="62"/>
      <c r="M356" s="62" t="str">
        <f>VLOOKUP(F356&amp;H356,'[1]MV+BI'!$E$8:$K$375,5,FALSE)</f>
        <v>-</v>
      </c>
      <c r="N356" s="62"/>
      <c r="O356" s="172">
        <f>VLOOKUP(F356&amp;H356,'[1]MV+BI'!$E$8:$K$375,7,FALSE)</f>
        <v>45443</v>
      </c>
      <c r="P356" s="62"/>
      <c r="Q356" s="79" t="s">
        <v>251</v>
      </c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/>
      <c r="AC356"/>
      <c r="AD356" s="32"/>
    </row>
    <row r="357" spans="3:30" s="2" customFormat="1" ht="15" customHeight="1">
      <c r="C357" s="157"/>
      <c r="D357" s="1"/>
      <c r="E357" s="124" t="s">
        <v>26</v>
      </c>
      <c r="F357" s="178" t="s">
        <v>250</v>
      </c>
      <c r="G357" s="62"/>
      <c r="H357" s="62" t="s">
        <v>67</v>
      </c>
      <c r="I357" s="176" t="str">
        <f>VLOOKUP(F357&amp;H357,'[1]MV+BI'!$E$8:$K$375,3,FALSE)</f>
        <v>Em Teste - Alteração EF</v>
      </c>
      <c r="J357" s="62"/>
      <c r="K357" s="62" t="str">
        <f>VLOOKUP(F357&amp;H357,'[1]MV+BI'!$E$8:$K$375,6,FALSE)</f>
        <v>CDO</v>
      </c>
      <c r="L357" s="62"/>
      <c r="M357" s="62" t="str">
        <f>VLOOKUP(F357&amp;H357,'[1]MV+BI'!$E$8:$K$375,5,FALSE)</f>
        <v>-</v>
      </c>
      <c r="N357" s="62"/>
      <c r="O357" s="172">
        <f>VLOOKUP(F357&amp;H357,'[1]MV+BI'!$E$8:$K$375,7,FALSE)</f>
        <v>45443</v>
      </c>
      <c r="P357" s="62"/>
      <c r="Q357" s="79" t="s">
        <v>251</v>
      </c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/>
      <c r="AC357"/>
      <c r="AD357" s="32"/>
    </row>
    <row r="358" spans="3:30" s="2" customFormat="1" ht="15" customHeight="1">
      <c r="C358" s="157"/>
      <c r="D358" s="1"/>
      <c r="E358" s="124" t="s">
        <v>26</v>
      </c>
      <c r="F358" s="178" t="s">
        <v>250</v>
      </c>
      <c r="G358" s="62"/>
      <c r="H358" s="62" t="s">
        <v>6</v>
      </c>
      <c r="I358" s="176" t="str">
        <f>VLOOKUP(F358&amp;H358,'[1]MV+BI'!$E$8:$K$375,3,FALSE)</f>
        <v>Em Teste - Alteração EF</v>
      </c>
      <c r="J358" s="62"/>
      <c r="K358" s="62" t="str">
        <f>VLOOKUP(F358&amp;H358,'[1]MV+BI'!$E$8:$K$375,6,FALSE)</f>
        <v>CDO</v>
      </c>
      <c r="L358" s="62"/>
      <c r="M358" s="62" t="str">
        <f>VLOOKUP(F358&amp;H358,'[1]MV+BI'!$E$8:$K$375,5,FALSE)</f>
        <v>-</v>
      </c>
      <c r="N358" s="62"/>
      <c r="O358" s="172">
        <f>VLOOKUP(F358&amp;H358,'[1]MV+BI'!$E$8:$K$375,7,FALSE)</f>
        <v>45443</v>
      </c>
      <c r="P358" s="62"/>
      <c r="Q358" s="79" t="s">
        <v>251</v>
      </c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/>
      <c r="AC358"/>
      <c r="AD358" s="32"/>
    </row>
    <row r="359" spans="3:30" s="2" customFormat="1" ht="15" customHeight="1">
      <c r="C359" s="157"/>
      <c r="D359" s="1"/>
      <c r="E359" s="124" t="s">
        <v>26</v>
      </c>
      <c r="F359" s="178" t="s">
        <v>277</v>
      </c>
      <c r="G359" s="62"/>
      <c r="H359" s="62" t="s">
        <v>278</v>
      </c>
      <c r="I359" s="176" t="str">
        <f>VLOOKUP(F359&amp;H359,'[1]MV+BI'!$E$8:$K$375,3,FALSE)</f>
        <v>Em Teste - Alteração EF</v>
      </c>
      <c r="J359" s="62"/>
      <c r="K359" s="62" t="str">
        <f>VLOOKUP(F359&amp;H359,'[1]MV+BI'!$E$8:$K$375,6,FALSE)</f>
        <v>CDO</v>
      </c>
      <c r="L359" s="62"/>
      <c r="M359" s="62" t="str">
        <f>VLOOKUP(F359&amp;H359,'[1]MV+BI'!$E$8:$K$375,5,FALSE)</f>
        <v>-</v>
      </c>
      <c r="N359" s="62"/>
      <c r="O359" s="172">
        <f>VLOOKUP(F359&amp;H359,'[1]MV+BI'!$E$8:$K$375,7,FALSE)</f>
        <v>45513</v>
      </c>
      <c r="P359" s="62"/>
      <c r="Q359" s="79" t="s">
        <v>251</v>
      </c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/>
      <c r="AC359"/>
      <c r="AD359" s="32"/>
    </row>
    <row r="360" spans="3:30" s="2" customFormat="1" ht="15" customHeight="1">
      <c r="C360" s="157"/>
      <c r="D360" s="1"/>
      <c r="E360" s="124" t="s">
        <v>26</v>
      </c>
      <c r="F360" s="178" t="s">
        <v>277</v>
      </c>
      <c r="G360" s="62"/>
      <c r="H360" s="62" t="s">
        <v>279</v>
      </c>
      <c r="I360" s="176" t="str">
        <f>VLOOKUP(F360&amp;H360,'[1]MV+BI'!$E$8:$K$375,3,FALSE)</f>
        <v>Em Teste - Alteração EF</v>
      </c>
      <c r="J360" s="62"/>
      <c r="K360" s="62" t="str">
        <f>VLOOKUP(F360&amp;H360,'[1]MV+BI'!$E$8:$K$375,6,FALSE)</f>
        <v>CDO</v>
      </c>
      <c r="L360" s="62"/>
      <c r="M360" s="62" t="str">
        <f>VLOOKUP(F360&amp;H360,'[1]MV+BI'!$E$8:$K$375,5,FALSE)</f>
        <v>-</v>
      </c>
      <c r="N360" s="62"/>
      <c r="O360" s="172">
        <f>VLOOKUP(F360&amp;H360,'[1]MV+BI'!$E$8:$K$375,7,FALSE)</f>
        <v>45513</v>
      </c>
      <c r="P360" s="62"/>
      <c r="Q360" s="79" t="s">
        <v>251</v>
      </c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/>
      <c r="AC360"/>
      <c r="AD360" s="32"/>
    </row>
    <row r="361" spans="3:30" s="2" customFormat="1" ht="15" customHeight="1">
      <c r="C361" s="157"/>
      <c r="D361" s="1"/>
      <c r="E361" s="124" t="s">
        <v>26</v>
      </c>
      <c r="F361" s="178" t="s">
        <v>277</v>
      </c>
      <c r="G361" s="62"/>
      <c r="H361" s="62" t="s">
        <v>280</v>
      </c>
      <c r="I361" s="176" t="str">
        <f>VLOOKUP(F361&amp;H361,'[1]MV+BI'!$E$8:$K$375,3,FALSE)</f>
        <v>Em Teste - Alteração EF</v>
      </c>
      <c r="J361" s="62"/>
      <c r="K361" s="62" t="str">
        <f>VLOOKUP(F361&amp;H361,'[1]MV+BI'!$E$8:$K$375,6,FALSE)</f>
        <v>CDO</v>
      </c>
      <c r="L361" s="62"/>
      <c r="M361" s="62" t="str">
        <f>VLOOKUP(F361&amp;H361,'[1]MV+BI'!$E$8:$K$375,5,FALSE)</f>
        <v>-</v>
      </c>
      <c r="N361" s="62"/>
      <c r="O361" s="172">
        <f>VLOOKUP(F361&amp;H361,'[1]MV+BI'!$E$8:$K$375,7,FALSE)</f>
        <v>45513</v>
      </c>
      <c r="P361" s="62"/>
      <c r="Q361" s="79" t="s">
        <v>251</v>
      </c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/>
      <c r="AC361"/>
      <c r="AD361" s="32"/>
    </row>
    <row r="362" spans="3:30" s="2" customFormat="1" ht="15" customHeight="1">
      <c r="C362" s="157"/>
      <c r="D362" s="1"/>
      <c r="E362" s="124" t="s">
        <v>26</v>
      </c>
      <c r="F362" s="178" t="s">
        <v>277</v>
      </c>
      <c r="G362" s="62"/>
      <c r="H362" s="62" t="s">
        <v>281</v>
      </c>
      <c r="I362" s="176" t="str">
        <f>VLOOKUP(F362&amp;H362,'[1]MV+BI'!$E$8:$K$375,3,FALSE)</f>
        <v>Em Teste - Alteração EF</v>
      </c>
      <c r="J362" s="62"/>
      <c r="K362" s="62" t="str">
        <f>VLOOKUP(F362&amp;H362,'[1]MV+BI'!$E$8:$K$375,6,FALSE)</f>
        <v>CDO</v>
      </c>
      <c r="L362" s="62"/>
      <c r="M362" s="62" t="str">
        <f>VLOOKUP(F362&amp;H362,'[1]MV+BI'!$E$8:$K$375,5,FALSE)</f>
        <v>-</v>
      </c>
      <c r="N362" s="62"/>
      <c r="O362" s="172">
        <f>VLOOKUP(F362&amp;H362,'[1]MV+BI'!$E$8:$K$375,7,FALSE)</f>
        <v>45513</v>
      </c>
      <c r="P362" s="62"/>
      <c r="Q362" s="79" t="s">
        <v>251</v>
      </c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/>
      <c r="AC362"/>
      <c r="AD362" s="32"/>
    </row>
    <row r="363" spans="3:30" s="2" customFormat="1" ht="15" customHeight="1">
      <c r="C363" s="157"/>
      <c r="D363" s="1"/>
      <c r="E363" s="124" t="s">
        <v>26</v>
      </c>
      <c r="F363" s="178" t="s">
        <v>277</v>
      </c>
      <c r="G363" s="62"/>
      <c r="H363" s="62" t="s">
        <v>84</v>
      </c>
      <c r="I363" s="176" t="str">
        <f>VLOOKUP(F363&amp;H363,'[1]MV+BI'!$E$8:$K$375,3,FALSE)</f>
        <v>Em Teste - Alteração EF</v>
      </c>
      <c r="J363" s="62"/>
      <c r="K363" s="62" t="str">
        <f>VLOOKUP(F363&amp;H363,'[1]MV+BI'!$E$8:$K$375,6,FALSE)</f>
        <v>CDO</v>
      </c>
      <c r="L363" s="62"/>
      <c r="M363" s="62" t="str">
        <f>VLOOKUP(F363&amp;H363,'[1]MV+BI'!$E$8:$K$375,5,FALSE)</f>
        <v>-</v>
      </c>
      <c r="N363" s="62"/>
      <c r="O363" s="172">
        <f>VLOOKUP(F363&amp;H363,'[1]MV+BI'!$E$8:$K$375,7,FALSE)</f>
        <v>45513</v>
      </c>
      <c r="P363" s="62"/>
      <c r="Q363" s="79" t="s">
        <v>251</v>
      </c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/>
      <c r="AC363"/>
      <c r="AD363" s="32"/>
    </row>
    <row r="364" spans="3:30" s="2" customFormat="1" ht="15" customHeight="1">
      <c r="C364" s="157"/>
      <c r="D364" s="1"/>
      <c r="E364" s="124" t="s">
        <v>26</v>
      </c>
      <c r="F364" s="178" t="s">
        <v>277</v>
      </c>
      <c r="G364" s="62"/>
      <c r="H364" s="62" t="s">
        <v>282</v>
      </c>
      <c r="I364" s="176" t="str">
        <f>VLOOKUP(F364&amp;H364,'[1]MV+BI'!$E$8:$K$375,3,FALSE)</f>
        <v>Em Teste - Alteração EF</v>
      </c>
      <c r="J364" s="62"/>
      <c r="K364" s="62" t="str">
        <f>VLOOKUP(F364&amp;H364,'[1]MV+BI'!$E$8:$K$375,6,FALSE)</f>
        <v>CDO</v>
      </c>
      <c r="L364" s="62"/>
      <c r="M364" s="62" t="str">
        <f>VLOOKUP(F364&amp;H364,'[1]MV+BI'!$E$8:$K$375,5,FALSE)</f>
        <v>-</v>
      </c>
      <c r="N364" s="62"/>
      <c r="O364" s="172">
        <f>VLOOKUP(F364&amp;H364,'[1]MV+BI'!$E$8:$K$375,7,FALSE)</f>
        <v>45513</v>
      </c>
      <c r="P364" s="62"/>
      <c r="Q364" s="79" t="s">
        <v>251</v>
      </c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/>
      <c r="AC364"/>
      <c r="AD364" s="32"/>
    </row>
    <row r="365" spans="3:30" s="2" customFormat="1" ht="15" customHeight="1">
      <c r="C365" s="157"/>
      <c r="D365" s="1"/>
      <c r="E365" s="124" t="s">
        <v>26</v>
      </c>
      <c r="F365" s="178" t="s">
        <v>277</v>
      </c>
      <c r="G365" s="62"/>
      <c r="H365" s="62" t="s">
        <v>283</v>
      </c>
      <c r="I365" s="176" t="str">
        <f>VLOOKUP(F365&amp;H365,'[1]MV+BI'!$E$8:$K$375,3,FALSE)</f>
        <v>Em Teste - Alteração EF</v>
      </c>
      <c r="J365" s="62"/>
      <c r="K365" s="62" t="str">
        <f>VLOOKUP(F365&amp;H365,'[1]MV+BI'!$E$8:$K$375,6,FALSE)</f>
        <v>CDO</v>
      </c>
      <c r="L365" s="62"/>
      <c r="M365" s="62" t="str">
        <f>VLOOKUP(F365&amp;H365,'[1]MV+BI'!$E$8:$K$375,5,FALSE)</f>
        <v>-</v>
      </c>
      <c r="N365" s="62"/>
      <c r="O365" s="172">
        <f>VLOOKUP(F365&amp;H365,'[1]MV+BI'!$E$8:$K$375,7,FALSE)</f>
        <v>45513</v>
      </c>
      <c r="P365" s="62"/>
      <c r="Q365" s="79" t="s">
        <v>251</v>
      </c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/>
      <c r="AC365"/>
      <c r="AD365" s="32"/>
    </row>
    <row r="366" spans="3:30" s="2" customFormat="1" ht="15" customHeight="1">
      <c r="C366" s="157"/>
      <c r="D366" s="1"/>
      <c r="E366" s="124" t="s">
        <v>26</v>
      </c>
      <c r="F366" s="178" t="s">
        <v>277</v>
      </c>
      <c r="G366" s="62"/>
      <c r="H366" s="62" t="s">
        <v>284</v>
      </c>
      <c r="I366" s="176" t="str">
        <f>VLOOKUP(F366&amp;H366,'[1]MV+BI'!$E$8:$K$375,3,FALSE)</f>
        <v>Em Teste - Alteração EF</v>
      </c>
      <c r="J366" s="62"/>
      <c r="K366" s="62" t="str">
        <f>VLOOKUP(F366&amp;H366,'[1]MV+BI'!$E$8:$K$375,6,FALSE)</f>
        <v>CDO</v>
      </c>
      <c r="L366" s="62"/>
      <c r="M366" s="62" t="str">
        <f>VLOOKUP(F366&amp;H366,'[1]MV+BI'!$E$8:$K$375,5,FALSE)</f>
        <v>-</v>
      </c>
      <c r="N366" s="62"/>
      <c r="O366" s="172">
        <f>VLOOKUP(F366&amp;H366,'[1]MV+BI'!$E$8:$K$375,7,FALSE)</f>
        <v>45513</v>
      </c>
      <c r="P366" s="62"/>
      <c r="Q366" s="79" t="s">
        <v>251</v>
      </c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/>
      <c r="AC366"/>
      <c r="AD366" s="32"/>
    </row>
    <row r="367" spans="3:30" s="2" customFormat="1" ht="15" customHeight="1">
      <c r="C367" s="157"/>
      <c r="D367" s="1"/>
      <c r="E367" s="124" t="s">
        <v>26</v>
      </c>
      <c r="F367" s="178" t="s">
        <v>277</v>
      </c>
      <c r="G367" s="62"/>
      <c r="H367" s="62" t="s">
        <v>285</v>
      </c>
      <c r="I367" s="176" t="str">
        <f>VLOOKUP(F367&amp;H367,'[1]MV+BI'!$E$8:$K$375,3,FALSE)</f>
        <v>Em Teste - Alteração EF</v>
      </c>
      <c r="J367" s="62"/>
      <c r="K367" s="62" t="str">
        <f>VLOOKUP(F367&amp;H367,'[1]MV+BI'!$E$8:$K$375,6,FALSE)</f>
        <v>CDO</v>
      </c>
      <c r="L367" s="62"/>
      <c r="M367" s="62" t="str">
        <f>VLOOKUP(F367&amp;H367,'[1]MV+BI'!$E$8:$K$375,5,FALSE)</f>
        <v>-</v>
      </c>
      <c r="N367" s="62"/>
      <c r="O367" s="172">
        <f>VLOOKUP(F367&amp;H367,'[1]MV+BI'!$E$8:$K$375,7,FALSE)</f>
        <v>45513</v>
      </c>
      <c r="P367" s="62"/>
      <c r="Q367" s="79" t="s">
        <v>251</v>
      </c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/>
      <c r="AC367"/>
      <c r="AD367" s="32"/>
    </row>
    <row r="368" spans="3:30" s="2" customFormat="1" ht="15" customHeight="1">
      <c r="C368" s="157"/>
      <c r="D368" s="1"/>
      <c r="E368" s="124" t="s">
        <v>26</v>
      </c>
      <c r="F368" s="178" t="s">
        <v>277</v>
      </c>
      <c r="G368" s="62"/>
      <c r="H368" s="62" t="s">
        <v>286</v>
      </c>
      <c r="I368" s="176" t="str">
        <f>VLOOKUP(F368&amp;H368,'[1]MV+BI'!$E$8:$K$375,3,FALSE)</f>
        <v>Em Teste - Alteração EF</v>
      </c>
      <c r="J368" s="62"/>
      <c r="K368" s="62" t="str">
        <f>VLOOKUP(F368&amp;H368,'[1]MV+BI'!$E$8:$K$375,6,FALSE)</f>
        <v>CDO</v>
      </c>
      <c r="L368" s="62"/>
      <c r="M368" s="62" t="str">
        <f>VLOOKUP(F368&amp;H368,'[1]MV+BI'!$E$8:$K$375,5,FALSE)</f>
        <v>-</v>
      </c>
      <c r="N368" s="62"/>
      <c r="O368" s="172">
        <f>VLOOKUP(F368&amp;H368,'[1]MV+BI'!$E$8:$K$375,7,FALSE)</f>
        <v>45513</v>
      </c>
      <c r="P368" s="62"/>
      <c r="Q368" s="79" t="s">
        <v>251</v>
      </c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/>
      <c r="AC368"/>
      <c r="AD368" s="32"/>
    </row>
    <row r="369" spans="3:30" s="2" customFormat="1" ht="15" customHeight="1">
      <c r="C369" s="157"/>
      <c r="D369" s="1"/>
      <c r="E369" s="124" t="s">
        <v>26</v>
      </c>
      <c r="F369" s="178" t="s">
        <v>277</v>
      </c>
      <c r="G369" s="62"/>
      <c r="H369" s="62" t="s">
        <v>287</v>
      </c>
      <c r="I369" s="176" t="str">
        <f>VLOOKUP(F369&amp;H369,'[1]MV+BI'!$E$8:$K$375,3,FALSE)</f>
        <v>Em Teste - Alteração EF</v>
      </c>
      <c r="J369" s="62"/>
      <c r="K369" s="62" t="str">
        <f>VLOOKUP(F369&amp;H369,'[1]MV+BI'!$E$8:$K$375,6,FALSE)</f>
        <v>CDO</v>
      </c>
      <c r="L369" s="62"/>
      <c r="M369" s="62" t="str">
        <f>VLOOKUP(F369&amp;H369,'[1]MV+BI'!$E$8:$K$375,5,FALSE)</f>
        <v>-</v>
      </c>
      <c r="N369" s="62"/>
      <c r="O369" s="172">
        <f>VLOOKUP(F369&amp;H369,'[1]MV+BI'!$E$8:$K$375,7,FALSE)</f>
        <v>45513</v>
      </c>
      <c r="P369" s="62"/>
      <c r="Q369" s="79" t="s">
        <v>251</v>
      </c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/>
      <c r="AC369"/>
      <c r="AD369" s="32"/>
    </row>
    <row r="370" spans="3:30" s="2" customFormat="1" ht="15" customHeight="1">
      <c r="C370" s="157"/>
      <c r="D370" s="1"/>
      <c r="E370" s="124" t="s">
        <v>26</v>
      </c>
      <c r="F370" s="178" t="s">
        <v>277</v>
      </c>
      <c r="G370" s="62"/>
      <c r="H370" s="62" t="s">
        <v>288</v>
      </c>
      <c r="I370" s="176" t="str">
        <f>VLOOKUP(F370&amp;H370,'[1]MV+BI'!$E$8:$K$375,3,FALSE)</f>
        <v>Em Teste - Alteração EF</v>
      </c>
      <c r="J370" s="62"/>
      <c r="K370" s="62" t="str">
        <f>VLOOKUP(F370&amp;H370,'[1]MV+BI'!$E$8:$K$375,6,FALSE)</f>
        <v>CDO</v>
      </c>
      <c r="L370" s="62"/>
      <c r="M370" s="62" t="str">
        <f>VLOOKUP(F370&amp;H370,'[1]MV+BI'!$E$8:$K$375,5,FALSE)</f>
        <v>-</v>
      </c>
      <c r="N370" s="62"/>
      <c r="O370" s="172">
        <f>VLOOKUP(F370&amp;H370,'[1]MV+BI'!$E$8:$K$375,7,FALSE)</f>
        <v>45513</v>
      </c>
      <c r="P370" s="62"/>
      <c r="Q370" s="79" t="s">
        <v>251</v>
      </c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/>
      <c r="AC370"/>
      <c r="AD370" s="32"/>
    </row>
    <row r="371" spans="3:30" s="2" customFormat="1" ht="15" customHeight="1">
      <c r="C371" s="157"/>
      <c r="D371" s="1"/>
      <c r="E371" s="124" t="s">
        <v>26</v>
      </c>
      <c r="F371" s="178" t="s">
        <v>277</v>
      </c>
      <c r="G371" s="62"/>
      <c r="H371" s="62" t="s">
        <v>289</v>
      </c>
      <c r="I371" s="176" t="str">
        <f>VLOOKUP(F371&amp;H371,'[1]MV+BI'!$E$8:$K$375,3,FALSE)</f>
        <v>Em Teste - Alteração EF</v>
      </c>
      <c r="J371" s="62"/>
      <c r="K371" s="62" t="str">
        <f>VLOOKUP(F371&amp;H371,'[1]MV+BI'!$E$8:$K$375,6,FALSE)</f>
        <v>CDO</v>
      </c>
      <c r="L371" s="62"/>
      <c r="M371" s="62" t="str">
        <f>VLOOKUP(F371&amp;H371,'[1]MV+BI'!$E$8:$K$375,5,FALSE)</f>
        <v>-</v>
      </c>
      <c r="N371" s="62"/>
      <c r="O371" s="172">
        <f>VLOOKUP(F371&amp;H371,'[1]MV+BI'!$E$8:$K$375,7,FALSE)</f>
        <v>45513</v>
      </c>
      <c r="P371" s="62"/>
      <c r="Q371" s="79" t="s">
        <v>251</v>
      </c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/>
      <c r="AC371"/>
      <c r="AD371" s="32"/>
    </row>
    <row r="372" spans="3:30" s="2" customFormat="1" ht="15" customHeight="1">
      <c r="C372" s="157"/>
      <c r="D372" s="1"/>
      <c r="E372" s="124" t="s">
        <v>26</v>
      </c>
      <c r="F372" s="178" t="s">
        <v>277</v>
      </c>
      <c r="G372" s="62"/>
      <c r="H372" s="62" t="s">
        <v>290</v>
      </c>
      <c r="I372" s="176" t="str">
        <f>VLOOKUP(F372&amp;H372,'[1]MV+BI'!$E$8:$K$375,3,FALSE)</f>
        <v>Em Teste - Alteração EF</v>
      </c>
      <c r="J372" s="62"/>
      <c r="K372" s="62" t="str">
        <f>VLOOKUP(F372&amp;H372,'[1]MV+BI'!$E$8:$K$375,6,FALSE)</f>
        <v>CDO</v>
      </c>
      <c r="L372" s="62"/>
      <c r="M372" s="62" t="str">
        <f>VLOOKUP(F372&amp;H372,'[1]MV+BI'!$E$8:$K$375,5,FALSE)</f>
        <v>-</v>
      </c>
      <c r="N372" s="62"/>
      <c r="O372" s="172">
        <f>VLOOKUP(F372&amp;H372,'[1]MV+BI'!$E$8:$K$375,7,FALSE)</f>
        <v>45513</v>
      </c>
      <c r="P372" s="62"/>
      <c r="Q372" s="79" t="s">
        <v>251</v>
      </c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/>
      <c r="AC372"/>
      <c r="AD372" s="32"/>
    </row>
    <row r="373" spans="3:30" s="2" customFormat="1" ht="15" customHeight="1">
      <c r="C373" s="157"/>
      <c r="D373" s="1"/>
      <c r="E373" s="124" t="s">
        <v>26</v>
      </c>
      <c r="F373" s="178" t="s">
        <v>277</v>
      </c>
      <c r="G373" s="62"/>
      <c r="H373" s="62" t="s">
        <v>291</v>
      </c>
      <c r="I373" s="176" t="str">
        <f>VLOOKUP(F373&amp;H373,'[1]MV+BI'!$E$8:$K$375,3,FALSE)</f>
        <v>Em Teste - Alteração EF</v>
      </c>
      <c r="J373" s="62"/>
      <c r="K373" s="62" t="str">
        <f>VLOOKUP(F373&amp;H373,'[1]MV+BI'!$E$8:$K$375,6,FALSE)</f>
        <v>CDO</v>
      </c>
      <c r="L373" s="62"/>
      <c r="M373" s="62" t="str">
        <f>VLOOKUP(F373&amp;H373,'[1]MV+BI'!$E$8:$K$375,5,FALSE)</f>
        <v>-</v>
      </c>
      <c r="N373" s="62"/>
      <c r="O373" s="172">
        <f>VLOOKUP(F373&amp;H373,'[1]MV+BI'!$E$8:$K$375,7,FALSE)</f>
        <v>45513</v>
      </c>
      <c r="P373" s="62"/>
      <c r="Q373" s="79" t="s">
        <v>251</v>
      </c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/>
      <c r="AC373"/>
      <c r="AD373" s="32"/>
    </row>
    <row r="374" spans="3:30" s="2" customFormat="1" ht="15" customHeight="1">
      <c r="C374" s="157"/>
      <c r="D374" s="1"/>
      <c r="E374" s="124" t="s">
        <v>26</v>
      </c>
      <c r="F374" s="178" t="s">
        <v>277</v>
      </c>
      <c r="G374" s="62"/>
      <c r="H374" s="62" t="s">
        <v>292</v>
      </c>
      <c r="I374" s="176" t="str">
        <f>VLOOKUP(F374&amp;H374,'[1]MV+BI'!$E$8:$K$375,3,FALSE)</f>
        <v>Em Teste - Alteração EF</v>
      </c>
      <c r="J374" s="62"/>
      <c r="K374" s="62" t="str">
        <f>VLOOKUP(F374&amp;H374,'[1]MV+BI'!$E$8:$K$375,6,FALSE)</f>
        <v>CDO</v>
      </c>
      <c r="L374" s="62"/>
      <c r="M374" s="62" t="str">
        <f>VLOOKUP(F374&amp;H374,'[1]MV+BI'!$E$8:$K$375,5,FALSE)</f>
        <v>-</v>
      </c>
      <c r="N374" s="62"/>
      <c r="O374" s="172">
        <f>VLOOKUP(F374&amp;H374,'[1]MV+BI'!$E$8:$K$375,7,FALSE)</f>
        <v>45513</v>
      </c>
      <c r="P374" s="62"/>
      <c r="Q374" s="79" t="s">
        <v>251</v>
      </c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/>
      <c r="AC374"/>
      <c r="AD374" s="32"/>
    </row>
    <row r="375" spans="3:30" s="2" customFormat="1" ht="15" customHeight="1">
      <c r="C375" s="157"/>
      <c r="D375" s="1"/>
      <c r="E375" s="124" t="s">
        <v>26</v>
      </c>
      <c r="F375" s="178" t="s">
        <v>277</v>
      </c>
      <c r="G375" s="62"/>
      <c r="H375" s="62" t="s">
        <v>293</v>
      </c>
      <c r="I375" s="176" t="str">
        <f>VLOOKUP(F375&amp;H375,'[1]MV+BI'!$E$8:$K$375,3,FALSE)</f>
        <v>Em Teste - Alteração EF</v>
      </c>
      <c r="J375" s="62"/>
      <c r="K375" s="62" t="str">
        <f>VLOOKUP(F375&amp;H375,'[1]MV+BI'!$E$8:$K$375,6,FALSE)</f>
        <v>CDO</v>
      </c>
      <c r="L375" s="62"/>
      <c r="M375" s="62" t="str">
        <f>VLOOKUP(F375&amp;H375,'[1]MV+BI'!$E$8:$K$375,5,FALSE)</f>
        <v>-</v>
      </c>
      <c r="N375" s="62"/>
      <c r="O375" s="172">
        <f>VLOOKUP(F375&amp;H375,'[1]MV+BI'!$E$8:$K$375,7,FALSE)</f>
        <v>45513</v>
      </c>
      <c r="P375" s="62"/>
      <c r="Q375" s="79" t="s">
        <v>251</v>
      </c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/>
      <c r="AC375"/>
      <c r="AD375" s="32"/>
    </row>
    <row r="376" spans="3:30" s="2" customFormat="1" ht="15" customHeight="1">
      <c r="C376" s="157"/>
      <c r="D376" s="1"/>
      <c r="E376" s="124" t="s">
        <v>26</v>
      </c>
      <c r="F376" s="178" t="s">
        <v>277</v>
      </c>
      <c r="G376" s="62"/>
      <c r="H376" s="62" t="s">
        <v>294</v>
      </c>
      <c r="I376" s="176" t="str">
        <f>VLOOKUP(F376&amp;H376,'[1]MV+BI'!$E$8:$K$375,3,FALSE)</f>
        <v>Em Teste - Alteração EF</v>
      </c>
      <c r="J376" s="62"/>
      <c r="K376" s="62" t="str">
        <f>VLOOKUP(F376&amp;H376,'[1]MV+BI'!$E$8:$K$375,6,FALSE)</f>
        <v>CDO</v>
      </c>
      <c r="L376" s="62"/>
      <c r="M376" s="62" t="str">
        <f>VLOOKUP(F376&amp;H376,'[1]MV+BI'!$E$8:$K$375,5,FALSE)</f>
        <v>-</v>
      </c>
      <c r="N376" s="62"/>
      <c r="O376" s="172">
        <f>VLOOKUP(F376&amp;H376,'[1]MV+BI'!$E$8:$K$375,7,FALSE)</f>
        <v>45513</v>
      </c>
      <c r="P376" s="62"/>
      <c r="Q376" s="79" t="s">
        <v>251</v>
      </c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/>
      <c r="AC376"/>
      <c r="AD376" s="32"/>
    </row>
    <row r="377" spans="3:30" s="2" customFormat="1" ht="15" customHeight="1">
      <c r="C377" s="157"/>
      <c r="D377" s="1"/>
      <c r="E377" s="124" t="s">
        <v>26</v>
      </c>
      <c r="F377" s="178" t="s">
        <v>277</v>
      </c>
      <c r="G377" s="62"/>
      <c r="H377" s="62" t="s">
        <v>67</v>
      </c>
      <c r="I377" s="176" t="str">
        <f>VLOOKUP(F377&amp;H377,'[1]MV+BI'!$E$8:$K$375,3,FALSE)</f>
        <v>Em Teste - Alteração EF</v>
      </c>
      <c r="J377" s="62"/>
      <c r="K377" s="62" t="str">
        <f>VLOOKUP(F377&amp;H377,'[1]MV+BI'!$E$8:$K$375,6,FALSE)</f>
        <v>CDO</v>
      </c>
      <c r="L377" s="62"/>
      <c r="M377" s="62" t="str">
        <f>VLOOKUP(F377&amp;H377,'[1]MV+BI'!$E$8:$K$375,5,FALSE)</f>
        <v>-</v>
      </c>
      <c r="N377" s="62"/>
      <c r="O377" s="172">
        <f>VLOOKUP(F377&amp;H377,'[1]MV+BI'!$E$8:$K$375,7,FALSE)</f>
        <v>45513</v>
      </c>
      <c r="P377" s="62"/>
      <c r="Q377" s="79" t="s">
        <v>251</v>
      </c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/>
      <c r="AC377"/>
      <c r="AD377" s="32"/>
    </row>
    <row r="378" spans="3:30" s="2" customFormat="1" ht="15" customHeight="1">
      <c r="C378" s="157"/>
      <c r="D378" s="1"/>
      <c r="E378" s="124" t="s">
        <v>26</v>
      </c>
      <c r="F378" s="178" t="s">
        <v>277</v>
      </c>
      <c r="G378" s="62"/>
      <c r="H378" s="62" t="s">
        <v>6</v>
      </c>
      <c r="I378" s="176" t="str">
        <f>VLOOKUP(F378&amp;H378,'[1]MV+BI'!$E$8:$K$375,3,FALSE)</f>
        <v>Em Teste - Alteração EF</v>
      </c>
      <c r="J378" s="62"/>
      <c r="K378" s="62" t="str">
        <f>VLOOKUP(F378&amp;H378,'[1]MV+BI'!$E$8:$K$375,6,FALSE)</f>
        <v>CDO</v>
      </c>
      <c r="L378" s="62"/>
      <c r="M378" s="62" t="str">
        <f>VLOOKUP(F378&amp;H378,'[1]MV+BI'!$E$8:$K$375,5,FALSE)</f>
        <v>-</v>
      </c>
      <c r="N378" s="62"/>
      <c r="O378" s="172">
        <f>VLOOKUP(F378&amp;H378,'[1]MV+BI'!$E$8:$K$375,7,FALSE)</f>
        <v>45513</v>
      </c>
      <c r="P378" s="62"/>
      <c r="Q378" s="79" t="s">
        <v>251</v>
      </c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/>
      <c r="AC378"/>
      <c r="AD378" s="32"/>
    </row>
    <row r="379" spans="3:30" s="2" customFormat="1" ht="15" customHeight="1">
      <c r="C379" s="157"/>
      <c r="D379" s="1"/>
      <c r="E379" s="124" t="s">
        <v>26</v>
      </c>
      <c r="F379" s="178" t="s">
        <v>295</v>
      </c>
      <c r="G379" s="62"/>
      <c r="H379" s="62" t="s">
        <v>84</v>
      </c>
      <c r="I379" s="176" t="str">
        <f>VLOOKUP(F379&amp;H379,'[1]MV+BI'!$E$8:$K$375,3,FALSE)</f>
        <v>Em Teste - Alteração EF</v>
      </c>
      <c r="J379" s="62"/>
      <c r="K379" s="62" t="str">
        <f>VLOOKUP(F379&amp;H379,'[1]MV+BI'!$E$8:$K$375,6,FALSE)</f>
        <v>CDO</v>
      </c>
      <c r="L379" s="62"/>
      <c r="M379" s="62" t="str">
        <f>VLOOKUP(F379&amp;H379,'[1]MV+BI'!$E$8:$K$375,5,FALSE)</f>
        <v>-</v>
      </c>
      <c r="N379" s="62"/>
      <c r="O379" s="172">
        <f>VLOOKUP(F379&amp;H379,'[1]MV+BI'!$E$8:$K$375,7,FALSE)</f>
        <v>45450</v>
      </c>
      <c r="P379" s="62"/>
      <c r="Q379" s="79" t="s">
        <v>251</v>
      </c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/>
      <c r="AC379"/>
      <c r="AD379" s="32"/>
    </row>
    <row r="380" spans="3:30" s="2" customFormat="1" ht="15" customHeight="1">
      <c r="C380" s="157"/>
      <c r="D380" s="1"/>
      <c r="E380" s="124" t="s">
        <v>26</v>
      </c>
      <c r="F380" s="178" t="s">
        <v>295</v>
      </c>
      <c r="G380" s="62"/>
      <c r="H380" s="62" t="s">
        <v>282</v>
      </c>
      <c r="I380" s="176" t="str">
        <f>VLOOKUP(F380&amp;H380,'[1]MV+BI'!$E$8:$K$375,3,FALSE)</f>
        <v>Em Teste - Alteração EF</v>
      </c>
      <c r="J380" s="62"/>
      <c r="K380" s="62" t="str">
        <f>VLOOKUP(F380&amp;H380,'[1]MV+BI'!$E$8:$K$375,6,FALSE)</f>
        <v>CDO</v>
      </c>
      <c r="L380" s="62"/>
      <c r="M380" s="62" t="str">
        <f>VLOOKUP(F380&amp;H380,'[1]MV+BI'!$E$8:$K$375,5,FALSE)</f>
        <v>-</v>
      </c>
      <c r="N380" s="62"/>
      <c r="O380" s="172">
        <f>VLOOKUP(F380&amp;H380,'[1]MV+BI'!$E$8:$K$375,7,FALSE)</f>
        <v>45450</v>
      </c>
      <c r="P380" s="62"/>
      <c r="Q380" s="79" t="s">
        <v>251</v>
      </c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/>
      <c r="AC380"/>
      <c r="AD380" s="32"/>
    </row>
    <row r="381" spans="3:30" s="2" customFormat="1" ht="15" customHeight="1">
      <c r="C381" s="157"/>
      <c r="D381" s="1"/>
      <c r="E381" s="124" t="s">
        <v>26</v>
      </c>
      <c r="F381" s="178" t="s">
        <v>295</v>
      </c>
      <c r="G381" s="62"/>
      <c r="H381" s="62" t="s">
        <v>283</v>
      </c>
      <c r="I381" s="176" t="str">
        <f>VLOOKUP(F381&amp;H381,'[1]MV+BI'!$E$8:$K$375,3,FALSE)</f>
        <v>Em Teste - Alteração EF</v>
      </c>
      <c r="J381" s="62"/>
      <c r="K381" s="62" t="str">
        <f>VLOOKUP(F381&amp;H381,'[1]MV+BI'!$E$8:$K$375,6,FALSE)</f>
        <v>CDO</v>
      </c>
      <c r="L381" s="62"/>
      <c r="M381" s="62" t="str">
        <f>VLOOKUP(F381&amp;H381,'[1]MV+BI'!$E$8:$K$375,5,FALSE)</f>
        <v>-</v>
      </c>
      <c r="N381" s="62"/>
      <c r="O381" s="172">
        <f>VLOOKUP(F381&amp;H381,'[1]MV+BI'!$E$8:$K$375,7,FALSE)</f>
        <v>45450</v>
      </c>
      <c r="P381" s="62"/>
      <c r="Q381" s="79" t="s">
        <v>251</v>
      </c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/>
      <c r="AC381"/>
      <c r="AD381" s="32"/>
    </row>
    <row r="382" spans="3:30" s="2" customFormat="1" ht="15" customHeight="1">
      <c r="C382" s="157"/>
      <c r="D382" s="1"/>
      <c r="E382" s="124" t="s">
        <v>26</v>
      </c>
      <c r="F382" s="178" t="s">
        <v>295</v>
      </c>
      <c r="G382" s="62"/>
      <c r="H382" s="62" t="s">
        <v>284</v>
      </c>
      <c r="I382" s="176" t="str">
        <f>VLOOKUP(F382&amp;H382,'[1]MV+BI'!$E$8:$K$375,3,FALSE)</f>
        <v>Em Teste - Alteração EF</v>
      </c>
      <c r="J382" s="62"/>
      <c r="K382" s="62" t="str">
        <f>VLOOKUP(F382&amp;H382,'[1]MV+BI'!$E$8:$K$375,6,FALSE)</f>
        <v>CDO</v>
      </c>
      <c r="L382" s="62"/>
      <c r="M382" s="62" t="str">
        <f>VLOOKUP(F382&amp;H382,'[1]MV+BI'!$E$8:$K$375,5,FALSE)</f>
        <v>-</v>
      </c>
      <c r="N382" s="62"/>
      <c r="O382" s="172">
        <f>VLOOKUP(F382&amp;H382,'[1]MV+BI'!$E$8:$K$375,7,FALSE)</f>
        <v>45450</v>
      </c>
      <c r="P382" s="62"/>
      <c r="Q382" s="79" t="s">
        <v>251</v>
      </c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/>
      <c r="AC382"/>
      <c r="AD382" s="32"/>
    </row>
    <row r="383" spans="3:30" s="2" customFormat="1" ht="15" customHeight="1">
      <c r="C383" s="157"/>
      <c r="D383" s="1"/>
      <c r="E383" s="124" t="s">
        <v>26</v>
      </c>
      <c r="F383" s="178" t="s">
        <v>295</v>
      </c>
      <c r="G383" s="62"/>
      <c r="H383" s="62" t="s">
        <v>69</v>
      </c>
      <c r="I383" s="176" t="str">
        <f>VLOOKUP(F383&amp;H383,'[1]MV+BI'!$E$8:$K$375,3,FALSE)</f>
        <v>Em Teste - Alteração EF</v>
      </c>
      <c r="J383" s="62"/>
      <c r="K383" s="62" t="str">
        <f>VLOOKUP(F383&amp;H383,'[1]MV+BI'!$E$8:$K$375,6,FALSE)</f>
        <v>CDO</v>
      </c>
      <c r="L383" s="62"/>
      <c r="M383" s="62" t="str">
        <f>VLOOKUP(F383&amp;H383,'[1]MV+BI'!$E$8:$K$375,5,FALSE)</f>
        <v>-</v>
      </c>
      <c r="N383" s="62"/>
      <c r="O383" s="172">
        <f>VLOOKUP(F383&amp;H383,'[1]MV+BI'!$E$8:$K$375,7,FALSE)</f>
        <v>45450</v>
      </c>
      <c r="P383" s="62"/>
      <c r="Q383" s="79" t="s">
        <v>251</v>
      </c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/>
      <c r="AC383"/>
      <c r="AD383" s="32"/>
    </row>
    <row r="384" spans="3:30" s="2" customFormat="1" ht="15" customHeight="1">
      <c r="C384" s="157"/>
      <c r="D384" s="1"/>
      <c r="E384" s="124" t="s">
        <v>26</v>
      </c>
      <c r="F384" s="178" t="s">
        <v>295</v>
      </c>
      <c r="G384" s="62"/>
      <c r="H384" s="62" t="s">
        <v>70</v>
      </c>
      <c r="I384" s="176" t="str">
        <f>VLOOKUP(F384&amp;H384,'[1]MV+BI'!$E$8:$K$375,3,FALSE)</f>
        <v>Em Teste - Alteração EF</v>
      </c>
      <c r="J384" s="62"/>
      <c r="K384" s="62" t="str">
        <f>VLOOKUP(F384&amp;H384,'[1]MV+BI'!$E$8:$K$375,6,FALSE)</f>
        <v>CDO</v>
      </c>
      <c r="L384" s="62"/>
      <c r="M384" s="62" t="str">
        <f>VLOOKUP(F384&amp;H384,'[1]MV+BI'!$E$8:$K$375,5,FALSE)</f>
        <v>-</v>
      </c>
      <c r="N384" s="62"/>
      <c r="O384" s="172">
        <f>VLOOKUP(F384&amp;H384,'[1]MV+BI'!$E$8:$K$375,7,FALSE)</f>
        <v>45450</v>
      </c>
      <c r="P384" s="62"/>
      <c r="Q384" s="79" t="s">
        <v>251</v>
      </c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/>
      <c r="AC384"/>
      <c r="AD384" s="32"/>
    </row>
    <row r="385" spans="3:30" s="2" customFormat="1" ht="15" customHeight="1">
      <c r="C385" s="157"/>
      <c r="D385" s="1"/>
      <c r="E385" s="124" t="s">
        <v>26</v>
      </c>
      <c r="F385" s="178" t="s">
        <v>295</v>
      </c>
      <c r="G385" s="62"/>
      <c r="H385" s="62" t="s">
        <v>71</v>
      </c>
      <c r="I385" s="176" t="str">
        <f>VLOOKUP(F385&amp;H385,'[1]MV+BI'!$E$8:$K$375,3,FALSE)</f>
        <v>Em Teste - Alteração EF</v>
      </c>
      <c r="J385" s="62"/>
      <c r="K385" s="62" t="str">
        <f>VLOOKUP(F385&amp;H385,'[1]MV+BI'!$E$8:$K$375,6,FALSE)</f>
        <v>CDO</v>
      </c>
      <c r="L385" s="62"/>
      <c r="M385" s="62" t="str">
        <f>VLOOKUP(F385&amp;H385,'[1]MV+BI'!$E$8:$K$375,5,FALSE)</f>
        <v>-</v>
      </c>
      <c r="N385" s="62"/>
      <c r="O385" s="172">
        <f>VLOOKUP(F385&amp;H385,'[1]MV+BI'!$E$8:$K$375,7,FALSE)</f>
        <v>45450</v>
      </c>
      <c r="P385" s="62"/>
      <c r="Q385" s="79" t="s">
        <v>251</v>
      </c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/>
      <c r="AC385"/>
      <c r="AD385" s="32"/>
    </row>
    <row r="386" spans="3:30" s="2" customFormat="1" ht="15" customHeight="1">
      <c r="C386" s="157"/>
      <c r="D386" s="1"/>
      <c r="E386" s="124" t="s">
        <v>26</v>
      </c>
      <c r="F386" s="178" t="s">
        <v>295</v>
      </c>
      <c r="G386" s="62"/>
      <c r="H386" s="62" t="s">
        <v>72</v>
      </c>
      <c r="I386" s="176" t="str">
        <f>VLOOKUP(F386&amp;H386,'[1]MV+BI'!$E$8:$K$375,3,FALSE)</f>
        <v>Em Teste - Alteração EF</v>
      </c>
      <c r="J386" s="62"/>
      <c r="K386" s="62" t="str">
        <f>VLOOKUP(F386&amp;H386,'[1]MV+BI'!$E$8:$K$375,6,FALSE)</f>
        <v>CDO</v>
      </c>
      <c r="L386" s="62"/>
      <c r="M386" s="62" t="str">
        <f>VLOOKUP(F386&amp;H386,'[1]MV+BI'!$E$8:$K$375,5,FALSE)</f>
        <v>-</v>
      </c>
      <c r="N386" s="62"/>
      <c r="O386" s="172">
        <f>VLOOKUP(F386&amp;H386,'[1]MV+BI'!$E$8:$K$375,7,FALSE)</f>
        <v>45450</v>
      </c>
      <c r="P386" s="62"/>
      <c r="Q386" s="79" t="s">
        <v>251</v>
      </c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/>
      <c r="AC386"/>
      <c r="AD386" s="32"/>
    </row>
    <row r="387" spans="3:30" s="2" customFormat="1" ht="15" customHeight="1">
      <c r="C387" s="157"/>
      <c r="D387" s="1"/>
      <c r="E387" s="124" t="s">
        <v>26</v>
      </c>
      <c r="F387" s="178" t="s">
        <v>295</v>
      </c>
      <c r="G387" s="62"/>
      <c r="H387" s="62" t="s">
        <v>296</v>
      </c>
      <c r="I387" s="176" t="str">
        <f>VLOOKUP(F387&amp;H387,'[1]MV+BI'!$E$8:$K$375,3,FALSE)</f>
        <v>Em Teste - Alteração EF</v>
      </c>
      <c r="J387" s="62"/>
      <c r="K387" s="62" t="str">
        <f>VLOOKUP(F387&amp;H387,'[1]MV+BI'!$E$8:$K$375,6,FALSE)</f>
        <v>CDO</v>
      </c>
      <c r="L387" s="62"/>
      <c r="M387" s="62" t="str">
        <f>VLOOKUP(F387&amp;H387,'[1]MV+BI'!$E$8:$K$375,5,FALSE)</f>
        <v>-</v>
      </c>
      <c r="N387" s="62"/>
      <c r="O387" s="172">
        <f>VLOOKUP(F387&amp;H387,'[1]MV+BI'!$E$8:$K$375,7,FALSE)</f>
        <v>45450</v>
      </c>
      <c r="P387" s="62"/>
      <c r="Q387" s="79" t="s">
        <v>251</v>
      </c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/>
      <c r="AC387"/>
      <c r="AD387" s="32"/>
    </row>
    <row r="388" spans="3:30" s="2" customFormat="1" ht="15" customHeight="1">
      <c r="C388" s="157"/>
      <c r="D388" s="1"/>
      <c r="E388" s="124" t="s">
        <v>26</v>
      </c>
      <c r="F388" s="178" t="s">
        <v>295</v>
      </c>
      <c r="G388" s="62"/>
      <c r="H388" s="62" t="s">
        <v>297</v>
      </c>
      <c r="I388" s="176" t="str">
        <f>VLOOKUP(F388&amp;H388,'[1]MV+BI'!$E$8:$K$375,3,FALSE)</f>
        <v>Em Teste - Alteração EF</v>
      </c>
      <c r="J388" s="62"/>
      <c r="K388" s="62" t="str">
        <f>VLOOKUP(F388&amp;H388,'[1]MV+BI'!$E$8:$K$375,6,FALSE)</f>
        <v>CDO</v>
      </c>
      <c r="L388" s="62"/>
      <c r="M388" s="62" t="str">
        <f>VLOOKUP(F388&amp;H388,'[1]MV+BI'!$E$8:$K$375,5,FALSE)</f>
        <v>-</v>
      </c>
      <c r="N388" s="62"/>
      <c r="O388" s="172">
        <f>VLOOKUP(F388&amp;H388,'[1]MV+BI'!$E$8:$K$375,7,FALSE)</f>
        <v>45450</v>
      </c>
      <c r="P388" s="62"/>
      <c r="Q388" s="79" t="s">
        <v>251</v>
      </c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/>
      <c r="AC388"/>
      <c r="AD388" s="32"/>
    </row>
    <row r="389" spans="3:30" s="2" customFormat="1" ht="15" customHeight="1">
      <c r="C389" s="157"/>
      <c r="D389" s="1"/>
      <c r="E389" s="124" t="s">
        <v>26</v>
      </c>
      <c r="F389" s="178" t="s">
        <v>295</v>
      </c>
      <c r="G389" s="62"/>
      <c r="H389" s="62" t="s">
        <v>298</v>
      </c>
      <c r="I389" s="176" t="str">
        <f>VLOOKUP(F389&amp;H389,'[1]MV+BI'!$E$8:$K$375,3,FALSE)</f>
        <v>Em Teste - Alteração EF</v>
      </c>
      <c r="J389" s="62"/>
      <c r="K389" s="62" t="str">
        <f>VLOOKUP(F389&amp;H389,'[1]MV+BI'!$E$8:$K$375,6,FALSE)</f>
        <v>CDO</v>
      </c>
      <c r="L389" s="62"/>
      <c r="M389" s="62" t="str">
        <f>VLOOKUP(F389&amp;H389,'[1]MV+BI'!$E$8:$K$375,5,FALSE)</f>
        <v>-</v>
      </c>
      <c r="N389" s="62"/>
      <c r="O389" s="172">
        <f>VLOOKUP(F389&amp;H389,'[1]MV+BI'!$E$8:$K$375,7,FALSE)</f>
        <v>45450</v>
      </c>
      <c r="P389" s="62"/>
      <c r="Q389" s="79" t="s">
        <v>251</v>
      </c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/>
      <c r="AC389"/>
      <c r="AD389" s="32"/>
    </row>
    <row r="390" spans="3:30" s="2" customFormat="1" ht="15" customHeight="1">
      <c r="C390" s="157"/>
      <c r="D390" s="1"/>
      <c r="E390" s="124" t="s">
        <v>26</v>
      </c>
      <c r="F390" s="178" t="s">
        <v>295</v>
      </c>
      <c r="G390" s="62"/>
      <c r="H390" s="62" t="s">
        <v>299</v>
      </c>
      <c r="I390" s="176" t="str">
        <f>VLOOKUP(F390&amp;H390,'[1]MV+BI'!$E$8:$K$375,3,FALSE)</f>
        <v>Em Teste - Alteração EF</v>
      </c>
      <c r="J390" s="62"/>
      <c r="K390" s="62" t="str">
        <f>VLOOKUP(F390&amp;H390,'[1]MV+BI'!$E$8:$K$375,6,FALSE)</f>
        <v>CDO</v>
      </c>
      <c r="L390" s="62"/>
      <c r="M390" s="62" t="str">
        <f>VLOOKUP(F390&amp;H390,'[1]MV+BI'!$E$8:$K$375,5,FALSE)</f>
        <v>-</v>
      </c>
      <c r="N390" s="62"/>
      <c r="O390" s="172">
        <f>VLOOKUP(F390&amp;H390,'[1]MV+BI'!$E$8:$K$375,7,FALSE)</f>
        <v>45450</v>
      </c>
      <c r="P390" s="62"/>
      <c r="Q390" s="79" t="s">
        <v>251</v>
      </c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/>
      <c r="AC390"/>
      <c r="AD390" s="32"/>
    </row>
    <row r="391" spans="3:30" s="2" customFormat="1" ht="15" customHeight="1">
      <c r="C391" s="157"/>
      <c r="D391" s="1"/>
      <c r="E391" s="124" t="s">
        <v>26</v>
      </c>
      <c r="F391" s="178" t="s">
        <v>295</v>
      </c>
      <c r="G391" s="62"/>
      <c r="H391" s="62" t="s">
        <v>300</v>
      </c>
      <c r="I391" s="176" t="str">
        <f>VLOOKUP(F391&amp;H391,'[1]MV+BI'!$E$8:$K$375,3,FALSE)</f>
        <v>Em Teste - Alteração EF</v>
      </c>
      <c r="J391" s="62"/>
      <c r="K391" s="62" t="str">
        <f>VLOOKUP(F391&amp;H391,'[1]MV+BI'!$E$8:$K$375,6,FALSE)</f>
        <v>CDO</v>
      </c>
      <c r="L391" s="62"/>
      <c r="M391" s="62" t="str">
        <f>VLOOKUP(F391&amp;H391,'[1]MV+BI'!$E$8:$K$375,5,FALSE)</f>
        <v>-</v>
      </c>
      <c r="N391" s="62"/>
      <c r="O391" s="172">
        <f>VLOOKUP(F391&amp;H391,'[1]MV+BI'!$E$8:$K$375,7,FALSE)</f>
        <v>45450</v>
      </c>
      <c r="P391" s="62"/>
      <c r="Q391" s="79" t="s">
        <v>251</v>
      </c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/>
      <c r="AC391"/>
      <c r="AD391" s="32"/>
    </row>
    <row r="392" spans="3:30" s="2" customFormat="1" ht="15" customHeight="1">
      <c r="C392" s="157"/>
      <c r="D392" s="1"/>
      <c r="E392" s="124" t="s">
        <v>26</v>
      </c>
      <c r="F392" s="178" t="s">
        <v>295</v>
      </c>
      <c r="G392" s="62"/>
      <c r="H392" s="62" t="s">
        <v>67</v>
      </c>
      <c r="I392" s="176" t="str">
        <f>VLOOKUP(F392&amp;H392,'[1]MV+BI'!$E$8:$K$375,3,FALSE)</f>
        <v>Em Teste - Alteração EF</v>
      </c>
      <c r="J392" s="62"/>
      <c r="K392" s="62" t="str">
        <f>VLOOKUP(F392&amp;H392,'[1]MV+BI'!$E$8:$K$375,6,FALSE)</f>
        <v>CDO</v>
      </c>
      <c r="L392" s="62"/>
      <c r="M392" s="62" t="str">
        <f>VLOOKUP(F392&amp;H392,'[1]MV+BI'!$E$8:$K$375,5,FALSE)</f>
        <v>-</v>
      </c>
      <c r="N392" s="62"/>
      <c r="O392" s="172">
        <f>VLOOKUP(F392&amp;H392,'[1]MV+BI'!$E$8:$K$375,7,FALSE)</f>
        <v>45450</v>
      </c>
      <c r="P392" s="62"/>
      <c r="Q392" s="79" t="s">
        <v>251</v>
      </c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/>
      <c r="AC392"/>
      <c r="AD392" s="32"/>
    </row>
    <row r="393" spans="3:30" s="2" customFormat="1" ht="15" customHeight="1">
      <c r="C393" s="157"/>
      <c r="D393" s="1"/>
      <c r="E393" s="124" t="s">
        <v>26</v>
      </c>
      <c r="F393" s="178" t="s">
        <v>295</v>
      </c>
      <c r="G393" s="62"/>
      <c r="H393" s="62" t="s">
        <v>6</v>
      </c>
      <c r="I393" s="176" t="str">
        <f>VLOOKUP(F393&amp;H393,'[1]MV+BI'!$E$8:$K$375,3,FALSE)</f>
        <v>Em Teste - Alteração EF</v>
      </c>
      <c r="J393" s="62"/>
      <c r="K393" s="62" t="str">
        <f>VLOOKUP(F393&amp;H393,'[1]MV+BI'!$E$8:$K$375,6,FALSE)</f>
        <v>CDO</v>
      </c>
      <c r="L393" s="62"/>
      <c r="M393" s="62" t="str">
        <f>VLOOKUP(F393&amp;H393,'[1]MV+BI'!$E$8:$K$375,5,FALSE)</f>
        <v>-</v>
      </c>
      <c r="N393" s="62"/>
      <c r="O393" s="172">
        <f>VLOOKUP(F393&amp;H393,'[1]MV+BI'!$E$8:$K$375,7,FALSE)</f>
        <v>45450</v>
      </c>
      <c r="P393" s="62"/>
      <c r="Q393" s="79" t="s">
        <v>251</v>
      </c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/>
      <c r="AC393"/>
      <c r="AD393" s="32"/>
    </row>
    <row r="394" spans="3:30" s="2" customFormat="1" ht="15" customHeight="1">
      <c r="C394" s="157"/>
      <c r="D394" s="1"/>
      <c r="E394" s="124" t="s">
        <v>26</v>
      </c>
      <c r="F394" s="178" t="s">
        <v>301</v>
      </c>
      <c r="G394" s="62"/>
      <c r="H394" s="62" t="s">
        <v>84</v>
      </c>
      <c r="I394" s="176" t="str">
        <f>VLOOKUP(F394&amp;H394,'[1]MV+BI'!$E$8:$K$375,3,FALSE)</f>
        <v>Em Teste - Alteração EF</v>
      </c>
      <c r="J394" s="62"/>
      <c r="K394" s="62" t="str">
        <f>VLOOKUP(F394&amp;H394,'[1]MV+BI'!$E$8:$K$375,6,FALSE)</f>
        <v>CDO</v>
      </c>
      <c r="L394" s="62"/>
      <c r="M394" s="62" t="str">
        <f>VLOOKUP(F394&amp;H394,'[1]MV+BI'!$E$8:$K$375,5,FALSE)</f>
        <v>-</v>
      </c>
      <c r="N394" s="62"/>
      <c r="O394" s="172">
        <f>VLOOKUP(F394&amp;H394,'[1]MV+BI'!$E$8:$K$375,7,FALSE)</f>
        <v>45513</v>
      </c>
      <c r="P394" s="62"/>
      <c r="Q394" s="79" t="s">
        <v>251</v>
      </c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/>
      <c r="AC394"/>
      <c r="AD394" s="32"/>
    </row>
    <row r="395" spans="3:30" s="2" customFormat="1" ht="15" customHeight="1">
      <c r="C395" s="157"/>
      <c r="D395" s="1"/>
      <c r="E395" s="124" t="s">
        <v>26</v>
      </c>
      <c r="F395" s="178" t="s">
        <v>301</v>
      </c>
      <c r="G395" s="62"/>
      <c r="H395" s="62" t="s">
        <v>282</v>
      </c>
      <c r="I395" s="176" t="str">
        <f>VLOOKUP(F395&amp;H395,'[1]MV+BI'!$E$8:$K$375,3,FALSE)</f>
        <v>Em Teste - Alteração EF</v>
      </c>
      <c r="J395" s="62"/>
      <c r="K395" s="62" t="str">
        <f>VLOOKUP(F395&amp;H395,'[1]MV+BI'!$E$8:$K$375,6,FALSE)</f>
        <v>CDO</v>
      </c>
      <c r="L395" s="62"/>
      <c r="M395" s="62" t="str">
        <f>VLOOKUP(F395&amp;H395,'[1]MV+BI'!$E$8:$K$375,5,FALSE)</f>
        <v>-</v>
      </c>
      <c r="N395" s="62"/>
      <c r="O395" s="172">
        <f>VLOOKUP(F395&amp;H395,'[1]MV+BI'!$E$8:$K$375,7,FALSE)</f>
        <v>45513</v>
      </c>
      <c r="P395" s="62"/>
      <c r="Q395" s="79" t="s">
        <v>251</v>
      </c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/>
      <c r="AC395"/>
      <c r="AD395" s="32"/>
    </row>
    <row r="396" spans="3:30" s="2" customFormat="1" ht="15" customHeight="1">
      <c r="C396" s="157"/>
      <c r="D396" s="1"/>
      <c r="E396" s="124" t="s">
        <v>26</v>
      </c>
      <c r="F396" s="178" t="s">
        <v>301</v>
      </c>
      <c r="G396" s="62"/>
      <c r="H396" s="62" t="s">
        <v>283</v>
      </c>
      <c r="I396" s="176" t="str">
        <f>VLOOKUP(F396&amp;H396,'[1]MV+BI'!$E$8:$K$375,3,FALSE)</f>
        <v>Em Teste - Alteração EF</v>
      </c>
      <c r="J396" s="62"/>
      <c r="K396" s="62" t="str">
        <f>VLOOKUP(F396&amp;H396,'[1]MV+BI'!$E$8:$K$375,6,FALSE)</f>
        <v>CDO</v>
      </c>
      <c r="L396" s="62"/>
      <c r="M396" s="62" t="str">
        <f>VLOOKUP(F396&amp;H396,'[1]MV+BI'!$E$8:$K$375,5,FALSE)</f>
        <v>-</v>
      </c>
      <c r="N396" s="62"/>
      <c r="O396" s="172">
        <f>VLOOKUP(F396&amp;H396,'[1]MV+BI'!$E$8:$K$375,7,FALSE)</f>
        <v>45513</v>
      </c>
      <c r="P396" s="62"/>
      <c r="Q396" s="79" t="s">
        <v>251</v>
      </c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/>
      <c r="AC396"/>
      <c r="AD396" s="32"/>
    </row>
    <row r="397" spans="3:30" s="2" customFormat="1" ht="15" customHeight="1">
      <c r="C397" s="157"/>
      <c r="D397" s="1"/>
      <c r="E397" s="124" t="s">
        <v>26</v>
      </c>
      <c r="F397" s="178" t="s">
        <v>301</v>
      </c>
      <c r="G397" s="62"/>
      <c r="H397" s="62" t="s">
        <v>284</v>
      </c>
      <c r="I397" s="176" t="str">
        <f>VLOOKUP(F397&amp;H397,'[1]MV+BI'!$E$8:$K$375,3,FALSE)</f>
        <v>Em Teste - Alteração EF</v>
      </c>
      <c r="J397" s="62"/>
      <c r="K397" s="62" t="str">
        <f>VLOOKUP(F397&amp;H397,'[1]MV+BI'!$E$8:$K$375,6,FALSE)</f>
        <v>CDO</v>
      </c>
      <c r="L397" s="62"/>
      <c r="M397" s="62" t="str">
        <f>VLOOKUP(F397&amp;H397,'[1]MV+BI'!$E$8:$K$375,5,FALSE)</f>
        <v>-</v>
      </c>
      <c r="N397" s="62"/>
      <c r="O397" s="172">
        <f>VLOOKUP(F397&amp;H397,'[1]MV+BI'!$E$8:$K$375,7,FALSE)</f>
        <v>45513</v>
      </c>
      <c r="P397" s="62"/>
      <c r="Q397" s="79" t="s">
        <v>251</v>
      </c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/>
      <c r="AC397"/>
      <c r="AD397" s="32"/>
    </row>
    <row r="398" spans="3:30" s="2" customFormat="1" ht="15" customHeight="1">
      <c r="C398" s="157"/>
      <c r="D398" s="1"/>
      <c r="E398" s="124" t="s">
        <v>26</v>
      </c>
      <c r="F398" s="178" t="s">
        <v>301</v>
      </c>
      <c r="G398" s="62"/>
      <c r="H398" s="62" t="s">
        <v>302</v>
      </c>
      <c r="I398" s="176" t="str">
        <f>VLOOKUP(F398&amp;H398,'[1]MV+BI'!$E$8:$K$375,3,FALSE)</f>
        <v>Em Teste - Alteração EF</v>
      </c>
      <c r="J398" s="62"/>
      <c r="K398" s="62" t="str">
        <f>VLOOKUP(F398&amp;H398,'[1]MV+BI'!$E$8:$K$375,6,FALSE)</f>
        <v>CDO</v>
      </c>
      <c r="L398" s="62"/>
      <c r="M398" s="62" t="str">
        <f>VLOOKUP(F398&amp;H398,'[1]MV+BI'!$E$8:$K$375,5,FALSE)</f>
        <v>-</v>
      </c>
      <c r="N398" s="62"/>
      <c r="O398" s="172">
        <f>VLOOKUP(F398&amp;H398,'[1]MV+BI'!$E$8:$K$375,7,FALSE)</f>
        <v>45513</v>
      </c>
      <c r="P398" s="62"/>
      <c r="Q398" s="79" t="s">
        <v>251</v>
      </c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/>
      <c r="AC398"/>
      <c r="AD398" s="32"/>
    </row>
    <row r="399" spans="3:30" s="2" customFormat="1" ht="15" customHeight="1">
      <c r="C399" s="157"/>
      <c r="D399" s="1"/>
      <c r="E399" s="124" t="s">
        <v>26</v>
      </c>
      <c r="F399" s="178" t="s">
        <v>301</v>
      </c>
      <c r="G399" s="62"/>
      <c r="H399" s="62" t="s">
        <v>303</v>
      </c>
      <c r="I399" s="176" t="str">
        <f>VLOOKUP(F399&amp;H399,'[1]MV+BI'!$E$8:$K$375,3,FALSE)</f>
        <v>Em Teste - Alteração EF</v>
      </c>
      <c r="J399" s="62"/>
      <c r="K399" s="62" t="str">
        <f>VLOOKUP(F399&amp;H399,'[1]MV+BI'!$E$8:$K$375,6,FALSE)</f>
        <v>CDO</v>
      </c>
      <c r="L399" s="62"/>
      <c r="M399" s="62" t="str">
        <f>VLOOKUP(F399&amp;H399,'[1]MV+BI'!$E$8:$K$375,5,FALSE)</f>
        <v>-</v>
      </c>
      <c r="N399" s="62"/>
      <c r="O399" s="172">
        <f>VLOOKUP(F399&amp;H399,'[1]MV+BI'!$E$8:$K$375,7,FALSE)</f>
        <v>45513</v>
      </c>
      <c r="P399" s="62"/>
      <c r="Q399" s="79" t="s">
        <v>251</v>
      </c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/>
      <c r="AC399"/>
      <c r="AD399" s="32"/>
    </row>
    <row r="400" spans="3:30" s="2" customFormat="1" ht="15" customHeight="1">
      <c r="C400" s="157"/>
      <c r="D400" s="1"/>
      <c r="E400" s="124" t="s">
        <v>26</v>
      </c>
      <c r="F400" s="178" t="s">
        <v>301</v>
      </c>
      <c r="G400" s="62"/>
      <c r="H400" s="62" t="s">
        <v>286</v>
      </c>
      <c r="I400" s="176" t="str">
        <f>VLOOKUP(F400&amp;H400,'[1]MV+BI'!$E$8:$K$375,3,FALSE)</f>
        <v>Em Teste - Alteração EF</v>
      </c>
      <c r="J400" s="62"/>
      <c r="K400" s="62" t="str">
        <f>VLOOKUP(F400&amp;H400,'[1]MV+BI'!$E$8:$K$375,6,FALSE)</f>
        <v>CDO</v>
      </c>
      <c r="L400" s="62"/>
      <c r="M400" s="62" t="str">
        <f>VLOOKUP(F400&amp;H400,'[1]MV+BI'!$E$8:$K$375,5,FALSE)</f>
        <v>-</v>
      </c>
      <c r="N400" s="62"/>
      <c r="O400" s="172">
        <f>VLOOKUP(F400&amp;H400,'[1]MV+BI'!$E$8:$K$375,7,FALSE)</f>
        <v>45513</v>
      </c>
      <c r="P400" s="62"/>
      <c r="Q400" s="79" t="s">
        <v>251</v>
      </c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/>
      <c r="AC400"/>
      <c r="AD400" s="32"/>
    </row>
    <row r="401" spans="3:30" s="2" customFormat="1" ht="15" customHeight="1">
      <c r="C401" s="157"/>
      <c r="D401" s="1"/>
      <c r="E401" s="124" t="s">
        <v>26</v>
      </c>
      <c r="F401" s="178" t="s">
        <v>301</v>
      </c>
      <c r="G401" s="62"/>
      <c r="H401" s="62" t="s">
        <v>288</v>
      </c>
      <c r="I401" s="176" t="str">
        <f>VLOOKUP(F401&amp;H401,'[1]MV+BI'!$E$8:$K$375,3,FALSE)</f>
        <v>Em Teste - Alteração EF</v>
      </c>
      <c r="J401" s="62"/>
      <c r="K401" s="62" t="str">
        <f>VLOOKUP(F401&amp;H401,'[1]MV+BI'!$E$8:$K$375,6,FALSE)</f>
        <v>CDO</v>
      </c>
      <c r="L401" s="62"/>
      <c r="M401" s="62" t="str">
        <f>VLOOKUP(F401&amp;H401,'[1]MV+BI'!$E$8:$K$375,5,FALSE)</f>
        <v>-</v>
      </c>
      <c r="N401" s="62"/>
      <c r="O401" s="172">
        <f>VLOOKUP(F401&amp;H401,'[1]MV+BI'!$E$8:$K$375,7,FALSE)</f>
        <v>45513</v>
      </c>
      <c r="P401" s="62"/>
      <c r="Q401" s="79" t="s">
        <v>251</v>
      </c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/>
      <c r="AC401"/>
      <c r="AD401" s="32"/>
    </row>
    <row r="402" spans="3:30" s="2" customFormat="1" ht="15" customHeight="1">
      <c r="C402" s="157"/>
      <c r="D402" s="1"/>
      <c r="E402" s="124" t="s">
        <v>26</v>
      </c>
      <c r="F402" s="178" t="s">
        <v>301</v>
      </c>
      <c r="G402" s="62"/>
      <c r="H402" s="62" t="s">
        <v>304</v>
      </c>
      <c r="I402" s="176" t="str">
        <f>VLOOKUP(F402&amp;H402,'[1]MV+BI'!$E$8:$K$375,3,FALSE)</f>
        <v>Em Teste - Alteração EF</v>
      </c>
      <c r="J402" s="62"/>
      <c r="K402" s="62" t="str">
        <f>VLOOKUP(F402&amp;H402,'[1]MV+BI'!$E$8:$K$375,6,FALSE)</f>
        <v>CDO</v>
      </c>
      <c r="L402" s="62"/>
      <c r="M402" s="62" t="str">
        <f>VLOOKUP(F402&amp;H402,'[1]MV+BI'!$E$8:$K$375,5,FALSE)</f>
        <v>-</v>
      </c>
      <c r="N402" s="62"/>
      <c r="O402" s="172">
        <f>VLOOKUP(F402&amp;H402,'[1]MV+BI'!$E$8:$K$375,7,FALSE)</f>
        <v>45513</v>
      </c>
      <c r="P402" s="62"/>
      <c r="Q402" s="79" t="s">
        <v>251</v>
      </c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/>
      <c r="AC402"/>
      <c r="AD402" s="32"/>
    </row>
    <row r="403" spans="3:30" s="2" customFormat="1" ht="15" customHeight="1">
      <c r="C403" s="157"/>
      <c r="D403" s="1"/>
      <c r="E403" s="124" t="s">
        <v>26</v>
      </c>
      <c r="F403" s="178" t="s">
        <v>301</v>
      </c>
      <c r="G403" s="62"/>
      <c r="H403" s="62" t="s">
        <v>305</v>
      </c>
      <c r="I403" s="176" t="str">
        <f>VLOOKUP(F403&amp;H403,'[1]MV+BI'!$E$8:$K$375,3,FALSE)</f>
        <v>Em Teste - Alteração EF</v>
      </c>
      <c r="J403" s="62"/>
      <c r="K403" s="62" t="str">
        <f>VLOOKUP(F403&amp;H403,'[1]MV+BI'!$E$8:$K$375,6,FALSE)</f>
        <v>CDO</v>
      </c>
      <c r="L403" s="62"/>
      <c r="M403" s="62" t="str">
        <f>VLOOKUP(F403&amp;H403,'[1]MV+BI'!$E$8:$K$375,5,FALSE)</f>
        <v>-</v>
      </c>
      <c r="N403" s="62"/>
      <c r="O403" s="172">
        <f>VLOOKUP(F403&amp;H403,'[1]MV+BI'!$E$8:$K$375,7,FALSE)</f>
        <v>45513</v>
      </c>
      <c r="P403" s="62"/>
      <c r="Q403" s="79" t="s">
        <v>251</v>
      </c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/>
      <c r="AC403"/>
      <c r="AD403" s="32"/>
    </row>
    <row r="404" spans="3:30" s="2" customFormat="1" ht="15" customHeight="1">
      <c r="C404" s="157"/>
      <c r="D404" s="1"/>
      <c r="E404" s="124" t="s">
        <v>26</v>
      </c>
      <c r="F404" s="178" t="s">
        <v>301</v>
      </c>
      <c r="G404" s="62"/>
      <c r="H404" s="62" t="s">
        <v>306</v>
      </c>
      <c r="I404" s="176" t="str">
        <f>VLOOKUP(F404&amp;H404,'[1]MV+BI'!$E$8:$K$375,3,FALSE)</f>
        <v>Em Teste - Alteração EF</v>
      </c>
      <c r="J404" s="62"/>
      <c r="K404" s="62" t="str">
        <f>VLOOKUP(F404&amp;H404,'[1]MV+BI'!$E$8:$K$375,6,FALSE)</f>
        <v>CDO</v>
      </c>
      <c r="L404" s="62"/>
      <c r="M404" s="62" t="str">
        <f>VLOOKUP(F404&amp;H404,'[1]MV+BI'!$E$8:$K$375,5,FALSE)</f>
        <v>-</v>
      </c>
      <c r="N404" s="62"/>
      <c r="O404" s="172">
        <f>VLOOKUP(F404&amp;H404,'[1]MV+BI'!$E$8:$K$375,7,FALSE)</f>
        <v>45513</v>
      </c>
      <c r="P404" s="62"/>
      <c r="Q404" s="79" t="s">
        <v>251</v>
      </c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/>
      <c r="AC404"/>
      <c r="AD404" s="32"/>
    </row>
    <row r="405" spans="3:30" s="2" customFormat="1" ht="15" customHeight="1">
      <c r="C405" s="157"/>
      <c r="D405" s="1"/>
      <c r="E405" s="124" t="s">
        <v>26</v>
      </c>
      <c r="F405" s="178" t="s">
        <v>301</v>
      </c>
      <c r="G405" s="62"/>
      <c r="H405" s="62" t="s">
        <v>307</v>
      </c>
      <c r="I405" s="176" t="str">
        <f>VLOOKUP(F405&amp;H405,'[1]MV+BI'!$E$8:$K$375,3,FALSE)</f>
        <v>Em Teste - Alteração EF</v>
      </c>
      <c r="J405" s="62"/>
      <c r="K405" s="62" t="str">
        <f>VLOOKUP(F405&amp;H405,'[1]MV+BI'!$E$8:$K$375,6,FALSE)</f>
        <v>CDO</v>
      </c>
      <c r="L405" s="62"/>
      <c r="M405" s="62" t="str">
        <f>VLOOKUP(F405&amp;H405,'[1]MV+BI'!$E$8:$K$375,5,FALSE)</f>
        <v>-</v>
      </c>
      <c r="N405" s="62"/>
      <c r="O405" s="172">
        <f>VLOOKUP(F405&amp;H405,'[1]MV+BI'!$E$8:$K$375,7,FALSE)</f>
        <v>45513</v>
      </c>
      <c r="P405" s="62"/>
      <c r="Q405" s="79" t="s">
        <v>251</v>
      </c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/>
      <c r="AC405"/>
      <c r="AD405" s="32"/>
    </row>
    <row r="406" spans="3:30" s="2" customFormat="1" ht="15" customHeight="1">
      <c r="C406" s="157"/>
      <c r="D406" s="1"/>
      <c r="E406" s="124" t="s">
        <v>26</v>
      </c>
      <c r="F406" s="178" t="s">
        <v>301</v>
      </c>
      <c r="G406" s="62"/>
      <c r="H406" s="62" t="s">
        <v>308</v>
      </c>
      <c r="I406" s="176" t="str">
        <f>VLOOKUP(F406&amp;H406,'[1]MV+BI'!$E$8:$K$375,3,FALSE)</f>
        <v>Em Teste - Alteração EF</v>
      </c>
      <c r="J406" s="62"/>
      <c r="K406" s="62" t="str">
        <f>VLOOKUP(F406&amp;H406,'[1]MV+BI'!$E$8:$K$375,6,FALSE)</f>
        <v>CDO</v>
      </c>
      <c r="L406" s="62"/>
      <c r="M406" s="62" t="str">
        <f>VLOOKUP(F406&amp;H406,'[1]MV+BI'!$E$8:$K$375,5,FALSE)</f>
        <v>-</v>
      </c>
      <c r="N406" s="62"/>
      <c r="O406" s="172">
        <f>VLOOKUP(F406&amp;H406,'[1]MV+BI'!$E$8:$K$375,7,FALSE)</f>
        <v>45513</v>
      </c>
      <c r="P406" s="62"/>
      <c r="Q406" s="79" t="s">
        <v>251</v>
      </c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/>
      <c r="AC406"/>
      <c r="AD406" s="32"/>
    </row>
    <row r="407" spans="3:30" s="2" customFormat="1" ht="15" customHeight="1">
      <c r="C407" s="157"/>
      <c r="D407" s="1"/>
      <c r="E407" s="124" t="s">
        <v>26</v>
      </c>
      <c r="F407" s="178" t="s">
        <v>301</v>
      </c>
      <c r="G407" s="62"/>
      <c r="H407" s="62" t="s">
        <v>309</v>
      </c>
      <c r="I407" s="176" t="str">
        <f>VLOOKUP(F407&amp;H407,'[1]MV+BI'!$E$8:$K$375,3,FALSE)</f>
        <v>Em Teste - Alteração EF</v>
      </c>
      <c r="J407" s="62"/>
      <c r="K407" s="62" t="str">
        <f>VLOOKUP(F407&amp;H407,'[1]MV+BI'!$E$8:$K$375,6,FALSE)</f>
        <v>CDO</v>
      </c>
      <c r="L407" s="62"/>
      <c r="M407" s="62" t="str">
        <f>VLOOKUP(F407&amp;H407,'[1]MV+BI'!$E$8:$K$375,5,FALSE)</f>
        <v>-</v>
      </c>
      <c r="N407" s="62"/>
      <c r="O407" s="172">
        <f>VLOOKUP(F407&amp;H407,'[1]MV+BI'!$E$8:$K$375,7,FALSE)</f>
        <v>45513</v>
      </c>
      <c r="P407" s="62"/>
      <c r="Q407" s="79" t="s">
        <v>251</v>
      </c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/>
      <c r="AC407"/>
      <c r="AD407" s="32"/>
    </row>
    <row r="408" spans="3:30" s="2" customFormat="1" ht="15" customHeight="1">
      <c r="C408" s="157"/>
      <c r="D408" s="1"/>
      <c r="E408" s="124" t="s">
        <v>26</v>
      </c>
      <c r="F408" s="178" t="s">
        <v>301</v>
      </c>
      <c r="G408" s="62"/>
      <c r="H408" s="62" t="s">
        <v>310</v>
      </c>
      <c r="I408" s="176" t="str">
        <f>VLOOKUP(F408&amp;H408,'[1]MV+BI'!$E$8:$K$375,3,FALSE)</f>
        <v>Em Teste - Alteração EF</v>
      </c>
      <c r="J408" s="62"/>
      <c r="K408" s="62" t="str">
        <f>VLOOKUP(F408&amp;H408,'[1]MV+BI'!$E$8:$K$375,6,FALSE)</f>
        <v>CDO</v>
      </c>
      <c r="L408" s="62"/>
      <c r="M408" s="62" t="str">
        <f>VLOOKUP(F408&amp;H408,'[1]MV+BI'!$E$8:$K$375,5,FALSE)</f>
        <v>-</v>
      </c>
      <c r="N408" s="62"/>
      <c r="O408" s="172">
        <f>VLOOKUP(F408&amp;H408,'[1]MV+BI'!$E$8:$K$375,7,FALSE)</f>
        <v>45513</v>
      </c>
      <c r="P408" s="62"/>
      <c r="Q408" s="79" t="s">
        <v>251</v>
      </c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/>
      <c r="AC408"/>
      <c r="AD408" s="32"/>
    </row>
    <row r="409" spans="3:30" s="2" customFormat="1" ht="15" customHeight="1">
      <c r="C409" s="157"/>
      <c r="D409" s="1"/>
      <c r="E409" s="124" t="s">
        <v>26</v>
      </c>
      <c r="F409" s="178" t="s">
        <v>301</v>
      </c>
      <c r="G409" s="62"/>
      <c r="H409" s="62" t="s">
        <v>67</v>
      </c>
      <c r="I409" s="176" t="str">
        <f>VLOOKUP(F409&amp;H409,'[1]MV+BI'!$E$8:$K$375,3,FALSE)</f>
        <v>Em Teste - Alteração EF</v>
      </c>
      <c r="J409" s="62"/>
      <c r="K409" s="62" t="str">
        <f>VLOOKUP(F409&amp;H409,'[1]MV+BI'!$E$8:$K$375,6,FALSE)</f>
        <v>CDO</v>
      </c>
      <c r="L409" s="62"/>
      <c r="M409" s="62" t="str">
        <f>VLOOKUP(F409&amp;H409,'[1]MV+BI'!$E$8:$K$375,5,FALSE)</f>
        <v>-</v>
      </c>
      <c r="N409" s="62"/>
      <c r="O409" s="172">
        <f>VLOOKUP(F409&amp;H409,'[1]MV+BI'!$E$8:$K$375,7,FALSE)</f>
        <v>45513</v>
      </c>
      <c r="P409" s="62"/>
      <c r="Q409" s="79" t="s">
        <v>251</v>
      </c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/>
      <c r="AC409"/>
      <c r="AD409" s="32"/>
    </row>
    <row r="410" spans="3:30" s="2" customFormat="1" ht="15" customHeight="1">
      <c r="C410" s="157"/>
      <c r="D410" s="1"/>
      <c r="E410" s="124" t="s">
        <v>26</v>
      </c>
      <c r="F410" s="178" t="s">
        <v>301</v>
      </c>
      <c r="G410" s="62"/>
      <c r="H410" s="62" t="s">
        <v>6</v>
      </c>
      <c r="I410" s="176" t="str">
        <f>VLOOKUP(F410&amp;H410,'[1]MV+BI'!$E$8:$K$375,3,FALSE)</f>
        <v>Em Teste - Alteração EF</v>
      </c>
      <c r="J410" s="62"/>
      <c r="K410" s="62" t="str">
        <f>VLOOKUP(F410&amp;H410,'[1]MV+BI'!$E$8:$K$375,6,FALSE)</f>
        <v>CDO</v>
      </c>
      <c r="L410" s="62"/>
      <c r="M410" s="62" t="str">
        <f>VLOOKUP(F410&amp;H410,'[1]MV+BI'!$E$8:$K$375,5,FALSE)</f>
        <v>-</v>
      </c>
      <c r="N410" s="62"/>
      <c r="O410" s="172">
        <f>VLOOKUP(F410&amp;H410,'[1]MV+BI'!$E$8:$K$375,7,FALSE)</f>
        <v>45513</v>
      </c>
      <c r="P410" s="62"/>
      <c r="Q410" s="79" t="s">
        <v>251</v>
      </c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/>
      <c r="AC410"/>
      <c r="AD410" s="32"/>
    </row>
    <row r="411" spans="3:30" s="2" customFormat="1" ht="15" customHeight="1">
      <c r="C411" s="157"/>
      <c r="D411" s="1"/>
      <c r="E411" s="124" t="s">
        <v>26</v>
      </c>
      <c r="F411" s="178" t="s">
        <v>311</v>
      </c>
      <c r="G411" s="62"/>
      <c r="H411" s="62" t="s">
        <v>69</v>
      </c>
      <c r="I411" s="176" t="str">
        <f>VLOOKUP(F411&amp;H411,'[1]MV+BI'!$E$8:$K$375,3,FALSE)</f>
        <v>Em Teste - Alteração EF</v>
      </c>
      <c r="J411" s="62"/>
      <c r="K411" s="62" t="str">
        <f>VLOOKUP(F411&amp;H411,'[1]MV+BI'!$E$8:$K$375,6,FALSE)</f>
        <v>CDO</v>
      </c>
      <c r="L411" s="62"/>
      <c r="M411" s="62" t="str">
        <f>VLOOKUP(F411&amp;H411,'[1]MV+BI'!$E$8:$K$375,5,FALSE)</f>
        <v>-</v>
      </c>
      <c r="N411" s="62"/>
      <c r="O411" s="172">
        <f>VLOOKUP(F411&amp;H411,'[1]MV+BI'!$E$8:$K$375,7,FALSE)</f>
        <v>45520</v>
      </c>
      <c r="P411" s="62"/>
      <c r="Q411" s="79" t="s">
        <v>251</v>
      </c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/>
      <c r="AC411"/>
      <c r="AD411" s="32"/>
    </row>
    <row r="412" spans="3:30" s="2" customFormat="1" ht="15" customHeight="1">
      <c r="C412" s="157"/>
      <c r="D412" s="1"/>
      <c r="E412" s="124" t="s">
        <v>26</v>
      </c>
      <c r="F412" s="178" t="s">
        <v>311</v>
      </c>
      <c r="G412" s="62"/>
      <c r="H412" s="62" t="s">
        <v>70</v>
      </c>
      <c r="I412" s="176" t="str">
        <f>VLOOKUP(F412&amp;H412,'[1]MV+BI'!$E$8:$K$375,3,FALSE)</f>
        <v>Em Teste - Alteração EF</v>
      </c>
      <c r="J412" s="62"/>
      <c r="K412" s="62" t="str">
        <f>VLOOKUP(F412&amp;H412,'[1]MV+BI'!$E$8:$K$375,6,FALSE)</f>
        <v>CDO</v>
      </c>
      <c r="L412" s="62"/>
      <c r="M412" s="62" t="str">
        <f>VLOOKUP(F412&amp;H412,'[1]MV+BI'!$E$8:$K$375,5,FALSE)</f>
        <v>-</v>
      </c>
      <c r="N412" s="62"/>
      <c r="O412" s="172">
        <f>VLOOKUP(F412&amp;H412,'[1]MV+BI'!$E$8:$K$375,7,FALSE)</f>
        <v>45520</v>
      </c>
      <c r="P412" s="62"/>
      <c r="Q412" s="79" t="s">
        <v>251</v>
      </c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/>
      <c r="AC412"/>
      <c r="AD412" s="32"/>
    </row>
    <row r="413" spans="3:30" s="2" customFormat="1" ht="15" customHeight="1">
      <c r="C413" s="157"/>
      <c r="D413" s="1"/>
      <c r="E413" s="124" t="s">
        <v>26</v>
      </c>
      <c r="F413" s="178" t="s">
        <v>311</v>
      </c>
      <c r="G413" s="62"/>
      <c r="H413" s="62" t="s">
        <v>71</v>
      </c>
      <c r="I413" s="176" t="str">
        <f>VLOOKUP(F413&amp;H413,'[1]MV+BI'!$E$8:$K$375,3,FALSE)</f>
        <v>Em Teste - Alteração EF</v>
      </c>
      <c r="J413" s="62"/>
      <c r="K413" s="62" t="str">
        <f>VLOOKUP(F413&amp;H413,'[1]MV+BI'!$E$8:$K$375,6,FALSE)</f>
        <v>CDO</v>
      </c>
      <c r="L413" s="62"/>
      <c r="M413" s="62" t="str">
        <f>VLOOKUP(F413&amp;H413,'[1]MV+BI'!$E$8:$K$375,5,FALSE)</f>
        <v>-</v>
      </c>
      <c r="N413" s="62"/>
      <c r="O413" s="172">
        <f>VLOOKUP(F413&amp;H413,'[1]MV+BI'!$E$8:$K$375,7,FALSE)</f>
        <v>45520</v>
      </c>
      <c r="P413" s="62"/>
      <c r="Q413" s="79" t="s">
        <v>251</v>
      </c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/>
      <c r="AC413"/>
      <c r="AD413" s="32"/>
    </row>
    <row r="414" spans="3:30" s="2" customFormat="1" ht="15" customHeight="1">
      <c r="C414" s="157"/>
      <c r="D414" s="1"/>
      <c r="E414" s="124" t="s">
        <v>26</v>
      </c>
      <c r="F414" s="178" t="s">
        <v>311</v>
      </c>
      <c r="G414" s="62"/>
      <c r="H414" s="62" t="s">
        <v>72</v>
      </c>
      <c r="I414" s="176" t="str">
        <f>VLOOKUP(F414&amp;H414,'[1]MV+BI'!$E$8:$K$375,3,FALSE)</f>
        <v>Em Teste - Alteração EF</v>
      </c>
      <c r="J414" s="62"/>
      <c r="K414" s="62" t="str">
        <f>VLOOKUP(F414&amp;H414,'[1]MV+BI'!$E$8:$K$375,6,FALSE)</f>
        <v>CDO</v>
      </c>
      <c r="L414" s="62"/>
      <c r="M414" s="62" t="str">
        <f>VLOOKUP(F414&amp;H414,'[1]MV+BI'!$E$8:$K$375,5,FALSE)</f>
        <v>-</v>
      </c>
      <c r="N414" s="62"/>
      <c r="O414" s="172">
        <f>VLOOKUP(F414&amp;H414,'[1]MV+BI'!$E$8:$K$375,7,FALSE)</f>
        <v>45520</v>
      </c>
      <c r="P414" s="62"/>
      <c r="Q414" s="79" t="s">
        <v>251</v>
      </c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/>
      <c r="AC414"/>
      <c r="AD414" s="32"/>
    </row>
    <row r="415" spans="3:30" s="2" customFormat="1" ht="15" customHeight="1">
      <c r="C415" s="157"/>
      <c r="D415" s="1"/>
      <c r="E415" s="124" t="s">
        <v>26</v>
      </c>
      <c r="F415" s="178" t="s">
        <v>311</v>
      </c>
      <c r="G415" s="62"/>
      <c r="H415" s="62" t="s">
        <v>67</v>
      </c>
      <c r="I415" s="176" t="str">
        <f>VLOOKUP(F415&amp;H415,'[1]MV+BI'!$E$8:$K$375,3,FALSE)</f>
        <v>Em Teste - Alteração EF</v>
      </c>
      <c r="J415" s="62"/>
      <c r="K415" s="62" t="str">
        <f>VLOOKUP(F415&amp;H415,'[1]MV+BI'!$E$8:$K$375,6,FALSE)</f>
        <v>CDO</v>
      </c>
      <c r="L415" s="62"/>
      <c r="M415" s="62" t="str">
        <f>VLOOKUP(F415&amp;H415,'[1]MV+BI'!$E$8:$K$375,5,FALSE)</f>
        <v>-</v>
      </c>
      <c r="N415" s="62"/>
      <c r="O415" s="172">
        <f>VLOOKUP(F415&amp;H415,'[1]MV+BI'!$E$8:$K$375,7,FALSE)</f>
        <v>45520</v>
      </c>
      <c r="P415" s="62"/>
      <c r="Q415" s="79" t="s">
        <v>251</v>
      </c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/>
      <c r="AC415"/>
      <c r="AD415" s="32"/>
    </row>
    <row r="416" spans="3:30" s="2" customFormat="1" ht="15" customHeight="1">
      <c r="C416" s="157"/>
      <c r="D416" s="1"/>
      <c r="E416" s="124" t="s">
        <v>26</v>
      </c>
      <c r="F416" s="178" t="s">
        <v>311</v>
      </c>
      <c r="G416" s="62"/>
      <c r="H416" s="62" t="s">
        <v>312</v>
      </c>
      <c r="I416" s="176" t="str">
        <f>VLOOKUP(F416&amp;H416,'[1]MV+BI'!$E$8:$K$375,3,FALSE)</f>
        <v>Em Teste - Alteração EF</v>
      </c>
      <c r="J416" s="62"/>
      <c r="K416" s="62" t="str">
        <f>VLOOKUP(F416&amp;H416,'[1]MV+BI'!$E$8:$K$375,6,FALSE)</f>
        <v>CDO</v>
      </c>
      <c r="L416" s="62"/>
      <c r="M416" s="62" t="str">
        <f>VLOOKUP(F416&amp;H416,'[1]MV+BI'!$E$8:$K$375,5,FALSE)</f>
        <v>-</v>
      </c>
      <c r="N416" s="62"/>
      <c r="O416" s="172">
        <f>VLOOKUP(F416&amp;H416,'[1]MV+BI'!$E$8:$K$375,7,FALSE)</f>
        <v>45520</v>
      </c>
      <c r="P416" s="62"/>
      <c r="Q416" s="79" t="s">
        <v>251</v>
      </c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/>
      <c r="AC416"/>
      <c r="AD416" s="32"/>
    </row>
    <row r="417" spans="3:30" s="2" customFormat="1" ht="15" customHeight="1">
      <c r="C417" s="157"/>
      <c r="D417" s="1"/>
      <c r="E417" s="124" t="s">
        <v>26</v>
      </c>
      <c r="F417" s="178" t="s">
        <v>311</v>
      </c>
      <c r="G417" s="62"/>
      <c r="H417" s="62" t="s">
        <v>105</v>
      </c>
      <c r="I417" s="176" t="str">
        <f>VLOOKUP(F417&amp;H417,'[1]MV+BI'!$E$8:$K$375,3,FALSE)</f>
        <v>Em Teste - Alteração EF</v>
      </c>
      <c r="J417" s="62"/>
      <c r="K417" s="62" t="str">
        <f>VLOOKUP(F417&amp;H417,'[1]MV+BI'!$E$8:$K$375,6,FALSE)</f>
        <v>CDO</v>
      </c>
      <c r="L417" s="62"/>
      <c r="M417" s="62" t="str">
        <f>VLOOKUP(F417&amp;H417,'[1]MV+BI'!$E$8:$K$375,5,FALSE)</f>
        <v>-</v>
      </c>
      <c r="N417" s="62"/>
      <c r="O417" s="172">
        <f>VLOOKUP(F417&amp;H417,'[1]MV+BI'!$E$8:$K$375,7,FALSE)</f>
        <v>45520</v>
      </c>
      <c r="P417" s="62"/>
      <c r="Q417" s="79" t="s">
        <v>251</v>
      </c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/>
      <c r="AC417"/>
      <c r="AD417" s="32"/>
    </row>
    <row r="418" spans="3:30" s="2" customFormat="1" ht="15" customHeight="1">
      <c r="C418" s="157"/>
      <c r="D418" s="1"/>
      <c r="E418" s="124" t="s">
        <v>26</v>
      </c>
      <c r="F418" s="178" t="s">
        <v>311</v>
      </c>
      <c r="G418" s="62"/>
      <c r="H418" s="62" t="s">
        <v>313</v>
      </c>
      <c r="I418" s="176" t="str">
        <f>VLOOKUP(F418&amp;H418,'[1]MV+BI'!$E$8:$K$375,3,FALSE)</f>
        <v>Em Teste - Alteração EF</v>
      </c>
      <c r="J418" s="62"/>
      <c r="K418" s="62" t="str">
        <f>VLOOKUP(F418&amp;H418,'[1]MV+BI'!$E$8:$K$375,6,FALSE)</f>
        <v>CDO</v>
      </c>
      <c r="L418" s="62"/>
      <c r="M418" s="62" t="str">
        <f>VLOOKUP(F418&amp;H418,'[1]MV+BI'!$E$8:$K$375,5,FALSE)</f>
        <v>-</v>
      </c>
      <c r="N418" s="62"/>
      <c r="O418" s="172">
        <f>VLOOKUP(F418&amp;H418,'[1]MV+BI'!$E$8:$K$375,7,FALSE)</f>
        <v>45520</v>
      </c>
      <c r="P418" s="62"/>
      <c r="Q418" s="79" t="s">
        <v>251</v>
      </c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/>
      <c r="AC418"/>
      <c r="AD418" s="32"/>
    </row>
    <row r="419" spans="3:30" s="2" customFormat="1" ht="15" customHeight="1">
      <c r="C419" s="157"/>
      <c r="D419" s="1"/>
      <c r="E419" s="124" t="s">
        <v>26</v>
      </c>
      <c r="F419" s="178" t="s">
        <v>311</v>
      </c>
      <c r="G419" s="62"/>
      <c r="H419" s="62" t="s">
        <v>314</v>
      </c>
      <c r="I419" s="176" t="str">
        <f>VLOOKUP(F419&amp;H419,'[1]MV+BI'!$E$8:$K$375,3,FALSE)</f>
        <v>Em Teste - Alteração EF</v>
      </c>
      <c r="J419" s="62"/>
      <c r="K419" s="62" t="str">
        <f>VLOOKUP(F419&amp;H419,'[1]MV+BI'!$E$8:$K$375,6,FALSE)</f>
        <v>CDO</v>
      </c>
      <c r="L419" s="62"/>
      <c r="M419" s="62" t="str">
        <f>VLOOKUP(F419&amp;H419,'[1]MV+BI'!$E$8:$K$375,5,FALSE)</f>
        <v>-</v>
      </c>
      <c r="N419" s="62"/>
      <c r="O419" s="172">
        <f>VLOOKUP(F419&amp;H419,'[1]MV+BI'!$E$8:$K$375,7,FALSE)</f>
        <v>45520</v>
      </c>
      <c r="P419" s="62"/>
      <c r="Q419" s="79" t="s">
        <v>251</v>
      </c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/>
      <c r="AC419"/>
      <c r="AD419" s="32"/>
    </row>
    <row r="420" spans="3:30" s="2" customFormat="1" ht="15" customHeight="1">
      <c r="C420" s="157"/>
      <c r="D420" s="1"/>
      <c r="E420" s="124" t="s">
        <v>26</v>
      </c>
      <c r="F420" s="178" t="s">
        <v>311</v>
      </c>
      <c r="G420" s="62"/>
      <c r="H420" s="62" t="s">
        <v>247</v>
      </c>
      <c r="I420" s="176" t="str">
        <f>VLOOKUP(F420&amp;H420,'[1]MV+BI'!$E$8:$K$375,3,FALSE)</f>
        <v>Em Teste - Alteração EF</v>
      </c>
      <c r="J420" s="62"/>
      <c r="K420" s="62" t="str">
        <f>VLOOKUP(F420&amp;H420,'[1]MV+BI'!$E$8:$K$375,6,FALSE)</f>
        <v>CDO</v>
      </c>
      <c r="L420" s="62"/>
      <c r="M420" s="62" t="str">
        <f>VLOOKUP(F420&amp;H420,'[1]MV+BI'!$E$8:$K$375,5,FALSE)</f>
        <v>-</v>
      </c>
      <c r="N420" s="62"/>
      <c r="O420" s="172">
        <f>VLOOKUP(F420&amp;H420,'[1]MV+BI'!$E$8:$K$375,7,FALSE)</f>
        <v>45520</v>
      </c>
      <c r="P420" s="62"/>
      <c r="Q420" s="79" t="s">
        <v>251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/>
      <c r="AC420"/>
      <c r="AD420" s="32"/>
    </row>
    <row r="421" spans="3:30" s="2" customFormat="1" ht="15" customHeight="1">
      <c r="C421" s="157"/>
      <c r="D421" s="1"/>
      <c r="E421" s="124" t="s">
        <v>26</v>
      </c>
      <c r="F421" s="178" t="s">
        <v>311</v>
      </c>
      <c r="G421" s="62"/>
      <c r="H421" s="62" t="s">
        <v>315</v>
      </c>
      <c r="I421" s="176" t="str">
        <f>VLOOKUP(F421&amp;H421,'[1]MV+BI'!$E$8:$K$375,3,FALSE)</f>
        <v>Em Teste - Alteração EF</v>
      </c>
      <c r="J421" s="62"/>
      <c r="K421" s="62" t="str">
        <f>VLOOKUP(F421&amp;H421,'[1]MV+BI'!$E$8:$K$375,6,FALSE)</f>
        <v>CDO</v>
      </c>
      <c r="L421" s="62"/>
      <c r="M421" s="62" t="str">
        <f>VLOOKUP(F421&amp;H421,'[1]MV+BI'!$E$8:$K$375,5,FALSE)</f>
        <v>-</v>
      </c>
      <c r="N421" s="62"/>
      <c r="O421" s="172">
        <f>VLOOKUP(F421&amp;H421,'[1]MV+BI'!$E$8:$K$375,7,FALSE)</f>
        <v>45520</v>
      </c>
      <c r="P421" s="62"/>
      <c r="Q421" s="79" t="s">
        <v>251</v>
      </c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/>
      <c r="AC421"/>
      <c r="AD421" s="32"/>
    </row>
    <row r="422" spans="3:30" s="2" customFormat="1" ht="15" customHeight="1">
      <c r="C422" s="157"/>
      <c r="D422" s="1"/>
      <c r="E422" s="124" t="s">
        <v>26</v>
      </c>
      <c r="F422" s="178" t="s">
        <v>311</v>
      </c>
      <c r="G422" s="62"/>
      <c r="H422" s="62" t="s">
        <v>316</v>
      </c>
      <c r="I422" s="176" t="str">
        <f>VLOOKUP(F422&amp;H422,'[1]MV+BI'!$E$8:$K$375,3,FALSE)</f>
        <v>Em Teste - Alteração EF</v>
      </c>
      <c r="J422" s="62"/>
      <c r="K422" s="62" t="str">
        <f>VLOOKUP(F422&amp;H422,'[1]MV+BI'!$E$8:$K$375,6,FALSE)</f>
        <v>CDO</v>
      </c>
      <c r="L422" s="62"/>
      <c r="M422" s="62" t="str">
        <f>VLOOKUP(F422&amp;H422,'[1]MV+BI'!$E$8:$K$375,5,FALSE)</f>
        <v>-</v>
      </c>
      <c r="N422" s="62"/>
      <c r="O422" s="172">
        <f>VLOOKUP(F422&amp;H422,'[1]MV+BI'!$E$8:$K$375,7,FALSE)</f>
        <v>45520</v>
      </c>
      <c r="P422" s="62"/>
      <c r="Q422" s="79" t="s">
        <v>251</v>
      </c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/>
      <c r="AC422"/>
      <c r="AD422" s="32"/>
    </row>
    <row r="423" spans="3:30" s="2" customFormat="1" ht="15" customHeight="1">
      <c r="C423" s="157"/>
      <c r="D423" s="1"/>
      <c r="E423" s="124" t="s">
        <v>26</v>
      </c>
      <c r="F423" s="178" t="s">
        <v>311</v>
      </c>
      <c r="G423" s="62"/>
      <c r="H423" s="62" t="s">
        <v>248</v>
      </c>
      <c r="I423" s="176" t="str">
        <f>VLOOKUP(F423&amp;H423,'[1]MV+BI'!$E$8:$K$375,3,FALSE)</f>
        <v>Em Teste - Alteração EF</v>
      </c>
      <c r="J423" s="62"/>
      <c r="K423" s="62" t="str">
        <f>VLOOKUP(F423&amp;H423,'[1]MV+BI'!$E$8:$K$375,6,FALSE)</f>
        <v>CDO</v>
      </c>
      <c r="L423" s="62"/>
      <c r="M423" s="62" t="str">
        <f>VLOOKUP(F423&amp;H423,'[1]MV+BI'!$E$8:$K$375,5,FALSE)</f>
        <v>-</v>
      </c>
      <c r="N423" s="62"/>
      <c r="O423" s="172">
        <f>VLOOKUP(F423&amp;H423,'[1]MV+BI'!$E$8:$K$375,7,FALSE)</f>
        <v>45520</v>
      </c>
      <c r="P423" s="62"/>
      <c r="Q423" s="79" t="s">
        <v>251</v>
      </c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/>
      <c r="AC423"/>
      <c r="AD423" s="32"/>
    </row>
    <row r="424" spans="3:30" s="2" customFormat="1" ht="15" customHeight="1">
      <c r="C424" s="157"/>
      <c r="D424" s="1"/>
      <c r="E424" s="124" t="s">
        <v>26</v>
      </c>
      <c r="F424" s="178" t="s">
        <v>311</v>
      </c>
      <c r="G424" s="62"/>
      <c r="H424" s="62" t="s">
        <v>317</v>
      </c>
      <c r="I424" s="176" t="str">
        <f>VLOOKUP(F424&amp;H424,'[1]MV+BI'!$E$8:$K$375,3,FALSE)</f>
        <v>Em Teste - Alteração EF</v>
      </c>
      <c r="J424" s="62"/>
      <c r="K424" s="62" t="str">
        <f>VLOOKUP(F424&amp;H424,'[1]MV+BI'!$E$8:$K$375,6,FALSE)</f>
        <v>CDO</v>
      </c>
      <c r="L424" s="62"/>
      <c r="M424" s="62" t="str">
        <f>VLOOKUP(F424&amp;H424,'[1]MV+BI'!$E$8:$K$375,5,FALSE)</f>
        <v>-</v>
      </c>
      <c r="N424" s="62"/>
      <c r="O424" s="172">
        <f>VLOOKUP(F424&amp;H424,'[1]MV+BI'!$E$8:$K$375,7,FALSE)</f>
        <v>45520</v>
      </c>
      <c r="P424" s="62"/>
      <c r="Q424" s="79" t="s">
        <v>251</v>
      </c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/>
      <c r="AC424"/>
      <c r="AD424" s="32"/>
    </row>
    <row r="425" spans="3:30" s="2" customFormat="1" ht="15" customHeight="1">
      <c r="C425" s="157"/>
      <c r="D425" s="1"/>
      <c r="E425" s="124" t="s">
        <v>26</v>
      </c>
      <c r="F425" s="178" t="s">
        <v>311</v>
      </c>
      <c r="G425" s="62"/>
      <c r="H425" s="62" t="s">
        <v>318</v>
      </c>
      <c r="I425" s="176" t="str">
        <f>VLOOKUP(F425&amp;H425,'[1]MV+BI'!$E$8:$K$375,3,FALSE)</f>
        <v>Em Teste - Alteração EF</v>
      </c>
      <c r="J425" s="62"/>
      <c r="K425" s="62" t="str">
        <f>VLOOKUP(F425&amp;H425,'[1]MV+BI'!$E$8:$K$375,6,FALSE)</f>
        <v>CDO</v>
      </c>
      <c r="L425" s="62"/>
      <c r="M425" s="62" t="str">
        <f>VLOOKUP(F425&amp;H425,'[1]MV+BI'!$E$8:$K$375,5,FALSE)</f>
        <v>-</v>
      </c>
      <c r="N425" s="62"/>
      <c r="O425" s="172">
        <f>VLOOKUP(F425&amp;H425,'[1]MV+BI'!$E$8:$K$375,7,FALSE)</f>
        <v>45520</v>
      </c>
      <c r="P425" s="62"/>
      <c r="Q425" s="79" t="s">
        <v>251</v>
      </c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/>
      <c r="AC425"/>
      <c r="AD425" s="32"/>
    </row>
    <row r="426" spans="3:30" s="2" customFormat="1" ht="15" customHeight="1">
      <c r="C426" s="157"/>
      <c r="D426" s="1"/>
      <c r="E426" s="124" t="s">
        <v>26</v>
      </c>
      <c r="F426" s="178" t="s">
        <v>311</v>
      </c>
      <c r="G426" s="62"/>
      <c r="H426" s="62" t="s">
        <v>319</v>
      </c>
      <c r="I426" s="176" t="str">
        <f>VLOOKUP(F426&amp;H426,'[1]MV+BI'!$E$8:$K$375,3,FALSE)</f>
        <v>Em Teste - Alteração EF</v>
      </c>
      <c r="J426" s="62"/>
      <c r="K426" s="62" t="str">
        <f>VLOOKUP(F426&amp;H426,'[1]MV+BI'!$E$8:$K$375,6,FALSE)</f>
        <v>CDO</v>
      </c>
      <c r="L426" s="62"/>
      <c r="M426" s="62" t="str">
        <f>VLOOKUP(F426&amp;H426,'[1]MV+BI'!$E$8:$K$375,5,FALSE)</f>
        <v>-</v>
      </c>
      <c r="N426" s="62"/>
      <c r="O426" s="172">
        <f>VLOOKUP(F426&amp;H426,'[1]MV+BI'!$E$8:$K$375,7,FALSE)</f>
        <v>45520</v>
      </c>
      <c r="P426" s="62"/>
      <c r="Q426" s="79" t="s">
        <v>251</v>
      </c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/>
      <c r="AC426"/>
      <c r="AD426" s="32"/>
    </row>
    <row r="427" spans="3:30" s="2" customFormat="1" ht="15" customHeight="1">
      <c r="C427" s="157"/>
      <c r="D427" s="1"/>
      <c r="E427" s="124" t="s">
        <v>26</v>
      </c>
      <c r="F427" s="178" t="s">
        <v>311</v>
      </c>
      <c r="G427" s="62"/>
      <c r="H427" s="62" t="s">
        <v>320</v>
      </c>
      <c r="I427" s="176" t="str">
        <f>VLOOKUP(F427&amp;H427,'[1]MV+BI'!$E$8:$K$375,3,FALSE)</f>
        <v>Em Teste - Alteração EF</v>
      </c>
      <c r="J427" s="62"/>
      <c r="K427" s="62" t="str">
        <f>VLOOKUP(F427&amp;H427,'[1]MV+BI'!$E$8:$K$375,6,FALSE)</f>
        <v>CDO</v>
      </c>
      <c r="L427" s="62"/>
      <c r="M427" s="62" t="str">
        <f>VLOOKUP(F427&amp;H427,'[1]MV+BI'!$E$8:$K$375,5,FALSE)</f>
        <v>-</v>
      </c>
      <c r="N427" s="62"/>
      <c r="O427" s="172">
        <f>VLOOKUP(F427&amp;H427,'[1]MV+BI'!$E$8:$K$375,7,FALSE)</f>
        <v>45520</v>
      </c>
      <c r="P427" s="62"/>
      <c r="Q427" s="79" t="s">
        <v>251</v>
      </c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/>
      <c r="AC427"/>
      <c r="AD427" s="32"/>
    </row>
    <row r="428" spans="3:30" s="2" customFormat="1" ht="15" customHeight="1">
      <c r="C428" s="157"/>
      <c r="D428" s="1"/>
      <c r="E428" s="124" t="s">
        <v>26</v>
      </c>
      <c r="F428" s="178" t="s">
        <v>311</v>
      </c>
      <c r="G428" s="62"/>
      <c r="H428" s="62" t="s">
        <v>321</v>
      </c>
      <c r="I428" s="176" t="str">
        <f>VLOOKUP(F428&amp;H428,'[1]MV+BI'!$E$8:$K$375,3,FALSE)</f>
        <v>Em Teste - Alteração EF</v>
      </c>
      <c r="J428" s="62"/>
      <c r="K428" s="62" t="str">
        <f>VLOOKUP(F428&amp;H428,'[1]MV+BI'!$E$8:$K$375,6,FALSE)</f>
        <v>CDO</v>
      </c>
      <c r="L428" s="62"/>
      <c r="M428" s="62" t="str">
        <f>VLOOKUP(F428&amp;H428,'[1]MV+BI'!$E$8:$K$375,5,FALSE)</f>
        <v>-</v>
      </c>
      <c r="N428" s="62"/>
      <c r="O428" s="172">
        <f>VLOOKUP(F428&amp;H428,'[1]MV+BI'!$E$8:$K$375,7,FALSE)</f>
        <v>45520</v>
      </c>
      <c r="P428" s="62"/>
      <c r="Q428" s="79" t="s">
        <v>251</v>
      </c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/>
      <c r="AC428"/>
      <c r="AD428" s="32"/>
    </row>
    <row r="429" spans="3:30" s="2" customFormat="1" ht="15" customHeight="1">
      <c r="C429" s="157"/>
      <c r="D429" s="1"/>
      <c r="E429" s="124" t="s">
        <v>26</v>
      </c>
      <c r="F429" s="178" t="s">
        <v>311</v>
      </c>
      <c r="G429" s="62"/>
      <c r="H429" s="62" t="s">
        <v>322</v>
      </c>
      <c r="I429" s="176" t="str">
        <f>VLOOKUP(F429&amp;H429,'[1]MV+BI'!$E$8:$K$375,3,FALSE)</f>
        <v>Em Teste - Alteração EF</v>
      </c>
      <c r="J429" s="62"/>
      <c r="K429" s="62" t="str">
        <f>VLOOKUP(F429&amp;H429,'[1]MV+BI'!$E$8:$K$375,6,FALSE)</f>
        <v>CDO</v>
      </c>
      <c r="L429" s="62"/>
      <c r="M429" s="62" t="str">
        <f>VLOOKUP(F429&amp;H429,'[1]MV+BI'!$E$8:$K$375,5,FALSE)</f>
        <v>-</v>
      </c>
      <c r="N429" s="62"/>
      <c r="O429" s="172">
        <f>VLOOKUP(F429&amp;H429,'[1]MV+BI'!$E$8:$K$375,7,FALSE)</f>
        <v>45520</v>
      </c>
      <c r="P429" s="62"/>
      <c r="Q429" s="79" t="s">
        <v>251</v>
      </c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/>
      <c r="AC429"/>
      <c r="AD429" s="32"/>
    </row>
    <row r="430" spans="3:30" s="2" customFormat="1" ht="15" customHeight="1">
      <c r="C430" s="157"/>
      <c r="D430" s="1"/>
      <c r="E430" s="124" t="s">
        <v>26</v>
      </c>
      <c r="F430" s="178" t="s">
        <v>311</v>
      </c>
      <c r="G430" s="62"/>
      <c r="H430" s="62" t="s">
        <v>323</v>
      </c>
      <c r="I430" s="176" t="str">
        <f>VLOOKUP(F430&amp;H430,'[1]MV+BI'!$E$8:$K$375,3,FALSE)</f>
        <v>Em Teste - Alteração EF</v>
      </c>
      <c r="J430" s="62"/>
      <c r="K430" s="62" t="str">
        <f>VLOOKUP(F430&amp;H430,'[1]MV+BI'!$E$8:$K$375,6,FALSE)</f>
        <v>CDO</v>
      </c>
      <c r="L430" s="62"/>
      <c r="M430" s="62" t="str">
        <f>VLOOKUP(F430&amp;H430,'[1]MV+BI'!$E$8:$K$375,5,FALSE)</f>
        <v>-</v>
      </c>
      <c r="N430" s="62"/>
      <c r="O430" s="172">
        <f>VLOOKUP(F430&amp;H430,'[1]MV+BI'!$E$8:$K$375,7,FALSE)</f>
        <v>45520</v>
      </c>
      <c r="P430" s="62"/>
      <c r="Q430" s="79" t="s">
        <v>251</v>
      </c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/>
      <c r="AC430"/>
      <c r="AD430" s="32"/>
    </row>
    <row r="431" spans="3:30" s="2" customFormat="1" ht="15" customHeight="1">
      <c r="C431" s="157"/>
      <c r="D431" s="1"/>
      <c r="E431" s="124" t="s">
        <v>26</v>
      </c>
      <c r="F431" s="178" t="s">
        <v>311</v>
      </c>
      <c r="G431" s="62"/>
      <c r="H431" s="62" t="s">
        <v>324</v>
      </c>
      <c r="I431" s="176" t="str">
        <f>VLOOKUP(F431&amp;H431,'[1]MV+BI'!$E$8:$K$375,3,FALSE)</f>
        <v>Em Teste - Alteração EF</v>
      </c>
      <c r="J431" s="62"/>
      <c r="K431" s="62" t="str">
        <f>VLOOKUP(F431&amp;H431,'[1]MV+BI'!$E$8:$K$375,6,FALSE)</f>
        <v>CDO</v>
      </c>
      <c r="L431" s="62"/>
      <c r="M431" s="62" t="str">
        <f>VLOOKUP(F431&amp;H431,'[1]MV+BI'!$E$8:$K$375,5,FALSE)</f>
        <v>-</v>
      </c>
      <c r="N431" s="62"/>
      <c r="O431" s="172">
        <f>VLOOKUP(F431&amp;H431,'[1]MV+BI'!$E$8:$K$375,7,FALSE)</f>
        <v>45520</v>
      </c>
      <c r="P431" s="62"/>
      <c r="Q431" s="79" t="s">
        <v>251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/>
      <c r="AC431"/>
      <c r="AD431" s="32"/>
    </row>
    <row r="432" spans="3:30" s="2" customFormat="1" ht="15" customHeight="1">
      <c r="C432" s="157"/>
      <c r="D432" s="1"/>
      <c r="E432" s="124" t="s">
        <v>26</v>
      </c>
      <c r="F432" s="178" t="s">
        <v>311</v>
      </c>
      <c r="G432" s="62"/>
      <c r="H432" s="62" t="s">
        <v>325</v>
      </c>
      <c r="I432" s="176" t="str">
        <f>VLOOKUP(F432&amp;H432,'[1]MV+BI'!$E$8:$K$375,3,FALSE)</f>
        <v>Em Teste - Alteração EF</v>
      </c>
      <c r="J432" s="62"/>
      <c r="K432" s="62" t="str">
        <f>VLOOKUP(F432&amp;H432,'[1]MV+BI'!$E$8:$K$375,6,FALSE)</f>
        <v>CDO</v>
      </c>
      <c r="L432" s="62"/>
      <c r="M432" s="62" t="str">
        <f>VLOOKUP(F432&amp;H432,'[1]MV+BI'!$E$8:$K$375,5,FALSE)</f>
        <v>-</v>
      </c>
      <c r="N432" s="62"/>
      <c r="O432" s="172">
        <f>VLOOKUP(F432&amp;H432,'[1]MV+BI'!$E$8:$K$375,7,FALSE)</f>
        <v>45520</v>
      </c>
      <c r="P432" s="62"/>
      <c r="Q432" s="79" t="s">
        <v>251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/>
      <c r="AC432"/>
      <c r="AD432" s="32"/>
    </row>
    <row r="433" spans="3:30" s="2" customFormat="1" ht="15" customHeight="1">
      <c r="C433" s="157"/>
      <c r="D433" s="1"/>
      <c r="E433" s="124" t="s">
        <v>26</v>
      </c>
      <c r="F433" s="178" t="s">
        <v>311</v>
      </c>
      <c r="G433" s="62"/>
      <c r="H433" s="62" t="s">
        <v>326</v>
      </c>
      <c r="I433" s="176" t="str">
        <f>VLOOKUP(F433&amp;H433,'[1]MV+BI'!$E$8:$K$375,3,FALSE)</f>
        <v>Em Teste - Alteração EF</v>
      </c>
      <c r="J433" s="62"/>
      <c r="K433" s="62" t="str">
        <f>VLOOKUP(F433&amp;H433,'[1]MV+BI'!$E$8:$K$375,6,FALSE)</f>
        <v>CDO</v>
      </c>
      <c r="L433" s="62"/>
      <c r="M433" s="62" t="str">
        <f>VLOOKUP(F433&amp;H433,'[1]MV+BI'!$E$8:$K$375,5,FALSE)</f>
        <v>-</v>
      </c>
      <c r="N433" s="62"/>
      <c r="O433" s="172">
        <f>VLOOKUP(F433&amp;H433,'[1]MV+BI'!$E$8:$K$375,7,FALSE)</f>
        <v>45520</v>
      </c>
      <c r="P433" s="62"/>
      <c r="Q433" s="79" t="s">
        <v>251</v>
      </c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/>
      <c r="AC433"/>
      <c r="AD433" s="32"/>
    </row>
    <row r="434" spans="3:30" s="2" customFormat="1" ht="15" customHeight="1">
      <c r="C434" s="157"/>
      <c r="D434" s="1"/>
      <c r="E434" s="124" t="s">
        <v>26</v>
      </c>
      <c r="F434" s="178" t="s">
        <v>311</v>
      </c>
      <c r="G434" s="62"/>
      <c r="H434" s="62" t="s">
        <v>327</v>
      </c>
      <c r="I434" s="176" t="str">
        <f>VLOOKUP(F434&amp;H434,'[1]MV+BI'!$E$8:$K$375,3,FALSE)</f>
        <v>Em Teste - Alteração EF</v>
      </c>
      <c r="J434" s="62"/>
      <c r="K434" s="62" t="str">
        <f>VLOOKUP(F434&amp;H434,'[1]MV+BI'!$E$8:$K$375,6,FALSE)</f>
        <v>CDO</v>
      </c>
      <c r="L434" s="62"/>
      <c r="M434" s="62" t="str">
        <f>VLOOKUP(F434&amp;H434,'[1]MV+BI'!$E$8:$K$375,5,FALSE)</f>
        <v>-</v>
      </c>
      <c r="N434" s="62"/>
      <c r="O434" s="172">
        <f>VLOOKUP(F434&amp;H434,'[1]MV+BI'!$E$8:$K$375,7,FALSE)</f>
        <v>45520</v>
      </c>
      <c r="P434" s="62"/>
      <c r="Q434" s="79" t="s">
        <v>251</v>
      </c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/>
      <c r="AC434"/>
      <c r="AD434" s="32"/>
    </row>
    <row r="435" spans="3:30" s="2" customFormat="1" ht="15" customHeight="1">
      <c r="C435" s="157"/>
      <c r="D435" s="1"/>
      <c r="E435" s="124" t="s">
        <v>26</v>
      </c>
      <c r="F435" s="178" t="s">
        <v>311</v>
      </c>
      <c r="G435" s="62"/>
      <c r="H435" s="62" t="s">
        <v>328</v>
      </c>
      <c r="I435" s="176" t="str">
        <f>VLOOKUP(F435&amp;H435,'[1]MV+BI'!$E$8:$K$375,3,FALSE)</f>
        <v>Em Teste - Alteração EF</v>
      </c>
      <c r="J435" s="62"/>
      <c r="K435" s="62" t="str">
        <f>VLOOKUP(F435&amp;H435,'[1]MV+BI'!$E$8:$K$375,6,FALSE)</f>
        <v>CDO</v>
      </c>
      <c r="L435" s="62"/>
      <c r="M435" s="62" t="str">
        <f>VLOOKUP(F435&amp;H435,'[1]MV+BI'!$E$8:$K$375,5,FALSE)</f>
        <v>-</v>
      </c>
      <c r="N435" s="62"/>
      <c r="O435" s="172">
        <f>VLOOKUP(F435&amp;H435,'[1]MV+BI'!$E$8:$K$375,7,FALSE)</f>
        <v>45520</v>
      </c>
      <c r="P435" s="62"/>
      <c r="Q435" s="79" t="s">
        <v>251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/>
      <c r="AC435"/>
      <c r="AD435" s="32"/>
    </row>
    <row r="436" spans="3:30" s="2" customFormat="1" ht="15" customHeight="1">
      <c r="C436" s="157"/>
      <c r="D436" s="1"/>
      <c r="E436" s="124" t="s">
        <v>26</v>
      </c>
      <c r="F436" s="178" t="s">
        <v>311</v>
      </c>
      <c r="G436" s="62"/>
      <c r="H436" s="62" t="s">
        <v>329</v>
      </c>
      <c r="I436" s="176" t="str">
        <f>VLOOKUP(F436&amp;H436,'[1]MV+BI'!$E$8:$K$375,3,FALSE)</f>
        <v>Em Teste - Alteração EF</v>
      </c>
      <c r="J436" s="62"/>
      <c r="K436" s="62" t="str">
        <f>VLOOKUP(F436&amp;H436,'[1]MV+BI'!$E$8:$K$375,6,FALSE)</f>
        <v>CDO</v>
      </c>
      <c r="L436" s="62"/>
      <c r="M436" s="62" t="str">
        <f>VLOOKUP(F436&amp;H436,'[1]MV+BI'!$E$8:$K$375,5,FALSE)</f>
        <v>-</v>
      </c>
      <c r="N436" s="62"/>
      <c r="O436" s="172">
        <f>VLOOKUP(F436&amp;H436,'[1]MV+BI'!$E$8:$K$375,7,FALSE)</f>
        <v>45520</v>
      </c>
      <c r="P436" s="62"/>
      <c r="Q436" s="79" t="s">
        <v>251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/>
      <c r="AC436"/>
      <c r="AD436" s="32"/>
    </row>
    <row r="437" spans="3:30" s="2" customFormat="1" ht="15" customHeight="1">
      <c r="C437" s="157"/>
      <c r="D437" s="1"/>
      <c r="E437" s="124" t="s">
        <v>26</v>
      </c>
      <c r="F437" s="178" t="s">
        <v>311</v>
      </c>
      <c r="G437" s="62"/>
      <c r="H437" s="62" t="s">
        <v>330</v>
      </c>
      <c r="I437" s="176" t="str">
        <f>VLOOKUP(F437&amp;H437,'[1]MV+BI'!$E$8:$K$375,3,FALSE)</f>
        <v>Em Teste - Alteração EF</v>
      </c>
      <c r="J437" s="62"/>
      <c r="K437" s="62" t="str">
        <f>VLOOKUP(F437&amp;H437,'[1]MV+BI'!$E$8:$K$375,6,FALSE)</f>
        <v>CDO</v>
      </c>
      <c r="L437" s="62"/>
      <c r="M437" s="62" t="str">
        <f>VLOOKUP(F437&amp;H437,'[1]MV+BI'!$E$8:$K$375,5,FALSE)</f>
        <v>-</v>
      </c>
      <c r="N437" s="62"/>
      <c r="O437" s="172">
        <f>VLOOKUP(F437&amp;H437,'[1]MV+BI'!$E$8:$K$375,7,FALSE)</f>
        <v>45520</v>
      </c>
      <c r="P437" s="62"/>
      <c r="Q437" s="79" t="s">
        <v>251</v>
      </c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/>
      <c r="AC437"/>
      <c r="AD437" s="32"/>
    </row>
    <row r="438" spans="3:30" s="2" customFormat="1" ht="15" customHeight="1">
      <c r="C438" s="157"/>
      <c r="D438" s="1"/>
      <c r="E438" s="124" t="s">
        <v>26</v>
      </c>
      <c r="F438" s="178" t="s">
        <v>311</v>
      </c>
      <c r="G438" s="62"/>
      <c r="H438" s="62" t="s">
        <v>331</v>
      </c>
      <c r="I438" s="176" t="str">
        <f>VLOOKUP(F438&amp;H438,'[1]MV+BI'!$E$8:$K$375,3,FALSE)</f>
        <v>Em Teste - Alteração EF</v>
      </c>
      <c r="J438" s="62"/>
      <c r="K438" s="62" t="str">
        <f>VLOOKUP(F438&amp;H438,'[1]MV+BI'!$E$8:$K$375,6,FALSE)</f>
        <v>CDO</v>
      </c>
      <c r="L438" s="62"/>
      <c r="M438" s="62" t="str">
        <f>VLOOKUP(F438&amp;H438,'[1]MV+BI'!$E$8:$K$375,5,FALSE)</f>
        <v>-</v>
      </c>
      <c r="N438" s="62"/>
      <c r="O438" s="172">
        <f>VLOOKUP(F438&amp;H438,'[1]MV+BI'!$E$8:$K$375,7,FALSE)</f>
        <v>45520</v>
      </c>
      <c r="P438" s="62"/>
      <c r="Q438" s="79" t="s">
        <v>251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/>
      <c r="AC438"/>
      <c r="AD438" s="32"/>
    </row>
    <row r="439" spans="3:30" s="2" customFormat="1" ht="15" customHeight="1">
      <c r="C439" s="157"/>
      <c r="D439" s="1"/>
      <c r="E439" s="124" t="s">
        <v>26</v>
      </c>
      <c r="F439" s="178" t="s">
        <v>311</v>
      </c>
      <c r="G439" s="62"/>
      <c r="H439" s="62" t="s">
        <v>332</v>
      </c>
      <c r="I439" s="176" t="str">
        <f>VLOOKUP(F439&amp;H439,'[1]MV+BI'!$E$8:$K$375,3,FALSE)</f>
        <v>Em Teste - Alteração EF</v>
      </c>
      <c r="J439" s="62"/>
      <c r="K439" s="62" t="str">
        <f>VLOOKUP(F439&amp;H439,'[1]MV+BI'!$E$8:$K$375,6,FALSE)</f>
        <v>CDO</v>
      </c>
      <c r="L439" s="62"/>
      <c r="M439" s="62" t="str">
        <f>VLOOKUP(F439&amp;H439,'[1]MV+BI'!$E$8:$K$375,5,FALSE)</f>
        <v>-</v>
      </c>
      <c r="N439" s="62"/>
      <c r="O439" s="172">
        <f>VLOOKUP(F439&amp;H439,'[1]MV+BI'!$E$8:$K$375,7,FALSE)</f>
        <v>45520</v>
      </c>
      <c r="P439" s="62"/>
      <c r="Q439" s="79" t="s">
        <v>251</v>
      </c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/>
      <c r="AC439"/>
      <c r="AD439" s="32"/>
    </row>
    <row r="440" spans="3:30" s="2" customFormat="1" ht="15" customHeight="1">
      <c r="C440" s="157"/>
      <c r="D440" s="1"/>
      <c r="E440" s="124" t="s">
        <v>26</v>
      </c>
      <c r="F440" s="178" t="s">
        <v>311</v>
      </c>
      <c r="G440" s="62"/>
      <c r="H440" s="62" t="s">
        <v>333</v>
      </c>
      <c r="I440" s="176" t="str">
        <f>VLOOKUP(F440&amp;H440,'[1]MV+BI'!$E$8:$K$375,3,FALSE)</f>
        <v>Em Teste - Alteração EF</v>
      </c>
      <c r="J440" s="62"/>
      <c r="K440" s="62" t="str">
        <f>VLOOKUP(F440&amp;H440,'[1]MV+BI'!$E$8:$K$375,6,FALSE)</f>
        <v>CDO</v>
      </c>
      <c r="L440" s="62"/>
      <c r="M440" s="62" t="str">
        <f>VLOOKUP(F440&amp;H440,'[1]MV+BI'!$E$8:$K$375,5,FALSE)</f>
        <v>-</v>
      </c>
      <c r="N440" s="62"/>
      <c r="O440" s="172">
        <f>VLOOKUP(F440&amp;H440,'[1]MV+BI'!$E$8:$K$375,7,FALSE)</f>
        <v>45520</v>
      </c>
      <c r="P440" s="62"/>
      <c r="Q440" s="79" t="s">
        <v>251</v>
      </c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/>
      <c r="AC440"/>
      <c r="AD440" s="32"/>
    </row>
    <row r="441" spans="3:30" s="2" customFormat="1" ht="15" customHeight="1">
      <c r="C441" s="157"/>
      <c r="D441" s="1"/>
      <c r="E441" s="124" t="s">
        <v>26</v>
      </c>
      <c r="F441" s="178" t="s">
        <v>311</v>
      </c>
      <c r="G441" s="62"/>
      <c r="H441" s="62" t="s">
        <v>334</v>
      </c>
      <c r="I441" s="176" t="str">
        <f>VLOOKUP(F441&amp;H441,'[1]MV+BI'!$E$8:$K$375,3,FALSE)</f>
        <v>Em Teste - Alteração EF</v>
      </c>
      <c r="J441" s="62"/>
      <c r="K441" s="62" t="str">
        <f>VLOOKUP(F441&amp;H441,'[1]MV+BI'!$E$8:$K$375,6,FALSE)</f>
        <v>CDO</v>
      </c>
      <c r="L441" s="62"/>
      <c r="M441" s="62" t="str">
        <f>VLOOKUP(F441&amp;H441,'[1]MV+BI'!$E$8:$K$375,5,FALSE)</f>
        <v>-</v>
      </c>
      <c r="N441" s="62"/>
      <c r="O441" s="172">
        <f>VLOOKUP(F441&amp;H441,'[1]MV+BI'!$E$8:$K$375,7,FALSE)</f>
        <v>45520</v>
      </c>
      <c r="P441" s="62"/>
      <c r="Q441" s="79" t="s">
        <v>251</v>
      </c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/>
      <c r="AC441"/>
      <c r="AD441" s="32"/>
    </row>
    <row r="442" spans="3:30" s="2" customFormat="1" ht="15" customHeight="1">
      <c r="C442" s="157"/>
      <c r="D442" s="1"/>
      <c r="E442" s="124" t="s">
        <v>26</v>
      </c>
      <c r="F442" s="178" t="s">
        <v>311</v>
      </c>
      <c r="G442" s="62"/>
      <c r="H442" s="62" t="s">
        <v>335</v>
      </c>
      <c r="I442" s="176" t="str">
        <f>VLOOKUP(F442&amp;H442,'[1]MV+BI'!$E$8:$K$375,3,FALSE)</f>
        <v>Em Teste - Alteração EF</v>
      </c>
      <c r="J442" s="62"/>
      <c r="K442" s="62" t="str">
        <f>VLOOKUP(F442&amp;H442,'[1]MV+BI'!$E$8:$K$375,6,FALSE)</f>
        <v>CDO</v>
      </c>
      <c r="L442" s="62"/>
      <c r="M442" s="62" t="str">
        <f>VLOOKUP(F442&amp;H442,'[1]MV+BI'!$E$8:$K$375,5,FALSE)</f>
        <v>-</v>
      </c>
      <c r="N442" s="62"/>
      <c r="O442" s="172">
        <f>VLOOKUP(F442&amp;H442,'[1]MV+BI'!$E$8:$K$375,7,FALSE)</f>
        <v>45520</v>
      </c>
      <c r="P442" s="62"/>
      <c r="Q442" s="79" t="s">
        <v>251</v>
      </c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/>
      <c r="AC442"/>
      <c r="AD442" s="32"/>
    </row>
    <row r="443" spans="3:30" s="2" customFormat="1" ht="15" customHeight="1">
      <c r="C443" s="157"/>
      <c r="D443" s="1"/>
      <c r="E443" s="124" t="s">
        <v>26</v>
      </c>
      <c r="F443" s="178" t="s">
        <v>311</v>
      </c>
      <c r="G443" s="62"/>
      <c r="H443" s="62" t="s">
        <v>336</v>
      </c>
      <c r="I443" s="176" t="str">
        <f>VLOOKUP(F443&amp;H443,'[1]MV+BI'!$E$8:$K$375,3,FALSE)</f>
        <v>Em Teste - Alteração EF</v>
      </c>
      <c r="J443" s="62"/>
      <c r="K443" s="62" t="str">
        <f>VLOOKUP(F443&amp;H443,'[1]MV+BI'!$E$8:$K$375,6,FALSE)</f>
        <v>CDO</v>
      </c>
      <c r="L443" s="62"/>
      <c r="M443" s="62" t="str">
        <f>VLOOKUP(F443&amp;H443,'[1]MV+BI'!$E$8:$K$375,5,FALSE)</f>
        <v>-</v>
      </c>
      <c r="N443" s="62"/>
      <c r="O443" s="172">
        <f>VLOOKUP(F443&amp;H443,'[1]MV+BI'!$E$8:$K$375,7,FALSE)</f>
        <v>45520</v>
      </c>
      <c r="P443" s="62"/>
      <c r="Q443" s="79" t="s">
        <v>251</v>
      </c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/>
      <c r="AC443"/>
      <c r="AD443" s="32"/>
    </row>
    <row r="444" spans="3:30" s="2" customFormat="1" ht="15" customHeight="1">
      <c r="C444" s="157"/>
      <c r="D444" s="1"/>
      <c r="E444" s="124" t="s">
        <v>26</v>
      </c>
      <c r="F444" s="178" t="s">
        <v>311</v>
      </c>
      <c r="G444" s="62"/>
      <c r="H444" s="62" t="s">
        <v>337</v>
      </c>
      <c r="I444" s="176" t="str">
        <f>VLOOKUP(F444&amp;H444,'[1]MV+BI'!$E$8:$K$375,3,FALSE)</f>
        <v>Em Teste - Alteração EF</v>
      </c>
      <c r="J444" s="62"/>
      <c r="K444" s="62" t="str">
        <f>VLOOKUP(F444&amp;H444,'[1]MV+BI'!$E$8:$K$375,6,FALSE)</f>
        <v>CDO</v>
      </c>
      <c r="L444" s="62"/>
      <c r="M444" s="62" t="str">
        <f>VLOOKUP(F444&amp;H444,'[1]MV+BI'!$E$8:$K$375,5,FALSE)</f>
        <v>-</v>
      </c>
      <c r="N444" s="62"/>
      <c r="O444" s="172">
        <f>VLOOKUP(F444&amp;H444,'[1]MV+BI'!$E$8:$K$375,7,FALSE)</f>
        <v>45520</v>
      </c>
      <c r="P444" s="62"/>
      <c r="Q444" s="79" t="s">
        <v>251</v>
      </c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/>
      <c r="AC444"/>
      <c r="AD444" s="32"/>
    </row>
    <row r="445" spans="3:30" s="2" customFormat="1" ht="15" customHeight="1">
      <c r="C445" s="157"/>
      <c r="D445" s="1"/>
      <c r="E445" s="124" t="s">
        <v>26</v>
      </c>
      <c r="F445" s="178" t="s">
        <v>311</v>
      </c>
      <c r="G445" s="62"/>
      <c r="H445" s="62" t="s">
        <v>338</v>
      </c>
      <c r="I445" s="176" t="str">
        <f>VLOOKUP(F445&amp;H445,'[1]MV+BI'!$E$8:$K$375,3,FALSE)</f>
        <v>Em Teste - Alteração EF</v>
      </c>
      <c r="J445" s="62"/>
      <c r="K445" s="62" t="str">
        <f>VLOOKUP(F445&amp;H445,'[1]MV+BI'!$E$8:$K$375,6,FALSE)</f>
        <v>CDO</v>
      </c>
      <c r="L445" s="62"/>
      <c r="M445" s="62" t="str">
        <f>VLOOKUP(F445&amp;H445,'[1]MV+BI'!$E$8:$K$375,5,FALSE)</f>
        <v>-</v>
      </c>
      <c r="N445" s="62"/>
      <c r="O445" s="172">
        <f>VLOOKUP(F445&amp;H445,'[1]MV+BI'!$E$8:$K$375,7,FALSE)</f>
        <v>45520</v>
      </c>
      <c r="P445" s="62"/>
      <c r="Q445" s="79" t="s">
        <v>251</v>
      </c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/>
      <c r="AC445"/>
      <c r="AD445" s="32"/>
    </row>
    <row r="446" spans="3:30" s="2" customFormat="1" ht="15" customHeight="1">
      <c r="C446" s="157"/>
      <c r="D446" s="1"/>
      <c r="E446" s="124" t="s">
        <v>26</v>
      </c>
      <c r="F446" s="178" t="s">
        <v>311</v>
      </c>
      <c r="G446" s="62"/>
      <c r="H446" s="62" t="s">
        <v>339</v>
      </c>
      <c r="I446" s="176" t="str">
        <f>VLOOKUP(F446&amp;H446,'[1]MV+BI'!$E$8:$K$375,3,FALSE)</f>
        <v>Em Teste - Alteração EF</v>
      </c>
      <c r="J446" s="62"/>
      <c r="K446" s="62" t="str">
        <f>VLOOKUP(F446&amp;H446,'[1]MV+BI'!$E$8:$K$375,6,FALSE)</f>
        <v>CDO</v>
      </c>
      <c r="L446" s="62"/>
      <c r="M446" s="62" t="str">
        <f>VLOOKUP(F446&amp;H446,'[1]MV+BI'!$E$8:$K$375,5,FALSE)</f>
        <v>-</v>
      </c>
      <c r="N446" s="62"/>
      <c r="O446" s="172">
        <f>VLOOKUP(F446&amp;H446,'[1]MV+BI'!$E$8:$K$375,7,FALSE)</f>
        <v>45520</v>
      </c>
      <c r="P446" s="62"/>
      <c r="Q446" s="79" t="s">
        <v>251</v>
      </c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/>
      <c r="AC446"/>
      <c r="AD446" s="32"/>
    </row>
    <row r="447" spans="3:30" s="2" customFormat="1" ht="15" customHeight="1">
      <c r="C447" s="157"/>
      <c r="D447" s="1"/>
      <c r="E447" s="124" t="s">
        <v>26</v>
      </c>
      <c r="F447" s="178" t="s">
        <v>311</v>
      </c>
      <c r="G447" s="62"/>
      <c r="H447" s="62" t="s">
        <v>340</v>
      </c>
      <c r="I447" s="176" t="str">
        <f>VLOOKUP(F447&amp;H447,'[1]MV+BI'!$E$8:$K$375,3,FALSE)</f>
        <v>Em Teste - Alteração EF</v>
      </c>
      <c r="J447" s="62"/>
      <c r="K447" s="62" t="str">
        <f>VLOOKUP(F447&amp;H447,'[1]MV+BI'!$E$8:$K$375,6,FALSE)</f>
        <v>CDO</v>
      </c>
      <c r="L447" s="62"/>
      <c r="M447" s="62" t="str">
        <f>VLOOKUP(F447&amp;H447,'[1]MV+BI'!$E$8:$K$375,5,FALSE)</f>
        <v>-</v>
      </c>
      <c r="N447" s="62"/>
      <c r="O447" s="172">
        <f>VLOOKUP(F447&amp;H447,'[1]MV+BI'!$E$8:$K$375,7,FALSE)</f>
        <v>45520</v>
      </c>
      <c r="P447" s="62"/>
      <c r="Q447" s="79" t="s">
        <v>251</v>
      </c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/>
      <c r="AC447"/>
      <c r="AD447" s="32"/>
    </row>
    <row r="448" spans="3:30" s="2" customFormat="1" ht="15" customHeight="1">
      <c r="C448" s="157"/>
      <c r="D448" s="1"/>
      <c r="E448" s="124" t="s">
        <v>26</v>
      </c>
      <c r="F448" s="178" t="s">
        <v>311</v>
      </c>
      <c r="G448" s="62"/>
      <c r="H448" s="62" t="s">
        <v>341</v>
      </c>
      <c r="I448" s="176" t="str">
        <f>VLOOKUP(F448&amp;H448,'[1]MV+BI'!$E$8:$K$375,3,FALSE)</f>
        <v>Em Teste - Alteração EF</v>
      </c>
      <c r="J448" s="62"/>
      <c r="K448" s="62" t="str">
        <f>VLOOKUP(F448&amp;H448,'[1]MV+BI'!$E$8:$K$375,6,FALSE)</f>
        <v>CDO</v>
      </c>
      <c r="L448" s="62"/>
      <c r="M448" s="62" t="str">
        <f>VLOOKUP(F448&amp;H448,'[1]MV+BI'!$E$8:$K$375,5,FALSE)</f>
        <v>-</v>
      </c>
      <c r="N448" s="62"/>
      <c r="O448" s="172">
        <f>VLOOKUP(F448&amp;H448,'[1]MV+BI'!$E$8:$K$375,7,FALSE)</f>
        <v>45520</v>
      </c>
      <c r="P448" s="62"/>
      <c r="Q448" s="79" t="s">
        <v>251</v>
      </c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/>
      <c r="AC448"/>
      <c r="AD448" s="32"/>
    </row>
    <row r="449" spans="3:30" s="2" customFormat="1" ht="15" customHeight="1">
      <c r="C449" s="157"/>
      <c r="D449" s="1"/>
      <c r="E449" s="124" t="s">
        <v>26</v>
      </c>
      <c r="F449" s="178" t="s">
        <v>311</v>
      </c>
      <c r="G449" s="62"/>
      <c r="H449" s="62" t="s">
        <v>342</v>
      </c>
      <c r="I449" s="176" t="str">
        <f>VLOOKUP(F449&amp;H449,'[1]MV+BI'!$E$8:$K$375,3,FALSE)</f>
        <v>Em Teste - Alteração EF</v>
      </c>
      <c r="J449" s="62"/>
      <c r="K449" s="62" t="str">
        <f>VLOOKUP(F449&amp;H449,'[1]MV+BI'!$E$8:$K$375,6,FALSE)</f>
        <v>CDO</v>
      </c>
      <c r="L449" s="62"/>
      <c r="M449" s="62" t="str">
        <f>VLOOKUP(F449&amp;H449,'[1]MV+BI'!$E$8:$K$375,5,FALSE)</f>
        <v>-</v>
      </c>
      <c r="N449" s="62"/>
      <c r="O449" s="172">
        <f>VLOOKUP(F449&amp;H449,'[1]MV+BI'!$E$8:$K$375,7,FALSE)</f>
        <v>45520</v>
      </c>
      <c r="P449" s="62"/>
      <c r="Q449" s="79" t="s">
        <v>251</v>
      </c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/>
      <c r="AC449"/>
      <c r="AD449" s="32"/>
    </row>
    <row r="450" spans="3:30" s="2" customFormat="1" ht="15" customHeight="1">
      <c r="C450" s="157"/>
      <c r="D450" s="1"/>
      <c r="E450" s="124" t="s">
        <v>26</v>
      </c>
      <c r="F450" s="178" t="s">
        <v>311</v>
      </c>
      <c r="G450" s="62"/>
      <c r="H450" s="62" t="s">
        <v>343</v>
      </c>
      <c r="I450" s="176" t="str">
        <f>VLOOKUP(F450&amp;H450,'[1]MV+BI'!$E$8:$K$375,3,FALSE)</f>
        <v>Em Teste - Alteração EF</v>
      </c>
      <c r="J450" s="62"/>
      <c r="K450" s="62" t="str">
        <f>VLOOKUP(F450&amp;H450,'[1]MV+BI'!$E$8:$K$375,6,FALSE)</f>
        <v>CDO</v>
      </c>
      <c r="L450" s="62"/>
      <c r="M450" s="62" t="str">
        <f>VLOOKUP(F450&amp;H450,'[1]MV+BI'!$E$8:$K$375,5,FALSE)</f>
        <v>-</v>
      </c>
      <c r="N450" s="62"/>
      <c r="O450" s="172">
        <f>VLOOKUP(F450&amp;H450,'[1]MV+BI'!$E$8:$K$375,7,FALSE)</f>
        <v>45520</v>
      </c>
      <c r="P450" s="62"/>
      <c r="Q450" s="79" t="s">
        <v>251</v>
      </c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/>
      <c r="AC450"/>
      <c r="AD450" s="32"/>
    </row>
    <row r="451" spans="3:30" s="2" customFormat="1" ht="15" customHeight="1">
      <c r="C451" s="157"/>
      <c r="D451" s="1"/>
      <c r="E451" s="124" t="s">
        <v>26</v>
      </c>
      <c r="F451" s="178" t="s">
        <v>311</v>
      </c>
      <c r="G451" s="62"/>
      <c r="H451" s="62" t="s">
        <v>344</v>
      </c>
      <c r="I451" s="176" t="str">
        <f>VLOOKUP(F451&amp;H451,'[1]MV+BI'!$E$8:$K$375,3,FALSE)</f>
        <v>Em Teste - Alteração EF</v>
      </c>
      <c r="J451" s="62"/>
      <c r="K451" s="62" t="str">
        <f>VLOOKUP(F451&amp;H451,'[1]MV+BI'!$E$8:$K$375,6,FALSE)</f>
        <v>CDO</v>
      </c>
      <c r="L451" s="62"/>
      <c r="M451" s="62" t="str">
        <f>VLOOKUP(F451&amp;H451,'[1]MV+BI'!$E$8:$K$375,5,FALSE)</f>
        <v>-</v>
      </c>
      <c r="N451" s="62"/>
      <c r="O451" s="172">
        <f>VLOOKUP(F451&amp;H451,'[1]MV+BI'!$E$8:$K$375,7,FALSE)</f>
        <v>45520</v>
      </c>
      <c r="P451" s="62"/>
      <c r="Q451" s="79" t="s">
        <v>251</v>
      </c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/>
      <c r="AC451"/>
      <c r="AD451" s="32"/>
    </row>
    <row r="452" spans="3:30" s="2" customFormat="1" ht="15" customHeight="1">
      <c r="C452" s="157"/>
      <c r="D452" s="1"/>
      <c r="E452" s="124" t="s">
        <v>26</v>
      </c>
      <c r="F452" s="178" t="s">
        <v>311</v>
      </c>
      <c r="G452" s="62"/>
      <c r="H452" s="62" t="s">
        <v>345</v>
      </c>
      <c r="I452" s="176" t="str">
        <f>VLOOKUP(F452&amp;H452,'[1]MV+BI'!$E$8:$K$375,3,FALSE)</f>
        <v>Em Teste - Alteração EF</v>
      </c>
      <c r="J452" s="62"/>
      <c r="K452" s="62" t="str">
        <f>VLOOKUP(F452&amp;H452,'[1]MV+BI'!$E$8:$K$375,6,FALSE)</f>
        <v>CDO</v>
      </c>
      <c r="L452" s="62"/>
      <c r="M452" s="62" t="str">
        <f>VLOOKUP(F452&amp;H452,'[1]MV+BI'!$E$8:$K$375,5,FALSE)</f>
        <v>-</v>
      </c>
      <c r="N452" s="62"/>
      <c r="O452" s="172">
        <f>VLOOKUP(F452&amp;H452,'[1]MV+BI'!$E$8:$K$375,7,FALSE)</f>
        <v>45520</v>
      </c>
      <c r="P452" s="62"/>
      <c r="Q452" s="79" t="s">
        <v>251</v>
      </c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/>
      <c r="AC452"/>
      <c r="AD452" s="32"/>
    </row>
    <row r="453" spans="3:30" s="2" customFormat="1" ht="15" customHeight="1">
      <c r="C453" s="157"/>
      <c r="D453" s="1"/>
      <c r="E453" s="124" t="s">
        <v>26</v>
      </c>
      <c r="F453" s="178" t="s">
        <v>311</v>
      </c>
      <c r="G453" s="62"/>
      <c r="H453" s="62" t="s">
        <v>346</v>
      </c>
      <c r="I453" s="176" t="str">
        <f>VLOOKUP(F453&amp;H453,'[1]MV+BI'!$E$8:$K$375,3,FALSE)</f>
        <v>Em Teste - Alteração EF</v>
      </c>
      <c r="J453" s="62"/>
      <c r="K453" s="62" t="str">
        <f>VLOOKUP(F453&amp;H453,'[1]MV+BI'!$E$8:$K$375,6,FALSE)</f>
        <v>CDO</v>
      </c>
      <c r="L453" s="62"/>
      <c r="M453" s="62" t="str">
        <f>VLOOKUP(F453&amp;H453,'[1]MV+BI'!$E$8:$K$375,5,FALSE)</f>
        <v>-</v>
      </c>
      <c r="N453" s="62"/>
      <c r="O453" s="172">
        <f>VLOOKUP(F453&amp;H453,'[1]MV+BI'!$E$8:$K$375,7,FALSE)</f>
        <v>45520</v>
      </c>
      <c r="P453" s="62"/>
      <c r="Q453" s="79" t="s">
        <v>251</v>
      </c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/>
      <c r="AC453"/>
      <c r="AD453" s="32"/>
    </row>
    <row r="454" spans="3:30" s="2" customFormat="1" ht="15" customHeight="1">
      <c r="C454" s="157"/>
      <c r="D454" s="1"/>
      <c r="E454" s="124" t="s">
        <v>26</v>
      </c>
      <c r="F454" s="178" t="s">
        <v>311</v>
      </c>
      <c r="G454" s="62"/>
      <c r="H454" s="62" t="s">
        <v>347</v>
      </c>
      <c r="I454" s="176" t="str">
        <f>VLOOKUP(F454&amp;H454,'[1]MV+BI'!$E$8:$K$375,3,FALSE)</f>
        <v>Em Teste - Alteração EF</v>
      </c>
      <c r="J454" s="62"/>
      <c r="K454" s="62" t="str">
        <f>VLOOKUP(F454&amp;H454,'[1]MV+BI'!$E$8:$K$375,6,FALSE)</f>
        <v>CDO</v>
      </c>
      <c r="L454" s="62"/>
      <c r="M454" s="62" t="str">
        <f>VLOOKUP(F454&amp;H454,'[1]MV+BI'!$E$8:$K$375,5,FALSE)</f>
        <v>-</v>
      </c>
      <c r="N454" s="62"/>
      <c r="O454" s="172">
        <f>VLOOKUP(F454&amp;H454,'[1]MV+BI'!$E$8:$K$375,7,FALSE)</f>
        <v>45520</v>
      </c>
      <c r="P454" s="62"/>
      <c r="Q454" s="79" t="s">
        <v>251</v>
      </c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/>
      <c r="AC454"/>
      <c r="AD454" s="32"/>
    </row>
    <row r="455" spans="3:30" s="2" customFormat="1" ht="15" customHeight="1">
      <c r="C455" s="157"/>
      <c r="D455" s="1"/>
      <c r="E455" s="124" t="s">
        <v>26</v>
      </c>
      <c r="F455" s="178" t="s">
        <v>311</v>
      </c>
      <c r="G455" s="62"/>
      <c r="H455" s="62" t="s">
        <v>348</v>
      </c>
      <c r="I455" s="176" t="str">
        <f>VLOOKUP(F455&amp;H455,'[1]MV+BI'!$E$8:$K$375,3,FALSE)</f>
        <v>Em Teste - Alteração EF</v>
      </c>
      <c r="J455" s="62"/>
      <c r="K455" s="62" t="str">
        <f>VLOOKUP(F455&amp;H455,'[1]MV+BI'!$E$8:$K$375,6,FALSE)</f>
        <v>CDO</v>
      </c>
      <c r="L455" s="62"/>
      <c r="M455" s="62" t="str">
        <f>VLOOKUP(F455&amp;H455,'[1]MV+BI'!$E$8:$K$375,5,FALSE)</f>
        <v>-</v>
      </c>
      <c r="N455" s="62"/>
      <c r="O455" s="172">
        <f>VLOOKUP(F455&amp;H455,'[1]MV+BI'!$E$8:$K$375,7,FALSE)</f>
        <v>45520</v>
      </c>
      <c r="P455" s="62"/>
      <c r="Q455" s="79" t="s">
        <v>251</v>
      </c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/>
      <c r="AC455"/>
      <c r="AD455" s="32"/>
    </row>
    <row r="456" spans="3:30" s="2" customFormat="1" ht="15" customHeight="1">
      <c r="C456" s="157"/>
      <c r="D456" s="1"/>
      <c r="E456" s="124" t="s">
        <v>26</v>
      </c>
      <c r="F456" s="178" t="s">
        <v>311</v>
      </c>
      <c r="G456" s="62"/>
      <c r="H456" s="62" t="s">
        <v>349</v>
      </c>
      <c r="I456" s="176" t="str">
        <f>VLOOKUP(F456&amp;H456,'[1]MV+BI'!$E$8:$K$375,3,FALSE)</f>
        <v>Em Teste - Alteração EF</v>
      </c>
      <c r="J456" s="62"/>
      <c r="K456" s="62" t="str">
        <f>VLOOKUP(F456&amp;H456,'[1]MV+BI'!$E$8:$K$375,6,FALSE)</f>
        <v>CDO</v>
      </c>
      <c r="L456" s="62"/>
      <c r="M456" s="62" t="str">
        <f>VLOOKUP(F456&amp;H456,'[1]MV+BI'!$E$8:$K$375,5,FALSE)</f>
        <v>-</v>
      </c>
      <c r="N456" s="62"/>
      <c r="O456" s="172">
        <f>VLOOKUP(F456&amp;H456,'[1]MV+BI'!$E$8:$K$375,7,FALSE)</f>
        <v>45520</v>
      </c>
      <c r="P456" s="62"/>
      <c r="Q456" s="79" t="s">
        <v>251</v>
      </c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/>
      <c r="AC456"/>
      <c r="AD456" s="32"/>
    </row>
    <row r="457" spans="3:30" s="2" customFormat="1" ht="15" customHeight="1">
      <c r="C457" s="157"/>
      <c r="D457" s="1"/>
      <c r="E457" s="124" t="s">
        <v>26</v>
      </c>
      <c r="F457" s="178" t="s">
        <v>311</v>
      </c>
      <c r="G457" s="62"/>
      <c r="H457" s="62" t="s">
        <v>350</v>
      </c>
      <c r="I457" s="176" t="str">
        <f>VLOOKUP(F457&amp;H457,'[1]MV+BI'!$E$8:$K$375,3,FALSE)</f>
        <v>Em Teste - Alteração EF</v>
      </c>
      <c r="J457" s="62"/>
      <c r="K457" s="62" t="str">
        <f>VLOOKUP(F457&amp;H457,'[1]MV+BI'!$E$8:$K$375,6,FALSE)</f>
        <v>CDO</v>
      </c>
      <c r="L457" s="62"/>
      <c r="M457" s="62" t="str">
        <f>VLOOKUP(F457&amp;H457,'[1]MV+BI'!$E$8:$K$375,5,FALSE)</f>
        <v>-</v>
      </c>
      <c r="N457" s="62"/>
      <c r="O457" s="172">
        <f>VLOOKUP(F457&amp;H457,'[1]MV+BI'!$E$8:$K$375,7,FALSE)</f>
        <v>45520</v>
      </c>
      <c r="P457" s="62"/>
      <c r="Q457" s="79" t="s">
        <v>251</v>
      </c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/>
      <c r="AC457"/>
      <c r="AD457" s="32"/>
    </row>
    <row r="458" spans="3:30" s="2" customFormat="1" ht="15" customHeight="1">
      <c r="C458" s="157"/>
      <c r="D458" s="1"/>
      <c r="E458" s="124" t="s">
        <v>26</v>
      </c>
      <c r="F458" s="178" t="s">
        <v>311</v>
      </c>
      <c r="G458" s="62"/>
      <c r="H458" s="62" t="s">
        <v>351</v>
      </c>
      <c r="I458" s="176" t="str">
        <f>VLOOKUP(F458&amp;H458,'[1]MV+BI'!$E$8:$K$375,3,FALSE)</f>
        <v>Em Teste - Alteração EF</v>
      </c>
      <c r="J458" s="62"/>
      <c r="K458" s="62" t="str">
        <f>VLOOKUP(F458&amp;H458,'[1]MV+BI'!$E$8:$K$375,6,FALSE)</f>
        <v>CDO</v>
      </c>
      <c r="L458" s="62"/>
      <c r="M458" s="62" t="str">
        <f>VLOOKUP(F458&amp;H458,'[1]MV+BI'!$E$8:$K$375,5,FALSE)</f>
        <v>-</v>
      </c>
      <c r="N458" s="62"/>
      <c r="O458" s="172">
        <f>VLOOKUP(F458&amp;H458,'[1]MV+BI'!$E$8:$K$375,7,FALSE)</f>
        <v>45520</v>
      </c>
      <c r="P458" s="62"/>
      <c r="Q458" s="79" t="s">
        <v>251</v>
      </c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/>
      <c r="AC458"/>
      <c r="AD458" s="32"/>
    </row>
    <row r="459" spans="3:30" s="2" customFormat="1" ht="15" customHeight="1">
      <c r="C459" s="157"/>
      <c r="D459" s="1"/>
      <c r="E459" s="124" t="s">
        <v>26</v>
      </c>
      <c r="F459" s="178" t="s">
        <v>311</v>
      </c>
      <c r="G459" s="62"/>
      <c r="H459" s="62" t="s">
        <v>352</v>
      </c>
      <c r="I459" s="176" t="str">
        <f>VLOOKUP(F459&amp;H459,'[1]MV+BI'!$E$8:$K$375,3,FALSE)</f>
        <v>Em Teste - Alteração EF</v>
      </c>
      <c r="J459" s="62"/>
      <c r="K459" s="62" t="str">
        <f>VLOOKUP(F459&amp;H459,'[1]MV+BI'!$E$8:$K$375,6,FALSE)</f>
        <v>CDO</v>
      </c>
      <c r="L459" s="62"/>
      <c r="M459" s="62" t="str">
        <f>VLOOKUP(F459&amp;H459,'[1]MV+BI'!$E$8:$K$375,5,FALSE)</f>
        <v>-</v>
      </c>
      <c r="N459" s="62"/>
      <c r="O459" s="172">
        <f>VLOOKUP(F459&amp;H459,'[1]MV+BI'!$E$8:$K$375,7,FALSE)</f>
        <v>45520</v>
      </c>
      <c r="P459" s="62"/>
      <c r="Q459" s="79" t="s">
        <v>251</v>
      </c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/>
      <c r="AC459"/>
      <c r="AD459" s="32"/>
    </row>
    <row r="460" spans="3:30" s="2" customFormat="1" ht="15" customHeight="1">
      <c r="C460" s="157"/>
      <c r="D460" s="1"/>
      <c r="E460" s="124" t="s">
        <v>26</v>
      </c>
      <c r="F460" s="178" t="s">
        <v>311</v>
      </c>
      <c r="G460" s="62"/>
      <c r="H460" s="62" t="s">
        <v>353</v>
      </c>
      <c r="I460" s="176" t="str">
        <f>VLOOKUP(F460&amp;H460,'[1]MV+BI'!$E$8:$K$375,3,FALSE)</f>
        <v>Em Teste - Alteração EF</v>
      </c>
      <c r="J460" s="62"/>
      <c r="K460" s="62" t="str">
        <f>VLOOKUP(F460&amp;H460,'[1]MV+BI'!$E$8:$K$375,6,FALSE)</f>
        <v>CDO</v>
      </c>
      <c r="L460" s="62"/>
      <c r="M460" s="62" t="str">
        <f>VLOOKUP(F460&amp;H460,'[1]MV+BI'!$E$8:$K$375,5,FALSE)</f>
        <v>-</v>
      </c>
      <c r="N460" s="62"/>
      <c r="O460" s="172">
        <f>VLOOKUP(F460&amp;H460,'[1]MV+BI'!$E$8:$K$375,7,FALSE)</f>
        <v>45520</v>
      </c>
      <c r="P460" s="62"/>
      <c r="Q460" s="79" t="s">
        <v>251</v>
      </c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/>
      <c r="AC460"/>
      <c r="AD460" s="32"/>
    </row>
    <row r="461" spans="3:30" s="2" customFormat="1" ht="15" customHeight="1">
      <c r="C461" s="157"/>
      <c r="D461" s="1"/>
      <c r="E461" s="124" t="s">
        <v>26</v>
      </c>
      <c r="F461" s="178" t="s">
        <v>311</v>
      </c>
      <c r="G461" s="62"/>
      <c r="H461" s="62" t="s">
        <v>354</v>
      </c>
      <c r="I461" s="176" t="str">
        <f>VLOOKUP(F461&amp;H461,'[1]MV+BI'!$E$8:$K$375,3,FALSE)</f>
        <v>Em Teste - Alteração EF</v>
      </c>
      <c r="J461" s="62"/>
      <c r="K461" s="62" t="str">
        <f>VLOOKUP(F461&amp;H461,'[1]MV+BI'!$E$8:$K$375,6,FALSE)</f>
        <v>CDO</v>
      </c>
      <c r="L461" s="62"/>
      <c r="M461" s="62" t="str">
        <f>VLOOKUP(F461&amp;H461,'[1]MV+BI'!$E$8:$K$375,5,FALSE)</f>
        <v>-</v>
      </c>
      <c r="N461" s="62"/>
      <c r="O461" s="172">
        <f>VLOOKUP(F461&amp;H461,'[1]MV+BI'!$E$8:$K$375,7,FALSE)</f>
        <v>45520</v>
      </c>
      <c r="P461" s="62"/>
      <c r="Q461" s="79" t="s">
        <v>251</v>
      </c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/>
      <c r="AC461"/>
      <c r="AD461" s="32"/>
    </row>
    <row r="462" spans="3:30" s="2" customFormat="1" ht="15" customHeight="1">
      <c r="C462" s="157"/>
      <c r="D462" s="1"/>
      <c r="E462" s="124" t="s">
        <v>26</v>
      </c>
      <c r="F462" s="178" t="s">
        <v>311</v>
      </c>
      <c r="G462" s="62"/>
      <c r="H462" s="62" t="s">
        <v>355</v>
      </c>
      <c r="I462" s="176" t="str">
        <f>VLOOKUP(F462&amp;H462,'[1]MV+BI'!$E$8:$K$375,3,FALSE)</f>
        <v>Em Teste - Alteração EF</v>
      </c>
      <c r="J462" s="62"/>
      <c r="K462" s="62" t="str">
        <f>VLOOKUP(F462&amp;H462,'[1]MV+BI'!$E$8:$K$375,6,FALSE)</f>
        <v>CDO</v>
      </c>
      <c r="L462" s="62"/>
      <c r="M462" s="62" t="str">
        <f>VLOOKUP(F462&amp;H462,'[1]MV+BI'!$E$8:$K$375,5,FALSE)</f>
        <v>-</v>
      </c>
      <c r="N462" s="62"/>
      <c r="O462" s="172">
        <f>VLOOKUP(F462&amp;H462,'[1]MV+BI'!$E$8:$K$375,7,FALSE)</f>
        <v>45520</v>
      </c>
      <c r="P462" s="62"/>
      <c r="Q462" s="79" t="s">
        <v>251</v>
      </c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/>
      <c r="AC462"/>
      <c r="AD462" s="32"/>
    </row>
    <row r="463" spans="3:30" s="2" customFormat="1" ht="15" customHeight="1">
      <c r="C463" s="157"/>
      <c r="D463" s="1"/>
      <c r="E463" s="124" t="s">
        <v>26</v>
      </c>
      <c r="F463" s="178" t="s">
        <v>311</v>
      </c>
      <c r="G463" s="62"/>
      <c r="H463" s="62" t="s">
        <v>356</v>
      </c>
      <c r="I463" s="176" t="str">
        <f>VLOOKUP(F463&amp;H463,'[1]MV+BI'!$E$8:$K$375,3,FALSE)</f>
        <v>Em Teste - Alteração EF</v>
      </c>
      <c r="J463" s="62"/>
      <c r="K463" s="62" t="str">
        <f>VLOOKUP(F463&amp;H463,'[1]MV+BI'!$E$8:$K$375,6,FALSE)</f>
        <v>CDO</v>
      </c>
      <c r="L463" s="62"/>
      <c r="M463" s="62" t="str">
        <f>VLOOKUP(F463&amp;H463,'[1]MV+BI'!$E$8:$K$375,5,FALSE)</f>
        <v>-</v>
      </c>
      <c r="N463" s="62"/>
      <c r="O463" s="172">
        <f>VLOOKUP(F463&amp;H463,'[1]MV+BI'!$E$8:$K$375,7,FALSE)</f>
        <v>45520</v>
      </c>
      <c r="P463" s="62"/>
      <c r="Q463" s="79" t="s">
        <v>251</v>
      </c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/>
      <c r="AC463"/>
      <c r="AD463" s="32"/>
    </row>
    <row r="464" spans="3:30" s="2" customFormat="1" ht="15" customHeight="1">
      <c r="C464" s="157"/>
      <c r="D464" s="1"/>
      <c r="E464" s="124" t="s">
        <v>26</v>
      </c>
      <c r="F464" s="178" t="s">
        <v>311</v>
      </c>
      <c r="G464" s="62"/>
      <c r="H464" s="62" t="s">
        <v>357</v>
      </c>
      <c r="I464" s="176" t="str">
        <f>VLOOKUP(F464&amp;H464,'[1]MV+BI'!$E$8:$K$375,3,FALSE)</f>
        <v>Em Teste - Alteração EF</v>
      </c>
      <c r="J464" s="62"/>
      <c r="K464" s="62" t="str">
        <f>VLOOKUP(F464&amp;H464,'[1]MV+BI'!$E$8:$K$375,6,FALSE)</f>
        <v>CDO</v>
      </c>
      <c r="L464" s="62"/>
      <c r="M464" s="62" t="str">
        <f>VLOOKUP(F464&amp;H464,'[1]MV+BI'!$E$8:$K$375,5,FALSE)</f>
        <v>-</v>
      </c>
      <c r="N464" s="62"/>
      <c r="O464" s="172">
        <f>VLOOKUP(F464&amp;H464,'[1]MV+BI'!$E$8:$K$375,7,FALSE)</f>
        <v>45520</v>
      </c>
      <c r="P464" s="62"/>
      <c r="Q464" s="79" t="s">
        <v>251</v>
      </c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/>
      <c r="AC464"/>
      <c r="AD464" s="32"/>
    </row>
    <row r="465" spans="3:30" s="2" customFormat="1" ht="15" customHeight="1">
      <c r="C465" s="157"/>
      <c r="D465" s="1"/>
      <c r="E465" s="124" t="s">
        <v>26</v>
      </c>
      <c r="F465" s="178" t="s">
        <v>311</v>
      </c>
      <c r="G465" s="62"/>
      <c r="H465" s="62" t="s">
        <v>358</v>
      </c>
      <c r="I465" s="176" t="str">
        <f>VLOOKUP(F465&amp;H465,'[1]MV+BI'!$E$8:$K$375,3,FALSE)</f>
        <v>Em Teste - Alteração EF</v>
      </c>
      <c r="J465" s="62"/>
      <c r="K465" s="62" t="str">
        <f>VLOOKUP(F465&amp;H465,'[1]MV+BI'!$E$8:$K$375,6,FALSE)</f>
        <v>CDO</v>
      </c>
      <c r="L465" s="62"/>
      <c r="M465" s="62" t="str">
        <f>VLOOKUP(F465&amp;H465,'[1]MV+BI'!$E$8:$K$375,5,FALSE)</f>
        <v>-</v>
      </c>
      <c r="N465" s="62"/>
      <c r="O465" s="172">
        <f>VLOOKUP(F465&amp;H465,'[1]MV+BI'!$E$8:$K$375,7,FALSE)</f>
        <v>45520</v>
      </c>
      <c r="P465" s="62"/>
      <c r="Q465" s="79" t="s">
        <v>251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/>
      <c r="AC465"/>
      <c r="AD465" s="32"/>
    </row>
    <row r="466" spans="3:30" s="2" customFormat="1" ht="15" customHeight="1">
      <c r="C466" s="157"/>
      <c r="D466" s="1"/>
      <c r="E466" s="124" t="s">
        <v>26</v>
      </c>
      <c r="F466" s="178" t="s">
        <v>311</v>
      </c>
      <c r="G466" s="62"/>
      <c r="H466" s="62" t="s">
        <v>359</v>
      </c>
      <c r="I466" s="176" t="str">
        <f>VLOOKUP(F466&amp;H466,'[1]MV+BI'!$E$8:$K$375,3,FALSE)</f>
        <v>Em Teste - Alteração EF</v>
      </c>
      <c r="J466" s="62"/>
      <c r="K466" s="62" t="str">
        <f>VLOOKUP(F466&amp;H466,'[1]MV+BI'!$E$8:$K$375,6,FALSE)</f>
        <v>CDO</v>
      </c>
      <c r="L466" s="62"/>
      <c r="M466" s="62" t="str">
        <f>VLOOKUP(F466&amp;H466,'[1]MV+BI'!$E$8:$K$375,5,FALSE)</f>
        <v>-</v>
      </c>
      <c r="N466" s="62"/>
      <c r="O466" s="172">
        <f>VLOOKUP(F466&amp;H466,'[1]MV+BI'!$E$8:$K$375,7,FALSE)</f>
        <v>45520</v>
      </c>
      <c r="P466" s="62"/>
      <c r="Q466" s="79" t="s">
        <v>251</v>
      </c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/>
      <c r="AC466"/>
      <c r="AD466" s="32"/>
    </row>
    <row r="467" spans="3:30" s="2" customFormat="1" ht="15" customHeight="1">
      <c r="C467" s="157"/>
      <c r="D467" s="1"/>
      <c r="E467" s="124" t="s">
        <v>26</v>
      </c>
      <c r="F467" s="178" t="s">
        <v>311</v>
      </c>
      <c r="G467" s="62"/>
      <c r="H467" s="62" t="s">
        <v>360</v>
      </c>
      <c r="I467" s="176" t="str">
        <f>VLOOKUP(F467&amp;H467,'[1]MV+BI'!$E$8:$K$375,3,FALSE)</f>
        <v>Em Teste - Alteração EF</v>
      </c>
      <c r="J467" s="62"/>
      <c r="K467" s="62" t="str">
        <f>VLOOKUP(F467&amp;H467,'[1]MV+BI'!$E$8:$K$375,6,FALSE)</f>
        <v>CDO</v>
      </c>
      <c r="L467" s="62"/>
      <c r="M467" s="62" t="str">
        <f>VLOOKUP(F467&amp;H467,'[1]MV+BI'!$E$8:$K$375,5,FALSE)</f>
        <v>-</v>
      </c>
      <c r="N467" s="62"/>
      <c r="O467" s="172">
        <f>VLOOKUP(F467&amp;H467,'[1]MV+BI'!$E$8:$K$375,7,FALSE)</f>
        <v>45520</v>
      </c>
      <c r="P467" s="62"/>
      <c r="Q467" s="79" t="s">
        <v>251</v>
      </c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/>
      <c r="AC467"/>
      <c r="AD467" s="32"/>
    </row>
    <row r="468" spans="3:30" s="2" customFormat="1" ht="15" customHeight="1">
      <c r="C468" s="157"/>
      <c r="D468" s="1"/>
      <c r="E468" s="124" t="s">
        <v>26</v>
      </c>
      <c r="F468" s="178" t="s">
        <v>311</v>
      </c>
      <c r="G468" s="62"/>
      <c r="H468" s="62" t="s">
        <v>361</v>
      </c>
      <c r="I468" s="176" t="str">
        <f>VLOOKUP(F468&amp;H468,'[1]MV+BI'!$E$8:$K$375,3,FALSE)</f>
        <v>Em Teste - Alteração EF</v>
      </c>
      <c r="J468" s="62"/>
      <c r="K468" s="62" t="str">
        <f>VLOOKUP(F468&amp;H468,'[1]MV+BI'!$E$8:$K$375,6,FALSE)</f>
        <v>CDO</v>
      </c>
      <c r="L468" s="62"/>
      <c r="M468" s="62" t="str">
        <f>VLOOKUP(F468&amp;H468,'[1]MV+BI'!$E$8:$K$375,5,FALSE)</f>
        <v>-</v>
      </c>
      <c r="N468" s="62"/>
      <c r="O468" s="172">
        <f>VLOOKUP(F468&amp;H468,'[1]MV+BI'!$E$8:$K$375,7,FALSE)</f>
        <v>45520</v>
      </c>
      <c r="P468" s="62"/>
      <c r="Q468" s="79" t="s">
        <v>251</v>
      </c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/>
      <c r="AC468"/>
      <c r="AD468" s="32"/>
    </row>
    <row r="469" spans="3:30" s="2" customFormat="1" ht="15" customHeight="1">
      <c r="C469" s="157"/>
      <c r="D469" s="1"/>
      <c r="E469" s="124" t="s">
        <v>26</v>
      </c>
      <c r="F469" s="178" t="s">
        <v>311</v>
      </c>
      <c r="G469" s="62"/>
      <c r="H469" s="62" t="s">
        <v>362</v>
      </c>
      <c r="I469" s="176" t="str">
        <f>VLOOKUP(F469&amp;H469,'[1]MV+BI'!$E$8:$K$375,3,FALSE)</f>
        <v>Em Teste - Alteração EF</v>
      </c>
      <c r="J469" s="62"/>
      <c r="K469" s="62" t="str">
        <f>VLOOKUP(F469&amp;H469,'[1]MV+BI'!$E$8:$K$375,6,FALSE)</f>
        <v>CDO</v>
      </c>
      <c r="L469" s="62"/>
      <c r="M469" s="62" t="str">
        <f>VLOOKUP(F469&amp;H469,'[1]MV+BI'!$E$8:$K$375,5,FALSE)</f>
        <v>-</v>
      </c>
      <c r="N469" s="62"/>
      <c r="O469" s="172">
        <f>VLOOKUP(F469&amp;H469,'[1]MV+BI'!$E$8:$K$375,7,FALSE)</f>
        <v>45520</v>
      </c>
      <c r="P469" s="62"/>
      <c r="Q469" s="79" t="s">
        <v>251</v>
      </c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/>
      <c r="AC469"/>
      <c r="AD469" s="32"/>
    </row>
    <row r="470" spans="3:30" s="2" customFormat="1" ht="15" customHeight="1">
      <c r="C470" s="157"/>
      <c r="D470" s="1"/>
      <c r="E470" s="124" t="s">
        <v>26</v>
      </c>
      <c r="F470" s="178" t="s">
        <v>311</v>
      </c>
      <c r="G470" s="62"/>
      <c r="H470" s="62" t="s">
        <v>363</v>
      </c>
      <c r="I470" s="176" t="str">
        <f>VLOOKUP(F470&amp;H470,'[1]MV+BI'!$E$8:$K$375,3,FALSE)</f>
        <v>Em Teste - Alteração EF</v>
      </c>
      <c r="J470" s="62"/>
      <c r="K470" s="62" t="str">
        <f>VLOOKUP(F470&amp;H470,'[1]MV+BI'!$E$8:$K$375,6,FALSE)</f>
        <v>CDO</v>
      </c>
      <c r="L470" s="62"/>
      <c r="M470" s="62" t="str">
        <f>VLOOKUP(F470&amp;H470,'[1]MV+BI'!$E$8:$K$375,5,FALSE)</f>
        <v>-</v>
      </c>
      <c r="N470" s="62"/>
      <c r="O470" s="172">
        <f>VLOOKUP(F470&amp;H470,'[1]MV+BI'!$E$8:$K$375,7,FALSE)</f>
        <v>45520</v>
      </c>
      <c r="P470" s="62"/>
      <c r="Q470" s="79" t="s">
        <v>251</v>
      </c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/>
      <c r="AC470"/>
      <c r="AD470" s="32"/>
    </row>
    <row r="471" spans="3:30" s="2" customFormat="1" ht="15" customHeight="1">
      <c r="C471" s="157"/>
      <c r="D471" s="1"/>
      <c r="E471" s="124" t="s">
        <v>26</v>
      </c>
      <c r="F471" s="178" t="s">
        <v>311</v>
      </c>
      <c r="G471" s="62"/>
      <c r="H471" s="62" t="s">
        <v>364</v>
      </c>
      <c r="I471" s="176" t="str">
        <f>VLOOKUP(F471&amp;H471,'[1]MV+BI'!$E$8:$K$375,3,FALSE)</f>
        <v>Em Teste - Alteração EF</v>
      </c>
      <c r="J471" s="62"/>
      <c r="K471" s="62" t="str">
        <f>VLOOKUP(F471&amp;H471,'[1]MV+BI'!$E$8:$K$375,6,FALSE)</f>
        <v>CDO</v>
      </c>
      <c r="L471" s="62"/>
      <c r="M471" s="62" t="str">
        <f>VLOOKUP(F471&amp;H471,'[1]MV+BI'!$E$8:$K$375,5,FALSE)</f>
        <v>-</v>
      </c>
      <c r="N471" s="62"/>
      <c r="O471" s="172">
        <f>VLOOKUP(F471&amp;H471,'[1]MV+BI'!$E$8:$K$375,7,FALSE)</f>
        <v>45520</v>
      </c>
      <c r="P471" s="62"/>
      <c r="Q471" s="79" t="s">
        <v>251</v>
      </c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/>
      <c r="AC471"/>
      <c r="AD471" s="32"/>
    </row>
    <row r="472" spans="3:30" s="2" customFormat="1" ht="15" customHeight="1">
      <c r="C472" s="157"/>
      <c r="D472" s="1"/>
      <c r="E472" s="124" t="s">
        <v>26</v>
      </c>
      <c r="F472" s="178" t="s">
        <v>311</v>
      </c>
      <c r="G472" s="62"/>
      <c r="H472" s="62" t="s">
        <v>365</v>
      </c>
      <c r="I472" s="176" t="str">
        <f>VLOOKUP(F472&amp;H472,'[1]MV+BI'!$E$8:$K$375,3,FALSE)</f>
        <v>Em Teste - Alteração EF</v>
      </c>
      <c r="J472" s="62"/>
      <c r="K472" s="62" t="str">
        <f>VLOOKUP(F472&amp;H472,'[1]MV+BI'!$E$8:$K$375,6,FALSE)</f>
        <v>CDO</v>
      </c>
      <c r="L472" s="62"/>
      <c r="M472" s="62" t="str">
        <f>VLOOKUP(F472&amp;H472,'[1]MV+BI'!$E$8:$K$375,5,FALSE)</f>
        <v>-</v>
      </c>
      <c r="N472" s="62"/>
      <c r="O472" s="172">
        <f>VLOOKUP(F472&amp;H472,'[1]MV+BI'!$E$8:$K$375,7,FALSE)</f>
        <v>45520</v>
      </c>
      <c r="P472" s="62"/>
      <c r="Q472" s="79" t="s">
        <v>251</v>
      </c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/>
      <c r="AC472"/>
      <c r="AD472" s="32"/>
    </row>
    <row r="473" spans="3:30" s="2" customFormat="1" ht="15" customHeight="1">
      <c r="C473" s="157"/>
      <c r="D473" s="1"/>
      <c r="E473" s="124" t="s">
        <v>26</v>
      </c>
      <c r="F473" s="178" t="s">
        <v>311</v>
      </c>
      <c r="G473" s="62"/>
      <c r="H473" s="62" t="s">
        <v>366</v>
      </c>
      <c r="I473" s="176" t="str">
        <f>VLOOKUP(F473&amp;H473,'[1]MV+BI'!$E$8:$K$375,3,FALSE)</f>
        <v>Em Teste - Alteração EF</v>
      </c>
      <c r="J473" s="62"/>
      <c r="K473" s="62" t="str">
        <f>VLOOKUP(F473&amp;H473,'[1]MV+BI'!$E$8:$K$375,6,FALSE)</f>
        <v>CDO</v>
      </c>
      <c r="L473" s="62"/>
      <c r="M473" s="62" t="str">
        <f>VLOOKUP(F473&amp;H473,'[1]MV+BI'!$E$8:$K$375,5,FALSE)</f>
        <v>-</v>
      </c>
      <c r="N473" s="62"/>
      <c r="O473" s="172">
        <f>VLOOKUP(F473&amp;H473,'[1]MV+BI'!$E$8:$K$375,7,FALSE)</f>
        <v>45520</v>
      </c>
      <c r="P473" s="62"/>
      <c r="Q473" s="79" t="s">
        <v>251</v>
      </c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/>
      <c r="AC473"/>
      <c r="AD473" s="32"/>
    </row>
    <row r="474" spans="3:30" s="2" customFormat="1" ht="15" customHeight="1">
      <c r="C474" s="157"/>
      <c r="D474" s="1"/>
      <c r="E474" s="124" t="s">
        <v>26</v>
      </c>
      <c r="F474" s="178" t="s">
        <v>311</v>
      </c>
      <c r="G474" s="62"/>
      <c r="H474" s="62" t="s">
        <v>6</v>
      </c>
      <c r="I474" s="176" t="str">
        <f>VLOOKUP(F474&amp;H474,'[1]MV+BI'!$E$8:$K$375,3,FALSE)</f>
        <v>Em Teste - Alteração EF</v>
      </c>
      <c r="J474" s="62"/>
      <c r="K474" s="62" t="str">
        <f>VLOOKUP(F474&amp;H474,'[1]MV+BI'!$E$8:$K$375,6,FALSE)</f>
        <v>CDO</v>
      </c>
      <c r="L474" s="62"/>
      <c r="M474" s="62" t="str">
        <f>VLOOKUP(F474&amp;H474,'[1]MV+BI'!$E$8:$K$375,5,FALSE)</f>
        <v>-</v>
      </c>
      <c r="N474" s="62"/>
      <c r="O474" s="172">
        <f>VLOOKUP(F474&amp;H474,'[1]MV+BI'!$E$8:$K$375,7,FALSE)</f>
        <v>45520</v>
      </c>
      <c r="P474" s="62"/>
      <c r="Q474" s="79" t="s">
        <v>251</v>
      </c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/>
      <c r="AC474"/>
      <c r="AD474" s="32"/>
    </row>
    <row r="475" spans="3:30" s="2" customFormat="1" ht="15" customHeight="1">
      <c r="C475" s="157"/>
      <c r="D475" s="1"/>
      <c r="E475" s="124" t="s">
        <v>26</v>
      </c>
      <c r="F475" s="178" t="s">
        <v>311</v>
      </c>
      <c r="G475" s="62"/>
      <c r="H475" s="62" t="s">
        <v>249</v>
      </c>
      <c r="I475" s="176" t="str">
        <f>VLOOKUP(F475&amp;H475,'[1]MV+BI'!$E$8:$K$375,3,FALSE)</f>
        <v>Em Teste - Alteração EF</v>
      </c>
      <c r="J475" s="62"/>
      <c r="K475" s="62" t="str">
        <f>VLOOKUP(F475&amp;H475,'[1]MV+BI'!$E$8:$K$375,6,FALSE)</f>
        <v>CDO</v>
      </c>
      <c r="L475" s="62"/>
      <c r="M475" s="62" t="str">
        <f>VLOOKUP(F475&amp;H475,'[1]MV+BI'!$E$8:$K$375,5,FALSE)</f>
        <v>-</v>
      </c>
      <c r="N475" s="62"/>
      <c r="O475" s="172">
        <f>VLOOKUP(F475&amp;H475,'[1]MV+BI'!$E$8:$K$375,7,FALSE)</f>
        <v>45520</v>
      </c>
      <c r="P475" s="62"/>
      <c r="Q475" s="79" t="s">
        <v>251</v>
      </c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/>
      <c r="AC475"/>
      <c r="AD475" s="32"/>
    </row>
    <row r="476" spans="3:30" s="2" customFormat="1" ht="15" customHeight="1">
      <c r="C476" s="157"/>
      <c r="D476" s="104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0"/>
      <c r="AB476" s="104"/>
      <c r="AC476" s="104"/>
      <c r="AD476" s="106"/>
    </row>
    <row r="477" spans="3:30" s="2" customFormat="1" ht="34.799999999999997" hidden="1" customHeight="1">
      <c r="E477" s="178" t="s">
        <v>311</v>
      </c>
      <c r="F477" s="180" t="s">
        <v>350</v>
      </c>
      <c r="G477" s="169"/>
      <c r="H477" s="181" t="str">
        <f>VLOOKUP(E477&amp;F477,'[1]MV+BI'!$E$8:$K$375,3,FALSE)</f>
        <v>Em Teste - Alteração EF</v>
      </c>
      <c r="I477" s="182" t="str">
        <f>VLOOKUP(E477&amp;F477,'[1]MV+BI'!$E$8:$K$375,4,FALSE)</f>
        <v>-</v>
      </c>
      <c r="J477" s="93"/>
      <c r="K477" s="172">
        <f>VLOOKUP(E477&amp;F477,'[1]MV+BI'!$E$8:$K$375,7,FALSE)</f>
        <v>45520</v>
      </c>
      <c r="Q477" s="12"/>
      <c r="R477" s="12"/>
      <c r="S477" s="12"/>
      <c r="T477" s="12"/>
      <c r="U477" s="12"/>
      <c r="V477" s="12"/>
      <c r="W477" s="1"/>
      <c r="X477"/>
      <c r="Y477"/>
      <c r="Z477"/>
      <c r="AA477"/>
      <c r="AB477"/>
      <c r="AC477"/>
      <c r="AD477" s="32"/>
    </row>
    <row r="478" spans="3:30" s="2" customFormat="1" ht="34.799999999999997" hidden="1" customHeight="1">
      <c r="E478" s="178" t="s">
        <v>311</v>
      </c>
      <c r="F478" s="180" t="s">
        <v>351</v>
      </c>
      <c r="G478" s="169"/>
      <c r="H478" s="181" t="str">
        <f>VLOOKUP(E478&amp;F478,'[1]MV+BI'!$E$8:$K$375,3,FALSE)</f>
        <v>Em Teste - Alteração EF</v>
      </c>
      <c r="I478" s="182" t="str">
        <f>VLOOKUP(E478&amp;F478,'[1]MV+BI'!$E$8:$K$375,4,FALSE)</f>
        <v>-</v>
      </c>
      <c r="J478" s="93"/>
      <c r="K478" s="172">
        <f>VLOOKUP(E478&amp;F478,'[1]MV+BI'!$E$8:$K$375,7,FALSE)</f>
        <v>45520</v>
      </c>
      <c r="Q478" s="12"/>
      <c r="R478" s="12"/>
      <c r="S478" s="12"/>
      <c r="T478" s="12"/>
      <c r="U478" s="12"/>
      <c r="V478" s="12"/>
      <c r="W478" s="1"/>
      <c r="X478"/>
      <c r="Y478"/>
      <c r="Z478"/>
      <c r="AA478"/>
      <c r="AB478"/>
      <c r="AC478"/>
      <c r="AD478" s="32"/>
    </row>
    <row r="479" spans="3:30" s="2" customFormat="1" ht="34.799999999999997" hidden="1" customHeight="1">
      <c r="E479" s="178" t="s">
        <v>311</v>
      </c>
      <c r="F479" s="180" t="s">
        <v>352</v>
      </c>
      <c r="G479" s="169"/>
      <c r="H479" s="181" t="str">
        <f>VLOOKUP(E479&amp;F479,'[1]MV+BI'!$E$8:$K$375,3,FALSE)</f>
        <v>Em Teste - Alteração EF</v>
      </c>
      <c r="I479" s="182" t="str">
        <f>VLOOKUP(E479&amp;F479,'[1]MV+BI'!$E$8:$K$375,4,FALSE)</f>
        <v>-</v>
      </c>
      <c r="J479" s="93"/>
      <c r="K479" s="172">
        <f>VLOOKUP(E479&amp;F479,'[1]MV+BI'!$E$8:$K$375,7,FALSE)</f>
        <v>45520</v>
      </c>
      <c r="Q479" s="12"/>
      <c r="R479" s="12"/>
      <c r="S479" s="12"/>
      <c r="T479" s="12"/>
      <c r="U479" s="12"/>
      <c r="V479" s="12"/>
      <c r="W479" s="1"/>
      <c r="X479"/>
      <c r="Y479"/>
      <c r="Z479"/>
      <c r="AA479"/>
      <c r="AB479"/>
      <c r="AC479"/>
      <c r="AD479" s="32"/>
    </row>
    <row r="480" spans="3:30" s="2" customFormat="1" ht="34.799999999999997" hidden="1" customHeight="1">
      <c r="E480" s="178" t="s">
        <v>311</v>
      </c>
      <c r="F480" s="180" t="s">
        <v>353</v>
      </c>
      <c r="G480" s="169"/>
      <c r="H480" s="181" t="str">
        <f>VLOOKUP(E480&amp;F480,'[1]MV+BI'!$E$8:$K$375,3,FALSE)</f>
        <v>Em Teste - Alteração EF</v>
      </c>
      <c r="I480" s="182" t="str">
        <f>VLOOKUP(E480&amp;F480,'[1]MV+BI'!$E$8:$K$375,4,FALSE)</f>
        <v>-</v>
      </c>
      <c r="J480" s="93"/>
      <c r="K480" s="172">
        <f>VLOOKUP(E480&amp;F480,'[1]MV+BI'!$E$8:$K$375,7,FALSE)</f>
        <v>45520</v>
      </c>
      <c r="Q480" s="12"/>
      <c r="R480" s="12"/>
      <c r="S480" s="12"/>
      <c r="T480" s="12"/>
      <c r="U480" s="12"/>
      <c r="V480" s="12"/>
      <c r="W480" s="1"/>
      <c r="X480"/>
      <c r="Y480"/>
      <c r="Z480"/>
      <c r="AA480"/>
      <c r="AB480"/>
      <c r="AC480"/>
      <c r="AD480" s="32"/>
    </row>
    <row r="481" spans="1:33" s="2" customFormat="1" ht="34.799999999999997" hidden="1" customHeight="1">
      <c r="C481" s="183"/>
      <c r="D481" s="156"/>
      <c r="E481" s="178" t="s">
        <v>311</v>
      </c>
      <c r="F481" s="180" t="s">
        <v>354</v>
      </c>
      <c r="G481" s="169"/>
      <c r="H481" s="181" t="str">
        <f>VLOOKUP(E481&amp;F481,'[1]MV+BI'!$E$8:$K$375,3,FALSE)</f>
        <v>Em Teste - Alteração EF</v>
      </c>
      <c r="I481" s="182" t="str">
        <f>VLOOKUP(E481&amp;F481,'[1]MV+BI'!$E$8:$K$375,4,FALSE)</f>
        <v>-</v>
      </c>
      <c r="J481" s="93"/>
      <c r="K481" s="172">
        <f>VLOOKUP(E481&amp;F481,'[1]MV+BI'!$E$8:$K$375,7,FALSE)</f>
        <v>45520</v>
      </c>
      <c r="L481" s="156"/>
      <c r="M481" s="184"/>
      <c r="O481" s="183"/>
      <c r="P481" s="156"/>
      <c r="Q481" s="1"/>
      <c r="R481" s="1"/>
      <c r="S481" s="1"/>
      <c r="T481" s="1"/>
      <c r="U481" s="1"/>
      <c r="V481" s="1"/>
      <c r="W481" s="1"/>
      <c r="X481"/>
      <c r="Y481"/>
      <c r="Z481"/>
      <c r="AA481"/>
      <c r="AB481"/>
      <c r="AC481"/>
      <c r="AD481" s="32"/>
    </row>
    <row r="482" spans="1:33" s="2" customFormat="1" ht="34.799999999999997" hidden="1" customHeight="1">
      <c r="C482" s="185"/>
      <c r="D482"/>
      <c r="E482" s="178" t="s">
        <v>311</v>
      </c>
      <c r="F482" s="180" t="s">
        <v>355</v>
      </c>
      <c r="G482" s="169"/>
      <c r="H482" s="181" t="str">
        <f>VLOOKUP(E482&amp;F482,'[1]MV+BI'!$E$8:$K$375,3,FALSE)</f>
        <v>Em Teste - Alteração EF</v>
      </c>
      <c r="I482" s="182" t="str">
        <f>VLOOKUP(E482&amp;F482,'[1]MV+BI'!$E$8:$K$375,4,FALSE)</f>
        <v>-</v>
      </c>
      <c r="J482" s="93"/>
      <c r="K482" s="172">
        <f>VLOOKUP(E482&amp;F482,'[1]MV+BI'!$E$8:$K$375,7,FALSE)</f>
        <v>45520</v>
      </c>
      <c r="L482"/>
      <c r="M482" s="186"/>
      <c r="O482" s="185"/>
      <c r="P482"/>
      <c r="Q482" s="1"/>
      <c r="R482" s="1"/>
      <c r="S482" s="1"/>
      <c r="T482" s="1"/>
      <c r="U482" s="1"/>
      <c r="V482" s="1"/>
      <c r="W482" s="1"/>
      <c r="X482"/>
      <c r="Y482"/>
      <c r="Z482"/>
      <c r="AA482"/>
      <c r="AB482"/>
      <c r="AC482"/>
      <c r="AD482" s="32"/>
    </row>
    <row r="483" spans="1:33" s="2" customFormat="1" ht="34.799999999999997" hidden="1" customHeight="1">
      <c r="C483" s="185"/>
      <c r="D483"/>
      <c r="E483" s="178" t="s">
        <v>311</v>
      </c>
      <c r="F483" s="180" t="s">
        <v>356</v>
      </c>
      <c r="G483" s="169"/>
      <c r="H483" s="181" t="str">
        <f>VLOOKUP(E483&amp;F483,'[1]MV+BI'!$E$8:$K$375,3,FALSE)</f>
        <v>Em Teste - Alteração EF</v>
      </c>
      <c r="I483" s="182" t="str">
        <f>VLOOKUP(E483&amp;F483,'[1]MV+BI'!$E$8:$K$375,4,FALSE)</f>
        <v>-</v>
      </c>
      <c r="J483" s="93"/>
      <c r="K483" s="172">
        <f>VLOOKUP(E483&amp;F483,'[1]MV+BI'!$E$8:$K$375,7,FALSE)</f>
        <v>45520</v>
      </c>
      <c r="L483"/>
      <c r="M483" s="186"/>
      <c r="O483" s="185"/>
      <c r="P483"/>
      <c r="Q483" s="187"/>
      <c r="R483" s="187"/>
      <c r="S483" s="1"/>
      <c r="T483" s="1"/>
      <c r="U483" s="1"/>
      <c r="V483" s="1"/>
      <c r="W483" s="1"/>
      <c r="X483"/>
      <c r="Y483"/>
      <c r="Z483"/>
      <c r="AA483"/>
      <c r="AB483"/>
      <c r="AC483"/>
      <c r="AD483" s="32"/>
    </row>
    <row r="484" spans="1:33" s="2" customFormat="1" ht="34.799999999999997" hidden="1" customHeight="1">
      <c r="C484" s="185"/>
      <c r="D484" s="188" t="s">
        <v>367</v>
      </c>
      <c r="E484" s="178" t="s">
        <v>311</v>
      </c>
      <c r="F484" s="180" t="s">
        <v>357</v>
      </c>
      <c r="G484" s="169"/>
      <c r="H484" s="181" t="str">
        <f>VLOOKUP(E484&amp;F484,'[1]MV+BI'!$E$8:$K$375,3,FALSE)</f>
        <v>Em Teste - Alteração EF</v>
      </c>
      <c r="I484" s="182" t="str">
        <f>VLOOKUP(E484&amp;F484,'[1]MV+BI'!$E$8:$K$375,4,FALSE)</f>
        <v>-</v>
      </c>
      <c r="J484" s="93"/>
      <c r="K484" s="172">
        <f>VLOOKUP(E484&amp;F484,'[1]MV+BI'!$E$8:$K$375,7,FALSE)</f>
        <v>45520</v>
      </c>
      <c r="L484" s="189" t="s">
        <v>368</v>
      </c>
      <c r="M484" s="186"/>
      <c r="O484" s="185"/>
      <c r="P484" s="188" t="s">
        <v>367</v>
      </c>
      <c r="Q484" s="190" t="s">
        <v>369</v>
      </c>
      <c r="R484" s="190" t="s">
        <v>370</v>
      </c>
      <c r="S484" s="190" t="s">
        <v>371</v>
      </c>
      <c r="T484" s="191" t="s">
        <v>372</v>
      </c>
      <c r="U484" s="191" t="s">
        <v>368</v>
      </c>
      <c r="V484" s="1"/>
      <c r="W484" s="1"/>
      <c r="X484"/>
      <c r="Y484"/>
      <c r="Z484"/>
      <c r="AA484"/>
      <c r="AB484"/>
      <c r="AC484"/>
      <c r="AD484" s="32"/>
    </row>
    <row r="485" spans="1:33" s="2" customFormat="1" ht="34.799999999999997" hidden="1" customHeight="1">
      <c r="C485" s="185"/>
      <c r="D485" s="192" t="s">
        <v>373</v>
      </c>
      <c r="E485" s="178" t="s">
        <v>311</v>
      </c>
      <c r="F485" s="180" t="s">
        <v>358</v>
      </c>
      <c r="G485" s="169"/>
      <c r="H485" s="181" t="str">
        <f>VLOOKUP(E485&amp;F485,'[1]MV+BI'!$E$8:$K$375,3,FALSE)</f>
        <v>Em Teste - Alteração EF</v>
      </c>
      <c r="I485" s="182" t="str">
        <f>VLOOKUP(E485&amp;F485,'[1]MV+BI'!$E$8:$K$375,4,FALSE)</f>
        <v>-</v>
      </c>
      <c r="J485" s="93"/>
      <c r="K485" s="172">
        <f>VLOOKUP(E485&amp;F485,'[1]MV+BI'!$E$8:$K$375,7,FALSE)</f>
        <v>45520</v>
      </c>
      <c r="L485" s="193">
        <v>0</v>
      </c>
      <c r="M485" s="186"/>
      <c r="O485" s="185"/>
      <c r="P485" s="192" t="s">
        <v>373</v>
      </c>
      <c r="Q485" s="194">
        <v>49</v>
      </c>
      <c r="R485" s="194">
        <v>11</v>
      </c>
      <c r="S485" s="194">
        <v>0</v>
      </c>
      <c r="T485" s="195">
        <v>0</v>
      </c>
      <c r="U485" s="196">
        <v>0</v>
      </c>
      <c r="V485" s="1"/>
      <c r="W485" s="1"/>
      <c r="X485"/>
      <c r="Y485"/>
      <c r="Z485"/>
      <c r="AA485"/>
      <c r="AB485"/>
      <c r="AC485"/>
      <c r="AD485" s="32"/>
    </row>
    <row r="486" spans="1:33" s="2" customFormat="1" ht="34.799999999999997" hidden="1" customHeight="1">
      <c r="C486" s="185"/>
      <c r="D486" s="192" t="s">
        <v>374</v>
      </c>
      <c r="E486" s="178" t="s">
        <v>311</v>
      </c>
      <c r="F486" s="180" t="s">
        <v>359</v>
      </c>
      <c r="G486" s="169"/>
      <c r="H486" s="181" t="str">
        <f>VLOOKUP(E486&amp;F486,'[1]MV+BI'!$E$8:$K$375,3,FALSE)</f>
        <v>Em Teste - Alteração EF</v>
      </c>
      <c r="I486" s="182" t="str">
        <f>VLOOKUP(E486&amp;F486,'[1]MV+BI'!$E$8:$K$375,4,FALSE)</f>
        <v>-</v>
      </c>
      <c r="J486" s="93"/>
      <c r="K486" s="172">
        <f>VLOOKUP(E486&amp;F486,'[1]MV+BI'!$E$8:$K$375,7,FALSE)</f>
        <v>45520</v>
      </c>
      <c r="L486" s="193">
        <v>1</v>
      </c>
      <c r="M486" s="186"/>
      <c r="O486" s="185"/>
      <c r="P486" s="192" t="s">
        <v>374</v>
      </c>
      <c r="Q486" s="194">
        <v>161873</v>
      </c>
      <c r="R486" s="194">
        <v>8528</v>
      </c>
      <c r="S486" s="194">
        <v>1</v>
      </c>
      <c r="T486" s="195">
        <v>0</v>
      </c>
      <c r="U486" s="196">
        <v>1</v>
      </c>
      <c r="V486" s="1"/>
      <c r="W486" s="1"/>
      <c r="X486"/>
      <c r="Y486"/>
      <c r="Z486"/>
      <c r="AA486"/>
      <c r="AB486"/>
      <c r="AC486"/>
      <c r="AD486" s="32"/>
    </row>
    <row r="487" spans="1:33" ht="34.799999999999997" hidden="1" customHeight="1">
      <c r="A487" s="2"/>
      <c r="B487" s="2"/>
      <c r="C487" s="185"/>
      <c r="D487" s="192" t="s">
        <v>375</v>
      </c>
      <c r="E487" s="178" t="s">
        <v>311</v>
      </c>
      <c r="F487" s="180" t="s">
        <v>360</v>
      </c>
      <c r="G487" s="169"/>
      <c r="H487" s="181" t="str">
        <f>VLOOKUP(E487&amp;F487,'[1]MV+BI'!$E$8:$K$375,3,FALSE)</f>
        <v>Em Teste - Alteração EF</v>
      </c>
      <c r="I487" s="182" t="str">
        <f>VLOOKUP(E487&amp;F487,'[1]MV+BI'!$E$8:$K$375,4,FALSE)</f>
        <v>-</v>
      </c>
      <c r="J487" s="93"/>
      <c r="K487" s="172">
        <f>VLOOKUP(E487&amp;F487,'[1]MV+BI'!$E$8:$K$375,7,FALSE)</f>
        <v>45520</v>
      </c>
      <c r="L487" s="193">
        <v>0</v>
      </c>
      <c r="M487" s="186"/>
      <c r="N487" s="2"/>
      <c r="O487" s="185"/>
      <c r="P487" s="192" t="s">
        <v>375</v>
      </c>
      <c r="Q487" s="194">
        <v>251605</v>
      </c>
      <c r="R487" s="194">
        <v>78</v>
      </c>
      <c r="S487" s="194">
        <v>2</v>
      </c>
      <c r="T487" s="195">
        <v>1</v>
      </c>
      <c r="U487" s="196">
        <v>1</v>
      </c>
      <c r="V487" s="1"/>
      <c r="W487" s="1"/>
      <c r="X487"/>
      <c r="Y487"/>
      <c r="Z487"/>
      <c r="AA487"/>
      <c r="AB487"/>
      <c r="AC487"/>
      <c r="AD487" s="32"/>
      <c r="AF487" s="2"/>
      <c r="AG487" s="2"/>
    </row>
    <row r="488" spans="1:33" ht="34.799999999999997" hidden="1" customHeight="1">
      <c r="A488" s="2"/>
      <c r="B488" s="2"/>
      <c r="C488" s="185"/>
      <c r="D488" s="192" t="s">
        <v>376</v>
      </c>
      <c r="E488" s="178" t="s">
        <v>311</v>
      </c>
      <c r="F488" s="180" t="s">
        <v>361</v>
      </c>
      <c r="G488" s="169"/>
      <c r="H488" s="181" t="str">
        <f>VLOOKUP(E488&amp;F488,'[1]MV+BI'!$E$8:$K$375,3,FALSE)</f>
        <v>Em Teste - Alteração EF</v>
      </c>
      <c r="I488" s="182" t="str">
        <f>VLOOKUP(E488&amp;F488,'[1]MV+BI'!$E$8:$K$375,4,FALSE)</f>
        <v>-</v>
      </c>
      <c r="J488" s="93"/>
      <c r="K488" s="172">
        <f>VLOOKUP(E488&amp;F488,'[1]MV+BI'!$E$8:$K$375,7,FALSE)</f>
        <v>45520</v>
      </c>
      <c r="L488" s="193">
        <v>1</v>
      </c>
      <c r="M488" s="186"/>
      <c r="N488" s="2"/>
      <c r="O488" s="185"/>
      <c r="P488" s="192" t="s">
        <v>376</v>
      </c>
      <c r="Q488" s="194">
        <v>130224</v>
      </c>
      <c r="R488" s="194">
        <v>59577</v>
      </c>
      <c r="S488" s="194">
        <v>1</v>
      </c>
      <c r="T488" s="195">
        <v>0</v>
      </c>
      <c r="U488" s="196">
        <v>1</v>
      </c>
      <c r="V488" s="1"/>
      <c r="W488" s="1"/>
      <c r="X488"/>
      <c r="Y488"/>
      <c r="Z488"/>
      <c r="AA488"/>
      <c r="AB488"/>
      <c r="AC488"/>
      <c r="AD488" s="32"/>
      <c r="AF488" s="2"/>
      <c r="AG488" s="2"/>
    </row>
    <row r="489" spans="1:33" ht="34.799999999999997" hidden="1" customHeight="1">
      <c r="A489" s="2"/>
      <c r="B489" s="2"/>
      <c r="C489" s="185"/>
      <c r="D489" s="192" t="s">
        <v>377</v>
      </c>
      <c r="E489" s="178" t="s">
        <v>311</v>
      </c>
      <c r="F489" s="180" t="s">
        <v>362</v>
      </c>
      <c r="G489" s="169"/>
      <c r="H489" s="181" t="str">
        <f>VLOOKUP(E489&amp;F489,'[1]MV+BI'!$E$8:$K$375,3,FALSE)</f>
        <v>Em Teste - Alteração EF</v>
      </c>
      <c r="I489" s="182" t="str">
        <f>VLOOKUP(E489&amp;F489,'[1]MV+BI'!$E$8:$K$375,4,FALSE)</f>
        <v>-</v>
      </c>
      <c r="J489" s="93"/>
      <c r="K489" s="172">
        <f>VLOOKUP(E489&amp;F489,'[1]MV+BI'!$E$8:$K$375,7,FALSE)</f>
        <v>45520</v>
      </c>
      <c r="L489" s="193">
        <f>13-5</f>
        <v>8</v>
      </c>
      <c r="M489" s="186"/>
      <c r="N489" s="2"/>
      <c r="O489" s="185"/>
      <c r="P489" s="192" t="s">
        <v>377</v>
      </c>
      <c r="Q489" s="194">
        <v>752210</v>
      </c>
      <c r="R489" s="194">
        <v>749866</v>
      </c>
      <c r="S489" s="194">
        <v>13</v>
      </c>
      <c r="T489" s="195">
        <v>5</v>
      </c>
      <c r="U489" s="196">
        <f>13-5</f>
        <v>8</v>
      </c>
      <c r="V489" s="1"/>
      <c r="W489" s="1"/>
      <c r="X489"/>
      <c r="Y489"/>
      <c r="Z489"/>
      <c r="AA489"/>
      <c r="AB489"/>
      <c r="AC489"/>
      <c r="AD489" s="32"/>
      <c r="AF489" s="2"/>
      <c r="AG489" s="2"/>
    </row>
    <row r="490" spans="1:33" ht="34.799999999999997" hidden="1" customHeight="1">
      <c r="A490" s="2"/>
      <c r="B490" s="2"/>
      <c r="C490" s="185"/>
      <c r="D490" s="192" t="s">
        <v>378</v>
      </c>
      <c r="E490" s="178" t="s">
        <v>311</v>
      </c>
      <c r="F490" s="180" t="s">
        <v>363</v>
      </c>
      <c r="G490" s="169"/>
      <c r="H490" s="181" t="str">
        <f>VLOOKUP(E490&amp;F490,'[1]MV+BI'!$E$8:$K$375,3,FALSE)</f>
        <v>Em Teste - Alteração EF</v>
      </c>
      <c r="I490" s="182" t="str">
        <f>VLOOKUP(E490&amp;F490,'[1]MV+BI'!$E$8:$K$375,4,FALSE)</f>
        <v>-</v>
      </c>
      <c r="J490" s="93"/>
      <c r="K490" s="172">
        <f>VLOOKUP(E490&amp;F490,'[1]MV+BI'!$E$8:$K$375,7,FALSE)</f>
        <v>45520</v>
      </c>
      <c r="L490" s="193">
        <v>41</v>
      </c>
      <c r="M490" s="186"/>
      <c r="N490" s="2"/>
      <c r="O490" s="185"/>
      <c r="P490" s="192" t="s">
        <v>378</v>
      </c>
      <c r="Q490" s="194">
        <v>12565003</v>
      </c>
      <c r="R490" s="194">
        <v>10470985</v>
      </c>
      <c r="S490" s="194">
        <v>44</v>
      </c>
      <c r="T490" s="195">
        <v>0</v>
      </c>
      <c r="U490" s="196">
        <v>44</v>
      </c>
      <c r="V490" s="1"/>
      <c r="W490" s="1"/>
      <c r="X490"/>
      <c r="Y490"/>
      <c r="Z490"/>
      <c r="AA490"/>
      <c r="AB490"/>
      <c r="AC490"/>
      <c r="AD490" s="32"/>
      <c r="AF490" s="2"/>
      <c r="AG490" s="2"/>
    </row>
    <row r="491" spans="1:33" ht="34.799999999999997" hidden="1" customHeight="1">
      <c r="A491" s="2"/>
      <c r="B491" s="2"/>
      <c r="C491" s="185"/>
      <c r="D491" s="197" t="s">
        <v>379</v>
      </c>
      <c r="E491" s="178" t="s">
        <v>311</v>
      </c>
      <c r="F491" s="180" t="s">
        <v>364</v>
      </c>
      <c r="G491" s="169"/>
      <c r="H491" s="181" t="str">
        <f>VLOOKUP(E491&amp;F491,'[1]MV+BI'!$E$8:$K$375,3,FALSE)</f>
        <v>Em Teste - Alteração EF</v>
      </c>
      <c r="I491" s="182" t="str">
        <f>VLOOKUP(E491&amp;F491,'[1]MV+BI'!$E$8:$K$375,4,FALSE)</f>
        <v>-</v>
      </c>
      <c r="J491" s="93"/>
      <c r="K491" s="172">
        <f>VLOOKUP(E491&amp;F491,'[1]MV+BI'!$E$8:$K$375,7,FALSE)</f>
        <v>45520</v>
      </c>
      <c r="L491" s="198">
        <v>0</v>
      </c>
      <c r="M491" s="186"/>
      <c r="N491" s="2"/>
      <c r="O491" s="185"/>
      <c r="P491" s="192" t="s">
        <v>379</v>
      </c>
      <c r="Q491" s="199" t="s">
        <v>380</v>
      </c>
      <c r="R491" s="199" t="s">
        <v>380</v>
      </c>
      <c r="S491" s="199" t="s">
        <v>381</v>
      </c>
      <c r="T491" s="200">
        <v>0</v>
      </c>
      <c r="U491" s="196" t="s">
        <v>382</v>
      </c>
      <c r="V491" s="1"/>
      <c r="W491" s="1"/>
      <c r="X491"/>
      <c r="Y491"/>
      <c r="Z491"/>
      <c r="AA491"/>
      <c r="AB491"/>
      <c r="AC491"/>
      <c r="AD491" s="32"/>
      <c r="AF491" s="2"/>
      <c r="AG491" s="2"/>
    </row>
    <row r="492" spans="1:33" ht="34.799999999999997" hidden="1" customHeight="1">
      <c r="A492" s="2"/>
      <c r="B492" s="2"/>
      <c r="C492" s="185"/>
      <c r="D492" s="156"/>
      <c r="E492" s="178" t="s">
        <v>311</v>
      </c>
      <c r="F492" s="180" t="s">
        <v>365</v>
      </c>
      <c r="G492" s="169"/>
      <c r="H492" s="181" t="str">
        <f>VLOOKUP(E492&amp;F492,'[1]MV+BI'!$E$8:$K$375,3,FALSE)</f>
        <v>Em Teste - Alteração EF</v>
      </c>
      <c r="I492" s="182" t="str">
        <f>VLOOKUP(E492&amp;F492,'[1]MV+BI'!$E$8:$K$375,4,FALSE)</f>
        <v>-</v>
      </c>
      <c r="J492" s="93"/>
      <c r="K492" s="172">
        <f>VLOOKUP(E492&amp;F492,'[1]MV+BI'!$E$8:$K$375,7,FALSE)</f>
        <v>45520</v>
      </c>
      <c r="L492" s="201">
        <f>SUM(L485:L490)</f>
        <v>51</v>
      </c>
      <c r="M492" s="186"/>
      <c r="N492" s="2"/>
      <c r="O492" s="185"/>
      <c r="P492" s="156"/>
      <c r="Q492" s="1"/>
      <c r="R492" s="202" t="s">
        <v>383</v>
      </c>
      <c r="S492" s="203">
        <f>SUM(S485:S490)</f>
        <v>61</v>
      </c>
      <c r="T492" s="203">
        <f>SUM(T485:T490)</f>
        <v>6</v>
      </c>
      <c r="U492" s="203">
        <f>SUM(U485:U490)</f>
        <v>55</v>
      </c>
      <c r="V492" s="1"/>
      <c r="W492" s="1"/>
      <c r="X492"/>
      <c r="Y492"/>
      <c r="Z492"/>
      <c r="AA492"/>
      <c r="AB492"/>
      <c r="AC492"/>
      <c r="AD492" s="32"/>
      <c r="AF492" s="2"/>
      <c r="AG492" s="2"/>
    </row>
    <row r="493" spans="1:33" ht="34.799999999999997" hidden="1" customHeight="1">
      <c r="A493" s="2"/>
      <c r="B493" s="2"/>
      <c r="C493" s="185"/>
      <c r="E493" s="178" t="s">
        <v>311</v>
      </c>
      <c r="F493" s="180" t="s">
        <v>366</v>
      </c>
      <c r="G493" s="169"/>
      <c r="H493" s="181" t="str">
        <f>VLOOKUP(E493&amp;F493,'[1]MV+BI'!$E$8:$K$375,3,FALSE)</f>
        <v>Em Teste - Alteração EF</v>
      </c>
      <c r="I493" s="182" t="str">
        <f>VLOOKUP(E493&amp;F493,'[1]MV+BI'!$E$8:$K$375,4,FALSE)</f>
        <v>-</v>
      </c>
      <c r="J493" s="93"/>
      <c r="K493" s="172">
        <f>VLOOKUP(E493&amp;F493,'[1]MV+BI'!$E$8:$K$375,7,FALSE)</f>
        <v>45520</v>
      </c>
      <c r="M493" s="186"/>
      <c r="N493" s="2"/>
      <c r="O493" s="185"/>
      <c r="Q493" s="1"/>
      <c r="R493" s="1"/>
      <c r="S493" s="1"/>
      <c r="T493" s="1"/>
      <c r="U493" s="1"/>
      <c r="V493" s="1"/>
      <c r="W493" s="1"/>
      <c r="X493"/>
      <c r="Y493"/>
      <c r="Z493"/>
      <c r="AA493"/>
      <c r="AB493"/>
      <c r="AC493"/>
      <c r="AD493" s="32"/>
      <c r="AF493" s="2"/>
      <c r="AG493" s="2"/>
    </row>
    <row r="494" spans="1:33" ht="34.799999999999997" hidden="1" customHeight="1">
      <c r="A494" s="2"/>
      <c r="B494" s="2"/>
      <c r="C494" s="185"/>
      <c r="D494" s="189" t="s">
        <v>384</v>
      </c>
      <c r="E494" s="178" t="s">
        <v>311</v>
      </c>
      <c r="F494" s="180" t="s">
        <v>6</v>
      </c>
      <c r="G494" s="169"/>
      <c r="H494" s="181" t="str">
        <f>VLOOKUP(E494&amp;F494,'[1]MV+BI'!$E$8:$K$375,3,FALSE)</f>
        <v>Em Teste - Alteração EF</v>
      </c>
      <c r="I494" s="182" t="str">
        <f>VLOOKUP(E494&amp;F494,'[1]MV+BI'!$E$8:$K$375,4,FALSE)</f>
        <v>-</v>
      </c>
      <c r="J494" s="93"/>
      <c r="K494" s="172">
        <f>VLOOKUP(E494&amp;F494,'[1]MV+BI'!$E$8:$K$375,7,FALSE)</f>
        <v>45520</v>
      </c>
      <c r="L494" s="188"/>
      <c r="M494" s="186"/>
      <c r="N494" s="2"/>
      <c r="O494" s="185"/>
      <c r="P494" s="189" t="s">
        <v>384</v>
      </c>
      <c r="Q494" s="190" t="s">
        <v>385</v>
      </c>
      <c r="R494" s="190" t="s">
        <v>386</v>
      </c>
      <c r="S494" s="190" t="s">
        <v>387</v>
      </c>
      <c r="T494" s="204" t="s">
        <v>388</v>
      </c>
      <c r="U494" s="205"/>
      <c r="V494" s="1"/>
      <c r="W494" s="1"/>
      <c r="X494"/>
      <c r="Y494"/>
      <c r="Z494"/>
      <c r="AA494"/>
      <c r="AB494"/>
      <c r="AC494"/>
      <c r="AD494" s="32"/>
      <c r="AF494" s="2"/>
      <c r="AG494" s="2"/>
    </row>
    <row r="495" spans="1:33" ht="34.799999999999997" hidden="1" customHeight="1">
      <c r="A495" s="2"/>
      <c r="B495" s="2"/>
      <c r="C495" s="185"/>
      <c r="D495" s="206" t="s">
        <v>389</v>
      </c>
      <c r="E495" s="178" t="s">
        <v>311</v>
      </c>
      <c r="F495" s="177" t="s">
        <v>249</v>
      </c>
      <c r="G495" s="169"/>
      <c r="H495" s="181" t="str">
        <f>VLOOKUP(E495&amp;F495,'[1]MV+BI'!$E$8:$K$375,3,FALSE)</f>
        <v>Em Teste - Alteração EF</v>
      </c>
      <c r="I495" s="182" t="str">
        <f>VLOOKUP(E495&amp;F495,'[1]MV+BI'!$E$8:$K$375,4,FALSE)</f>
        <v>-</v>
      </c>
      <c r="J495" s="93"/>
      <c r="K495" s="172">
        <f>VLOOKUP(E495&amp;F495,'[1]MV+BI'!$E$8:$K$375,7,FALSE)</f>
        <v>45520</v>
      </c>
      <c r="L495" s="207"/>
      <c r="M495" s="186"/>
      <c r="N495" s="2"/>
      <c r="O495" s="185"/>
      <c r="P495" s="206" t="s">
        <v>389</v>
      </c>
      <c r="Q495" s="194">
        <v>139</v>
      </c>
      <c r="R495" s="194">
        <v>37</v>
      </c>
      <c r="S495" s="194">
        <v>1</v>
      </c>
      <c r="T495" s="208" t="s">
        <v>390</v>
      </c>
      <c r="U495" s="194"/>
      <c r="V495" s="1"/>
      <c r="W495" s="1"/>
      <c r="X495"/>
      <c r="Y495"/>
      <c r="Z495"/>
      <c r="AA495"/>
      <c r="AB495"/>
      <c r="AC495"/>
      <c r="AD495" s="32"/>
      <c r="AF495" s="2"/>
      <c r="AG495" s="2"/>
    </row>
    <row r="496" spans="1:33" ht="34.799999999999997" hidden="1" customHeight="1">
      <c r="A496" s="2"/>
      <c r="B496" s="2"/>
      <c r="C496" s="185"/>
      <c r="D496" s="206" t="s">
        <v>391</v>
      </c>
      <c r="E496" s="178" t="s">
        <v>301</v>
      </c>
      <c r="F496" s="178" t="s">
        <v>84</v>
      </c>
      <c r="G496" s="169"/>
      <c r="H496" s="181" t="str">
        <f>VLOOKUP(E496&amp;F496,'[1]MV+BI'!$E$8:$K$375,3,FALSE)</f>
        <v>Em Teste - Alteração EF</v>
      </c>
      <c r="I496" s="182" t="str">
        <f>VLOOKUP(E496&amp;F496,'[1]MV+BI'!$E$8:$K$375,4,FALSE)</f>
        <v>-</v>
      </c>
      <c r="J496" s="93"/>
      <c r="K496" s="172">
        <f>VLOOKUP(E496&amp;F496,'[1]MV+BI'!$E$8:$K$375,7,FALSE)</f>
        <v>45513</v>
      </c>
      <c r="L496" s="207"/>
      <c r="M496" s="209"/>
      <c r="N496" s="2"/>
      <c r="O496" s="185"/>
      <c r="P496" s="206" t="s">
        <v>391</v>
      </c>
      <c r="Q496" s="194">
        <v>144</v>
      </c>
      <c r="R496" s="194">
        <v>28</v>
      </c>
      <c r="S496" s="194">
        <v>11</v>
      </c>
      <c r="T496" s="208" t="s">
        <v>392</v>
      </c>
      <c r="U496" s="194"/>
      <c r="V496" s="1"/>
      <c r="W496" s="1"/>
      <c r="X496"/>
      <c r="Y496"/>
      <c r="Z496"/>
      <c r="AA496"/>
      <c r="AB496"/>
      <c r="AC496"/>
      <c r="AD496" s="32"/>
      <c r="AF496" s="2"/>
      <c r="AG496" s="2"/>
    </row>
    <row r="497" spans="1:49" ht="34.799999999999997" hidden="1" customHeight="1">
      <c r="A497" s="2"/>
      <c r="B497" s="2"/>
      <c r="C497" s="185"/>
      <c r="D497" s="206" t="s">
        <v>393</v>
      </c>
      <c r="E497" s="178" t="s">
        <v>301</v>
      </c>
      <c r="F497" s="178" t="s">
        <v>282</v>
      </c>
      <c r="G497" s="169"/>
      <c r="H497" s="181" t="str">
        <f>VLOOKUP(E497&amp;F497,'[1]MV+BI'!$E$8:$K$375,3,FALSE)</f>
        <v>Em Teste - Alteração EF</v>
      </c>
      <c r="I497" s="182" t="str">
        <f>VLOOKUP(E497&amp;F497,'[1]MV+BI'!$E$8:$K$375,4,FALSE)</f>
        <v>-</v>
      </c>
      <c r="J497" s="93"/>
      <c r="K497" s="172">
        <f>VLOOKUP(E497&amp;F497,'[1]MV+BI'!$E$8:$K$375,7,FALSE)</f>
        <v>45513</v>
      </c>
      <c r="L497" s="207"/>
      <c r="M497" s="186"/>
      <c r="N497" s="2"/>
      <c r="O497" s="185"/>
      <c r="P497" s="206" t="s">
        <v>393</v>
      </c>
      <c r="Q497" s="194">
        <v>10</v>
      </c>
      <c r="R497" s="194">
        <v>2</v>
      </c>
      <c r="S497" s="210" t="s">
        <v>381</v>
      </c>
      <c r="T497" s="208"/>
      <c r="U497" s="194"/>
      <c r="V497" s="1"/>
      <c r="W497" s="1"/>
      <c r="X497"/>
      <c r="Y497"/>
      <c r="Z497"/>
      <c r="AA497"/>
      <c r="AB497"/>
      <c r="AC497"/>
      <c r="AD497" s="32"/>
      <c r="AF497" s="2"/>
      <c r="AG497" s="2"/>
    </row>
    <row r="498" spans="1:49" s="121" customFormat="1" ht="17.399999999999999" hidden="1">
      <c r="A498" s="2"/>
      <c r="B498" s="2"/>
      <c r="C498" s="185"/>
      <c r="D498" s="206" t="s">
        <v>394</v>
      </c>
      <c r="E498" s="178" t="s">
        <v>301</v>
      </c>
      <c r="F498" s="178" t="s">
        <v>283</v>
      </c>
      <c r="G498" s="169"/>
      <c r="H498" s="181" t="str">
        <f>VLOOKUP(E498&amp;F498,'[1]MV+BI'!$E$8:$K$375,3,FALSE)</f>
        <v>Em Teste - Alteração EF</v>
      </c>
      <c r="I498" s="182" t="str">
        <f>VLOOKUP(E498&amp;F498,'[1]MV+BI'!$E$8:$K$375,4,FALSE)</f>
        <v>-</v>
      </c>
      <c r="J498" s="93"/>
      <c r="K498" s="172">
        <f>VLOOKUP(E498&amp;F498,'[1]MV+BI'!$E$8:$K$375,7,FALSE)</f>
        <v>45513</v>
      </c>
      <c r="L498" s="207"/>
      <c r="M498" s="186"/>
      <c r="N498" s="2"/>
      <c r="O498" s="185"/>
      <c r="P498" s="206" t="s">
        <v>395</v>
      </c>
      <c r="Q498" s="194">
        <v>30</v>
      </c>
      <c r="R498" s="194">
        <v>6</v>
      </c>
      <c r="S498" s="194">
        <v>6</v>
      </c>
      <c r="T498" s="208" t="s">
        <v>396</v>
      </c>
      <c r="U498" s="194"/>
      <c r="V498" s="1"/>
      <c r="W498" s="182"/>
      <c r="AD498" s="211"/>
      <c r="AE498" s="212"/>
      <c r="AF498" s="212"/>
      <c r="AG498" s="212"/>
      <c r="AH498" s="212"/>
    </row>
    <row r="499" spans="1:49" s="121" customFormat="1" ht="17.399999999999999" hidden="1">
      <c r="A499" s="212"/>
      <c r="B499" s="2"/>
      <c r="C499" s="185"/>
      <c r="D499" s="213" t="s">
        <v>397</v>
      </c>
      <c r="E499" s="178" t="s">
        <v>301</v>
      </c>
      <c r="F499" s="178" t="s">
        <v>284</v>
      </c>
      <c r="G499" s="169"/>
      <c r="H499" s="181" t="str">
        <f>VLOOKUP(E499&amp;F499,'[1]MV+BI'!$E$8:$K$375,3,FALSE)</f>
        <v>Em Teste - Alteração EF</v>
      </c>
      <c r="I499" s="182" t="str">
        <f>VLOOKUP(E499&amp;F499,'[1]MV+BI'!$E$8:$K$375,4,FALSE)</f>
        <v>-</v>
      </c>
      <c r="J499" s="93"/>
      <c r="K499" s="172">
        <f>VLOOKUP(E499&amp;F499,'[1]MV+BI'!$E$8:$K$375,7,FALSE)</f>
        <v>45513</v>
      </c>
      <c r="L499" s="214"/>
      <c r="M499" s="186"/>
      <c r="N499" s="2"/>
      <c r="O499" s="185"/>
      <c r="P499" s="206" t="s">
        <v>397</v>
      </c>
      <c r="Q499" s="194">
        <v>7</v>
      </c>
      <c r="R499" s="194">
        <v>4</v>
      </c>
      <c r="S499" s="194">
        <v>4</v>
      </c>
      <c r="T499" s="208" t="s">
        <v>398</v>
      </c>
      <c r="U499" s="194"/>
      <c r="V499" s="1"/>
      <c r="W499" s="182"/>
      <c r="AD499" s="211"/>
      <c r="AE499" s="212"/>
      <c r="AF499" s="212"/>
      <c r="AG499" s="212"/>
      <c r="AH499" s="212"/>
    </row>
    <row r="500" spans="1:49" s="2" customFormat="1" ht="17.399999999999999" hidden="1">
      <c r="A500" s="212"/>
      <c r="B500" s="212"/>
      <c r="C500" s="215"/>
      <c r="D500" s="216" t="s">
        <v>399</v>
      </c>
      <c r="E500" s="178" t="s">
        <v>301</v>
      </c>
      <c r="F500" s="178" t="s">
        <v>302</v>
      </c>
      <c r="G500" s="169"/>
      <c r="H500" s="181" t="str">
        <f>VLOOKUP(E500&amp;F500,'[1]MV+BI'!$E$8:$K$375,3,FALSE)</f>
        <v>Em Teste - Alteração EF</v>
      </c>
      <c r="I500" s="182" t="str">
        <f>VLOOKUP(E500&amp;F500,'[1]MV+BI'!$E$8:$K$375,4,FALSE)</f>
        <v>-</v>
      </c>
      <c r="J500" s="93"/>
      <c r="K500" s="172">
        <f>VLOOKUP(E500&amp;F500,'[1]MV+BI'!$E$8:$K$375,7,FALSE)</f>
        <v>45513</v>
      </c>
      <c r="L500" s="217"/>
      <c r="M500" s="218"/>
      <c r="N500" s="212"/>
      <c r="O500" s="215"/>
      <c r="P500" s="216" t="s">
        <v>399</v>
      </c>
      <c r="Q500" s="203">
        <f>SUM(Q495:Q499)</f>
        <v>330</v>
      </c>
      <c r="R500" s="203">
        <f>SUM(R495:R499)</f>
        <v>77</v>
      </c>
      <c r="S500" s="203">
        <f>SUM(S495:S499)</f>
        <v>22</v>
      </c>
      <c r="T500" s="182"/>
      <c r="U500" s="182"/>
      <c r="V500" s="182"/>
      <c r="W500" s="1"/>
      <c r="X500"/>
      <c r="Y500"/>
      <c r="Z500"/>
      <c r="AA500"/>
      <c r="AB500"/>
      <c r="AC500"/>
      <c r="AD500" s="32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</row>
    <row r="501" spans="1:49" s="2" customFormat="1" ht="17.399999999999999" hidden="1">
      <c r="B501" s="212"/>
      <c r="C501" s="215"/>
      <c r="D501" s="219" t="s">
        <v>400</v>
      </c>
      <c r="E501" s="178" t="s">
        <v>301</v>
      </c>
      <c r="F501" s="178" t="s">
        <v>303</v>
      </c>
      <c r="G501" s="169"/>
      <c r="H501" s="181" t="str">
        <f>VLOOKUP(E501&amp;F501,'[1]MV+BI'!$E$8:$K$375,3,FALSE)</f>
        <v>Em Teste - Alteração EF</v>
      </c>
      <c r="I501" s="182" t="str">
        <f>VLOOKUP(E501&amp;F501,'[1]MV+BI'!$E$8:$K$375,4,FALSE)</f>
        <v>-</v>
      </c>
      <c r="J501" s="93"/>
      <c r="K501" s="172">
        <f>VLOOKUP(E501&amp;F501,'[1]MV+BI'!$E$8:$K$375,7,FALSE)</f>
        <v>45513</v>
      </c>
      <c r="L501" s="121"/>
      <c r="M501" s="218"/>
      <c r="N501" s="212"/>
      <c r="O501" s="215"/>
      <c r="P501" s="219" t="s">
        <v>400</v>
      </c>
      <c r="Q501" s="182"/>
      <c r="R501" s="182"/>
      <c r="S501" s="182"/>
      <c r="T501" s="182"/>
      <c r="U501" s="182"/>
      <c r="V501" s="182"/>
      <c r="W501" s="1"/>
      <c r="X501"/>
      <c r="Y501"/>
      <c r="Z501"/>
      <c r="AA501"/>
      <c r="AB501"/>
      <c r="AC501"/>
      <c r="AD501" s="32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</row>
    <row r="502" spans="1:49" s="2" customFormat="1" ht="14.4" hidden="1">
      <c r="C502" s="220"/>
      <c r="D502" s="221"/>
      <c r="L502" s="1"/>
      <c r="M502" s="222"/>
      <c r="O502" s="220"/>
      <c r="P502" s="221"/>
      <c r="Q502" s="1"/>
      <c r="R502" s="1"/>
      <c r="S502" s="1"/>
      <c r="T502" s="1"/>
      <c r="U502" s="1"/>
      <c r="V502" s="1"/>
      <c r="W502" s="1"/>
      <c r="X502"/>
      <c r="Y502"/>
      <c r="Z502"/>
      <c r="AA502"/>
      <c r="AB502"/>
      <c r="AC502"/>
      <c r="AD502" s="3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</row>
    <row r="503" spans="1:49" s="2" customFormat="1" ht="14.4">
      <c r="Q503" s="12"/>
      <c r="R503" s="12"/>
      <c r="S503" s="12"/>
      <c r="T503" s="12"/>
      <c r="U503" s="12"/>
      <c r="V503" s="12"/>
      <c r="W503" s="12"/>
    </row>
    <row r="504" spans="1:49" s="2" customFormat="1" ht="14.4">
      <c r="V504" s="12"/>
      <c r="W504" s="12"/>
    </row>
    <row r="505" spans="1:49" s="2" customFormat="1" ht="14.4"/>
    <row r="506" spans="1:49" s="2" customFormat="1" ht="14.4"/>
    <row r="507" spans="1:49" s="2" customFormat="1" ht="13.95" hidden="1" customHeight="1">
      <c r="E507" s="178" t="s">
        <v>301</v>
      </c>
      <c r="F507" s="178" t="s">
        <v>304</v>
      </c>
      <c r="G507" s="169"/>
      <c r="H507" s="181" t="str">
        <f>VLOOKUP(E507&amp;F507,'[1]MV+BI'!$E$8:$K$375,3,FALSE)</f>
        <v>Em Teste - Alteração EF</v>
      </c>
      <c r="I507" s="182" t="str">
        <f>VLOOKUP(E507&amp;F507,'[1]MV+BI'!$E$8:$K$375,4,FALSE)</f>
        <v>-</v>
      </c>
      <c r="J507" s="93"/>
      <c r="K507" s="172">
        <f>VLOOKUP(E507&amp;F507,'[1]MV+BI'!$E$8:$K$375,7,FALSE)</f>
        <v>45513</v>
      </c>
    </row>
    <row r="508" spans="1:49" s="2" customFormat="1" ht="13.95" hidden="1" customHeight="1">
      <c r="E508" s="178" t="s">
        <v>301</v>
      </c>
      <c r="F508" s="178" t="s">
        <v>305</v>
      </c>
      <c r="G508" s="169"/>
      <c r="H508" s="181" t="str">
        <f>VLOOKUP(E508&amp;F508,'[1]MV+BI'!$E$8:$K$375,3,FALSE)</f>
        <v>Em Teste - Alteração EF</v>
      </c>
      <c r="I508" s="182" t="str">
        <f>VLOOKUP(E508&amp;F508,'[1]MV+BI'!$E$8:$K$375,4,FALSE)</f>
        <v>-</v>
      </c>
      <c r="J508" s="93"/>
      <c r="K508" s="172">
        <f>VLOOKUP(E508&amp;F508,'[1]MV+BI'!$E$8:$K$375,7,FALSE)</f>
        <v>45513</v>
      </c>
    </row>
    <row r="509" spans="1:49" s="2" customFormat="1" ht="13.95" hidden="1" customHeight="1">
      <c r="E509" s="178" t="s">
        <v>301</v>
      </c>
      <c r="F509" s="178" t="s">
        <v>306</v>
      </c>
      <c r="G509" s="169"/>
      <c r="H509" s="181" t="str">
        <f>VLOOKUP(E509&amp;F509,'[1]MV+BI'!$E$8:$K$375,3,FALSE)</f>
        <v>Em Teste - Alteração EF</v>
      </c>
      <c r="I509" s="182" t="str">
        <f>VLOOKUP(E509&amp;F509,'[1]MV+BI'!$E$8:$K$375,4,FALSE)</f>
        <v>-</v>
      </c>
      <c r="J509" s="93"/>
      <c r="K509" s="172">
        <f>VLOOKUP(E509&amp;F509,'[1]MV+BI'!$E$8:$K$375,7,FALSE)</f>
        <v>45513</v>
      </c>
    </row>
    <row r="510" spans="1:49" s="2" customFormat="1" ht="13.95" hidden="1" customHeight="1">
      <c r="E510" s="178" t="s">
        <v>301</v>
      </c>
      <c r="F510" s="178" t="s">
        <v>307</v>
      </c>
      <c r="G510" s="169"/>
      <c r="H510" s="181" t="str">
        <f>VLOOKUP(E510&amp;F510,'[1]MV+BI'!$E$8:$K$375,3,FALSE)</f>
        <v>Em Teste - Alteração EF</v>
      </c>
      <c r="I510" s="182" t="str">
        <f>VLOOKUP(E510&amp;F510,'[1]MV+BI'!$E$8:$K$375,4,FALSE)</f>
        <v>-</v>
      </c>
      <c r="J510" s="93"/>
      <c r="K510" s="172">
        <f>VLOOKUP(E510&amp;F510,'[1]MV+BI'!$E$8:$K$375,7,FALSE)</f>
        <v>45513</v>
      </c>
    </row>
    <row r="511" spans="1:49" s="2" customFormat="1" ht="13.95" hidden="1" customHeight="1">
      <c r="E511" s="178" t="s">
        <v>301</v>
      </c>
      <c r="F511" s="178" t="s">
        <v>308</v>
      </c>
      <c r="G511" s="169"/>
      <c r="H511" s="181" t="str">
        <f>VLOOKUP(E511&amp;F511,'[1]MV+BI'!$E$8:$K$375,3,FALSE)</f>
        <v>Em Teste - Alteração EF</v>
      </c>
      <c r="I511" s="182" t="str">
        <f>VLOOKUP(E511&amp;F511,'[1]MV+BI'!$E$8:$K$375,4,FALSE)</f>
        <v>-</v>
      </c>
      <c r="J511" s="93"/>
      <c r="K511" s="172">
        <f>VLOOKUP(E511&amp;F511,'[1]MV+BI'!$E$8:$K$375,7,FALSE)</f>
        <v>45513</v>
      </c>
    </row>
    <row r="512" spans="1:49" s="2" customFormat="1" ht="13.95" hidden="1" customHeight="1">
      <c r="E512" s="178" t="s">
        <v>301</v>
      </c>
      <c r="F512" s="178" t="s">
        <v>309</v>
      </c>
      <c r="G512" s="169"/>
      <c r="H512" s="181" t="str">
        <f>VLOOKUP(E512&amp;F512,'[1]MV+BI'!$E$8:$K$375,3,FALSE)</f>
        <v>Em Teste - Alteração EF</v>
      </c>
      <c r="I512" s="182" t="str">
        <f>VLOOKUP(E512&amp;F512,'[1]MV+BI'!$E$8:$K$375,4,FALSE)</f>
        <v>-</v>
      </c>
      <c r="J512" s="93"/>
      <c r="K512" s="172">
        <f>VLOOKUP(E512&amp;F512,'[1]MV+BI'!$E$8:$K$375,7,FALSE)</f>
        <v>45513</v>
      </c>
    </row>
    <row r="513" spans="5:11" s="2" customFormat="1" ht="13.95" hidden="1" customHeight="1">
      <c r="E513" s="178" t="s">
        <v>301</v>
      </c>
      <c r="F513" s="178" t="s">
        <v>310</v>
      </c>
      <c r="G513" s="169"/>
      <c r="H513" s="181" t="str">
        <f>VLOOKUP(E513&amp;F513,'[1]MV+BI'!$E$8:$K$375,3,FALSE)</f>
        <v>Em Teste - Alteração EF</v>
      </c>
      <c r="I513" s="182" t="str">
        <f>VLOOKUP(E513&amp;F513,'[1]MV+BI'!$E$8:$K$375,4,FALSE)</f>
        <v>-</v>
      </c>
      <c r="J513" s="93"/>
      <c r="K513" s="172">
        <f>VLOOKUP(E513&amp;F513,'[1]MV+BI'!$E$8:$K$375,7,FALSE)</f>
        <v>45513</v>
      </c>
    </row>
    <row r="514" spans="5:11" s="2" customFormat="1" ht="13.95" hidden="1" customHeight="1">
      <c r="E514" s="178" t="s">
        <v>301</v>
      </c>
      <c r="F514" s="178" t="s">
        <v>67</v>
      </c>
      <c r="G514" s="169"/>
      <c r="H514" s="181" t="str">
        <f>VLOOKUP(E514&amp;F514,'[1]MV+BI'!$E$8:$K$375,3,FALSE)</f>
        <v>Em Teste - Alteração EF</v>
      </c>
      <c r="I514" s="182" t="str">
        <f>VLOOKUP(E514&amp;F514,'[1]MV+BI'!$E$8:$K$375,4,FALSE)</f>
        <v>-</v>
      </c>
      <c r="J514" s="93"/>
      <c r="K514" s="172">
        <f>VLOOKUP(E514&amp;F514,'[1]MV+BI'!$E$8:$K$375,7,FALSE)</f>
        <v>45513</v>
      </c>
    </row>
    <row r="515" spans="5:11" s="2" customFormat="1" ht="17.100000000000001" hidden="1" customHeight="1">
      <c r="E515" s="178" t="s">
        <v>301</v>
      </c>
      <c r="F515" s="178" t="s">
        <v>6</v>
      </c>
      <c r="G515" s="169"/>
      <c r="H515" s="181" t="str">
        <f>VLOOKUP(E515&amp;F515,'[1]MV+BI'!$E$8:$K$375,3,FALSE)</f>
        <v>Em Teste - Alteração EF</v>
      </c>
      <c r="I515" s="182" t="str">
        <f>VLOOKUP(E515&amp;F515,'[1]MV+BI'!$E$8:$K$375,4,FALSE)</f>
        <v>-</v>
      </c>
      <c r="J515" s="93"/>
      <c r="K515" s="172">
        <f>VLOOKUP(E515&amp;F515,'[1]MV+BI'!$E$8:$K$375,7,FALSE)</f>
        <v>45513</v>
      </c>
    </row>
    <row r="516" spans="5:11" s="2" customFormat="1" ht="13.95" hidden="1" customHeight="1">
      <c r="E516" s="178" t="s">
        <v>277</v>
      </c>
      <c r="F516" s="178" t="s">
        <v>278</v>
      </c>
      <c r="G516" s="169"/>
      <c r="H516" s="181" t="str">
        <f>VLOOKUP(E516&amp;F516,'[1]MV+BI'!$E$8:$K$375,3,FALSE)</f>
        <v>Em Teste - Alteração EF</v>
      </c>
      <c r="I516" s="182" t="str">
        <f>VLOOKUP(E516&amp;F516,'[1]MV+BI'!$E$8:$K$375,4,FALSE)</f>
        <v>-</v>
      </c>
      <c r="J516" s="93"/>
      <c r="K516" s="172">
        <f>VLOOKUP(E516&amp;F516,'[1]MV+BI'!$E$8:$K$375,7,FALSE)</f>
        <v>45513</v>
      </c>
    </row>
    <row r="517" spans="5:11" s="2" customFormat="1" ht="13.95" hidden="1" customHeight="1">
      <c r="E517" s="178" t="s">
        <v>277</v>
      </c>
      <c r="F517" s="178" t="s">
        <v>279</v>
      </c>
      <c r="G517" s="169"/>
      <c r="H517" s="181" t="str">
        <f>VLOOKUP(E517&amp;F517,'[1]MV+BI'!$E$8:$K$375,3,FALSE)</f>
        <v>Em Teste - Alteração EF</v>
      </c>
      <c r="I517" s="182" t="str">
        <f>VLOOKUP(E517&amp;F517,'[1]MV+BI'!$E$8:$K$375,4,FALSE)</f>
        <v>-</v>
      </c>
      <c r="J517" s="93"/>
      <c r="K517" s="172">
        <f>VLOOKUP(E517&amp;F517,'[1]MV+BI'!$E$8:$K$375,7,FALSE)</f>
        <v>45513</v>
      </c>
    </row>
    <row r="518" spans="5:11" s="2" customFormat="1" ht="13.95" hidden="1" customHeight="1">
      <c r="E518" s="178" t="s">
        <v>277</v>
      </c>
      <c r="F518" s="178" t="s">
        <v>280</v>
      </c>
      <c r="G518" s="169"/>
      <c r="H518" s="181" t="str">
        <f>VLOOKUP(E518&amp;F518,'[1]MV+BI'!$E$8:$K$375,3,FALSE)</f>
        <v>Em Teste - Alteração EF</v>
      </c>
      <c r="I518" s="182" t="str">
        <f>VLOOKUP(E518&amp;F518,'[1]MV+BI'!$E$8:$K$375,4,FALSE)</f>
        <v>-</v>
      </c>
      <c r="J518" s="93"/>
      <c r="K518" s="172">
        <f>VLOOKUP(E518&amp;F518,'[1]MV+BI'!$E$8:$K$375,7,FALSE)</f>
        <v>45513</v>
      </c>
    </row>
    <row r="519" spans="5:11" s="2" customFormat="1" ht="13.95" hidden="1" customHeight="1">
      <c r="E519" s="178" t="s">
        <v>277</v>
      </c>
      <c r="F519" s="178" t="s">
        <v>281</v>
      </c>
      <c r="G519" s="169"/>
      <c r="H519" s="181" t="str">
        <f>VLOOKUP(E519&amp;F519,'[1]MV+BI'!$E$8:$K$375,3,FALSE)</f>
        <v>Em Teste - Alteração EF</v>
      </c>
      <c r="I519" s="182" t="str">
        <f>VLOOKUP(E519&amp;F519,'[1]MV+BI'!$E$8:$K$375,4,FALSE)</f>
        <v>-</v>
      </c>
      <c r="J519" s="93"/>
      <c r="K519" s="172">
        <f>VLOOKUP(E519&amp;F519,'[1]MV+BI'!$E$8:$K$375,7,FALSE)</f>
        <v>45513</v>
      </c>
    </row>
    <row r="520" spans="5:11" s="2" customFormat="1" ht="13.95" hidden="1" customHeight="1">
      <c r="E520" s="178" t="s">
        <v>277</v>
      </c>
      <c r="F520" s="178" t="s">
        <v>84</v>
      </c>
      <c r="G520" s="169"/>
      <c r="H520" s="181" t="str">
        <f>VLOOKUP(E520&amp;F520,'[1]MV+BI'!$E$8:$K$375,3,FALSE)</f>
        <v>Em Teste - Alteração EF</v>
      </c>
      <c r="I520" s="182" t="str">
        <f>VLOOKUP(E520&amp;F520,'[1]MV+BI'!$E$8:$K$375,4,FALSE)</f>
        <v>-</v>
      </c>
      <c r="J520" s="93"/>
      <c r="K520" s="172">
        <f>VLOOKUP(E520&amp;F520,'[1]MV+BI'!$E$8:$K$375,7,FALSE)</f>
        <v>45513</v>
      </c>
    </row>
    <row r="521" spans="5:11" s="2" customFormat="1" ht="13.95" hidden="1" customHeight="1">
      <c r="E521" s="178" t="s">
        <v>277</v>
      </c>
      <c r="F521" s="178" t="s">
        <v>282</v>
      </c>
      <c r="G521" s="169"/>
      <c r="H521" s="181" t="str">
        <f>VLOOKUP(E521&amp;F521,'[1]MV+BI'!$E$8:$K$375,3,FALSE)</f>
        <v>Em Teste - Alteração EF</v>
      </c>
      <c r="I521" s="182" t="str">
        <f>VLOOKUP(E521&amp;F521,'[1]MV+BI'!$E$8:$K$375,4,FALSE)</f>
        <v>-</v>
      </c>
      <c r="J521" s="93"/>
      <c r="K521" s="172">
        <f>VLOOKUP(E521&amp;F521,'[1]MV+BI'!$E$8:$K$375,7,FALSE)</f>
        <v>45513</v>
      </c>
    </row>
    <row r="522" spans="5:11" s="2" customFormat="1" ht="13.95" hidden="1" customHeight="1">
      <c r="E522" s="178" t="s">
        <v>277</v>
      </c>
      <c r="F522" s="178" t="s">
        <v>283</v>
      </c>
      <c r="G522" s="169"/>
      <c r="H522" s="181" t="str">
        <f>VLOOKUP(E522&amp;F522,'[1]MV+BI'!$E$8:$K$375,3,FALSE)</f>
        <v>Em Teste - Alteração EF</v>
      </c>
      <c r="I522" s="182" t="str">
        <f>VLOOKUP(E522&amp;F522,'[1]MV+BI'!$E$8:$K$375,4,FALSE)</f>
        <v>-</v>
      </c>
      <c r="J522" s="93"/>
      <c r="K522" s="172">
        <f>VLOOKUP(E522&amp;F522,'[1]MV+BI'!$E$8:$K$375,7,FALSE)</f>
        <v>45513</v>
      </c>
    </row>
    <row r="523" spans="5:11" s="2" customFormat="1" ht="13.95" hidden="1" customHeight="1">
      <c r="E523" s="178" t="s">
        <v>277</v>
      </c>
      <c r="F523" s="178" t="s">
        <v>284</v>
      </c>
      <c r="G523" s="169"/>
      <c r="H523" s="181" t="str">
        <f>VLOOKUP(E523&amp;F523,'[1]MV+BI'!$E$8:$K$375,3,FALSE)</f>
        <v>Em Teste - Alteração EF</v>
      </c>
      <c r="I523" s="182" t="str">
        <f>VLOOKUP(E523&amp;F523,'[1]MV+BI'!$E$8:$K$375,4,FALSE)</f>
        <v>-</v>
      </c>
      <c r="J523" s="93"/>
      <c r="K523" s="172">
        <f>VLOOKUP(E523&amp;F523,'[1]MV+BI'!$E$8:$K$375,7,FALSE)</f>
        <v>45513</v>
      </c>
    </row>
    <row r="524" spans="5:11" s="2" customFormat="1" ht="13.95" hidden="1" customHeight="1">
      <c r="E524" s="178" t="s">
        <v>277</v>
      </c>
      <c r="F524" s="178" t="s">
        <v>285</v>
      </c>
      <c r="G524" s="169"/>
      <c r="H524" s="181" t="str">
        <f>VLOOKUP(E524&amp;F524,'[1]MV+BI'!$E$8:$K$375,3,FALSE)</f>
        <v>Em Teste - Alteração EF</v>
      </c>
      <c r="I524" s="182" t="str">
        <f>VLOOKUP(E524&amp;F524,'[1]MV+BI'!$E$8:$K$375,4,FALSE)</f>
        <v>-</v>
      </c>
      <c r="J524" s="93"/>
      <c r="K524" s="172">
        <f>VLOOKUP(E524&amp;F524,'[1]MV+BI'!$E$8:$K$375,7,FALSE)</f>
        <v>45513</v>
      </c>
    </row>
    <row r="525" spans="5:11" s="2" customFormat="1" ht="13.95" hidden="1" customHeight="1">
      <c r="E525" s="178" t="s">
        <v>277</v>
      </c>
      <c r="F525" s="178" t="s">
        <v>286</v>
      </c>
      <c r="G525" s="169"/>
      <c r="H525" s="181" t="str">
        <f>VLOOKUP(E525&amp;F525,'[1]MV+BI'!$E$8:$K$375,3,FALSE)</f>
        <v>Em Teste - Alteração EF</v>
      </c>
      <c r="I525" s="182" t="str">
        <f>VLOOKUP(E525&amp;F525,'[1]MV+BI'!$E$8:$K$375,4,FALSE)</f>
        <v>-</v>
      </c>
      <c r="J525" s="93"/>
      <c r="K525" s="172">
        <f>VLOOKUP(E525&amp;F525,'[1]MV+BI'!$E$8:$K$375,7,FALSE)</f>
        <v>45513</v>
      </c>
    </row>
    <row r="526" spans="5:11" s="2" customFormat="1" ht="13.95" hidden="1" customHeight="1">
      <c r="E526" s="178" t="s">
        <v>277</v>
      </c>
      <c r="F526" s="178" t="s">
        <v>287</v>
      </c>
      <c r="G526" s="169"/>
      <c r="H526" s="181" t="str">
        <f>VLOOKUP(E526&amp;F526,'[1]MV+BI'!$E$8:$K$375,3,FALSE)</f>
        <v>Em Teste - Alteração EF</v>
      </c>
      <c r="I526" s="182" t="str">
        <f>VLOOKUP(E526&amp;F526,'[1]MV+BI'!$E$8:$K$375,4,FALSE)</f>
        <v>-</v>
      </c>
      <c r="J526" s="93"/>
      <c r="K526" s="172">
        <f>VLOOKUP(E526&amp;F526,'[1]MV+BI'!$E$8:$K$375,7,FALSE)</f>
        <v>45513</v>
      </c>
    </row>
    <row r="527" spans="5:11" s="2" customFormat="1" ht="13.95" hidden="1" customHeight="1">
      <c r="E527" s="178" t="s">
        <v>277</v>
      </c>
      <c r="F527" s="178" t="s">
        <v>288</v>
      </c>
      <c r="G527" s="169"/>
      <c r="H527" s="181" t="str">
        <f>VLOOKUP(E527&amp;F527,'[1]MV+BI'!$E$8:$K$375,3,FALSE)</f>
        <v>Em Teste - Alteração EF</v>
      </c>
      <c r="I527" s="182" t="str">
        <f>VLOOKUP(E527&amp;F527,'[1]MV+BI'!$E$8:$K$375,4,FALSE)</f>
        <v>-</v>
      </c>
      <c r="J527" s="93"/>
      <c r="K527" s="172">
        <f>VLOOKUP(E527&amp;F527,'[1]MV+BI'!$E$8:$K$375,7,FALSE)</f>
        <v>45513</v>
      </c>
    </row>
    <row r="528" spans="5:11" s="2" customFormat="1" ht="13.95" hidden="1" customHeight="1">
      <c r="E528" s="178" t="s">
        <v>277</v>
      </c>
      <c r="F528" s="178" t="s">
        <v>289</v>
      </c>
      <c r="G528" s="169"/>
      <c r="H528" s="181" t="str">
        <f>VLOOKUP(E528&amp;F528,'[1]MV+BI'!$E$8:$K$375,3,FALSE)</f>
        <v>Em Teste - Alteração EF</v>
      </c>
      <c r="I528" s="182" t="str">
        <f>VLOOKUP(E528&amp;F528,'[1]MV+BI'!$E$8:$K$375,4,FALSE)</f>
        <v>-</v>
      </c>
      <c r="J528" s="93"/>
      <c r="K528" s="172">
        <f>VLOOKUP(E528&amp;F528,'[1]MV+BI'!$E$8:$K$375,7,FALSE)</f>
        <v>45513</v>
      </c>
    </row>
    <row r="529" spans="1:49" s="2" customFormat="1" ht="13.95" hidden="1" customHeight="1">
      <c r="E529" s="178" t="s">
        <v>277</v>
      </c>
      <c r="F529" s="178" t="s">
        <v>290</v>
      </c>
      <c r="G529" s="169"/>
      <c r="H529" s="181" t="str">
        <f>VLOOKUP(E529&amp;F529,'[1]MV+BI'!$E$8:$K$375,3,FALSE)</f>
        <v>Em Teste - Alteração EF</v>
      </c>
      <c r="I529" s="182" t="str">
        <f>VLOOKUP(E529&amp;F529,'[1]MV+BI'!$E$8:$K$375,4,FALSE)</f>
        <v>-</v>
      </c>
      <c r="J529" s="93"/>
      <c r="K529" s="172">
        <f>VLOOKUP(E529&amp;F529,'[1]MV+BI'!$E$8:$K$375,7,FALSE)</f>
        <v>45513</v>
      </c>
    </row>
    <row r="530" spans="1:49" s="2" customFormat="1" ht="13.95" hidden="1" customHeight="1">
      <c r="E530" s="178" t="s">
        <v>277</v>
      </c>
      <c r="F530" s="178" t="s">
        <v>291</v>
      </c>
      <c r="G530" s="169"/>
      <c r="H530" s="181" t="str">
        <f>VLOOKUP(E530&amp;F530,'[1]MV+BI'!$E$8:$K$375,3,FALSE)</f>
        <v>Em Teste - Alteração EF</v>
      </c>
      <c r="I530" s="182" t="str">
        <f>VLOOKUP(E530&amp;F530,'[1]MV+BI'!$E$8:$K$375,4,FALSE)</f>
        <v>-</v>
      </c>
      <c r="J530" s="93"/>
      <c r="K530" s="172">
        <f>VLOOKUP(E530&amp;F530,'[1]MV+BI'!$E$8:$K$375,7,FALSE)</f>
        <v>45513</v>
      </c>
    </row>
    <row r="531" spans="1:49" s="2" customFormat="1" ht="13.95" hidden="1" customHeight="1">
      <c r="E531" s="178" t="s">
        <v>277</v>
      </c>
      <c r="F531" s="178" t="s">
        <v>292</v>
      </c>
      <c r="G531" s="169"/>
      <c r="H531" s="181" t="str">
        <f>VLOOKUP(E531&amp;F531,'[1]MV+BI'!$E$8:$K$375,3,FALSE)</f>
        <v>Em Teste - Alteração EF</v>
      </c>
      <c r="I531" s="182" t="str">
        <f>VLOOKUP(E531&amp;F531,'[1]MV+BI'!$E$8:$K$375,4,FALSE)</f>
        <v>-</v>
      </c>
      <c r="J531" s="93"/>
      <c r="K531" s="172">
        <f>VLOOKUP(E531&amp;F531,'[1]MV+BI'!$E$8:$K$375,7,FALSE)</f>
        <v>45513</v>
      </c>
    </row>
    <row r="532" spans="1:49" s="2" customFormat="1" ht="13.95" hidden="1" customHeight="1">
      <c r="E532" s="178" t="s">
        <v>277</v>
      </c>
      <c r="F532" s="178" t="s">
        <v>293</v>
      </c>
      <c r="G532" s="169"/>
      <c r="H532" s="181" t="str">
        <f>VLOOKUP(E532&amp;F532,'[1]MV+BI'!$E$8:$K$375,3,FALSE)</f>
        <v>Em Teste - Alteração EF</v>
      </c>
      <c r="I532" s="182" t="str">
        <f>VLOOKUP(E532&amp;F532,'[1]MV+BI'!$E$8:$K$375,4,FALSE)</f>
        <v>-</v>
      </c>
      <c r="J532" s="93"/>
      <c r="K532" s="172">
        <f>VLOOKUP(E532&amp;F532,'[1]MV+BI'!$E$8:$K$375,7,FALSE)</f>
        <v>45513</v>
      </c>
    </row>
    <row r="533" spans="1:49" s="2" customFormat="1" ht="13.95" hidden="1" customHeight="1">
      <c r="E533" s="178" t="s">
        <v>277</v>
      </c>
      <c r="F533" s="178" t="s">
        <v>294</v>
      </c>
      <c r="G533" s="169"/>
      <c r="H533" s="181" t="str">
        <f>VLOOKUP(E533&amp;F533,'[1]MV+BI'!$E$8:$K$375,3,FALSE)</f>
        <v>Em Teste - Alteração EF</v>
      </c>
      <c r="I533" s="182" t="str">
        <f>VLOOKUP(E533&amp;F533,'[1]MV+BI'!$E$8:$K$375,4,FALSE)</f>
        <v>-</v>
      </c>
      <c r="J533" s="93"/>
      <c r="K533" s="172">
        <f>VLOOKUP(E533&amp;F533,'[1]MV+BI'!$E$8:$K$375,7,FALSE)</f>
        <v>45513</v>
      </c>
    </row>
    <row r="534" spans="1:49" s="2" customFormat="1" ht="13.95" hidden="1" customHeight="1">
      <c r="E534" s="178" t="s">
        <v>277</v>
      </c>
      <c r="F534" s="178" t="s">
        <v>67</v>
      </c>
      <c r="G534" s="169"/>
      <c r="H534" s="181" t="str">
        <f>VLOOKUP(E534&amp;F534,'[1]MV+BI'!$E$8:$K$375,3,FALSE)</f>
        <v>Em Teste - Alteração EF</v>
      </c>
      <c r="I534" s="182" t="str">
        <f>VLOOKUP(E534&amp;F534,'[1]MV+BI'!$E$8:$K$375,4,FALSE)</f>
        <v>-</v>
      </c>
      <c r="J534" s="93"/>
      <c r="K534" s="172">
        <f>VLOOKUP(E534&amp;F534,'[1]MV+BI'!$E$8:$K$375,7,FALSE)</f>
        <v>45513</v>
      </c>
    </row>
    <row r="535" spans="1:49" s="2" customFormat="1" ht="13.95" hidden="1" customHeight="1">
      <c r="E535" s="178" t="s">
        <v>277</v>
      </c>
      <c r="F535" s="178" t="s">
        <v>6</v>
      </c>
      <c r="G535" s="169"/>
      <c r="H535" s="181" t="str">
        <f>VLOOKUP(E535&amp;F535,'[1]MV+BI'!$E$8:$K$375,3,FALSE)</f>
        <v>Em Teste - Alteração EF</v>
      </c>
      <c r="I535" s="182" t="str">
        <f>VLOOKUP(E535&amp;F535,'[1]MV+BI'!$E$8:$K$375,4,FALSE)</f>
        <v>-</v>
      </c>
      <c r="J535" s="93"/>
      <c r="K535" s="172">
        <f>VLOOKUP(E535&amp;F535,'[1]MV+BI'!$E$8:$K$375,7,FALSE)</f>
        <v>45513</v>
      </c>
    </row>
    <row r="536" spans="1:49" s="2" customFormat="1" ht="13.95" hidden="1" customHeight="1">
      <c r="E536" s="178" t="s">
        <v>295</v>
      </c>
      <c r="F536" s="178" t="s">
        <v>84</v>
      </c>
      <c r="G536" s="169"/>
      <c r="H536" s="181" t="str">
        <f>VLOOKUP(E536&amp;F536,'[1]MV+BI'!$E$8:$K$375,3,FALSE)</f>
        <v>Em Teste - Alteração EF</v>
      </c>
      <c r="I536" s="182" t="str">
        <f>VLOOKUP(E536&amp;F536,'[1]MV+BI'!$E$8:$K$375,4,FALSE)</f>
        <v>-</v>
      </c>
      <c r="J536" s="93"/>
      <c r="K536" s="172">
        <f>VLOOKUP(E536&amp;F536,'[1]MV+BI'!$E$8:$K$375,7,FALSE)</f>
        <v>45450</v>
      </c>
    </row>
    <row r="537" spans="1:49" s="2" customFormat="1" ht="13.95" hidden="1" customHeight="1">
      <c r="E537" s="178" t="s">
        <v>295</v>
      </c>
      <c r="F537" s="178" t="s">
        <v>282</v>
      </c>
      <c r="G537" s="169"/>
      <c r="H537" s="181" t="str">
        <f>VLOOKUP(E537&amp;F537,'[1]MV+BI'!$E$8:$K$375,3,FALSE)</f>
        <v>Em Teste - Alteração EF</v>
      </c>
      <c r="I537" s="182" t="str">
        <f>VLOOKUP(E537&amp;F537,'[1]MV+BI'!$E$8:$K$375,4,FALSE)</f>
        <v>-</v>
      </c>
      <c r="J537" s="93"/>
      <c r="K537" s="172">
        <f>VLOOKUP(E537&amp;F537,'[1]MV+BI'!$E$8:$K$375,7,FALSE)</f>
        <v>45450</v>
      </c>
    </row>
    <row r="538" spans="1:49" s="2" customFormat="1" ht="14.4"/>
    <row r="539" spans="1:49" s="2" customFormat="1" ht="0" hidden="1" customHeight="1">
      <c r="E539" s="178" t="s">
        <v>295</v>
      </c>
      <c r="F539" s="178" t="s">
        <v>284</v>
      </c>
      <c r="G539" s="169"/>
      <c r="H539" s="181" t="str">
        <f>VLOOKUP(E539&amp;F539,'[1]MV+BI'!$E$8:$K$375,3,FALSE)</f>
        <v>Em Teste - Alteração EF</v>
      </c>
      <c r="I539" s="182" t="str">
        <f>VLOOKUP(E539&amp;F539,'[1]MV+BI'!$E$8:$K$375,4,FALSE)</f>
        <v>-</v>
      </c>
      <c r="J539" s="93"/>
      <c r="K539" s="172">
        <f>VLOOKUP(E539&amp;F539,'[1]MV+BI'!$E$8:$K$375,7,FALSE)</f>
        <v>45450</v>
      </c>
      <c r="AF539"/>
      <c r="AG539"/>
    </row>
    <row r="540" spans="1:49" s="2" customFormat="1" ht="0" hidden="1" customHeight="1">
      <c r="A540"/>
      <c r="E540" s="178" t="s">
        <v>295</v>
      </c>
      <c r="F540" s="178" t="s">
        <v>69</v>
      </c>
      <c r="G540" s="169"/>
      <c r="H540" s="181" t="str">
        <f>VLOOKUP(E540&amp;F540,'[1]MV+BI'!$E$8:$K$375,3,FALSE)</f>
        <v>Em Teste - Alteração EF</v>
      </c>
      <c r="I540" s="182" t="str">
        <f>VLOOKUP(E540&amp;F540,'[1]MV+BI'!$E$8:$K$375,4,FALSE)</f>
        <v>-</v>
      </c>
      <c r="J540" s="93"/>
      <c r="K540" s="172">
        <f>VLOOKUP(E540&amp;F540,'[1]MV+BI'!$E$8:$K$375,7,FALSE)</f>
        <v>45450</v>
      </c>
      <c r="AF540"/>
      <c r="AG540"/>
    </row>
    <row r="541" spans="1:49" s="2" customFormat="1" ht="0" hidden="1" customHeight="1">
      <c r="A541"/>
      <c r="B541"/>
      <c r="C541"/>
      <c r="D541"/>
      <c r="E541" s="178" t="s">
        <v>295</v>
      </c>
      <c r="F541" s="178" t="s">
        <v>70</v>
      </c>
      <c r="G541" s="169"/>
      <c r="H541" s="181" t="str">
        <f>VLOOKUP(E541&amp;F541,'[1]MV+BI'!$E$8:$K$375,3,FALSE)</f>
        <v>Em Teste - Alteração EF</v>
      </c>
      <c r="I541" s="182" t="str">
        <f>VLOOKUP(E541&amp;F541,'[1]MV+BI'!$E$8:$K$375,4,FALSE)</f>
        <v>-</v>
      </c>
      <c r="J541" s="93"/>
      <c r="K541" s="172">
        <f>VLOOKUP(E541&amp;F541,'[1]MV+BI'!$E$8:$K$375,7,FALSE)</f>
        <v>45450</v>
      </c>
      <c r="L541"/>
      <c r="M541"/>
      <c r="N541"/>
      <c r="O541"/>
      <c r="P541"/>
      <c r="Q541"/>
      <c r="R541"/>
      <c r="S541"/>
      <c r="T541"/>
      <c r="U541"/>
      <c r="AF541"/>
      <c r="AG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</row>
    <row r="542" spans="1:49" s="2" customFormat="1" ht="0" hidden="1" customHeight="1">
      <c r="A542"/>
      <c r="B542"/>
      <c r="C542"/>
      <c r="D542"/>
      <c r="E542" s="178" t="s">
        <v>295</v>
      </c>
      <c r="F542" s="178" t="s">
        <v>71</v>
      </c>
      <c r="G542" s="169"/>
      <c r="H542" s="181" t="str">
        <f>VLOOKUP(E542&amp;F542,'[1]MV+BI'!$E$8:$K$375,3,FALSE)</f>
        <v>Em Teste - Alteração EF</v>
      </c>
      <c r="I542" s="182" t="str">
        <f>VLOOKUP(E542&amp;F542,'[1]MV+BI'!$E$8:$K$375,4,FALSE)</f>
        <v>-</v>
      </c>
      <c r="J542" s="93"/>
      <c r="K542" s="172">
        <f>VLOOKUP(E542&amp;F542,'[1]MV+BI'!$E$8:$K$375,7,FALSE)</f>
        <v>45450</v>
      </c>
      <c r="L542"/>
      <c r="M542"/>
      <c r="N542"/>
      <c r="O542"/>
      <c r="P542"/>
      <c r="Q542"/>
      <c r="R542"/>
      <c r="S542"/>
      <c r="T542"/>
      <c r="U542"/>
      <c r="AF542"/>
      <c r="AG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</row>
    <row r="543" spans="1:49" s="2" customFormat="1" ht="0" hidden="1" customHeight="1">
      <c r="A543"/>
      <c r="B543"/>
      <c r="C543"/>
      <c r="D543"/>
      <c r="E543" s="178" t="s">
        <v>295</v>
      </c>
      <c r="F543" s="178" t="s">
        <v>72</v>
      </c>
      <c r="G543" s="169"/>
      <c r="H543" s="181" t="str">
        <f>VLOOKUP(E543&amp;F543,'[1]MV+BI'!$E$8:$K$375,3,FALSE)</f>
        <v>Em Teste - Alteração EF</v>
      </c>
      <c r="I543" s="182" t="str">
        <f>VLOOKUP(E543&amp;F543,'[1]MV+BI'!$E$8:$K$375,4,FALSE)</f>
        <v>-</v>
      </c>
      <c r="J543" s="93"/>
      <c r="K543" s="172">
        <f>VLOOKUP(E543&amp;F543,'[1]MV+BI'!$E$8:$K$375,7,FALSE)</f>
        <v>45450</v>
      </c>
      <c r="L543"/>
      <c r="M543"/>
      <c r="N543"/>
      <c r="O543"/>
      <c r="P543"/>
      <c r="Q543"/>
      <c r="R543"/>
      <c r="S543"/>
      <c r="T543"/>
      <c r="U543"/>
      <c r="AF543"/>
      <c r="AG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</row>
    <row r="544" spans="1:49" s="2" customFormat="1" ht="0" hidden="1" customHeight="1">
      <c r="A544"/>
      <c r="B544"/>
      <c r="C544"/>
      <c r="D544"/>
      <c r="E544" s="178" t="s">
        <v>295</v>
      </c>
      <c r="F544" s="178" t="s">
        <v>296</v>
      </c>
      <c r="G544" s="169"/>
      <c r="H544" s="181" t="str">
        <f>VLOOKUP(E544&amp;F544,'[1]MV+BI'!$E$8:$K$375,3,FALSE)</f>
        <v>Em Teste - Alteração EF</v>
      </c>
      <c r="I544" s="182" t="str">
        <f>VLOOKUP(E544&amp;F544,'[1]MV+BI'!$E$8:$K$375,4,FALSE)</f>
        <v>-</v>
      </c>
      <c r="J544" s="93"/>
      <c r="K544" s="172">
        <f>VLOOKUP(E544&amp;F544,'[1]MV+BI'!$E$8:$K$375,7,FALSE)</f>
        <v>45450</v>
      </c>
      <c r="L544"/>
      <c r="M544"/>
      <c r="N544"/>
      <c r="O544"/>
      <c r="P544"/>
      <c r="Q544"/>
      <c r="R544"/>
      <c r="S544"/>
      <c r="T544"/>
      <c r="U544"/>
      <c r="AF544"/>
      <c r="AG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</row>
    <row r="545" spans="1:49" s="2" customFormat="1" ht="0" hidden="1" customHeight="1">
      <c r="A545"/>
      <c r="B545"/>
      <c r="C545"/>
      <c r="D545"/>
      <c r="E545" s="178" t="s">
        <v>295</v>
      </c>
      <c r="F545" s="180" t="s">
        <v>297</v>
      </c>
      <c r="G545" s="169"/>
      <c r="H545" s="181" t="str">
        <f>VLOOKUP(E545&amp;F545,'[1]MV+BI'!$E$8:$K$375,3,FALSE)</f>
        <v>Em Teste - Alteração EF</v>
      </c>
      <c r="I545" s="182" t="str">
        <f>VLOOKUP(E545&amp;F545,'[1]MV+BI'!$E$8:$K$375,4,FALSE)</f>
        <v>-</v>
      </c>
      <c r="J545" s="93"/>
      <c r="K545" s="172">
        <f>VLOOKUP(E545&amp;F545,'[1]MV+BI'!$E$8:$K$375,7,FALSE)</f>
        <v>45450</v>
      </c>
      <c r="L545"/>
      <c r="M545"/>
      <c r="N545"/>
      <c r="O545"/>
      <c r="P545"/>
      <c r="Q545"/>
      <c r="R545"/>
      <c r="S545"/>
      <c r="T545"/>
      <c r="U545"/>
      <c r="AF545"/>
      <c r="AG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</row>
    <row r="546" spans="1:49" s="2" customFormat="1" ht="0" hidden="1" customHeight="1">
      <c r="A546"/>
      <c r="B546"/>
      <c r="C546"/>
      <c r="D546"/>
      <c r="E546" s="178" t="s">
        <v>295</v>
      </c>
      <c r="F546" s="180" t="s">
        <v>298</v>
      </c>
      <c r="G546" s="169"/>
      <c r="H546" s="181" t="str">
        <f>VLOOKUP(E546&amp;F546,'[1]MV+BI'!$E$8:$K$375,3,FALSE)</f>
        <v>Em Teste - Alteração EF</v>
      </c>
      <c r="I546" s="182" t="str">
        <f>VLOOKUP(E546&amp;F546,'[1]MV+BI'!$E$8:$K$375,4,FALSE)</f>
        <v>-</v>
      </c>
      <c r="J546" s="93"/>
      <c r="K546" s="172">
        <f>VLOOKUP(E546&amp;F546,'[1]MV+BI'!$E$8:$K$375,7,FALSE)</f>
        <v>45450</v>
      </c>
      <c r="L546"/>
      <c r="M546"/>
      <c r="N546"/>
      <c r="O546"/>
      <c r="P546"/>
      <c r="Q546"/>
      <c r="R546"/>
      <c r="S546"/>
      <c r="T546"/>
      <c r="U546"/>
      <c r="AF546"/>
      <c r="AG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</row>
    <row r="547" spans="1:49" s="2" customFormat="1" ht="0" hidden="1" customHeight="1">
      <c r="A547"/>
      <c r="B547"/>
      <c r="C547"/>
      <c r="D547"/>
      <c r="E547" s="178" t="s">
        <v>295</v>
      </c>
      <c r="F547" s="180" t="s">
        <v>299</v>
      </c>
      <c r="G547" s="169"/>
      <c r="H547" s="181" t="str">
        <f>VLOOKUP(E547&amp;F547,'[1]MV+BI'!$E$8:$K$375,3,FALSE)</f>
        <v>Em Teste - Alteração EF</v>
      </c>
      <c r="I547" s="182" t="str">
        <f>VLOOKUP(E547&amp;F547,'[1]MV+BI'!$E$8:$K$375,4,FALSE)</f>
        <v>-</v>
      </c>
      <c r="J547" s="93"/>
      <c r="K547" s="172">
        <f>VLOOKUP(E547&amp;F547,'[1]MV+BI'!$E$8:$K$375,7,FALSE)</f>
        <v>45450</v>
      </c>
      <c r="L547"/>
      <c r="M547"/>
      <c r="N547"/>
      <c r="O547"/>
      <c r="P547"/>
      <c r="Q547"/>
      <c r="R547"/>
      <c r="S547"/>
      <c r="T547"/>
      <c r="U547"/>
      <c r="AF547"/>
      <c r="AG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</row>
    <row r="548" spans="1:49" s="2" customFormat="1" ht="0" hidden="1" customHeight="1">
      <c r="A548"/>
      <c r="B548"/>
      <c r="C548"/>
      <c r="D548"/>
      <c r="E548" s="178" t="s">
        <v>295</v>
      </c>
      <c r="F548" s="180" t="s">
        <v>300</v>
      </c>
      <c r="G548" s="169"/>
      <c r="H548" s="181" t="str">
        <f>VLOOKUP(E548&amp;F548,'[1]MV+BI'!$E$8:$K$375,3,FALSE)</f>
        <v>Em Teste - Alteração EF</v>
      </c>
      <c r="I548" s="182" t="str">
        <f>VLOOKUP(E548&amp;F548,'[1]MV+BI'!$E$8:$K$375,4,FALSE)</f>
        <v>-</v>
      </c>
      <c r="J548" s="93"/>
      <c r="K548" s="172">
        <f>VLOOKUP(E548&amp;F548,'[1]MV+BI'!$E$8:$K$375,7,FALSE)</f>
        <v>45450</v>
      </c>
      <c r="L548"/>
      <c r="M548"/>
      <c r="N548"/>
      <c r="O548"/>
      <c r="P548"/>
      <c r="Q548"/>
      <c r="R548"/>
      <c r="S548"/>
      <c r="T548"/>
      <c r="U548"/>
      <c r="AF548"/>
      <c r="AG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</row>
    <row r="549" spans="1:49" s="2" customFormat="1" ht="0" hidden="1" customHeight="1">
      <c r="A549"/>
      <c r="B549"/>
      <c r="C549"/>
      <c r="D549"/>
      <c r="E549" s="178" t="s">
        <v>295</v>
      </c>
      <c r="F549" s="178" t="s">
        <v>67</v>
      </c>
      <c r="G549" s="169"/>
      <c r="H549" s="181" t="str">
        <f>VLOOKUP(E549&amp;F549,'[1]MV+BI'!$E$8:$K$375,3,FALSE)</f>
        <v>Em Teste - Alteração EF</v>
      </c>
      <c r="I549" s="182" t="str">
        <f>VLOOKUP(E549&amp;F549,'[1]MV+BI'!$E$8:$K$375,4,FALSE)</f>
        <v>-</v>
      </c>
      <c r="J549" s="93"/>
      <c r="K549" s="172">
        <f>VLOOKUP(E549&amp;F549,'[1]MV+BI'!$E$8:$K$375,7,FALSE)</f>
        <v>45450</v>
      </c>
      <c r="L549"/>
      <c r="M549"/>
      <c r="N549"/>
      <c r="O549"/>
      <c r="P549"/>
      <c r="Q549"/>
      <c r="R549"/>
      <c r="S549"/>
      <c r="T549"/>
      <c r="U549"/>
      <c r="AF549"/>
      <c r="AG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</row>
    <row r="550" spans="1:49" s="2" customFormat="1" ht="0" hidden="1" customHeight="1">
      <c r="A550"/>
      <c r="B550"/>
      <c r="C550"/>
      <c r="D550"/>
      <c r="E550" s="178" t="s">
        <v>295</v>
      </c>
      <c r="F550" s="178" t="s">
        <v>6</v>
      </c>
      <c r="G550" s="169"/>
      <c r="H550" s="181" t="str">
        <f>VLOOKUP(E550&amp;F550,'[1]MV+BI'!$E$8:$K$375,3,FALSE)</f>
        <v>Em Teste - Alteração EF</v>
      </c>
      <c r="I550" s="182" t="str">
        <f>VLOOKUP(E550&amp;F550,'[1]MV+BI'!$E$8:$K$375,4,FALSE)</f>
        <v>-</v>
      </c>
      <c r="J550" s="93"/>
      <c r="K550" s="172">
        <f>VLOOKUP(E550&amp;F550,'[1]MV+BI'!$E$8:$K$375,7,FALSE)</f>
        <v>45450</v>
      </c>
      <c r="L550"/>
      <c r="M550"/>
      <c r="N550"/>
      <c r="O550"/>
      <c r="P550"/>
      <c r="Q550"/>
      <c r="R550"/>
      <c r="S550"/>
      <c r="T550"/>
      <c r="U550"/>
      <c r="AF550"/>
      <c r="AG550"/>
    </row>
    <row r="551" spans="1:49" s="2" customFormat="1" ht="0" hidden="1" customHeight="1">
      <c r="A551"/>
      <c r="B551"/>
      <c r="C551"/>
      <c r="D551"/>
      <c r="E551"/>
      <c r="F551"/>
      <c r="G551"/>
      <c r="H551"/>
      <c r="I551"/>
      <c r="J551"/>
      <c r="K551" s="1"/>
      <c r="L551"/>
      <c r="M551"/>
      <c r="N551"/>
      <c r="O551"/>
      <c r="P551"/>
      <c r="Q551"/>
      <c r="R551"/>
      <c r="S551"/>
      <c r="T551"/>
      <c r="U551"/>
      <c r="AF551"/>
      <c r="AG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</row>
    <row r="552" spans="1:49" s="2" customFormat="1" ht="0" hidden="1" customHeight="1">
      <c r="A552"/>
      <c r="B552"/>
      <c r="C552"/>
      <c r="D552"/>
      <c r="E552"/>
      <c r="F552"/>
      <c r="G552"/>
      <c r="H552"/>
      <c r="I552"/>
      <c r="J552"/>
      <c r="K552" s="1"/>
      <c r="L552"/>
      <c r="M552"/>
      <c r="N552"/>
      <c r="O552"/>
      <c r="P552"/>
      <c r="Q552"/>
      <c r="R552"/>
      <c r="S552"/>
      <c r="T552"/>
      <c r="U552"/>
      <c r="AF552"/>
      <c r="AG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</row>
    <row r="553" spans="1:49" s="2" customFormat="1" ht="0" hidden="1" customHeight="1">
      <c r="A553"/>
      <c r="B553"/>
      <c r="C553"/>
      <c r="D553"/>
      <c r="E553"/>
      <c r="F553"/>
      <c r="G553"/>
      <c r="H553"/>
      <c r="I553"/>
      <c r="J553"/>
      <c r="K553" s="1"/>
      <c r="L553"/>
      <c r="M553"/>
      <c r="N553"/>
      <c r="O553"/>
      <c r="P553"/>
      <c r="Q553"/>
      <c r="R553"/>
      <c r="S553"/>
      <c r="T553"/>
      <c r="U553"/>
      <c r="AF553"/>
      <c r="AG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</row>
    <row r="554" spans="1:49" ht="0" hidden="1" customHeight="1"/>
    <row r="555" spans="1:49" ht="0" hidden="1" customHeight="1"/>
    <row r="556" spans="1:49" s="2" customFormat="1" ht="0" hidden="1" customHeight="1">
      <c r="A556"/>
      <c r="B556"/>
      <c r="C556"/>
      <c r="D556"/>
      <c r="E556"/>
      <c r="F556"/>
      <c r="G556"/>
      <c r="H556"/>
      <c r="I556"/>
      <c r="J556"/>
      <c r="K556" s="1"/>
      <c r="L556"/>
      <c r="M556"/>
      <c r="N556"/>
      <c r="O556"/>
      <c r="P556"/>
      <c r="Q556"/>
      <c r="R556"/>
      <c r="S556"/>
      <c r="T556"/>
      <c r="U556"/>
      <c r="AF556"/>
      <c r="AG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</row>
    <row r="557" spans="1:49" s="2" customFormat="1" ht="13.95" hidden="1" customHeight="1">
      <c r="A557"/>
      <c r="B557"/>
      <c r="C557"/>
      <c r="D557"/>
      <c r="E557"/>
      <c r="F557"/>
      <c r="G557"/>
      <c r="H557"/>
      <c r="I557"/>
      <c r="J557"/>
      <c r="K557" s="1"/>
      <c r="L557"/>
      <c r="M557"/>
      <c r="N557"/>
      <c r="O557"/>
      <c r="P557"/>
      <c r="Q557"/>
      <c r="R557"/>
      <c r="S557"/>
      <c r="T557"/>
      <c r="U557"/>
      <c r="AF557"/>
      <c r="AG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</row>
    <row r="558" spans="1:49" s="2" customFormat="1" ht="13.95" hidden="1" customHeight="1">
      <c r="A558"/>
      <c r="B558"/>
      <c r="C558"/>
      <c r="D558"/>
      <c r="E558"/>
      <c r="F558"/>
      <c r="G558"/>
      <c r="H558"/>
      <c r="I558"/>
      <c r="J558"/>
      <c r="K558" s="1"/>
      <c r="L558"/>
      <c r="M558"/>
      <c r="N558"/>
      <c r="O558"/>
      <c r="P558"/>
      <c r="Q558"/>
      <c r="R558"/>
      <c r="S558"/>
      <c r="T558"/>
      <c r="U558"/>
      <c r="AF558"/>
      <c r="AG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</row>
    <row r="559" spans="1:49" s="2" customFormat="1" ht="13.95" hidden="1" customHeight="1">
      <c r="A559"/>
      <c r="B559"/>
      <c r="C559"/>
      <c r="D559"/>
      <c r="E559"/>
      <c r="F559"/>
      <c r="G559"/>
      <c r="H559"/>
      <c r="I559"/>
      <c r="J559"/>
      <c r="K559" s="1"/>
      <c r="L559"/>
      <c r="M559"/>
      <c r="N559"/>
      <c r="O559"/>
      <c r="P559"/>
      <c r="Q559"/>
      <c r="R559"/>
      <c r="S559"/>
      <c r="T559"/>
      <c r="U559"/>
      <c r="AF559"/>
      <c r="AG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</row>
    <row r="560" spans="1:49" s="2" customFormat="1" ht="13.95" hidden="1" customHeight="1">
      <c r="A560"/>
      <c r="B560"/>
      <c r="C560"/>
      <c r="D560"/>
      <c r="E560"/>
      <c r="F560"/>
      <c r="G560"/>
      <c r="H560"/>
      <c r="I560"/>
      <c r="J560"/>
      <c r="K560" s="1"/>
      <c r="L560"/>
      <c r="M560"/>
      <c r="N560"/>
      <c r="O560"/>
      <c r="P560"/>
      <c r="Q560"/>
      <c r="R560"/>
      <c r="S560"/>
      <c r="T560"/>
      <c r="U560"/>
      <c r="AF560"/>
      <c r="AG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</row>
    <row r="561" spans="1:49" s="2" customFormat="1" ht="13.95" hidden="1" customHeight="1">
      <c r="A561"/>
      <c r="B561"/>
      <c r="C561"/>
      <c r="D561"/>
      <c r="E561"/>
      <c r="F561"/>
      <c r="G561"/>
      <c r="H561"/>
      <c r="I561"/>
      <c r="J561"/>
      <c r="K561" s="1"/>
      <c r="L561"/>
      <c r="M561"/>
      <c r="N561"/>
      <c r="O561"/>
      <c r="P561"/>
      <c r="Q561"/>
      <c r="R561"/>
      <c r="S561"/>
      <c r="T561"/>
      <c r="U561"/>
      <c r="AF561"/>
      <c r="AG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</row>
    <row r="562" spans="1:49" s="2" customFormat="1" ht="0" hidden="1" customHeight="1">
      <c r="A562"/>
      <c r="B562"/>
      <c r="C562"/>
      <c r="D562"/>
      <c r="E562"/>
      <c r="F562"/>
      <c r="G562"/>
      <c r="H562"/>
      <c r="I562"/>
      <c r="J562"/>
      <c r="K562" s="1"/>
      <c r="L562"/>
      <c r="M562"/>
      <c r="N562"/>
      <c r="O562"/>
      <c r="P562"/>
      <c r="Q562"/>
      <c r="R562"/>
      <c r="S562"/>
      <c r="T562"/>
      <c r="U562"/>
      <c r="AF562"/>
      <c r="AG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</row>
    <row r="563" spans="1:49" s="2" customFormat="1" ht="0" hidden="1" customHeight="1">
      <c r="A563"/>
      <c r="B563"/>
      <c r="C563"/>
      <c r="D563"/>
      <c r="E563"/>
      <c r="F563"/>
      <c r="G563"/>
      <c r="H563"/>
      <c r="I563"/>
      <c r="J563"/>
      <c r="K563" s="1"/>
      <c r="L563"/>
      <c r="M563"/>
      <c r="N563"/>
      <c r="O563"/>
      <c r="P563"/>
      <c r="Q563"/>
      <c r="R563"/>
      <c r="S563"/>
      <c r="T563"/>
      <c r="U563"/>
      <c r="AF563"/>
      <c r="AG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</row>
    <row r="564" spans="1:49" ht="0" hidden="1" customHeight="1"/>
    <row r="565" spans="1:49" ht="0" hidden="1" customHeight="1"/>
    <row r="566" spans="1:49" ht="0" hidden="1" customHeight="1"/>
    <row r="567" spans="1:49" ht="0" hidden="1" customHeight="1"/>
    <row r="568" spans="1:49" ht="0" hidden="1" customHeight="1"/>
    <row r="569" spans="1:49" ht="0" hidden="1" customHeight="1"/>
    <row r="570" spans="1:49" ht="0" hidden="1" customHeight="1"/>
    <row r="571" spans="1:49" ht="13.95" hidden="1" customHeight="1"/>
    <row r="572" spans="1:49" ht="13.95" hidden="1" customHeight="1"/>
    <row r="573" spans="1:49" ht="13.95" hidden="1" customHeight="1"/>
    <row r="574" spans="1:49" ht="13.95" hidden="1" customHeight="1"/>
    <row r="575" spans="1:49" ht="13.95" hidden="1" customHeight="1"/>
    <row r="576" spans="1:49" ht="13.95" hidden="1" customHeight="1"/>
    <row r="577" ht="13.95" hidden="1" customHeight="1"/>
    <row r="578" ht="0" hidden="1" customHeight="1"/>
    <row r="579" ht="0" hidden="1" customHeight="1"/>
    <row r="580" ht="0" hidden="1" customHeight="1"/>
    <row r="581" ht="0" hidden="1" customHeight="1"/>
    <row r="582" ht="0" hidden="1" customHeight="1"/>
    <row r="583" ht="0" hidden="1" customHeight="1"/>
    <row r="584" ht="0" hidden="1" customHeight="1"/>
    <row r="585" ht="0" hidden="1" customHeight="1"/>
    <row r="586" ht="0" hidden="1" customHeight="1"/>
    <row r="587" ht="0" hidden="1" customHeight="1"/>
    <row r="588" ht="0" hidden="1" customHeight="1"/>
    <row r="589" ht="0" hidden="1" customHeight="1"/>
    <row r="590" ht="0" hidden="1" customHeight="1"/>
    <row r="591" ht="0" hidden="1" customHeight="1"/>
    <row r="592" ht="0" hidden="1" customHeight="1"/>
    <row r="593" ht="0" hidden="1" customHeight="1"/>
    <row r="594" ht="0" hidden="1" customHeight="1"/>
    <row r="595" ht="0" hidden="1" customHeight="1"/>
    <row r="596" ht="0" hidden="1" customHeight="1"/>
    <row r="597" ht="0" hidden="1" customHeight="1"/>
    <row r="598" ht="0" hidden="1" customHeight="1"/>
    <row r="599" ht="0" hidden="1" customHeight="1"/>
    <row r="600" ht="0" hidden="1" customHeight="1"/>
    <row r="601" ht="0" hidden="1" customHeight="1"/>
    <row r="602" ht="0" hidden="1" customHeight="1"/>
    <row r="603" ht="0" hidden="1" customHeight="1"/>
    <row r="604" ht="0" hidden="1" customHeight="1"/>
    <row r="605" ht="0" hidden="1" customHeight="1"/>
    <row r="606" ht="0" hidden="1" customHeight="1"/>
    <row r="607" ht="0" hidden="1" customHeight="1"/>
    <row r="608" ht="0" hidden="1" customHeight="1"/>
    <row r="609" ht="0" hidden="1" customHeight="1"/>
    <row r="610" ht="0" hidden="1" customHeight="1"/>
    <row r="611" ht="0" hidden="1" customHeight="1"/>
    <row r="612" ht="0" hidden="1" customHeight="1"/>
    <row r="613" ht="0" hidden="1" customHeight="1"/>
    <row r="614" ht="0" hidden="1" customHeight="1"/>
    <row r="615" ht="0" hidden="1" customHeight="1"/>
    <row r="616" ht="0" hidden="1" customHeight="1"/>
    <row r="617" ht="0" hidden="1" customHeight="1"/>
    <row r="618" ht="0" hidden="1" customHeight="1"/>
    <row r="619" ht="0" hidden="1" customHeight="1"/>
    <row r="620" ht="0" hidden="1" customHeight="1"/>
    <row r="621" ht="0" hidden="1" customHeight="1"/>
    <row r="622" ht="0" hidden="1" customHeight="1"/>
    <row r="623" ht="0" hidden="1" customHeight="1"/>
    <row r="624" ht="0" hidden="1" customHeight="1"/>
    <row r="625" ht="0" hidden="1" customHeight="1"/>
    <row r="626" ht="0" hidden="1" customHeight="1"/>
    <row r="627" ht="0" hidden="1" customHeight="1"/>
    <row r="628" ht="0" hidden="1" customHeight="1"/>
    <row r="629" ht="0" hidden="1" customHeight="1"/>
    <row r="630" ht="0" hidden="1" customHeight="1"/>
    <row r="631" ht="0" hidden="1" customHeight="1"/>
    <row r="632" ht="0" hidden="1" customHeight="1"/>
    <row r="633" ht="0" hidden="1" customHeight="1"/>
    <row r="634" ht="0" hidden="1" customHeight="1"/>
    <row r="635" ht="0" hidden="1" customHeight="1"/>
    <row r="636" ht="0" hidden="1" customHeight="1"/>
    <row r="637" ht="0" hidden="1" customHeight="1"/>
    <row r="638" ht="0" hidden="1" customHeight="1"/>
    <row r="639" ht="0" hidden="1" customHeight="1"/>
    <row r="640" ht="0" hidden="1" customHeight="1"/>
    <row r="641" ht="0" hidden="1" customHeight="1"/>
    <row r="642" ht="0" hidden="1" customHeight="1"/>
    <row r="643" ht="0" hidden="1" customHeight="1"/>
    <row r="644" ht="0" hidden="1" customHeight="1"/>
    <row r="645" ht="0" hidden="1" customHeight="1"/>
    <row r="646" ht="0" hidden="1" customHeight="1"/>
    <row r="647" ht="0" hidden="1" customHeight="1"/>
    <row r="648" ht="0" hidden="1" customHeight="1"/>
    <row r="649" ht="0" hidden="1" customHeight="1"/>
    <row r="650" ht="0" hidden="1" customHeight="1"/>
    <row r="651" ht="0" hidden="1" customHeight="1"/>
    <row r="652" ht="0" hidden="1" customHeight="1"/>
    <row r="653" ht="0" hidden="1" customHeight="1"/>
    <row r="654" ht="0" hidden="1" customHeight="1"/>
    <row r="655" ht="0" hidden="1" customHeight="1"/>
    <row r="656" ht="0" hidden="1" customHeight="1"/>
    <row r="657" ht="0" hidden="1" customHeight="1"/>
    <row r="658" ht="0" hidden="1" customHeight="1"/>
    <row r="659" ht="0" hidden="1" customHeight="1"/>
    <row r="660" ht="0" hidden="1" customHeight="1"/>
    <row r="661" ht="0" hidden="1" customHeight="1"/>
    <row r="662" ht="0" hidden="1" customHeight="1"/>
    <row r="663" ht="0" hidden="1" customHeight="1"/>
    <row r="664" ht="0" hidden="1" customHeight="1"/>
    <row r="665" ht="0" hidden="1" customHeight="1"/>
    <row r="666" ht="0" hidden="1" customHeight="1"/>
    <row r="667" ht="0" hidden="1" customHeight="1"/>
    <row r="668" ht="0" hidden="1" customHeight="1"/>
    <row r="669" ht="0" hidden="1" customHeight="1"/>
    <row r="670" ht="0" hidden="1" customHeight="1"/>
    <row r="671" ht="0" hidden="1" customHeight="1"/>
    <row r="672" ht="0" hidden="1" customHeight="1"/>
    <row r="673" ht="0" hidden="1" customHeight="1"/>
    <row r="674" ht="0" hidden="1" customHeight="1"/>
    <row r="675" ht="0" hidden="1" customHeight="1"/>
    <row r="676" ht="0" hidden="1" customHeight="1"/>
    <row r="677" ht="0" hidden="1" customHeight="1"/>
    <row r="678" ht="0" hidden="1" customHeight="1"/>
    <row r="679" ht="0" hidden="1" customHeight="1"/>
    <row r="680" ht="0" hidden="1" customHeight="1"/>
    <row r="681" ht="0" hidden="1" customHeight="1"/>
    <row r="682" ht="0" hidden="1" customHeight="1"/>
    <row r="683" ht="0" hidden="1" customHeight="1"/>
    <row r="684" ht="0" hidden="1" customHeight="1"/>
    <row r="685" ht="0" hidden="1" customHeight="1"/>
    <row r="686" ht="0" hidden="1" customHeight="1"/>
    <row r="687" ht="0" hidden="1" customHeight="1"/>
    <row r="688" ht="0" hidden="1" customHeight="1"/>
    <row r="689" ht="0" hidden="1" customHeight="1"/>
    <row r="690" ht="0" hidden="1" customHeight="1"/>
    <row r="691" ht="0" hidden="1" customHeight="1"/>
    <row r="692" ht="0" hidden="1" customHeight="1"/>
    <row r="693" ht="0" hidden="1" customHeight="1"/>
    <row r="694" ht="0" hidden="1" customHeight="1"/>
    <row r="695" ht="0" hidden="1" customHeight="1"/>
    <row r="696" ht="0" hidden="1" customHeight="1"/>
    <row r="697" ht="0" hidden="1" customHeight="1"/>
    <row r="698" ht="0" hidden="1" customHeight="1"/>
    <row r="699" ht="0" hidden="1" customHeight="1"/>
    <row r="700" ht="0" hidden="1" customHeight="1"/>
    <row r="701" ht="0" hidden="1" customHeight="1"/>
    <row r="702" ht="0" hidden="1" customHeight="1"/>
    <row r="703" ht="0" hidden="1" customHeight="1"/>
    <row r="704" ht="0" hidden="1" customHeight="1"/>
    <row r="705" ht="0" hidden="1" customHeight="1"/>
    <row r="706" ht="0" hidden="1" customHeight="1"/>
    <row r="707" ht="0" hidden="1" customHeight="1"/>
    <row r="708" ht="0" hidden="1" customHeight="1"/>
    <row r="709" ht="0" hidden="1" customHeight="1"/>
    <row r="710" ht="0" hidden="1" customHeight="1"/>
    <row r="711" ht="0" hidden="1" customHeight="1"/>
    <row r="712" ht="0" hidden="1" customHeight="1"/>
    <row r="713" ht="0" hidden="1" customHeight="1"/>
    <row r="714" ht="0" hidden="1" customHeight="1"/>
    <row r="715" ht="0" hidden="1" customHeight="1"/>
    <row r="716" ht="0" hidden="1" customHeight="1"/>
    <row r="717" ht="0" hidden="1" customHeight="1"/>
    <row r="718" ht="0" hidden="1" customHeight="1"/>
    <row r="719" ht="0" hidden="1" customHeight="1"/>
    <row r="720" ht="0" hidden="1" customHeight="1"/>
    <row r="721" ht="0" hidden="1" customHeight="1"/>
    <row r="722" ht="0" hidden="1" customHeight="1"/>
    <row r="723" ht="0" hidden="1" customHeight="1"/>
    <row r="724" ht="0" hidden="1" customHeight="1"/>
    <row r="725" ht="0" hidden="1" customHeight="1"/>
    <row r="726" ht="0" hidden="1" customHeight="1"/>
    <row r="727" ht="0" hidden="1" customHeight="1"/>
    <row r="728" ht="0" hidden="1" customHeight="1"/>
    <row r="729" ht="0" hidden="1" customHeight="1"/>
    <row r="730" ht="0" hidden="1" customHeight="1"/>
    <row r="731" ht="0" hidden="1" customHeight="1"/>
    <row r="732" ht="0" hidden="1" customHeight="1"/>
    <row r="733" ht="0" hidden="1" customHeight="1"/>
    <row r="734" ht="0" hidden="1" customHeight="1"/>
    <row r="735" ht="0" hidden="1" customHeight="1"/>
    <row r="736" ht="0" hidden="1" customHeight="1"/>
    <row r="737" ht="0" hidden="1" customHeight="1"/>
    <row r="738" ht="0" hidden="1" customHeight="1"/>
    <row r="739" ht="0" hidden="1" customHeight="1"/>
    <row r="740" ht="0" hidden="1" customHeight="1"/>
    <row r="741" ht="0" hidden="1" customHeight="1"/>
    <row r="742" ht="0" hidden="1" customHeight="1"/>
    <row r="743" ht="0" hidden="1" customHeight="1"/>
    <row r="744" ht="0" hidden="1" customHeight="1"/>
    <row r="745" ht="0" hidden="1" customHeight="1"/>
    <row r="746" ht="0" hidden="1" customHeight="1"/>
    <row r="747" ht="0" hidden="1" customHeight="1"/>
    <row r="748" ht="0" hidden="1" customHeight="1"/>
    <row r="749" ht="0" hidden="1" customHeight="1"/>
    <row r="750" ht="0" hidden="1" customHeight="1"/>
    <row r="751" ht="0" hidden="1" customHeight="1"/>
    <row r="752" ht="0" hidden="1" customHeight="1"/>
    <row r="753" ht="0" hidden="1" customHeight="1"/>
    <row r="754" ht="0" hidden="1" customHeight="1"/>
    <row r="755" ht="0" hidden="1" customHeight="1"/>
    <row r="756" ht="0" hidden="1" customHeight="1"/>
    <row r="757" ht="0" hidden="1" customHeight="1"/>
    <row r="758" ht="0" hidden="1" customHeight="1"/>
    <row r="759" ht="0" hidden="1" customHeight="1"/>
    <row r="760" ht="0" hidden="1" customHeight="1"/>
    <row r="761" ht="0" hidden="1" customHeight="1"/>
    <row r="762" ht="0" hidden="1" customHeight="1"/>
    <row r="763" ht="0" hidden="1" customHeight="1"/>
    <row r="764" ht="0" hidden="1" customHeight="1"/>
    <row r="765" ht="0" hidden="1" customHeight="1"/>
    <row r="766" ht="0" hidden="1" customHeight="1"/>
    <row r="767" ht="0" hidden="1" customHeight="1"/>
    <row r="768" ht="0" hidden="1" customHeight="1"/>
    <row r="769" ht="0" hidden="1" customHeight="1"/>
    <row r="770" ht="0" hidden="1" customHeight="1"/>
    <row r="771" ht="0" hidden="1" customHeight="1"/>
    <row r="772" ht="0" hidden="1" customHeight="1"/>
    <row r="773" ht="0" hidden="1" customHeight="1"/>
    <row r="774" ht="0" hidden="1" customHeight="1"/>
    <row r="775" ht="0" hidden="1" customHeight="1"/>
    <row r="776" ht="0" hidden="1" customHeight="1"/>
    <row r="777" ht="0" hidden="1" customHeight="1"/>
    <row r="778" ht="0" hidden="1" customHeight="1"/>
    <row r="779" ht="0" hidden="1" customHeight="1"/>
    <row r="780" ht="0" hidden="1" customHeight="1"/>
    <row r="781" ht="0" hidden="1" customHeight="1"/>
    <row r="782" ht="0" hidden="1" customHeight="1"/>
    <row r="783" ht="0" hidden="1" customHeight="1"/>
    <row r="784" ht="0" hidden="1" customHeight="1"/>
    <row r="785" ht="0" hidden="1" customHeight="1"/>
    <row r="786" ht="0" hidden="1" customHeight="1"/>
    <row r="787" ht="0" hidden="1" customHeight="1"/>
    <row r="788" ht="0" hidden="1" customHeight="1"/>
    <row r="789" ht="0" hidden="1" customHeight="1"/>
    <row r="790" ht="0" hidden="1" customHeight="1"/>
    <row r="791" ht="0" hidden="1" customHeight="1"/>
    <row r="792" ht="0" hidden="1" customHeight="1"/>
    <row r="793" ht="0" hidden="1" customHeight="1"/>
    <row r="794" ht="0" hidden="1" customHeight="1"/>
    <row r="795" ht="0" hidden="1" customHeight="1"/>
    <row r="796" ht="0" hidden="1" customHeight="1"/>
    <row r="797" ht="0" hidden="1" customHeight="1"/>
    <row r="798" ht="0" hidden="1" customHeight="1"/>
    <row r="799" ht="0" hidden="1" customHeight="1"/>
    <row r="800" ht="0" hidden="1" customHeight="1"/>
    <row r="801" ht="0" hidden="1" customHeight="1"/>
    <row r="802" ht="0" hidden="1" customHeight="1"/>
    <row r="803" ht="0" hidden="1" customHeight="1"/>
    <row r="804" ht="0" hidden="1" customHeight="1"/>
    <row r="805" ht="0" hidden="1" customHeight="1"/>
    <row r="806" ht="0" hidden="1" customHeight="1"/>
    <row r="807" ht="0" hidden="1" customHeight="1"/>
    <row r="808" ht="0" hidden="1" customHeight="1"/>
    <row r="809" ht="0" hidden="1" customHeight="1"/>
    <row r="810" ht="0" hidden="1" customHeight="1"/>
    <row r="811" ht="0" hidden="1" customHeight="1"/>
    <row r="812" ht="0" hidden="1" customHeight="1"/>
    <row r="813" ht="0" hidden="1" customHeight="1"/>
    <row r="814" ht="0" hidden="1" customHeight="1"/>
    <row r="815" ht="0" hidden="1" customHeight="1"/>
    <row r="816" ht="0" hidden="1" customHeight="1"/>
    <row r="817" ht="0" hidden="1" customHeight="1"/>
    <row r="818" ht="0" hidden="1" customHeight="1"/>
    <row r="819" ht="0" hidden="1" customHeight="1"/>
    <row r="820" ht="0" hidden="1" customHeight="1"/>
    <row r="821" ht="0" hidden="1" customHeight="1"/>
    <row r="822" ht="0" hidden="1" customHeight="1"/>
    <row r="823" ht="0" hidden="1" customHeight="1"/>
    <row r="824" ht="0" hidden="1" customHeight="1"/>
    <row r="825" ht="0" hidden="1" customHeight="1"/>
    <row r="826" ht="0" hidden="1" customHeight="1"/>
    <row r="827" ht="0" hidden="1" customHeight="1"/>
    <row r="828" ht="0" hidden="1" customHeight="1"/>
    <row r="829" ht="0" hidden="1" customHeight="1"/>
    <row r="830" ht="0" hidden="1" customHeight="1"/>
    <row r="831" ht="0" hidden="1" customHeight="1"/>
    <row r="832" ht="0" hidden="1" customHeight="1"/>
    <row r="833" ht="0" hidden="1" customHeight="1"/>
    <row r="834" ht="0" hidden="1" customHeight="1"/>
    <row r="835" ht="0" hidden="1" customHeight="1"/>
    <row r="836" ht="0" hidden="1" customHeight="1"/>
    <row r="837" ht="0" hidden="1" customHeight="1"/>
    <row r="838" ht="0" hidden="1" customHeight="1"/>
    <row r="839" ht="0" hidden="1" customHeight="1"/>
    <row r="840" ht="0" hidden="1" customHeight="1"/>
    <row r="841" ht="0" hidden="1" customHeight="1"/>
    <row r="842" ht="0" hidden="1" customHeight="1"/>
    <row r="843" ht="0" hidden="1" customHeight="1"/>
    <row r="844" ht="0" hidden="1" customHeight="1"/>
    <row r="845" ht="0" hidden="1" customHeight="1"/>
    <row r="846" ht="0" hidden="1" customHeight="1"/>
    <row r="847" ht="0" hidden="1" customHeight="1"/>
    <row r="848" ht="0" hidden="1" customHeight="1"/>
    <row r="849" ht="0" hidden="1" customHeight="1"/>
    <row r="850" ht="0" hidden="1" customHeight="1"/>
    <row r="851" ht="0" hidden="1" customHeight="1"/>
    <row r="852" ht="0" hidden="1" customHeight="1"/>
    <row r="853" ht="0" hidden="1" customHeight="1"/>
    <row r="854" ht="0" hidden="1" customHeight="1"/>
    <row r="855" ht="0" hidden="1" customHeight="1"/>
    <row r="856" ht="0" hidden="1" customHeight="1"/>
    <row r="857" ht="0" hidden="1" customHeight="1"/>
    <row r="858" ht="0" hidden="1" customHeight="1"/>
    <row r="859" ht="0" hidden="1" customHeight="1"/>
    <row r="860" ht="0" hidden="1" customHeight="1"/>
    <row r="861" ht="0" hidden="1" customHeight="1"/>
    <row r="862" ht="0" hidden="1" customHeight="1"/>
    <row r="863" ht="0" hidden="1" customHeight="1"/>
    <row r="864" ht="0" hidden="1" customHeight="1"/>
    <row r="865" ht="0" hidden="1" customHeight="1"/>
    <row r="866" ht="0" hidden="1" customHeight="1"/>
    <row r="867" ht="0" hidden="1" customHeight="1"/>
    <row r="868" ht="0" hidden="1" customHeight="1"/>
    <row r="869" ht="0" hidden="1" customHeight="1"/>
    <row r="870" ht="0" hidden="1" customHeight="1"/>
    <row r="871" ht="0" hidden="1" customHeight="1"/>
    <row r="872" ht="0" hidden="1" customHeight="1"/>
    <row r="873" ht="0" hidden="1" customHeight="1"/>
    <row r="874" ht="0" hidden="1" customHeight="1"/>
    <row r="875" ht="0" hidden="1" customHeight="1"/>
    <row r="876" ht="0" hidden="1" customHeight="1"/>
    <row r="877" ht="0" hidden="1" customHeight="1"/>
    <row r="878" ht="0" hidden="1" customHeight="1"/>
    <row r="879" ht="0" hidden="1" customHeight="1"/>
    <row r="880" ht="0" hidden="1" customHeight="1"/>
    <row r="881" ht="0" hidden="1" customHeight="1"/>
    <row r="882" ht="0" hidden="1" customHeight="1"/>
    <row r="883" ht="0" hidden="1" customHeight="1"/>
    <row r="884" ht="0" hidden="1" customHeight="1"/>
    <row r="885" ht="0" hidden="1" customHeight="1"/>
    <row r="886" ht="0" hidden="1" customHeight="1"/>
    <row r="887" ht="0" hidden="1" customHeight="1"/>
    <row r="888" ht="0" hidden="1" customHeight="1"/>
    <row r="889" ht="0" hidden="1" customHeight="1"/>
    <row r="890" ht="0" hidden="1" customHeight="1"/>
    <row r="891" ht="0" hidden="1" customHeight="1"/>
    <row r="892" ht="0" hidden="1" customHeight="1"/>
    <row r="893" ht="0" hidden="1" customHeight="1"/>
    <row r="894" ht="0" hidden="1" customHeight="1"/>
    <row r="895" ht="0" hidden="1" customHeight="1"/>
    <row r="896" ht="0" hidden="1" customHeight="1"/>
    <row r="897" ht="0" hidden="1" customHeight="1"/>
    <row r="898" ht="0" hidden="1" customHeight="1"/>
    <row r="899" ht="0" hidden="1" customHeight="1"/>
    <row r="900" ht="0" hidden="1" customHeight="1"/>
    <row r="901" ht="0" hidden="1" customHeight="1"/>
    <row r="902" ht="0" hidden="1" customHeight="1"/>
    <row r="903" ht="0" hidden="1" customHeight="1"/>
    <row r="904" ht="0" hidden="1" customHeight="1"/>
    <row r="905" ht="0" hidden="1" customHeight="1"/>
    <row r="906" ht="0" hidden="1" customHeight="1"/>
    <row r="907" ht="0" hidden="1" customHeight="1"/>
    <row r="908" ht="0" hidden="1" customHeight="1"/>
    <row r="909" ht="0" hidden="1" customHeight="1"/>
    <row r="910" ht="0" hidden="1" customHeight="1"/>
    <row r="911" ht="0" hidden="1" customHeight="1"/>
    <row r="912" ht="0" hidden="1" customHeight="1"/>
    <row r="913" ht="0" hidden="1" customHeight="1"/>
    <row r="914" ht="0" hidden="1" customHeight="1"/>
    <row r="915" ht="0" hidden="1" customHeight="1"/>
    <row r="916" ht="0" hidden="1" customHeight="1"/>
    <row r="917" ht="0" hidden="1" customHeight="1"/>
    <row r="918" ht="0" hidden="1" customHeight="1"/>
    <row r="919" ht="0" hidden="1" customHeight="1"/>
    <row r="920" ht="0" hidden="1" customHeight="1"/>
    <row r="921" ht="0" hidden="1" customHeight="1"/>
    <row r="922" ht="0" hidden="1" customHeight="1"/>
    <row r="923" ht="0" hidden="1" customHeight="1"/>
    <row r="924" ht="0" hidden="1" customHeight="1"/>
    <row r="925" ht="0" hidden="1" customHeight="1"/>
    <row r="926" ht="0" hidden="1" customHeight="1"/>
    <row r="927" ht="0" hidden="1" customHeight="1"/>
    <row r="928" ht="0" hidden="1" customHeight="1"/>
    <row r="929" ht="0" hidden="1" customHeight="1"/>
    <row r="930" ht="0" hidden="1" customHeight="1"/>
    <row r="931" ht="0" hidden="1" customHeight="1"/>
    <row r="932" ht="0" hidden="1" customHeight="1"/>
    <row r="933" ht="0" hidden="1" customHeight="1"/>
    <row r="934" ht="0" hidden="1" customHeight="1"/>
    <row r="935" ht="0" hidden="1" customHeight="1"/>
    <row r="936" ht="0" hidden="1" customHeight="1"/>
    <row r="937" ht="0" hidden="1" customHeight="1"/>
    <row r="938" ht="0" hidden="1" customHeight="1"/>
    <row r="939" ht="0" hidden="1" customHeight="1"/>
    <row r="940" ht="0" hidden="1" customHeight="1"/>
    <row r="941" ht="0" hidden="1" customHeight="1"/>
    <row r="942" ht="0" hidden="1" customHeight="1"/>
    <row r="943" ht="0" hidden="1" customHeight="1"/>
    <row r="944" ht="0" hidden="1" customHeight="1"/>
    <row r="945" ht="0" hidden="1" customHeight="1"/>
    <row r="946" ht="0" hidden="1" customHeight="1"/>
    <row r="947" ht="0" hidden="1" customHeight="1"/>
    <row r="948" ht="0" hidden="1" customHeight="1"/>
    <row r="949" ht="0" hidden="1" customHeight="1"/>
    <row r="950" ht="0" hidden="1" customHeight="1"/>
    <row r="951" ht="0" hidden="1" customHeight="1"/>
    <row r="952" ht="0" hidden="1" customHeight="1"/>
    <row r="953" ht="0" hidden="1" customHeight="1"/>
    <row r="954" ht="0" hidden="1" customHeight="1"/>
    <row r="955" ht="0" hidden="1" customHeight="1"/>
    <row r="956" ht="0" hidden="1" customHeight="1"/>
    <row r="957" ht="0" hidden="1" customHeight="1"/>
    <row r="958" ht="0" hidden="1" customHeight="1"/>
    <row r="959" ht="0" hidden="1" customHeight="1"/>
    <row r="960" ht="0" hidden="1" customHeight="1"/>
    <row r="961" ht="0" hidden="1" customHeight="1"/>
    <row r="962" ht="0" hidden="1" customHeight="1"/>
    <row r="963" ht="0" hidden="1" customHeight="1"/>
    <row r="964" ht="0" hidden="1" customHeight="1"/>
    <row r="965" ht="0" hidden="1" customHeight="1"/>
    <row r="966" ht="0" hidden="1" customHeight="1"/>
    <row r="967" ht="0" hidden="1" customHeight="1"/>
    <row r="968" ht="0" hidden="1" customHeight="1"/>
    <row r="969" ht="0" hidden="1" customHeight="1"/>
    <row r="970" ht="0" hidden="1" customHeight="1"/>
    <row r="971" ht="0" hidden="1" customHeight="1"/>
    <row r="972" ht="0" hidden="1" customHeight="1"/>
    <row r="973" ht="0" hidden="1" customHeight="1"/>
    <row r="974" ht="0" hidden="1" customHeight="1"/>
    <row r="975" ht="0" hidden="1" customHeight="1"/>
    <row r="976" ht="0" hidden="1" customHeight="1"/>
    <row r="977" ht="0" hidden="1" customHeight="1"/>
    <row r="978" ht="0" hidden="1" customHeight="1"/>
    <row r="979" ht="0" hidden="1" customHeight="1"/>
    <row r="980" ht="0" hidden="1" customHeight="1"/>
    <row r="981" ht="0" hidden="1" customHeight="1"/>
    <row r="982" ht="0" hidden="1" customHeight="1"/>
    <row r="983" ht="0" hidden="1" customHeight="1"/>
    <row r="984" ht="0" hidden="1" customHeight="1"/>
    <row r="985" ht="0" hidden="1" customHeight="1"/>
    <row r="986" ht="0" hidden="1" customHeight="1"/>
    <row r="987" ht="0" hidden="1" customHeight="1"/>
    <row r="988" ht="0" hidden="1" customHeight="1"/>
    <row r="989" ht="0" hidden="1" customHeight="1"/>
    <row r="990" ht="0" hidden="1" customHeight="1"/>
    <row r="991" ht="0" hidden="1" customHeight="1"/>
    <row r="992" ht="0" hidden="1" customHeight="1"/>
    <row r="993" ht="0" hidden="1" customHeight="1"/>
    <row r="994" ht="0" hidden="1" customHeight="1"/>
    <row r="995" ht="0" hidden="1" customHeight="1"/>
    <row r="996" ht="0" hidden="1" customHeight="1"/>
    <row r="997" ht="0" hidden="1" customHeight="1"/>
    <row r="998" ht="0" hidden="1" customHeight="1"/>
    <row r="999" ht="0" hidden="1" customHeight="1"/>
    <row r="1000" ht="0" hidden="1" customHeight="1"/>
    <row r="1001" ht="0" hidden="1" customHeight="1"/>
    <row r="1002" ht="0" hidden="1" customHeight="1"/>
    <row r="1003" ht="0" hidden="1" customHeight="1"/>
    <row r="1004" ht="0" hidden="1" customHeight="1"/>
    <row r="1005" ht="0" hidden="1" customHeight="1"/>
    <row r="1006" ht="0" hidden="1" customHeight="1"/>
    <row r="1007" ht="0" hidden="1" customHeight="1"/>
    <row r="1008" ht="0" hidden="1" customHeight="1"/>
    <row r="1009" ht="0" hidden="1" customHeight="1"/>
    <row r="1010" ht="0" hidden="1" customHeight="1"/>
    <row r="1011" ht="0" hidden="1" customHeight="1"/>
    <row r="1012" ht="0" hidden="1" customHeight="1"/>
    <row r="1013" ht="0" hidden="1" customHeight="1"/>
    <row r="1014" ht="0" hidden="1" customHeight="1"/>
    <row r="1015" ht="0" hidden="1" customHeight="1"/>
    <row r="1016" ht="0" hidden="1" customHeight="1"/>
    <row r="1017" ht="0" hidden="1" customHeight="1"/>
    <row r="1018" ht="0" hidden="1" customHeight="1"/>
    <row r="1019" ht="0" hidden="1" customHeight="1"/>
    <row r="1020" ht="0" hidden="1" customHeight="1"/>
    <row r="1021" ht="0" hidden="1" customHeight="1"/>
    <row r="1022" ht="0" hidden="1" customHeight="1"/>
    <row r="1023" ht="0" hidden="1" customHeight="1"/>
    <row r="1024" ht="0" hidden="1" customHeight="1"/>
    <row r="1025" ht="0" hidden="1" customHeight="1"/>
    <row r="1026" ht="0" hidden="1" customHeight="1"/>
    <row r="1027" ht="0" hidden="1" customHeight="1"/>
    <row r="1028" ht="0" hidden="1" customHeight="1"/>
    <row r="1029" ht="0" hidden="1" customHeight="1"/>
    <row r="1030" ht="0" hidden="1" customHeight="1"/>
    <row r="1031" ht="0" hidden="1" customHeight="1"/>
    <row r="1032" ht="0" hidden="1" customHeight="1"/>
    <row r="1033" ht="0" hidden="1" customHeight="1"/>
    <row r="1034" ht="0" hidden="1" customHeight="1"/>
    <row r="1035" ht="0" hidden="1" customHeight="1"/>
    <row r="1036" ht="0" hidden="1" customHeight="1"/>
    <row r="1037" ht="0" hidden="1" customHeight="1"/>
    <row r="1038" ht="0" hidden="1" customHeight="1"/>
    <row r="1039" ht="0" hidden="1" customHeight="1"/>
    <row r="1040" ht="0" hidden="1" customHeight="1"/>
    <row r="1041" ht="0" hidden="1" customHeight="1"/>
    <row r="1042" ht="0" hidden="1" customHeight="1"/>
    <row r="1043" ht="0" hidden="1" customHeight="1"/>
    <row r="1044" ht="0" hidden="1" customHeight="1"/>
    <row r="1045" ht="0" hidden="1" customHeight="1"/>
    <row r="1046" ht="0" hidden="1" customHeight="1"/>
    <row r="1047" ht="0" hidden="1" customHeight="1"/>
    <row r="1048" ht="0" hidden="1" customHeight="1"/>
    <row r="1049" ht="0" hidden="1" customHeight="1"/>
    <row r="1050" ht="0" hidden="1" customHeight="1"/>
    <row r="1051" ht="0" hidden="1" customHeight="1"/>
    <row r="1052" ht="0" hidden="1" customHeight="1"/>
    <row r="1053" ht="0" hidden="1" customHeight="1"/>
    <row r="1054" ht="0" hidden="1" customHeight="1"/>
    <row r="1055" ht="0" hidden="1" customHeight="1"/>
    <row r="1056" ht="0" hidden="1" customHeight="1"/>
    <row r="1057" ht="0" hidden="1" customHeight="1"/>
    <row r="1058" ht="0" hidden="1" customHeight="1"/>
    <row r="1059" ht="0" hidden="1" customHeight="1"/>
    <row r="1060" ht="0" hidden="1" customHeight="1"/>
    <row r="1061" ht="0" hidden="1" customHeight="1"/>
    <row r="1062" ht="0" hidden="1" customHeight="1"/>
    <row r="1063" ht="0" hidden="1" customHeight="1"/>
    <row r="1064" ht="0" hidden="1" customHeight="1"/>
    <row r="1065" ht="0" hidden="1" customHeight="1"/>
    <row r="1066" ht="0" hidden="1" customHeight="1"/>
    <row r="1067" ht="0" hidden="1" customHeight="1"/>
    <row r="1068" ht="0" hidden="1" customHeight="1"/>
    <row r="1069" ht="0" hidden="1" customHeight="1"/>
    <row r="1070" ht="0" hidden="1" customHeight="1"/>
    <row r="1071" ht="0" hidden="1" customHeight="1"/>
    <row r="1072" ht="0" hidden="1" customHeight="1"/>
    <row r="1073" ht="0" hidden="1" customHeight="1"/>
    <row r="1074" ht="0" hidden="1" customHeight="1"/>
    <row r="1075" ht="0" hidden="1" customHeight="1"/>
    <row r="1076" ht="0" hidden="1" customHeight="1"/>
    <row r="1077" ht="0" hidden="1" customHeight="1"/>
    <row r="1078" ht="0" hidden="1" customHeight="1"/>
    <row r="1079" ht="0" hidden="1" customHeight="1"/>
    <row r="1080" ht="0" hidden="1" customHeight="1"/>
    <row r="1081" ht="0" hidden="1" customHeight="1"/>
    <row r="1082" ht="0" hidden="1" customHeight="1"/>
    <row r="1083" ht="0" hidden="1" customHeight="1"/>
    <row r="1084" ht="0" hidden="1" customHeight="1"/>
    <row r="1085" ht="0" hidden="1" customHeight="1"/>
    <row r="1086" ht="0" hidden="1" customHeight="1"/>
    <row r="1087" ht="0" hidden="1" customHeight="1"/>
    <row r="1088" ht="0" hidden="1" customHeight="1"/>
    <row r="1089" ht="0" hidden="1" customHeight="1"/>
    <row r="1090" ht="0" hidden="1" customHeight="1"/>
    <row r="1091" ht="0" hidden="1" customHeight="1"/>
    <row r="1092" ht="0" hidden="1" customHeight="1"/>
    <row r="1093" ht="0" hidden="1" customHeight="1"/>
    <row r="1094" ht="0" hidden="1" customHeight="1"/>
    <row r="1095" ht="0" hidden="1" customHeight="1"/>
    <row r="1096" ht="0" hidden="1" customHeight="1"/>
    <row r="1097" ht="0" hidden="1" customHeight="1"/>
    <row r="1098" ht="0" hidden="1" customHeight="1"/>
    <row r="1099" ht="0" hidden="1" customHeight="1"/>
    <row r="1100" ht="0" hidden="1" customHeight="1"/>
    <row r="1101" ht="0" hidden="1" customHeight="1"/>
    <row r="1102" ht="0" hidden="1" customHeight="1"/>
    <row r="1103" ht="0" hidden="1" customHeight="1"/>
    <row r="1104" ht="0" hidden="1" customHeight="1"/>
    <row r="1105" ht="0" hidden="1" customHeight="1"/>
    <row r="1106" ht="0" hidden="1" customHeight="1"/>
    <row r="1107" ht="0" hidden="1" customHeight="1"/>
    <row r="1108" ht="0" hidden="1" customHeight="1"/>
    <row r="1109" ht="0" hidden="1" customHeight="1"/>
    <row r="1110" ht="0" hidden="1" customHeight="1"/>
    <row r="1111" ht="0" hidden="1" customHeight="1"/>
    <row r="1112" ht="0" hidden="1" customHeight="1"/>
    <row r="1113" ht="0" hidden="1" customHeight="1"/>
    <row r="1114" ht="0" hidden="1" customHeight="1"/>
    <row r="1115" ht="0" hidden="1" customHeight="1"/>
    <row r="1116" ht="0" hidden="1" customHeight="1"/>
    <row r="1117" ht="0" hidden="1" customHeight="1"/>
    <row r="1118" ht="0" hidden="1" customHeight="1"/>
    <row r="1119" ht="0" hidden="1" customHeight="1"/>
    <row r="1120" ht="0" hidden="1" customHeight="1"/>
    <row r="1121" ht="0" hidden="1" customHeight="1"/>
    <row r="1122" ht="0" hidden="1" customHeight="1"/>
    <row r="1123" ht="0" hidden="1" customHeight="1"/>
    <row r="1124" ht="0" hidden="1" customHeight="1"/>
    <row r="1125" ht="0" hidden="1" customHeight="1"/>
    <row r="1126" ht="0" hidden="1" customHeight="1"/>
    <row r="1127" ht="0" hidden="1" customHeight="1"/>
    <row r="1128" ht="0" hidden="1" customHeight="1"/>
    <row r="1129" ht="0" hidden="1" customHeight="1"/>
    <row r="1130" ht="0" hidden="1" customHeight="1"/>
    <row r="1131" ht="0" hidden="1" customHeight="1"/>
    <row r="1132" ht="0" hidden="1" customHeight="1"/>
    <row r="1133" ht="0" hidden="1" customHeight="1"/>
    <row r="1134" ht="0" hidden="1" customHeight="1"/>
    <row r="1135" ht="0" hidden="1" customHeight="1"/>
    <row r="1136" ht="0" hidden="1" customHeight="1"/>
    <row r="1137" ht="0" hidden="1" customHeight="1"/>
    <row r="1138" ht="0" hidden="1" customHeight="1"/>
    <row r="1139" ht="0" hidden="1" customHeight="1"/>
    <row r="1140" ht="0" hidden="1" customHeight="1"/>
    <row r="1141" ht="0" hidden="1" customHeight="1"/>
  </sheetData>
  <mergeCells count="162">
    <mergeCell ref="G8:G9"/>
    <mergeCell ref="J8:J9"/>
    <mergeCell ref="L8:L9"/>
    <mergeCell ref="M27:O27"/>
    <mergeCell ref="P27:W27"/>
    <mergeCell ref="E28:E29"/>
    <mergeCell ref="F28:F29"/>
    <mergeCell ref="G28:G29"/>
    <mergeCell ref="H28:H29"/>
    <mergeCell ref="I28:I30"/>
    <mergeCell ref="AC30:AC31"/>
    <mergeCell ref="I31:I32"/>
    <mergeCell ref="J31:L32"/>
    <mergeCell ref="M31:O32"/>
    <mergeCell ref="P31:W32"/>
    <mergeCell ref="E32:E33"/>
    <mergeCell ref="F32:F33"/>
    <mergeCell ref="G32:G33"/>
    <mergeCell ref="H32:H33"/>
    <mergeCell ref="Y32:Y33"/>
    <mergeCell ref="E30:E31"/>
    <mergeCell ref="F30:F31"/>
    <mergeCell ref="G30:G31"/>
    <mergeCell ref="H30:H31"/>
    <mergeCell ref="Y30:Y31"/>
    <mergeCell ref="Z30:AA31"/>
    <mergeCell ref="J28:J30"/>
    <mergeCell ref="M28:O30"/>
    <mergeCell ref="P28:W30"/>
    <mergeCell ref="Y28:Y29"/>
    <mergeCell ref="Z28:AA29"/>
    <mergeCell ref="AB28:AB29"/>
    <mergeCell ref="AB30:AB31"/>
    <mergeCell ref="Z32:AA33"/>
    <mergeCell ref="AB32:AB33"/>
    <mergeCell ref="I33:I34"/>
    <mergeCell ref="J33:L34"/>
    <mergeCell ref="M33:O34"/>
    <mergeCell ref="P33:W34"/>
    <mergeCell ref="Y34:Y35"/>
    <mergeCell ref="Z34:AA35"/>
    <mergeCell ref="AB34:AB35"/>
    <mergeCell ref="Q213:AA213"/>
    <mergeCell ref="Q214:AA214"/>
    <mergeCell ref="Q215:AA215"/>
    <mergeCell ref="Q216:AA216"/>
    <mergeCell ref="Q217:AA217"/>
    <mergeCell ref="Q218:AA218"/>
    <mergeCell ref="AC34:AC35"/>
    <mergeCell ref="I35:I36"/>
    <mergeCell ref="J35:L36"/>
    <mergeCell ref="M35:O36"/>
    <mergeCell ref="P35:W36"/>
    <mergeCell ref="Q212:AA212"/>
    <mergeCell ref="Q225:AA225"/>
    <mergeCell ref="Q226:AA226"/>
    <mergeCell ref="Q227:AA227"/>
    <mergeCell ref="Q228:AA228"/>
    <mergeCell ref="Q229:AA229"/>
    <mergeCell ref="Q230:AA230"/>
    <mergeCell ref="Q219:AA219"/>
    <mergeCell ref="Q220:AA220"/>
    <mergeCell ref="Q221:AA221"/>
    <mergeCell ref="Q222:AA222"/>
    <mergeCell ref="Q223:AA223"/>
    <mergeCell ref="Q224:AA224"/>
    <mergeCell ref="Q237:AA237"/>
    <mergeCell ref="Q238:AA238"/>
    <mergeCell ref="Q239:AA239"/>
    <mergeCell ref="Q240:AA240"/>
    <mergeCell ref="Q241:AA241"/>
    <mergeCell ref="Q242:AA242"/>
    <mergeCell ref="Q231:AA231"/>
    <mergeCell ref="Q232:AA232"/>
    <mergeCell ref="Q233:AA233"/>
    <mergeCell ref="Q234:AA234"/>
    <mergeCell ref="Q235:AA235"/>
    <mergeCell ref="Q236:AA236"/>
    <mergeCell ref="Q249:AA249"/>
    <mergeCell ref="Q250:AA250"/>
    <mergeCell ref="Q251:AA251"/>
    <mergeCell ref="Q252:AA252"/>
    <mergeCell ref="Q253:AA253"/>
    <mergeCell ref="Q254:AA254"/>
    <mergeCell ref="Q243:AA243"/>
    <mergeCell ref="Q244:AA244"/>
    <mergeCell ref="Q245:AA245"/>
    <mergeCell ref="Q246:AA246"/>
    <mergeCell ref="Q247:AA247"/>
    <mergeCell ref="Q248:AA248"/>
    <mergeCell ref="Q261:AA261"/>
    <mergeCell ref="Q262:AA262"/>
    <mergeCell ref="Q263:AA263"/>
    <mergeCell ref="Q264:AA264"/>
    <mergeCell ref="Q265:AA265"/>
    <mergeCell ref="Q266:AA266"/>
    <mergeCell ref="Q255:AA255"/>
    <mergeCell ref="Q256:AA256"/>
    <mergeCell ref="Q257:AA257"/>
    <mergeCell ref="Q258:AA258"/>
    <mergeCell ref="Q259:AA259"/>
    <mergeCell ref="Q260:AA260"/>
    <mergeCell ref="Q273:AA273"/>
    <mergeCell ref="Q274:AA274"/>
    <mergeCell ref="Q275:AA275"/>
    <mergeCell ref="Q276:AA276"/>
    <mergeCell ref="Q277:AA277"/>
    <mergeCell ref="Q278:AA278"/>
    <mergeCell ref="Q267:AA267"/>
    <mergeCell ref="Q268:AA268"/>
    <mergeCell ref="Q269:AA269"/>
    <mergeCell ref="Q270:AA270"/>
    <mergeCell ref="Q271:AA271"/>
    <mergeCell ref="Q272:AA272"/>
    <mergeCell ref="Q285:AA285"/>
    <mergeCell ref="Q286:AA286"/>
    <mergeCell ref="Q287:AA287"/>
    <mergeCell ref="Q288:AA288"/>
    <mergeCell ref="Q289:AA289"/>
    <mergeCell ref="Q290:AA290"/>
    <mergeCell ref="Q279:AA279"/>
    <mergeCell ref="Q280:AA280"/>
    <mergeCell ref="Q281:AA281"/>
    <mergeCell ref="Q282:AA282"/>
    <mergeCell ref="Q283:AA283"/>
    <mergeCell ref="Q284:AA284"/>
    <mergeCell ref="Q297:AA297"/>
    <mergeCell ref="Q298:AA298"/>
    <mergeCell ref="Q299:AA299"/>
    <mergeCell ref="Q300:AA300"/>
    <mergeCell ref="Q301:AA301"/>
    <mergeCell ref="Q302:AA302"/>
    <mergeCell ref="Q291:AA291"/>
    <mergeCell ref="Q292:AA292"/>
    <mergeCell ref="Q293:AA293"/>
    <mergeCell ref="Q294:AA294"/>
    <mergeCell ref="Q295:AA295"/>
    <mergeCell ref="Q296:AA296"/>
    <mergeCell ref="Q309:AA309"/>
    <mergeCell ref="Q310:AA310"/>
    <mergeCell ref="Q311:AA311"/>
    <mergeCell ref="Q312:AA312"/>
    <mergeCell ref="Q313:AA313"/>
    <mergeCell ref="Q314:AA314"/>
    <mergeCell ref="Q303:AA303"/>
    <mergeCell ref="Q304:AA304"/>
    <mergeCell ref="Q305:AA305"/>
    <mergeCell ref="Q306:AA306"/>
    <mergeCell ref="Q307:AA307"/>
    <mergeCell ref="Q308:AA308"/>
    <mergeCell ref="Q321:AA321"/>
    <mergeCell ref="Q322:AA322"/>
    <mergeCell ref="Q323:AA323"/>
    <mergeCell ref="Q324:AA324"/>
    <mergeCell ref="Q325:AA325"/>
    <mergeCell ref="Q326:AA326"/>
    <mergeCell ref="Q315:AA315"/>
    <mergeCell ref="Q316:AA316"/>
    <mergeCell ref="Q317:AA317"/>
    <mergeCell ref="Q318:AA318"/>
    <mergeCell ref="Q319:AA319"/>
    <mergeCell ref="Q320:AA320"/>
  </mergeCells>
  <conditionalFormatting sqref="G50:H50">
    <cfRule type="timePeriod" dxfId="1" priority="1" timePeriod="lastMonth">
      <formula>AND(MONTH(G50)=MONTH(EDATE(TODAY(),0-1)),YEAR(G50)=YEAR(EDATE(TODAY(),0-1)))</formula>
    </cfRule>
  </conditionalFormatting>
  <pageMargins left="0.25" right="0.25" top="0.75" bottom="0.75" header="0.3" footer="0.3"/>
  <pageSetup paperSize="8" scale="4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AW227"/>
  <sheetViews>
    <sheetView showGridLines="0" topLeftCell="A82" zoomScale="50" zoomScaleNormal="50" workbookViewId="0">
      <selection activeCell="AD30" sqref="AD30"/>
    </sheetView>
  </sheetViews>
  <sheetFormatPr defaultColWidth="0" defaultRowHeight="0" customHeight="1" zeroHeight="1"/>
  <cols>
    <col min="1" max="1" width="2.109375" customWidth="1"/>
    <col min="2" max="2" width="4" customWidth="1"/>
    <col min="3" max="3" width="1.44140625" customWidth="1"/>
    <col min="4" max="4" width="3.109375" customWidth="1"/>
    <col min="5" max="5" width="19.88671875" customWidth="1"/>
    <col min="6" max="6" width="19" customWidth="1"/>
    <col min="7" max="7" width="27.5546875" customWidth="1"/>
    <col min="8" max="9" width="22.109375" customWidth="1"/>
    <col min="10" max="10" width="15.44140625" customWidth="1"/>
    <col min="11" max="11" width="7.6640625" style="1" customWidth="1"/>
    <col min="12" max="12" width="14.5546875" customWidth="1"/>
    <col min="13" max="13" width="19" customWidth="1"/>
    <col min="14" max="14" width="3.44140625" customWidth="1"/>
    <col min="15" max="15" width="19" customWidth="1"/>
    <col min="16" max="16" width="3.44140625" customWidth="1"/>
    <col min="17" max="17" width="19" customWidth="1"/>
    <col min="18" max="18" width="21.33203125" hidden="1" customWidth="1"/>
    <col min="19" max="21" width="17.33203125" hidden="1" customWidth="1"/>
    <col min="22" max="22" width="19.77734375" style="2" customWidth="1"/>
    <col min="23" max="23" width="7.109375" style="2" customWidth="1"/>
    <col min="24" max="24" width="3.44140625" style="2" customWidth="1"/>
    <col min="25" max="25" width="20.77734375" style="2" customWidth="1"/>
    <col min="26" max="26" width="30.5546875" style="2" customWidth="1"/>
    <col min="27" max="27" width="8.6640625" style="2" customWidth="1"/>
    <col min="28" max="30" width="16.5546875" style="2" customWidth="1"/>
    <col min="31" max="31" width="16" style="2" customWidth="1"/>
    <col min="32" max="32" width="12.6640625" hidden="1" customWidth="1"/>
    <col min="33" max="33" width="37.44140625" hidden="1" customWidth="1"/>
    <col min="34" max="34" width="12.6640625" style="2" hidden="1" customWidth="1"/>
    <col min="35" max="35" width="22.109375" hidden="1" customWidth="1"/>
    <col min="36" max="36" width="25.6640625" hidden="1" customWidth="1"/>
    <col min="37" max="37" width="10.109375" hidden="1" customWidth="1"/>
    <col min="38" max="38" width="13.6640625" hidden="1" customWidth="1"/>
    <col min="39" max="39" width="65.5546875" hidden="1" customWidth="1"/>
    <col min="40" max="40" width="69.44140625" hidden="1" customWidth="1"/>
    <col min="41" max="45" width="12.6640625" hidden="1" customWidth="1"/>
    <col min="46" max="46" width="13.33203125" hidden="1" customWidth="1"/>
    <col min="47" max="49" width="12.6640625" hidden="1" customWidth="1"/>
    <col min="50" max="16384" width="10" hidden="1"/>
  </cols>
  <sheetData>
    <row r="1" spans="1:34" ht="16.2" customHeight="1"/>
    <row r="2" spans="1:34" ht="14.4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4.4">
      <c r="A3" s="6"/>
      <c r="B3" s="6"/>
      <c r="C3" s="6"/>
      <c r="D3" s="6"/>
      <c r="E3" s="7"/>
      <c r="F3" s="7"/>
      <c r="G3" s="7"/>
      <c r="H3" s="7"/>
      <c r="I3" s="7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4.4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3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6" customHeight="1">
      <c r="A6" s="2"/>
      <c r="B6" s="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4" hidden="1">
      <c r="A7" s="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24" customHeight="1">
      <c r="A8" s="2"/>
      <c r="B8" s="14"/>
      <c r="C8" s="15"/>
      <c r="D8" s="14" t="s">
        <v>401</v>
      </c>
      <c r="E8" s="15"/>
      <c r="F8" s="12"/>
      <c r="G8" s="306"/>
      <c r="H8" s="16"/>
      <c r="I8" s="16"/>
      <c r="J8" s="306"/>
      <c r="K8" s="16"/>
      <c r="L8" s="306"/>
      <c r="M8" s="15"/>
      <c r="N8" s="15"/>
      <c r="O8" s="15"/>
      <c r="P8" s="15"/>
      <c r="Q8" s="15"/>
      <c r="R8" s="15"/>
      <c r="S8" s="15"/>
      <c r="T8" s="15"/>
      <c r="U8" s="15"/>
      <c r="V8" s="12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33.6" hidden="1">
      <c r="A9" s="14"/>
      <c r="B9" s="15"/>
      <c r="C9" s="15"/>
      <c r="D9" s="15"/>
      <c r="E9" s="15"/>
      <c r="F9" s="17"/>
      <c r="G9" s="306"/>
      <c r="H9" s="16"/>
      <c r="I9" s="16"/>
      <c r="J9" s="306"/>
      <c r="K9" s="16"/>
      <c r="L9" s="306"/>
      <c r="M9" s="15"/>
      <c r="N9" s="15"/>
      <c r="O9" s="15"/>
      <c r="P9" s="15"/>
      <c r="Q9" s="15"/>
      <c r="R9" s="15"/>
      <c r="S9" s="15"/>
      <c r="T9" s="15"/>
      <c r="U9" s="15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26.4" hidden="1">
      <c r="A10" s="14"/>
      <c r="B10" s="15"/>
      <c r="C10" s="15"/>
      <c r="D10" s="15"/>
      <c r="E10" s="15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  <c r="S10" s="15"/>
      <c r="T10" s="15"/>
      <c r="U10" s="15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7.5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2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23.4" customHeight="1">
      <c r="A12" s="14"/>
      <c r="B12" s="15"/>
      <c r="C12" s="15"/>
      <c r="D12" s="15"/>
      <c r="E12" s="15"/>
      <c r="F12" s="15"/>
      <c r="G12" s="19"/>
      <c r="H12" s="19"/>
      <c r="I12" s="15"/>
      <c r="J12" s="15"/>
      <c r="K12" s="15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20"/>
      <c r="W12" s="13"/>
      <c r="X12" s="19"/>
      <c r="Y12" s="19"/>
      <c r="Z12" s="19"/>
      <c r="AA12" s="19"/>
      <c r="AB12" s="19"/>
      <c r="AC12" s="19"/>
      <c r="AD12" s="19"/>
      <c r="AE12" s="13"/>
      <c r="AF12" s="13"/>
      <c r="AG12" s="13"/>
      <c r="AH12" s="13"/>
    </row>
    <row r="13" spans="1:34" ht="26.4">
      <c r="A13" s="14"/>
      <c r="B13" s="21"/>
      <c r="C13" s="22"/>
      <c r="D13" s="23"/>
      <c r="E13" s="23"/>
      <c r="F13" s="23"/>
      <c r="G13" s="24"/>
      <c r="H13" s="24"/>
      <c r="I13" s="223"/>
      <c r="J13" s="25"/>
      <c r="K13" s="26"/>
      <c r="L13" s="24"/>
      <c r="M13" s="24"/>
      <c r="N13" s="24"/>
      <c r="O13" s="24"/>
      <c r="P13" s="24"/>
      <c r="Q13" s="24"/>
      <c r="R13" s="27"/>
      <c r="S13" s="27"/>
      <c r="T13" s="27"/>
      <c r="U13" s="27"/>
      <c r="V13" s="28"/>
      <c r="W13" s="29"/>
      <c r="X13" s="27"/>
      <c r="Y13" s="30"/>
      <c r="Z13" s="30"/>
      <c r="AA13" s="30"/>
      <c r="AB13" s="30"/>
      <c r="AC13" s="30"/>
      <c r="AD13" s="25"/>
      <c r="AE13" s="13"/>
      <c r="AF13" s="13"/>
      <c r="AG13" s="13"/>
      <c r="AH13" s="13"/>
    </row>
    <row r="14" spans="1:34" ht="27" thickBot="1">
      <c r="A14" s="14"/>
      <c r="B14" s="21"/>
      <c r="C14" s="27"/>
      <c r="D14" s="27"/>
      <c r="E14" s="27"/>
      <c r="F14" s="27"/>
      <c r="G14" s="24"/>
      <c r="H14" s="24"/>
      <c r="I14" s="24"/>
      <c r="J14" s="31"/>
      <c r="K14" s="26"/>
      <c r="L14" s="24"/>
      <c r="M14" s="24"/>
      <c r="N14" s="24"/>
      <c r="O14" s="24"/>
      <c r="P14" s="24"/>
      <c r="Q14" s="24"/>
      <c r="R14" s="27"/>
      <c r="S14" s="27"/>
      <c r="T14" s="27"/>
      <c r="U14" s="27"/>
      <c r="V14" s="32"/>
      <c r="W14" s="29"/>
      <c r="X14" s="30"/>
      <c r="Y14" s="33"/>
      <c r="Z14" s="33"/>
      <c r="AA14" s="33"/>
      <c r="AB14" s="33"/>
      <c r="AC14" s="33"/>
      <c r="AD14" s="31"/>
      <c r="AE14" s="13"/>
      <c r="AF14" s="13"/>
      <c r="AG14" s="13"/>
      <c r="AH14" s="13"/>
    </row>
    <row r="15" spans="1:34" ht="26.4">
      <c r="A15" s="14"/>
      <c r="B15" s="21"/>
      <c r="C15" s="27"/>
      <c r="D15" s="27"/>
      <c r="E15" s="27"/>
      <c r="F15" s="27"/>
      <c r="G15" s="24"/>
      <c r="H15" s="24"/>
      <c r="I15" s="24"/>
      <c r="J15" s="31"/>
      <c r="K15" s="26"/>
      <c r="L15" s="24"/>
      <c r="M15" s="24"/>
      <c r="N15" s="24"/>
      <c r="O15" s="24"/>
      <c r="P15" s="24"/>
      <c r="Q15" s="24"/>
      <c r="R15" s="27"/>
      <c r="S15" s="27"/>
      <c r="T15" s="27"/>
      <c r="U15" s="27"/>
      <c r="V15" s="32"/>
      <c r="W15" s="29"/>
      <c r="X15"/>
      <c r="Y15" s="35"/>
      <c r="Z15" s="36"/>
      <c r="AA15" s="36"/>
      <c r="AB15" s="36"/>
      <c r="AC15" s="36"/>
      <c r="AD15" s="37"/>
      <c r="AE15" s="13"/>
      <c r="AF15" s="13"/>
      <c r="AG15" s="13"/>
      <c r="AH15" s="13"/>
    </row>
    <row r="16" spans="1:34" ht="26.4">
      <c r="A16" s="14"/>
      <c r="B16" s="21"/>
      <c r="C16" s="27"/>
      <c r="D16" s="27"/>
      <c r="E16" s="27"/>
      <c r="F16" s="27"/>
      <c r="G16" s="24"/>
      <c r="H16" s="24"/>
      <c r="I16" s="24"/>
      <c r="J16" s="31"/>
      <c r="K16" s="26"/>
      <c r="L16" s="24"/>
      <c r="M16" s="24"/>
      <c r="N16" s="24"/>
      <c r="O16" s="24"/>
      <c r="P16" s="24"/>
      <c r="Q16" s="24"/>
      <c r="R16" s="27"/>
      <c r="S16" s="27"/>
      <c r="T16" s="27"/>
      <c r="U16" s="27"/>
      <c r="V16" s="32"/>
      <c r="W16" s="29"/>
      <c r="X16"/>
      <c r="Y16" s="42"/>
      <c r="Z16" s="42"/>
      <c r="AA16" s="42"/>
      <c r="AB16" s="42"/>
      <c r="AC16" s="42"/>
      <c r="AD16" s="37"/>
      <c r="AE16" s="13"/>
      <c r="AF16" s="13"/>
      <c r="AG16" s="13"/>
      <c r="AH16" s="13"/>
    </row>
    <row r="17" spans="1:34" ht="26.4">
      <c r="A17" s="14"/>
      <c r="B17" s="21"/>
      <c r="C17" s="27"/>
      <c r="D17" s="27"/>
      <c r="E17" s="27"/>
      <c r="F17" s="27"/>
      <c r="G17" s="24"/>
      <c r="H17" s="24"/>
      <c r="I17" s="24"/>
      <c r="J17" s="31"/>
      <c r="K17" s="26"/>
      <c r="L17" s="24"/>
      <c r="M17" s="24"/>
      <c r="N17" s="24"/>
      <c r="O17" s="24"/>
      <c r="P17" s="24"/>
      <c r="Q17" s="24"/>
      <c r="R17" s="27"/>
      <c r="S17" s="27"/>
      <c r="T17" s="27"/>
      <c r="U17" s="27"/>
      <c r="V17" s="32"/>
      <c r="W17" s="29"/>
      <c r="X17"/>
      <c r="Y17" s="47"/>
      <c r="Z17" s="47"/>
      <c r="AA17" s="47"/>
      <c r="AB17" s="47"/>
      <c r="AC17" s="47"/>
      <c r="AD17" s="48"/>
      <c r="AE17" s="13"/>
      <c r="AF17" s="13"/>
      <c r="AG17" s="13"/>
      <c r="AH17" s="13"/>
    </row>
    <row r="18" spans="1:34" ht="26.4">
      <c r="A18" s="14"/>
      <c r="B18" s="21"/>
      <c r="C18" s="27"/>
      <c r="D18" s="27"/>
      <c r="E18" s="27"/>
      <c r="F18" s="27"/>
      <c r="G18" s="24"/>
      <c r="H18" s="24"/>
      <c r="I18" s="24"/>
      <c r="J18" s="31"/>
      <c r="K18" s="26"/>
      <c r="L18" s="24"/>
      <c r="M18" s="24"/>
      <c r="N18" s="24"/>
      <c r="O18" s="24"/>
      <c r="P18" s="24"/>
      <c r="Q18" s="24"/>
      <c r="R18" s="27"/>
      <c r="S18" s="27"/>
      <c r="T18" s="27"/>
      <c r="U18" s="27"/>
      <c r="V18" s="32"/>
      <c r="W18" s="29"/>
      <c r="X18"/>
      <c r="Y18" s="53"/>
      <c r="Z18" s="53"/>
      <c r="AA18" s="54"/>
      <c r="AB18" s="53"/>
      <c r="AC18" s="53"/>
      <c r="AD18" s="34"/>
      <c r="AE18" s="13"/>
      <c r="AF18" s="13"/>
      <c r="AG18" s="13"/>
      <c r="AH18" s="13"/>
    </row>
    <row r="19" spans="1:34" ht="26.4">
      <c r="A19" s="14"/>
      <c r="B19" s="21"/>
      <c r="C19" s="27"/>
      <c r="D19" s="27"/>
      <c r="E19" s="55"/>
      <c r="F19" s="27"/>
      <c r="G19" s="24"/>
      <c r="H19" s="24"/>
      <c r="I19" s="24"/>
      <c r="J19" s="31"/>
      <c r="K19" s="26"/>
      <c r="L19" s="24"/>
      <c r="M19" s="24"/>
      <c r="N19" s="24"/>
      <c r="O19" s="24"/>
      <c r="P19" s="24"/>
      <c r="Q19" s="24"/>
      <c r="R19" s="27"/>
      <c r="S19" s="27"/>
      <c r="T19" s="27"/>
      <c r="U19" s="27"/>
      <c r="V19" s="32"/>
      <c r="W19" s="29"/>
      <c r="X19"/>
      <c r="Y19" s="62"/>
      <c r="Z19" s="62"/>
      <c r="AA19" s="62"/>
      <c r="AB19" s="62"/>
      <c r="AC19" s="62"/>
      <c r="AD19" s="34"/>
      <c r="AE19" s="13"/>
      <c r="AF19" s="13"/>
      <c r="AG19" s="13"/>
      <c r="AH19" s="13"/>
    </row>
    <row r="20" spans="1:34" ht="26.4">
      <c r="A20" s="14"/>
      <c r="B20" s="21"/>
      <c r="C20" s="63"/>
      <c r="D20" s="27"/>
      <c r="E20" s="27"/>
      <c r="F20" s="27"/>
      <c r="G20" s="24"/>
      <c r="H20" s="24"/>
      <c r="I20" s="24"/>
      <c r="J20" s="31"/>
      <c r="K20" s="26"/>
      <c r="L20" s="24"/>
      <c r="M20" s="24"/>
      <c r="N20" s="24"/>
      <c r="O20" s="24"/>
      <c r="P20" s="24"/>
      <c r="Q20" s="24"/>
      <c r="R20" s="27"/>
      <c r="S20" s="27"/>
      <c r="T20" s="27"/>
      <c r="U20" s="27"/>
      <c r="V20" s="32"/>
      <c r="W20" s="29"/>
      <c r="X20" s="30"/>
      <c r="Y20" s="33"/>
      <c r="Z20" s="33"/>
      <c r="AA20" s="33"/>
      <c r="AB20" s="33"/>
      <c r="AC20" s="33"/>
      <c r="AD20" s="31"/>
      <c r="AE20" s="13"/>
      <c r="AF20" s="13"/>
      <c r="AG20" s="13"/>
      <c r="AH20" s="13"/>
    </row>
    <row r="21" spans="1:34" ht="26.4">
      <c r="A21" s="14"/>
      <c r="B21" s="15"/>
      <c r="C21" s="63"/>
      <c r="D21" s="27"/>
      <c r="E21" s="27"/>
      <c r="F21" s="27"/>
      <c r="G21" s="24"/>
      <c r="H21" s="24"/>
      <c r="I21" s="24"/>
      <c r="J21" s="31"/>
      <c r="K21" s="26"/>
      <c r="L21" s="24"/>
      <c r="M21" s="24"/>
      <c r="N21" s="24"/>
      <c r="O21" s="24"/>
      <c r="P21" s="24"/>
      <c r="Q21" s="24"/>
      <c r="R21" s="27"/>
      <c r="S21" s="27"/>
      <c r="T21" s="27"/>
      <c r="U21" s="27"/>
      <c r="V21" s="32"/>
      <c r="W21" s="29"/>
      <c r="X21" s="30"/>
      <c r="Y21" s="33"/>
      <c r="Z21" s="33"/>
      <c r="AA21"/>
      <c r="AB21" s="33"/>
      <c r="AC21" s="33"/>
      <c r="AD21" s="31"/>
      <c r="AE21" s="13"/>
      <c r="AF21" s="13"/>
      <c r="AG21" s="13"/>
      <c r="AH21" s="13"/>
    </row>
    <row r="22" spans="1:34" ht="26.4">
      <c r="A22" s="14"/>
      <c r="B22" s="15"/>
      <c r="C22" s="69"/>
      <c r="D22" s="24"/>
      <c r="E22" s="24"/>
      <c r="F22" s="24"/>
      <c r="G22" s="24"/>
      <c r="H22" s="24"/>
      <c r="I22" s="24"/>
      <c r="J22" s="31"/>
      <c r="K22" s="26"/>
      <c r="L22" s="24"/>
      <c r="M22" s="24"/>
      <c r="N22" s="24"/>
      <c r="O22" s="24"/>
      <c r="P22" s="24"/>
      <c r="Q22" s="24"/>
      <c r="R22" s="15"/>
      <c r="S22" s="15"/>
      <c r="T22" s="15"/>
      <c r="U22" s="15"/>
      <c r="V22" s="34"/>
      <c r="W22" s="29"/>
      <c r="X22" s="30"/>
      <c r="Y22" s="30"/>
      <c r="Z22" s="30"/>
      <c r="AA22" s="30"/>
      <c r="AB22" s="30"/>
      <c r="AC22" s="30"/>
      <c r="AD22" s="70"/>
      <c r="AE22" s="13"/>
      <c r="AF22" s="13"/>
      <c r="AG22" s="13"/>
      <c r="AH22" s="13"/>
    </row>
    <row r="23" spans="1:34" ht="19.2" customHeight="1">
      <c r="A23" s="14"/>
      <c r="B23" s="26"/>
      <c r="C23" s="24"/>
      <c r="D23" s="71"/>
      <c r="E23" s="71"/>
      <c r="F23" s="71"/>
      <c r="G23" s="71"/>
      <c r="H23" s="71"/>
      <c r="I23" s="71"/>
      <c r="J23" s="72"/>
      <c r="K23" s="26"/>
      <c r="L23" s="71"/>
      <c r="M23" s="71"/>
      <c r="N23" s="71"/>
      <c r="O23" s="71"/>
      <c r="P23" s="71"/>
      <c r="Q23" s="71"/>
      <c r="R23" s="15"/>
      <c r="S23" s="15"/>
      <c r="T23" s="15"/>
      <c r="U23" s="15"/>
      <c r="V23" s="73"/>
      <c r="W23" s="29"/>
      <c r="X23" s="74"/>
      <c r="Y23" s="75"/>
      <c r="Z23" s="75"/>
      <c r="AA23" s="75"/>
      <c r="AB23" s="75"/>
      <c r="AC23" s="75"/>
      <c r="AD23" s="75"/>
      <c r="AE23" s="76"/>
      <c r="AF23" s="13"/>
      <c r="AG23" s="13"/>
      <c r="AH23" s="13"/>
    </row>
    <row r="24" spans="1:34" ht="10.8" customHeight="1">
      <c r="A24" s="14"/>
      <c r="B24" s="15"/>
      <c r="C24" s="77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ht="26.4">
      <c r="A25" s="14"/>
      <c r="B25" s="15"/>
      <c r="C25" s="15"/>
      <c r="D25" s="19"/>
      <c r="E25" s="19"/>
      <c r="F25" s="19"/>
      <c r="G25" s="19"/>
      <c r="H25" s="19"/>
      <c r="I25" s="19"/>
      <c r="J25" s="19"/>
      <c r="K25" s="15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  <c r="W25" s="13"/>
      <c r="X25" s="19"/>
      <c r="Y25" s="19"/>
      <c r="Z25" s="19"/>
      <c r="AA25" s="19"/>
      <c r="AB25" s="19"/>
      <c r="AC25" s="19"/>
      <c r="AD25" s="19"/>
      <c r="AE25" s="13"/>
      <c r="AF25" s="13"/>
      <c r="AG25" s="13"/>
      <c r="AH25" s="13"/>
    </row>
    <row r="26" spans="1:34" ht="26.4">
      <c r="A26" s="14"/>
      <c r="B26" s="26"/>
      <c r="C26" s="78"/>
      <c r="D26" s="24"/>
      <c r="E26" s="24"/>
      <c r="F26" s="24"/>
      <c r="G26" s="24"/>
      <c r="H26" s="24"/>
      <c r="I26" s="24"/>
      <c r="J26" s="31"/>
      <c r="K26" s="26"/>
      <c r="L26" s="24"/>
      <c r="M26" s="24"/>
      <c r="N26" s="24"/>
      <c r="O26" s="24"/>
      <c r="P26" s="24"/>
      <c r="Q26" s="24"/>
      <c r="R26" s="15"/>
      <c r="S26" s="15"/>
      <c r="T26" s="15"/>
      <c r="U26" s="15"/>
      <c r="V26" s="34"/>
      <c r="W26" s="29"/>
      <c r="X26" s="30"/>
      <c r="Y26" s="30"/>
      <c r="Z26" s="30"/>
      <c r="AA26" s="30"/>
      <c r="AB26" s="30"/>
      <c r="AC26" s="30"/>
      <c r="AD26" s="80"/>
      <c r="AE26" s="13"/>
      <c r="AF26" s="13"/>
      <c r="AG26" s="13"/>
      <c r="AH26" s="13"/>
    </row>
    <row r="27" spans="1:34" ht="26.4">
      <c r="A27" s="14"/>
      <c r="B27" s="26"/>
      <c r="C27" s="24"/>
      <c r="D27" s="24"/>
      <c r="E27" s="82" t="s">
        <v>6</v>
      </c>
      <c r="F27" s="82" t="s">
        <v>402</v>
      </c>
      <c r="G27" s="82"/>
      <c r="H27" s="307" t="s">
        <v>8</v>
      </c>
      <c r="I27" s="307"/>
      <c r="J27" s="313"/>
      <c r="K27" s="26"/>
      <c r="L27" s="24"/>
      <c r="M27" s="24"/>
      <c r="N27" s="24"/>
      <c r="O27" s="24"/>
      <c r="P27" s="24"/>
      <c r="Q27" s="24"/>
      <c r="R27" s="15"/>
      <c r="S27" s="15"/>
      <c r="T27" s="15"/>
      <c r="U27" s="15"/>
      <c r="V27" s="34"/>
      <c r="W27" s="29"/>
      <c r="X27" s="30"/>
      <c r="Y27" s="81" t="s">
        <v>6</v>
      </c>
      <c r="Z27" s="81" t="s">
        <v>402</v>
      </c>
      <c r="AA27" s="224"/>
      <c r="AB27" s="225" t="s">
        <v>8</v>
      </c>
      <c r="AC27" s="225"/>
      <c r="AD27" s="83"/>
      <c r="AE27" s="13"/>
      <c r="AF27" s="13"/>
      <c r="AG27" s="13"/>
      <c r="AH27" s="13"/>
    </row>
    <row r="28" spans="1:34" ht="28.8" customHeight="1" thickBot="1">
      <c r="A28" s="14"/>
      <c r="B28" s="26"/>
      <c r="C28" s="24"/>
      <c r="D28" s="24"/>
      <c r="E28" s="87" t="s">
        <v>63</v>
      </c>
      <c r="F28" s="87" t="s">
        <v>136</v>
      </c>
      <c r="G28" s="87"/>
      <c r="H28" s="300" t="s">
        <v>403</v>
      </c>
      <c r="I28" s="300"/>
      <c r="J28" s="314"/>
      <c r="K28" s="226"/>
      <c r="L28" s="24"/>
      <c r="M28" s="24"/>
      <c r="N28" s="24"/>
      <c r="O28" s="24"/>
      <c r="P28" s="24"/>
      <c r="Q28" s="24"/>
      <c r="R28" s="15"/>
      <c r="S28" s="15"/>
      <c r="T28" s="15"/>
      <c r="U28" s="15"/>
      <c r="V28" s="34"/>
      <c r="W28" s="29"/>
      <c r="X28" s="30"/>
      <c r="Y28" s="87"/>
      <c r="Z28" s="87"/>
      <c r="AA28" s="87"/>
      <c r="AB28" s="87"/>
      <c r="AC28" s="33"/>
      <c r="AD28" s="70"/>
      <c r="AE28" s="13"/>
      <c r="AF28" s="13"/>
      <c r="AG28" s="13"/>
      <c r="AH28" s="13"/>
    </row>
    <row r="29" spans="1:34" ht="45.6" customHeight="1" thickTop="1">
      <c r="A29" s="13"/>
      <c r="B29" s="26"/>
      <c r="C29" s="24"/>
      <c r="D29" s="87"/>
      <c r="E29" s="87"/>
      <c r="F29" s="87"/>
      <c r="G29" s="87"/>
      <c r="H29" s="300"/>
      <c r="I29" s="300"/>
      <c r="J29" s="314"/>
      <c r="K29" s="226"/>
      <c r="L29" s="38"/>
      <c r="M29" s="39">
        <f>COUNTA(F42:F66)</f>
        <v>24</v>
      </c>
      <c r="O29" s="40">
        <f>COUNTA(F72:F75)</f>
        <v>2</v>
      </c>
      <c r="Q29" s="41">
        <f>COUNTA(F81:F105)</f>
        <v>24</v>
      </c>
      <c r="R29" s="15"/>
      <c r="S29" s="15"/>
      <c r="T29" s="15"/>
      <c r="U29" s="15"/>
      <c r="V29" s="34"/>
      <c r="W29" s="227"/>
      <c r="X29"/>
      <c r="Y29" s="79" t="s">
        <v>13</v>
      </c>
      <c r="Z29" s="315" t="s">
        <v>404</v>
      </c>
      <c r="AA29" s="310"/>
      <c r="AB29" s="228" t="s">
        <v>405</v>
      </c>
      <c r="AC29" s="89"/>
      <c r="AD29" s="32"/>
      <c r="AE29" s="13"/>
      <c r="AF29" s="13"/>
      <c r="AG29" s="13"/>
      <c r="AH29" s="13"/>
    </row>
    <row r="30" spans="1:34" ht="44.4" customHeight="1" thickBot="1">
      <c r="A30" s="2"/>
      <c r="B30" s="90"/>
      <c r="C30" s="91"/>
      <c r="D30" s="62"/>
      <c r="E30" s="88" t="s">
        <v>63</v>
      </c>
      <c r="F30" s="88" t="s">
        <v>144</v>
      </c>
      <c r="G30" s="87"/>
      <c r="H30" s="311" t="s">
        <v>406</v>
      </c>
      <c r="I30" s="311"/>
      <c r="J30" s="312"/>
      <c r="K30" s="229"/>
      <c r="L30" s="38"/>
      <c r="M30" s="43" t="s">
        <v>1</v>
      </c>
      <c r="N30" s="44"/>
      <c r="O30" s="45" t="s">
        <v>2</v>
      </c>
      <c r="P30" s="44"/>
      <c r="Q30" s="46" t="s">
        <v>3</v>
      </c>
      <c r="R30" s="2"/>
      <c r="S30" s="2"/>
      <c r="T30" s="2"/>
      <c r="U30" s="2"/>
      <c r="V30" s="34"/>
      <c r="W30" s="227"/>
      <c r="X30"/>
      <c r="Y30" s="87"/>
      <c r="Z30" s="315"/>
      <c r="AA30" s="310"/>
      <c r="AB30" s="87"/>
      <c r="AC30" s="89"/>
      <c r="AD30" s="32"/>
      <c r="AF30" s="2"/>
      <c r="AG30" s="2"/>
    </row>
    <row r="31" spans="1:34" ht="42" customHeight="1" thickTop="1" thickBot="1">
      <c r="A31" s="2"/>
      <c r="B31" s="90"/>
      <c r="C31" s="62"/>
      <c r="D31" s="62"/>
      <c r="E31" s="87"/>
      <c r="F31" s="87"/>
      <c r="G31" s="87"/>
      <c r="H31" s="84"/>
      <c r="I31" s="84"/>
      <c r="J31" s="230"/>
      <c r="K31" s="29"/>
      <c r="L31" s="49"/>
      <c r="M31" s="50"/>
      <c r="O31" s="51"/>
      <c r="Q31" s="52"/>
      <c r="R31" s="2"/>
      <c r="S31" s="2"/>
      <c r="T31" s="2"/>
      <c r="U31" s="2"/>
      <c r="V31" s="34"/>
      <c r="W31" s="227"/>
      <c r="X31"/>
      <c r="Y31" s="87"/>
      <c r="Z31" s="315"/>
      <c r="AA31" s="310"/>
      <c r="AB31" s="87"/>
      <c r="AC31" s="89"/>
      <c r="AD31" s="32"/>
      <c r="AF31" s="2"/>
      <c r="AG31" s="2"/>
    </row>
    <row r="32" spans="1:34" ht="28.8" customHeight="1" thickTop="1" thickBot="1">
      <c r="A32" s="2"/>
      <c r="B32" s="90"/>
      <c r="C32" s="62"/>
      <c r="D32" s="62"/>
      <c r="E32" s="87"/>
      <c r="F32" s="87"/>
      <c r="G32" s="87"/>
      <c r="H32" s="231"/>
      <c r="I32" s="231"/>
      <c r="J32" s="232"/>
      <c r="K32" s="29"/>
      <c r="L32" s="56" t="s">
        <v>4</v>
      </c>
      <c r="M32" s="57">
        <f>M29-M33</f>
        <v>0</v>
      </c>
      <c r="N32" s="58"/>
      <c r="O32" s="59">
        <f>O29-O33</f>
        <v>0</v>
      </c>
      <c r="P32" s="58"/>
      <c r="Q32" s="60">
        <f>Q29-Q33</f>
        <v>0</v>
      </c>
      <c r="R32" s="2"/>
      <c r="S32" s="2"/>
      <c r="T32" s="2"/>
      <c r="U32" s="2"/>
      <c r="V32" s="61"/>
      <c r="W32" s="227"/>
      <c r="X32"/>
      <c r="Y32" s="79"/>
      <c r="Z32" s="315"/>
      <c r="AA32" s="310"/>
      <c r="AB32" s="79"/>
      <c r="AC32" s="89"/>
      <c r="AD32" s="32"/>
      <c r="AF32" s="2"/>
      <c r="AG32" s="2"/>
    </row>
    <row r="33" spans="1:33" ht="38.4" customHeight="1" thickTop="1">
      <c r="A33" s="2"/>
      <c r="B33" s="90"/>
      <c r="C33" s="62"/>
      <c r="D33" s="62"/>
      <c r="E33" s="87"/>
      <c r="F33" s="87"/>
      <c r="G33" s="87"/>
      <c r="H33" s="311"/>
      <c r="I33" s="311"/>
      <c r="J33" s="305"/>
      <c r="K33" s="29"/>
      <c r="L33" s="24"/>
      <c r="M33" s="64">
        <v>24</v>
      </c>
      <c r="N33" s="65"/>
      <c r="O33" s="66">
        <v>2</v>
      </c>
      <c r="P33" s="67"/>
      <c r="Q33" s="68">
        <v>24</v>
      </c>
      <c r="R33" s="2"/>
      <c r="S33" s="2"/>
      <c r="T33" s="2"/>
      <c r="U33" s="2"/>
      <c r="V33" s="34"/>
      <c r="W33" s="227"/>
      <c r="X33"/>
      <c r="Y33" s="95"/>
      <c r="Z33" s="95"/>
      <c r="AA33" s="233"/>
      <c r="AB33" s="97"/>
      <c r="AC33" s="92"/>
      <c r="AD33" s="32"/>
      <c r="AF33" s="2"/>
      <c r="AG33" s="2"/>
    </row>
    <row r="34" spans="1:33" ht="28.8" customHeight="1">
      <c r="A34" s="2"/>
      <c r="B34" s="90"/>
      <c r="C34" s="62"/>
      <c r="D34" s="62"/>
      <c r="E34" s="87"/>
      <c r="F34" s="87"/>
      <c r="G34" s="24"/>
      <c r="H34" s="234"/>
      <c r="I34" s="235"/>
      <c r="J34" s="232"/>
      <c r="K34" s="26"/>
      <c r="L34" s="236"/>
      <c r="M34" s="237"/>
      <c r="N34" s="237"/>
      <c r="O34" s="237"/>
      <c r="P34" s="237"/>
      <c r="Q34" s="237"/>
      <c r="V34" s="62"/>
      <c r="W34" s="227"/>
      <c r="X34"/>
      <c r="Y34" s="95"/>
      <c r="Z34" s="95"/>
      <c r="AA34" s="233"/>
      <c r="AB34" s="97"/>
      <c r="AC34"/>
      <c r="AD34" s="32"/>
      <c r="AF34" s="2"/>
      <c r="AG34" s="2"/>
    </row>
    <row r="35" spans="1:33" ht="28.8" customHeight="1">
      <c r="A35" s="2"/>
      <c r="B35" s="90"/>
      <c r="C35" s="62"/>
      <c r="D35" s="62"/>
      <c r="E35" s="98"/>
      <c r="F35" s="44"/>
      <c r="G35" s="24"/>
      <c r="H35" s="308"/>
      <c r="I35" s="308"/>
      <c r="J35" s="232"/>
      <c r="K35" s="26"/>
      <c r="L35" s="236"/>
      <c r="M35" s="237"/>
      <c r="N35" s="237"/>
      <c r="O35" s="237"/>
      <c r="P35" s="237"/>
      <c r="Q35" s="237"/>
      <c r="V35" s="62"/>
      <c r="W35" s="227"/>
      <c r="X35"/>
      <c r="Y35" s="95"/>
      <c r="Z35" s="95"/>
      <c r="AA35" s="233"/>
      <c r="AB35" s="97"/>
      <c r="AC35"/>
      <c r="AD35" s="32"/>
      <c r="AF35" s="2"/>
      <c r="AG35" s="2"/>
    </row>
    <row r="36" spans="1:33" s="2" customFormat="1" ht="14.4" customHeight="1">
      <c r="B36" s="90"/>
      <c r="C36" s="99"/>
      <c r="D36" s="100"/>
      <c r="E36" s="101"/>
      <c r="F36" s="101"/>
      <c r="G36" s="102"/>
      <c r="H36" s="102"/>
      <c r="I36" s="238"/>
      <c r="J36" s="239"/>
      <c r="K36" s="240"/>
      <c r="L36" s="100"/>
      <c r="M36" s="100"/>
      <c r="N36" s="100"/>
      <c r="O36" s="100"/>
      <c r="P36" s="100"/>
      <c r="Q36" s="100"/>
      <c r="R36" s="20"/>
      <c r="S36" s="20"/>
      <c r="T36" s="20"/>
      <c r="U36" s="20"/>
      <c r="V36" s="73"/>
      <c r="W36" s="227"/>
      <c r="X36"/>
      <c r="Y36" s="103"/>
      <c r="Z36" s="103"/>
      <c r="AA36" s="104"/>
      <c r="AB36" s="105"/>
      <c r="AC36" s="104"/>
      <c r="AD36" s="106"/>
    </row>
    <row r="37" spans="1:33" s="2" customFormat="1" ht="11.4" customHeight="1">
      <c r="I37" s="107"/>
      <c r="J37" s="107"/>
      <c r="K37" s="12"/>
      <c r="X37" s="107"/>
      <c r="Y37" s="108"/>
      <c r="Z37" s="108"/>
      <c r="AB37" s="107"/>
    </row>
    <row r="38" spans="1:33" s="2" customFormat="1" ht="21.6" customHeight="1">
      <c r="D38" s="109"/>
      <c r="K38" s="12"/>
      <c r="V38" s="20"/>
      <c r="W38" s="12"/>
      <c r="X38" s="20"/>
      <c r="Y38" s="110"/>
      <c r="Z38" s="110"/>
      <c r="AA38" s="20"/>
      <c r="AB38" s="20"/>
      <c r="AC38" s="20"/>
      <c r="AD38" s="20"/>
    </row>
    <row r="39" spans="1:33" s="2" customFormat="1" ht="19.2" customHeight="1">
      <c r="C39" s="111"/>
      <c r="D39" s="112"/>
      <c r="E39" s="113"/>
      <c r="F39" s="113"/>
      <c r="G39" s="114"/>
      <c r="H39" s="112"/>
      <c r="I39" s="112"/>
      <c r="J39" s="113"/>
      <c r="K39" s="112"/>
      <c r="L39" s="112"/>
      <c r="M39" s="112"/>
      <c r="N39" s="112"/>
      <c r="O39" s="112"/>
      <c r="P39" s="112"/>
      <c r="Q39" s="115"/>
      <c r="R39" s="112"/>
      <c r="S39" s="112"/>
      <c r="T39" s="112"/>
      <c r="U39" s="112"/>
      <c r="V39" s="1"/>
      <c r="W39" s="116"/>
      <c r="X39"/>
      <c r="Y39" s="115"/>
      <c r="Z39" s="115"/>
      <c r="AA39"/>
      <c r="AB39"/>
      <c r="AC39"/>
      <c r="AD39" s="28"/>
    </row>
    <row r="40" spans="1:33" s="2" customFormat="1" ht="17.399999999999999" customHeight="1">
      <c r="C40" s="117"/>
      <c r="D40" s="1"/>
      <c r="E40" s="119" t="s">
        <v>35</v>
      </c>
      <c r="F40" s="119" t="s">
        <v>36</v>
      </c>
      <c r="G40" s="119"/>
      <c r="H40" s="119" t="s">
        <v>37</v>
      </c>
      <c r="I40" s="119"/>
      <c r="J4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91"/>
      <c r="X40"/>
      <c r="Y40"/>
      <c r="Z40"/>
      <c r="AA40"/>
      <c r="AB40"/>
      <c r="AC40"/>
      <c r="AD40" s="32"/>
    </row>
    <row r="41" spans="1:33" s="2" customFormat="1" ht="15" customHeight="1">
      <c r="C41" s="117"/>
      <c r="D41" s="1"/>
      <c r="E41" s="1"/>
      <c r="F41" s="1"/>
      <c r="G41" s="1"/>
      <c r="H41" s="1"/>
      <c r="I41" s="1"/>
      <c r="J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91"/>
      <c r="X41"/>
      <c r="Y41"/>
      <c r="Z41"/>
      <c r="AA41"/>
      <c r="AB41"/>
      <c r="AC41"/>
      <c r="AD41" s="32"/>
    </row>
    <row r="42" spans="1:33" s="2" customFormat="1" ht="15" customHeight="1">
      <c r="C42" s="117"/>
      <c r="D42" s="1"/>
      <c r="E42" s="121" t="s">
        <v>38</v>
      </c>
      <c r="F42" s="121" t="s">
        <v>39</v>
      </c>
      <c r="G42" s="122"/>
      <c r="H42" s="122" t="str">
        <f>VLOOKUP(F42,[1]Plano!$C$7:$L$56,4,FALSE)</f>
        <v>Concluído</v>
      </c>
      <c r="I42" s="122"/>
      <c r="J42"/>
      <c r="K42" s="241"/>
      <c r="L42" s="121"/>
      <c r="M42" s="121"/>
      <c r="N42" s="121"/>
      <c r="O42" s="121"/>
      <c r="P42" s="121"/>
      <c r="Q42" s="182"/>
      <c r="R42" s="121"/>
      <c r="S42" s="121"/>
      <c r="T42" s="121"/>
      <c r="U42" s="121"/>
      <c r="V42" s="1"/>
      <c r="W42" s="91"/>
      <c r="X42"/>
      <c r="Y42"/>
      <c r="Z42"/>
      <c r="AA42"/>
      <c r="AB42"/>
      <c r="AC42"/>
      <c r="AD42" s="32"/>
    </row>
    <row r="43" spans="1:33" s="2" customFormat="1" ht="17.399999999999999">
      <c r="C43" s="117"/>
      <c r="D43" s="1"/>
      <c r="E43" s="121" t="s">
        <v>38</v>
      </c>
      <c r="F43" s="121" t="s">
        <v>40</v>
      </c>
      <c r="G43" s="122"/>
      <c r="H43" s="122" t="str">
        <f>VLOOKUP(F43,[1]Plano!$C$7:$L$56,4,FALSE)</f>
        <v>Concluído</v>
      </c>
      <c r="I43" s="122"/>
      <c r="J43"/>
      <c r="K43" s="241"/>
      <c r="L43" s="87"/>
      <c r="M43" s="87"/>
      <c r="N43" s="87"/>
      <c r="O43" s="87"/>
      <c r="P43" s="87"/>
      <c r="Q43" s="242"/>
      <c r="R43" s="87"/>
      <c r="S43" s="87"/>
      <c r="T43" s="87"/>
      <c r="U43" s="87"/>
      <c r="V43" s="1"/>
      <c r="W43" s="91"/>
      <c r="X43"/>
      <c r="Y43"/>
      <c r="Z43"/>
      <c r="AA43"/>
      <c r="AB43"/>
      <c r="AC43"/>
      <c r="AD43" s="32"/>
    </row>
    <row r="44" spans="1:33" s="2" customFormat="1" ht="15" customHeight="1">
      <c r="C44" s="117"/>
      <c r="D44" s="1"/>
      <c r="E44" s="121" t="s">
        <v>38</v>
      </c>
      <c r="F44" s="121" t="s">
        <v>41</v>
      </c>
      <c r="G44" s="122"/>
      <c r="H44" s="122" t="str">
        <f>VLOOKUP(F44,[1]Plano!$C$7:$L$56,4,FALSE)</f>
        <v>Concluído</v>
      </c>
      <c r="I44" s="122"/>
      <c r="J44"/>
      <c r="K44" s="241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1"/>
      <c r="W44" s="91"/>
      <c r="X44"/>
      <c r="Y44" s="233"/>
      <c r="Z44" s="233"/>
      <c r="AA44"/>
      <c r="AB44"/>
      <c r="AC44"/>
      <c r="AD44" s="32"/>
    </row>
    <row r="45" spans="1:33" s="2" customFormat="1" ht="15" customHeight="1">
      <c r="C45" s="243"/>
      <c r="D45" s="244"/>
      <c r="E45" s="121" t="s">
        <v>38</v>
      </c>
      <c r="F45" s="121" t="s">
        <v>42</v>
      </c>
      <c r="G45" s="122"/>
      <c r="H45" s="122" t="str">
        <f>VLOOKUP(F45,[1]Plano!$C$7:$L$56,4,FALSE)</f>
        <v>Concluído</v>
      </c>
      <c r="I45" s="122"/>
      <c r="J45"/>
      <c r="K45" s="241"/>
      <c r="L45" s="245"/>
      <c r="M45" s="245"/>
      <c r="N45" s="87"/>
      <c r="O45" s="87"/>
      <c r="P45" s="87"/>
      <c r="Q45" s="87"/>
      <c r="R45" s="246"/>
      <c r="S45" s="247"/>
      <c r="T45" s="248"/>
      <c r="U45" s="248"/>
      <c r="V45" s="1"/>
      <c r="W45" s="91"/>
      <c r="X45"/>
      <c r="Y45"/>
      <c r="Z45"/>
      <c r="AA45"/>
      <c r="AB45"/>
      <c r="AC45"/>
      <c r="AD45" s="32"/>
    </row>
    <row r="46" spans="1:33" s="2" customFormat="1" ht="15" customHeight="1">
      <c r="C46" s="243"/>
      <c r="D46" s="244"/>
      <c r="E46" s="121" t="s">
        <v>38</v>
      </c>
      <c r="F46" s="121" t="s">
        <v>43</v>
      </c>
      <c r="G46" s="122"/>
      <c r="H46" s="122" t="str">
        <f>VLOOKUP(F46,[1]Plano!$C$7:$L$56,4,FALSE)</f>
        <v>Concluído</v>
      </c>
      <c r="I46" s="122"/>
      <c r="J46"/>
      <c r="K46" s="241"/>
      <c r="L46" s="249"/>
      <c r="M46" s="249"/>
      <c r="N46" s="87"/>
      <c r="O46" s="87"/>
      <c r="P46" s="87"/>
      <c r="Q46" s="87"/>
      <c r="R46" s="250"/>
      <c r="S46" s="251"/>
      <c r="T46" s="252"/>
      <c r="U46" s="252"/>
      <c r="V46" s="1"/>
      <c r="W46" s="91"/>
      <c r="X46"/>
      <c r="Y46"/>
      <c r="Z46"/>
      <c r="AA46"/>
      <c r="AB46"/>
      <c r="AC46"/>
      <c r="AD46" s="32"/>
    </row>
    <row r="47" spans="1:33" s="2" customFormat="1" ht="15" customHeight="1">
      <c r="C47" s="243"/>
      <c r="D47" s="244"/>
      <c r="E47" s="121" t="s">
        <v>38</v>
      </c>
      <c r="F47" s="121" t="s">
        <v>44</v>
      </c>
      <c r="G47" s="122"/>
      <c r="H47" s="122" t="str">
        <f>VLOOKUP(F47,[1]Plano!$C$7:$L$56,4,FALSE)</f>
        <v>Concluído</v>
      </c>
      <c r="I47" s="122"/>
      <c r="J47"/>
      <c r="K47" s="241"/>
      <c r="L47" s="253"/>
      <c r="M47" s="87"/>
      <c r="N47" s="87"/>
      <c r="O47" s="87"/>
      <c r="P47" s="87"/>
      <c r="Q47" s="87"/>
      <c r="R47" s="254"/>
      <c r="S47" s="88"/>
      <c r="T47" s="255"/>
      <c r="U47" s="255"/>
      <c r="V47" s="1"/>
      <c r="W47" s="91"/>
      <c r="X47"/>
      <c r="Y47"/>
      <c r="Z47"/>
      <c r="AA47"/>
      <c r="AB47"/>
      <c r="AC47"/>
      <c r="AD47" s="32"/>
    </row>
    <row r="48" spans="1:33" s="2" customFormat="1" ht="15" customHeight="1">
      <c r="C48" s="243"/>
      <c r="D48" s="244"/>
      <c r="E48" s="121" t="s">
        <v>38</v>
      </c>
      <c r="F48" s="121" t="s">
        <v>45</v>
      </c>
      <c r="G48" s="122"/>
      <c r="H48" s="122" t="str">
        <f>VLOOKUP(F48,[1]Plano!$C$7:$L$56,4,FALSE)</f>
        <v>Concluído</v>
      </c>
      <c r="I48" s="122"/>
      <c r="J48"/>
      <c r="K48" s="241"/>
      <c r="L48" s="87"/>
      <c r="M48" s="87"/>
      <c r="N48" s="87"/>
      <c r="O48" s="87"/>
      <c r="P48" s="87"/>
      <c r="Q48" s="87"/>
      <c r="R48" s="250"/>
      <c r="S48" s="256"/>
      <c r="T48" s="252"/>
      <c r="U48" s="252"/>
      <c r="V48" s="1"/>
      <c r="W48" s="91"/>
      <c r="X48"/>
      <c r="Y48"/>
      <c r="Z48"/>
      <c r="AA48"/>
      <c r="AB48"/>
      <c r="AC48"/>
      <c r="AD48" s="32"/>
    </row>
    <row r="49" spans="3:30" s="2" customFormat="1" ht="15" customHeight="1">
      <c r="C49" s="243"/>
      <c r="D49" s="244"/>
      <c r="E49" s="121" t="s">
        <v>38</v>
      </c>
      <c r="F49" s="121" t="s">
        <v>46</v>
      </c>
      <c r="G49" s="122"/>
      <c r="H49" s="122" t="str">
        <f>VLOOKUP(F49,[1]Plano!$C$7:$L$56,4,FALSE)</f>
        <v>Concluído</v>
      </c>
      <c r="I49" s="122"/>
      <c r="J49"/>
      <c r="K49" s="241"/>
      <c r="L49" s="87"/>
      <c r="M49" s="87"/>
      <c r="N49" s="87"/>
      <c r="O49" s="87"/>
      <c r="P49" s="87"/>
      <c r="Q49" s="87"/>
      <c r="R49" s="254"/>
      <c r="S49" s="88"/>
      <c r="T49" s="255"/>
      <c r="U49" s="255"/>
      <c r="V49" s="1"/>
      <c r="W49" s="91"/>
      <c r="X49"/>
      <c r="Y49"/>
      <c r="Z49"/>
      <c r="AA49"/>
      <c r="AB49"/>
      <c r="AC49"/>
      <c r="AD49" s="32"/>
    </row>
    <row r="50" spans="3:30" s="2" customFormat="1" ht="15" customHeight="1">
      <c r="C50" s="243"/>
      <c r="D50" s="244"/>
      <c r="E50" s="121" t="s">
        <v>38</v>
      </c>
      <c r="F50" s="121" t="s">
        <v>47</v>
      </c>
      <c r="G50" s="122"/>
      <c r="H50" s="122" t="str">
        <f>VLOOKUP(F50,[1]Plano!$C$7:$L$56,4,FALSE)</f>
        <v>Concluído</v>
      </c>
      <c r="I50" s="122"/>
      <c r="J50"/>
      <c r="K50" s="241"/>
      <c r="L50" s="87"/>
      <c r="M50" s="87"/>
      <c r="N50" s="87"/>
      <c r="O50" s="87"/>
      <c r="P50" s="87"/>
      <c r="Q50" s="87"/>
      <c r="R50" s="254"/>
      <c r="S50" s="88"/>
      <c r="T50" s="255"/>
      <c r="U50" s="255"/>
      <c r="V50" s="1"/>
      <c r="W50" s="91"/>
      <c r="X50"/>
      <c r="Y50"/>
      <c r="Z50"/>
      <c r="AA50"/>
      <c r="AB50"/>
      <c r="AC50"/>
      <c r="AD50" s="32"/>
    </row>
    <row r="51" spans="3:30" s="2" customFormat="1" ht="15" customHeight="1">
      <c r="C51" s="243"/>
      <c r="D51" s="244"/>
      <c r="E51" s="121" t="s">
        <v>38</v>
      </c>
      <c r="F51" s="121" t="s">
        <v>48</v>
      </c>
      <c r="G51" s="122"/>
      <c r="H51" s="122" t="str">
        <f>VLOOKUP(F51,[1]Plano!$C$7:$L$56,4,FALSE)</f>
        <v>Concluído</v>
      </c>
      <c r="I51" s="122"/>
      <c r="J51"/>
      <c r="K51" s="241"/>
      <c r="L51" s="253"/>
      <c r="M51" s="87"/>
      <c r="N51" s="87"/>
      <c r="O51" s="87"/>
      <c r="P51" s="87"/>
      <c r="Q51" s="87"/>
      <c r="R51" s="250"/>
      <c r="S51" s="256"/>
      <c r="T51" s="252"/>
      <c r="U51" s="252"/>
      <c r="V51" s="1"/>
      <c r="W51" s="91"/>
      <c r="X51"/>
      <c r="Y51"/>
      <c r="Z51"/>
      <c r="AA51"/>
      <c r="AB51"/>
      <c r="AC51"/>
      <c r="AD51" s="32"/>
    </row>
    <row r="52" spans="3:30" s="2" customFormat="1" ht="15" customHeight="1">
      <c r="C52" s="243"/>
      <c r="D52" s="244"/>
      <c r="E52" s="121" t="s">
        <v>38</v>
      </c>
      <c r="F52" s="121" t="s">
        <v>49</v>
      </c>
      <c r="G52" s="122"/>
      <c r="H52" s="122" t="str">
        <f>VLOOKUP(F52,[1]Plano!$C$7:$L$56,4,FALSE)</f>
        <v>Concluído</v>
      </c>
      <c r="I52" s="122"/>
      <c r="J52"/>
      <c r="K52" s="241"/>
      <c r="L52" s="87"/>
      <c r="M52" s="87"/>
      <c r="N52" s="87"/>
      <c r="O52" s="87"/>
      <c r="P52" s="87"/>
      <c r="Q52" s="87"/>
      <c r="R52" s="254"/>
      <c r="S52" s="88"/>
      <c r="T52" s="255"/>
      <c r="U52" s="255"/>
      <c r="V52" s="1"/>
      <c r="W52" s="91"/>
      <c r="X52"/>
      <c r="Y52"/>
      <c r="Z52"/>
      <c r="AA52"/>
      <c r="AB52"/>
      <c r="AC52"/>
      <c r="AD52" s="32"/>
    </row>
    <row r="53" spans="3:30" s="2" customFormat="1" ht="15" customHeight="1">
      <c r="C53" s="243"/>
      <c r="D53" s="244"/>
      <c r="E53" s="121" t="s">
        <v>38</v>
      </c>
      <c r="F53" s="121" t="s">
        <v>50</v>
      </c>
      <c r="G53" s="122"/>
      <c r="H53" s="122" t="str">
        <f>VLOOKUP(F53,[1]Plano!$C$7:$L$56,4,FALSE)</f>
        <v>Concluído</v>
      </c>
      <c r="I53" s="122"/>
      <c r="J53"/>
      <c r="K53" s="241"/>
      <c r="L53" s="253"/>
      <c r="M53" s="87"/>
      <c r="N53" s="257"/>
      <c r="O53" s="87"/>
      <c r="P53" s="87"/>
      <c r="Q53" s="87"/>
      <c r="R53" s="250"/>
      <c r="S53" s="256"/>
      <c r="T53" s="252"/>
      <c r="U53" s="252"/>
      <c r="V53" s="1"/>
      <c r="W53" s="91"/>
      <c r="X53"/>
      <c r="Y53"/>
      <c r="Z53"/>
      <c r="AA53"/>
      <c r="AB53"/>
      <c r="AC53"/>
      <c r="AD53" s="32"/>
    </row>
    <row r="54" spans="3:30" s="2" customFormat="1" ht="15" customHeight="1">
      <c r="C54" s="243"/>
      <c r="D54" s="244"/>
      <c r="E54" s="121" t="s">
        <v>38</v>
      </c>
      <c r="F54" s="121" t="s">
        <v>51</v>
      </c>
      <c r="G54" s="122"/>
      <c r="H54" s="122" t="str">
        <f>VLOOKUP(F54,[1]Plano!$C$7:$L$56,4,FALSE)</f>
        <v>Concluído</v>
      </c>
      <c r="I54" s="122"/>
      <c r="J54"/>
      <c r="K54" s="241"/>
      <c r="L54" s="253"/>
      <c r="M54" s="87"/>
      <c r="N54" s="87"/>
      <c r="O54" s="87"/>
      <c r="P54" s="87"/>
      <c r="Q54" s="87"/>
      <c r="R54" s="250"/>
      <c r="S54" s="256"/>
      <c r="T54" s="252"/>
      <c r="U54" s="252"/>
      <c r="V54" s="1"/>
      <c r="W54" s="91"/>
      <c r="X54"/>
      <c r="Y54"/>
      <c r="Z54"/>
      <c r="AA54"/>
      <c r="AB54"/>
      <c r="AC54"/>
      <c r="AD54" s="32"/>
    </row>
    <row r="55" spans="3:30" s="2" customFormat="1" ht="15" customHeight="1">
      <c r="C55" s="243"/>
      <c r="D55" s="244"/>
      <c r="E55" s="121" t="s">
        <v>38</v>
      </c>
      <c r="F55" s="121" t="s">
        <v>52</v>
      </c>
      <c r="G55" s="122"/>
      <c r="H55" s="122" t="str">
        <f>VLOOKUP(F55,[1]Plano!$C$7:$L$56,4,FALSE)</f>
        <v>Concluído</v>
      </c>
      <c r="I55" s="122"/>
      <c r="J55"/>
      <c r="K55" s="241"/>
      <c r="L55" s="253"/>
      <c r="M55" s="87"/>
      <c r="N55" s="87"/>
      <c r="O55" s="87"/>
      <c r="P55" s="87"/>
      <c r="Q55" s="87"/>
      <c r="R55" s="87"/>
      <c r="S55" s="87"/>
      <c r="T55" s="87"/>
      <c r="U55" s="87"/>
      <c r="V55" s="1"/>
      <c r="W55" s="91"/>
      <c r="X55"/>
      <c r="Y55"/>
      <c r="Z55"/>
      <c r="AA55"/>
      <c r="AB55"/>
      <c r="AC55"/>
      <c r="AD55" s="32"/>
    </row>
    <row r="56" spans="3:30" s="2" customFormat="1" ht="15" customHeight="1">
      <c r="C56" s="243"/>
      <c r="D56" s="244"/>
      <c r="E56" s="121" t="s">
        <v>38</v>
      </c>
      <c r="F56" s="121" t="s">
        <v>53</v>
      </c>
      <c r="G56" s="122"/>
      <c r="H56" s="122" t="str">
        <f>VLOOKUP(F56,[1]Plano!$C$7:$L$56,4,FALSE)</f>
        <v>Concluído</v>
      </c>
      <c r="I56" s="122"/>
      <c r="J56"/>
      <c r="K56" s="241"/>
      <c r="L56" s="253"/>
      <c r="M56" s="87"/>
      <c r="N56" s="87"/>
      <c r="O56" s="87"/>
      <c r="P56" s="87"/>
      <c r="Q56" s="87"/>
      <c r="R56" s="91"/>
      <c r="S56" s="91"/>
      <c r="T56" s="91"/>
      <c r="U56" s="91"/>
      <c r="V56" s="1"/>
      <c r="W56" s="91"/>
      <c r="X56"/>
      <c r="Y56"/>
      <c r="Z56"/>
      <c r="AA56"/>
      <c r="AB56"/>
      <c r="AC56"/>
      <c r="AD56" s="32"/>
    </row>
    <row r="57" spans="3:30" s="2" customFormat="1" ht="15" customHeight="1">
      <c r="C57" s="243"/>
      <c r="D57" s="244"/>
      <c r="E57" s="121" t="s">
        <v>38</v>
      </c>
      <c r="F57" s="121" t="s">
        <v>54</v>
      </c>
      <c r="G57" s="122"/>
      <c r="H57" s="122" t="str">
        <f>VLOOKUP(F57,[1]Plano!$C$7:$L$56,4,FALSE)</f>
        <v>Concluído</v>
      </c>
      <c r="I57" s="122"/>
      <c r="J57"/>
      <c r="K57" s="241"/>
      <c r="L57" s="253"/>
      <c r="M57" s="87"/>
      <c r="N57" s="87"/>
      <c r="O57" s="87"/>
      <c r="P57" s="87"/>
      <c r="Q57" s="87"/>
      <c r="R57" s="91"/>
      <c r="S57" s="91"/>
      <c r="T57" s="91"/>
      <c r="U57" s="91"/>
      <c r="V57" s="1"/>
      <c r="W57" s="91"/>
      <c r="X57"/>
      <c r="Y57"/>
      <c r="Z57"/>
      <c r="AA57"/>
      <c r="AB57"/>
      <c r="AC57"/>
      <c r="AD57" s="32"/>
    </row>
    <row r="58" spans="3:30" s="2" customFormat="1" ht="15" customHeight="1">
      <c r="C58" s="243"/>
      <c r="D58" s="244"/>
      <c r="E58" s="121" t="s">
        <v>38</v>
      </c>
      <c r="F58" s="121" t="s">
        <v>55</v>
      </c>
      <c r="G58" s="122"/>
      <c r="H58" s="122" t="str">
        <f>VLOOKUP(F58,[1]Plano!$C$7:$L$56,4,FALSE)</f>
        <v>Concluído</v>
      </c>
      <c r="I58" s="122"/>
      <c r="J58"/>
      <c r="K58" s="241"/>
      <c r="L58" s="253"/>
      <c r="M58" s="87"/>
      <c r="N58" s="87"/>
      <c r="O58" s="87"/>
      <c r="P58" s="87"/>
      <c r="Q58" s="87"/>
      <c r="R58" s="91"/>
      <c r="S58" s="91"/>
      <c r="T58" s="91"/>
      <c r="U58" s="91"/>
      <c r="V58" s="1"/>
      <c r="W58" s="91"/>
      <c r="X58"/>
      <c r="Y58"/>
      <c r="Z58"/>
      <c r="AA58"/>
      <c r="AB58"/>
      <c r="AC58"/>
      <c r="AD58" s="32"/>
    </row>
    <row r="59" spans="3:30" s="2" customFormat="1" ht="15" customHeight="1">
      <c r="C59" s="243"/>
      <c r="D59" s="244"/>
      <c r="E59" s="79" t="s">
        <v>38</v>
      </c>
      <c r="F59" s="79" t="s">
        <v>56</v>
      </c>
      <c r="G59" s="123"/>
      <c r="H59" s="123" t="str">
        <f>VLOOKUP(F59,[1]Plano!$C$7:$L$56,4,FALSE)</f>
        <v>Concluído</v>
      </c>
      <c r="I59" s="123"/>
      <c r="J59" s="62"/>
      <c r="K59" s="172"/>
      <c r="L59" s="253"/>
      <c r="M59" s="87"/>
      <c r="N59" s="87"/>
      <c r="O59" s="87"/>
      <c r="P59" s="87"/>
      <c r="Q59" s="87"/>
      <c r="R59" s="91"/>
      <c r="S59" s="91"/>
      <c r="T59" s="91"/>
      <c r="U59" s="91"/>
      <c r="V59" s="1"/>
      <c r="W59" s="91"/>
      <c r="X59"/>
      <c r="Y59"/>
      <c r="Z59"/>
      <c r="AA59"/>
      <c r="AB59"/>
      <c r="AC59"/>
      <c r="AD59" s="32"/>
    </row>
    <row r="60" spans="3:30" s="2" customFormat="1" ht="15" customHeight="1">
      <c r="C60" s="243"/>
      <c r="D60" s="244"/>
      <c r="E60" s="79" t="s">
        <v>57</v>
      </c>
      <c r="F60" s="79" t="s">
        <v>58</v>
      </c>
      <c r="G60" s="123"/>
      <c r="H60" s="123" t="str">
        <f>VLOOKUP(F60,[1]Plano!$C$7:$L$56,4,FALSE)</f>
        <v>Concluído</v>
      </c>
      <c r="I60" s="123"/>
      <c r="J60"/>
      <c r="K60" s="241"/>
      <c r="L60" s="253"/>
      <c r="M60" s="87"/>
      <c r="N60" s="87"/>
      <c r="O60" s="87"/>
      <c r="P60" s="87"/>
      <c r="Q60" s="87"/>
      <c r="R60" s="91"/>
      <c r="S60" s="91"/>
      <c r="T60" s="91"/>
      <c r="U60" s="91"/>
      <c r="V60" s="1"/>
      <c r="W60" s="91"/>
      <c r="X60"/>
      <c r="Y60"/>
      <c r="Z60"/>
      <c r="AA60"/>
      <c r="AB60"/>
      <c r="AC60"/>
      <c r="AD60" s="32"/>
    </row>
    <row r="61" spans="3:30" s="2" customFormat="1" ht="15" customHeight="1">
      <c r="C61" s="243"/>
      <c r="D61" s="244"/>
      <c r="E61" s="79" t="s">
        <v>57</v>
      </c>
      <c r="F61" s="79" t="s">
        <v>59</v>
      </c>
      <c r="G61" s="123"/>
      <c r="H61" s="123" t="str">
        <f>VLOOKUP(F61,[1]Plano!$C$7:$L$56,4,FALSE)</f>
        <v>Concluído</v>
      </c>
      <c r="I61" s="123"/>
      <c r="J61"/>
      <c r="K61" s="241"/>
      <c r="L61" s="253"/>
      <c r="M61" s="87"/>
      <c r="N61" s="87"/>
      <c r="O61" s="87"/>
      <c r="P61" s="87"/>
      <c r="Q61" s="87"/>
      <c r="R61" s="91"/>
      <c r="S61" s="91"/>
      <c r="T61" s="91"/>
      <c r="U61" s="91"/>
      <c r="V61" s="1"/>
      <c r="W61" s="91"/>
      <c r="X61"/>
      <c r="Y61"/>
      <c r="Z61"/>
      <c r="AA61"/>
      <c r="AB61"/>
      <c r="AC61"/>
      <c r="AD61" s="32"/>
    </row>
    <row r="62" spans="3:30" s="2" customFormat="1" ht="15" customHeight="1">
      <c r="C62" s="243"/>
      <c r="D62" s="244"/>
      <c r="E62" s="79" t="s">
        <v>57</v>
      </c>
      <c r="F62" s="79" t="s">
        <v>60</v>
      </c>
      <c r="G62" s="123"/>
      <c r="H62" s="123" t="str">
        <f>VLOOKUP(F62,[1]Plano!$C$7:$L$56,4,FALSE)</f>
        <v>Concluído</v>
      </c>
      <c r="I62" s="123"/>
      <c r="J62"/>
      <c r="K62" s="241"/>
      <c r="L62" s="253"/>
      <c r="M62" s="87"/>
      <c r="N62" s="87"/>
      <c r="O62" s="87"/>
      <c r="P62" s="87"/>
      <c r="Q62" s="87"/>
      <c r="R62" s="91"/>
      <c r="S62" s="91"/>
      <c r="T62" s="91"/>
      <c r="U62" s="91"/>
      <c r="V62" s="1"/>
      <c r="W62" s="91"/>
      <c r="X62"/>
      <c r="Y62"/>
      <c r="Z62"/>
      <c r="AA62"/>
      <c r="AB62"/>
      <c r="AC62"/>
      <c r="AD62" s="32"/>
    </row>
    <row r="63" spans="3:30" s="2" customFormat="1" ht="15" customHeight="1">
      <c r="C63" s="243"/>
      <c r="D63" s="244"/>
      <c r="E63" s="79" t="s">
        <v>57</v>
      </c>
      <c r="F63" s="79" t="s">
        <v>61</v>
      </c>
      <c r="G63" s="123"/>
      <c r="H63" s="123" t="str">
        <f>VLOOKUP(F63,[1]Plano!$C$7:$L$56,4,FALSE)</f>
        <v>Concluído</v>
      </c>
      <c r="I63" s="123"/>
      <c r="J63"/>
      <c r="K63" s="241"/>
      <c r="L63" s="253"/>
      <c r="M63" s="87"/>
      <c r="N63" s="87"/>
      <c r="O63" s="87"/>
      <c r="P63" s="87"/>
      <c r="Q63" s="87"/>
      <c r="R63" s="87"/>
      <c r="S63" s="87"/>
      <c r="T63" s="87"/>
      <c r="U63" s="87"/>
      <c r="V63" s="1"/>
      <c r="W63" s="91"/>
      <c r="X63"/>
      <c r="Y63"/>
      <c r="Z63"/>
      <c r="AA63"/>
      <c r="AB63"/>
      <c r="AC63"/>
      <c r="AD63" s="32"/>
    </row>
    <row r="64" spans="3:30" s="2" customFormat="1" ht="15" customHeight="1">
      <c r="C64" s="243"/>
      <c r="D64" s="244"/>
      <c r="E64" s="79" t="s">
        <v>57</v>
      </c>
      <c r="F64" s="79" t="s">
        <v>62</v>
      </c>
      <c r="G64" s="123"/>
      <c r="H64" s="123" t="str">
        <f>VLOOKUP(F64,[1]Plano!$C$7:$L$56,4,FALSE)</f>
        <v>Concluído</v>
      </c>
      <c r="I64" s="123"/>
      <c r="J64"/>
      <c r="K64" s="241"/>
      <c r="L64" s="253"/>
      <c r="M64" s="87"/>
      <c r="N64" s="87"/>
      <c r="O64" s="87"/>
      <c r="P64" s="87"/>
      <c r="Q64" s="87"/>
      <c r="R64" s="87"/>
      <c r="S64" s="87"/>
      <c r="T64" s="87"/>
      <c r="U64" s="87"/>
      <c r="V64" s="1"/>
      <c r="W64" s="91"/>
      <c r="X64"/>
      <c r="Y64"/>
      <c r="Z64"/>
      <c r="AA64"/>
      <c r="AB64"/>
      <c r="AC64"/>
      <c r="AD64" s="32"/>
    </row>
    <row r="65" spans="3:30" s="2" customFormat="1" ht="15" customHeight="1">
      <c r="C65" s="243"/>
      <c r="D65" s="244"/>
      <c r="E65" s="79" t="s">
        <v>63</v>
      </c>
      <c r="F65" s="79" t="s">
        <v>64</v>
      </c>
      <c r="G65" s="79"/>
      <c r="H65" s="123" t="str">
        <f>VLOOKUP(F65,[1]Plano!$C$7:$L$56,4,FALSE)</f>
        <v>Concluído</v>
      </c>
      <c r="I65" s="123"/>
      <c r="J65"/>
      <c r="K65" s="258"/>
      <c r="L65" s="253"/>
      <c r="M65" s="87"/>
      <c r="N65" s="87"/>
      <c r="O65" s="87"/>
      <c r="P65" s="87"/>
      <c r="Q65" s="87"/>
      <c r="R65" s="87"/>
      <c r="S65" s="87"/>
      <c r="T65" s="87"/>
      <c r="U65" s="87"/>
      <c r="V65" s="1"/>
      <c r="W65" s="91"/>
      <c r="X65"/>
      <c r="Y65"/>
      <c r="Z65"/>
      <c r="AA65"/>
      <c r="AB65"/>
      <c r="AC65"/>
      <c r="AD65" s="32"/>
    </row>
    <row r="66" spans="3:30" s="2" customFormat="1" ht="15" customHeight="1">
      <c r="C66" s="130"/>
      <c r="D66" s="131"/>
      <c r="E66" s="132"/>
      <c r="F66" s="133"/>
      <c r="G66" s="133"/>
      <c r="H66" s="133"/>
      <c r="I66" s="133"/>
      <c r="J66" s="133"/>
      <c r="K66" s="101"/>
      <c r="L66" s="134"/>
      <c r="M66" s="133"/>
      <c r="N66" s="133"/>
      <c r="O66" s="133"/>
      <c r="P66" s="133"/>
      <c r="Q66" s="133"/>
      <c r="R66" s="133"/>
      <c r="S66" s="133"/>
      <c r="T66" s="133"/>
      <c r="U66" s="133"/>
      <c r="V66" s="1"/>
      <c r="W66" s="100"/>
      <c r="X66" s="104"/>
      <c r="Y66" s="104"/>
      <c r="Z66" s="104"/>
      <c r="AA66" s="104"/>
      <c r="AB66" s="104"/>
      <c r="AC66" s="104"/>
      <c r="AD66" s="106"/>
    </row>
    <row r="67" spans="3:30" s="2" customFormat="1" ht="7.2" customHeight="1">
      <c r="K67" s="12"/>
      <c r="V67" s="107"/>
      <c r="W67" s="12"/>
    </row>
    <row r="68" spans="3:30" s="2" customFormat="1" ht="15" customHeight="1">
      <c r="K68" s="12"/>
      <c r="V68" s="12"/>
      <c r="W68" s="12"/>
    </row>
    <row r="69" spans="3:30" s="2" customFormat="1" ht="15" customHeight="1">
      <c r="D69" s="109"/>
      <c r="K69" s="12"/>
      <c r="V69" s="20"/>
      <c r="W69" s="20"/>
      <c r="X69" s="20"/>
      <c r="Y69" s="20"/>
      <c r="Z69" s="20"/>
      <c r="AA69" s="20"/>
      <c r="AB69" s="20"/>
      <c r="AC69" s="20"/>
      <c r="AD69" s="20"/>
    </row>
    <row r="70" spans="3:30" s="2" customFormat="1" ht="16.8" customHeight="1">
      <c r="C70" s="135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5"/>
      <c r="R70" s="1"/>
      <c r="S70" s="1"/>
      <c r="T70" s="1"/>
      <c r="U70" s="1"/>
      <c r="V70" s="1"/>
      <c r="W70" s="1"/>
      <c r="X70"/>
      <c r="Y70"/>
      <c r="Z70"/>
      <c r="AA70"/>
      <c r="AB70"/>
      <c r="AC70"/>
      <c r="AD70" s="28"/>
    </row>
    <row r="71" spans="3:30" s="2" customFormat="1" ht="15" customHeight="1">
      <c r="C71" s="136"/>
      <c r="D71" s="137"/>
      <c r="E71" s="138" t="s">
        <v>35</v>
      </c>
      <c r="F71" s="138" t="s">
        <v>36</v>
      </c>
      <c r="G71" s="138"/>
      <c r="H71" s="138" t="s">
        <v>37</v>
      </c>
      <c r="I71" s="62"/>
      <c r="J71" s="138" t="s">
        <v>79</v>
      </c>
      <c r="K71" s="62"/>
      <c r="L71" s="138" t="s">
        <v>80</v>
      </c>
      <c r="M71" s="62"/>
      <c r="N71" s="119"/>
      <c r="O71" s="91"/>
      <c r="P71" s="91"/>
      <c r="Q71" s="91"/>
      <c r="R71" s="91"/>
      <c r="S71" s="91"/>
      <c r="T71" s="91"/>
      <c r="U71" s="1"/>
      <c r="V71" s="1"/>
      <c r="W71" s="1"/>
      <c r="X71"/>
      <c r="Y71"/>
      <c r="Z71"/>
      <c r="AA71"/>
      <c r="AB71"/>
      <c r="AC71"/>
      <c r="AD71" s="32"/>
    </row>
    <row r="72" spans="3:30" s="2" customFormat="1" ht="15" customHeight="1">
      <c r="C72" s="146"/>
      <c r="D72" s="1"/>
      <c r="E72"/>
      <c r="F72"/>
      <c r="G72"/>
      <c r="H72"/>
      <c r="I72" s="62"/>
      <c r="J72" s="1"/>
      <c r="K72" s="62"/>
      <c r="L72" s="87"/>
      <c r="M72"/>
      <c r="N72" s="91"/>
      <c r="O72" s="91"/>
      <c r="P72" s="91"/>
      <c r="Q72" s="91"/>
      <c r="R72" s="91"/>
      <c r="S72" s="91"/>
      <c r="T72" s="91"/>
      <c r="U72" s="1"/>
      <c r="V72" s="1"/>
      <c r="W72" s="1"/>
      <c r="X72"/>
      <c r="Y72"/>
      <c r="Z72"/>
      <c r="AA72"/>
      <c r="AB72"/>
      <c r="AC72"/>
      <c r="AD72" s="32"/>
    </row>
    <row r="73" spans="3:30" s="2" customFormat="1" ht="15" customHeight="1">
      <c r="C73" s="146"/>
      <c r="D73" s="1"/>
      <c r="E73" s="121" t="s">
        <v>9</v>
      </c>
      <c r="F73" s="79" t="s">
        <v>81</v>
      </c>
      <c r="G73" s="259"/>
      <c r="H73" s="260" t="str">
        <f>VLOOKUP(F73,[1]Plano!$C$7:$L$56,4,FALSE)</f>
        <v>Em Teste</v>
      </c>
      <c r="I73" s="62"/>
      <c r="J73" s="172">
        <f>VLOOKUP(F73,[1]Plano!$C$7:$L$56,9,FALSE)</f>
        <v>45534</v>
      </c>
      <c r="K73" s="62"/>
      <c r="L73" s="87"/>
      <c r="M73"/>
      <c r="N73" s="91"/>
      <c r="O73" s="91"/>
      <c r="P73" s="91"/>
      <c r="Q73" s="91"/>
      <c r="R73" s="91"/>
      <c r="S73" s="91"/>
      <c r="T73" s="91"/>
      <c r="U73" s="1"/>
      <c r="V73" s="1"/>
      <c r="W73" s="1"/>
      <c r="X73"/>
      <c r="Y73"/>
      <c r="Z73"/>
      <c r="AA73"/>
      <c r="AB73"/>
      <c r="AC73"/>
      <c r="AD73" s="32"/>
    </row>
    <row r="74" spans="3:30" s="2" customFormat="1" ht="15" customHeight="1">
      <c r="C74" s="146"/>
      <c r="D74" s="1"/>
      <c r="E74" s="79" t="s">
        <v>9</v>
      </c>
      <c r="F74" s="79" t="s">
        <v>82</v>
      </c>
      <c r="G74" s="175"/>
      <c r="H74" s="261" t="str">
        <f>VLOOKUP(F74,[1]Plano!$C$7:$L$56,4,FALSE)</f>
        <v>Em Teste</v>
      </c>
      <c r="I74" s="62"/>
      <c r="J74" s="172">
        <f>VLOOKUP(F74,[1]Plano!$C$7:$L$56,9,FALSE)</f>
        <v>45534</v>
      </c>
      <c r="K74" s="62"/>
      <c r="L74" s="172"/>
      <c r="M74" s="62"/>
      <c r="N74" s="79"/>
      <c r="O74" s="62"/>
      <c r="P74" s="91"/>
      <c r="Q74" s="91"/>
      <c r="R74" s="91"/>
      <c r="S74" s="91"/>
      <c r="T74" s="91"/>
      <c r="U74" s="1"/>
      <c r="V74" s="1"/>
      <c r="W74" s="1"/>
      <c r="X74"/>
      <c r="Y74"/>
      <c r="Z74"/>
      <c r="AA74"/>
      <c r="AB74"/>
      <c r="AC74"/>
      <c r="AD74" s="32"/>
    </row>
    <row r="75" spans="3:30" s="2" customFormat="1" ht="15" customHeight="1">
      <c r="C75" s="146"/>
      <c r="D75" s="104"/>
      <c r="E75" s="262"/>
      <c r="F75" s="262"/>
      <c r="G75" s="263"/>
      <c r="H75" s="263"/>
      <c r="I75" s="263"/>
      <c r="J75" s="264"/>
      <c r="K75" s="100"/>
      <c r="L75" s="150"/>
      <c r="M75" s="151"/>
      <c r="N75" s="152"/>
      <c r="O75" s="152"/>
      <c r="P75" s="152"/>
      <c r="Q75" s="104"/>
      <c r="R75" s="1"/>
      <c r="S75" s="1"/>
      <c r="T75" s="1"/>
      <c r="U75" s="1"/>
      <c r="V75" s="104"/>
      <c r="W75" s="104"/>
      <c r="X75" s="104"/>
      <c r="Y75" s="104"/>
      <c r="Z75" s="104"/>
      <c r="AA75" s="104"/>
      <c r="AB75" s="104"/>
      <c r="AC75" s="104"/>
      <c r="AD75" s="106"/>
    </row>
    <row r="76" spans="3:30" s="2" customFormat="1" ht="15" customHeight="1">
      <c r="E76" s="12"/>
      <c r="H76" s="12"/>
      <c r="I76" s="12"/>
      <c r="J76" s="12"/>
      <c r="K76" s="12"/>
      <c r="L76" s="107"/>
      <c r="M76" s="107"/>
      <c r="Q76" s="12"/>
      <c r="R76" s="12"/>
      <c r="S76" s="12"/>
      <c r="T76" s="12"/>
      <c r="U76" s="12"/>
      <c r="V76" s="12"/>
      <c r="W76" s="12"/>
    </row>
    <row r="77" spans="3:30" s="2" customFormat="1" ht="15" customHeight="1">
      <c r="K77" s="12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3:30" s="2" customFormat="1" ht="22.8" customHeight="1">
      <c r="C78" s="155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"/>
      <c r="R78" s="1"/>
      <c r="S78" s="1"/>
      <c r="T78" s="1"/>
      <c r="U78" s="1"/>
      <c r="V78" s="1"/>
      <c r="W78" s="1"/>
      <c r="X78"/>
      <c r="Y78"/>
      <c r="Z78"/>
      <c r="AA78"/>
      <c r="AB78"/>
      <c r="AC78"/>
      <c r="AD78" s="28"/>
    </row>
    <row r="79" spans="3:30" s="2" customFormat="1" ht="15" customHeight="1">
      <c r="C79" s="157"/>
      <c r="D79" s="1"/>
      <c r="E79" s="119" t="s">
        <v>35</v>
      </c>
      <c r="F79" s="119" t="s">
        <v>36</v>
      </c>
      <c r="G79" s="119"/>
      <c r="H79" s="119" t="s">
        <v>37</v>
      </c>
      <c r="I79" s="119"/>
      <c r="J79" s="119" t="s">
        <v>108</v>
      </c>
      <c r="K79" s="119"/>
      <c r="L79" s="119" t="s">
        <v>109</v>
      </c>
      <c r="M79"/>
      <c r="N79" s="119"/>
      <c r="O79" s="119" t="s">
        <v>79</v>
      </c>
      <c r="P79"/>
      <c r="Q79" s="119" t="s">
        <v>80</v>
      </c>
      <c r="R79" s="1"/>
      <c r="S79" s="1"/>
      <c r="T79" s="1"/>
      <c r="U79" s="1"/>
      <c r="V79" s="1"/>
      <c r="W79" s="1"/>
      <c r="X79"/>
      <c r="Y79"/>
      <c r="Z79"/>
      <c r="AA79"/>
      <c r="AB79"/>
      <c r="AC79"/>
      <c r="AD79" s="32"/>
    </row>
    <row r="80" spans="3:30" s="2" customFormat="1" ht="14.4">
      <c r="C80" s="157"/>
      <c r="D80" s="1"/>
      <c r="E80" s="1"/>
      <c r="F80" s="1"/>
      <c r="G80" s="1"/>
      <c r="H80" s="1"/>
      <c r="I80" s="1"/>
      <c r="J80"/>
      <c r="K80" s="1"/>
      <c r="L80"/>
      <c r="M80"/>
      <c r="N80"/>
      <c r="O80"/>
      <c r="P80"/>
      <c r="Q80" s="1"/>
      <c r="R80" s="1"/>
      <c r="S80" s="1"/>
      <c r="T80" s="1"/>
      <c r="U80" s="1"/>
      <c r="V80" s="1"/>
      <c r="W80" s="1"/>
      <c r="X80"/>
      <c r="Y80"/>
      <c r="Z80"/>
      <c r="AA80"/>
      <c r="AB80"/>
      <c r="AC80"/>
      <c r="AD80" s="32"/>
    </row>
    <row r="81" spans="3:30" s="2" customFormat="1" ht="15" customHeight="1">
      <c r="C81" s="157"/>
      <c r="D81" s="1"/>
      <c r="E81" s="79" t="s">
        <v>63</v>
      </c>
      <c r="F81" s="79" t="s">
        <v>133</v>
      </c>
      <c r="G81" s="79"/>
      <c r="H81" s="165" t="str">
        <f>VLOOKUP(F81,[1]Plano!$C$7:$L$56,4,FALSE)</f>
        <v>Em Implementação - Alteração EF</v>
      </c>
      <c r="I81" s="265"/>
      <c r="J81" s="62" t="str">
        <f>VLOOKUP(F81,[1]Plano!$C$7:$J$56,8,FALSE)</f>
        <v>IT</v>
      </c>
      <c r="K81" s="172"/>
      <c r="L81" s="172">
        <f>VLOOKUP(F81,[1]Plano!$C$7:$L$56,7,FALSE)</f>
        <v>45435</v>
      </c>
      <c r="M81" s="62"/>
      <c r="N81" s="79"/>
      <c r="O81" s="172">
        <f>VLOOKUP(F81,[1]Plano!$C$7:$L$56,10,FALSE)</f>
        <v>45492</v>
      </c>
      <c r="P81" s="79"/>
      <c r="Q81" s="308" t="s">
        <v>134</v>
      </c>
      <c r="R81" s="308"/>
      <c r="S81" s="308"/>
      <c r="T81" s="308"/>
      <c r="U81" s="308"/>
      <c r="V81" s="308"/>
      <c r="W81" s="308"/>
      <c r="X81" s="308"/>
      <c r="Y81" s="308"/>
      <c r="Z81" s="308"/>
      <c r="AA81" s="62"/>
      <c r="AB81"/>
      <c r="AC81"/>
      <c r="AD81" s="32"/>
    </row>
    <row r="82" spans="3:30" s="2" customFormat="1" ht="15" customHeight="1">
      <c r="C82" s="157"/>
      <c r="D82" s="1"/>
      <c r="E82" s="266" t="s">
        <v>63</v>
      </c>
      <c r="F82" s="266" t="s">
        <v>135</v>
      </c>
      <c r="G82" s="175"/>
      <c r="H82" s="165" t="str">
        <f>VLOOKUP(F82,[1]Plano!$C$7:$L$56,4,FALSE)</f>
        <v>Em Implementação - Alteração EF</v>
      </c>
      <c r="I82" s="265"/>
      <c r="J82" s="62" t="str">
        <f>VLOOKUP(F82,[1]Plano!$C$7:$J$56,8,FALSE)</f>
        <v>IT</v>
      </c>
      <c r="K82" s="62"/>
      <c r="L82" s="172">
        <f>VLOOKUP(F82,[1]Plano!$C$7:$L$56,7,FALSE)</f>
        <v>45435</v>
      </c>
      <c r="M82" s="62"/>
      <c r="N82" s="79"/>
      <c r="O82" s="172">
        <f>VLOOKUP(F82,[1]Plano!$C$7:$L$56,10,FALSE)</f>
        <v>45492</v>
      </c>
      <c r="P82" s="79"/>
      <c r="Q82" s="308" t="s">
        <v>134</v>
      </c>
      <c r="R82" s="308"/>
      <c r="S82" s="308"/>
      <c r="T82" s="308"/>
      <c r="U82" s="308"/>
      <c r="V82" s="308"/>
      <c r="W82" s="308"/>
      <c r="X82" s="308"/>
      <c r="Y82" s="308"/>
      <c r="Z82" s="308"/>
      <c r="AA82" s="62"/>
      <c r="AB82"/>
      <c r="AC82"/>
      <c r="AD82" s="32"/>
    </row>
    <row r="83" spans="3:30" s="2" customFormat="1" ht="15" customHeight="1">
      <c r="C83" s="157"/>
      <c r="D83" s="1"/>
      <c r="E83" s="87" t="s">
        <v>63</v>
      </c>
      <c r="F83" s="87" t="s">
        <v>136</v>
      </c>
      <c r="G83" s="87"/>
      <c r="H83" s="165" t="str">
        <f>VLOOKUP(F83,[1]Plano!$C$7:$L$56,4,FALSE)</f>
        <v>Em Implementação - Alteração EF</v>
      </c>
      <c r="I83" s="265"/>
      <c r="J83" s="62" t="str">
        <f>VLOOKUP(F83,[1]Plano!$C$7:$J$56,8,FALSE)</f>
        <v>IT</v>
      </c>
      <c r="K83" s="87"/>
      <c r="L83" s="172">
        <f>VLOOKUP(F83,[1]Plano!$C$7:$L$56,7,FALSE)</f>
        <v>45435</v>
      </c>
      <c r="M83" s="87"/>
      <c r="N83" s="87"/>
      <c r="O83" s="172">
        <f>VLOOKUP(F83,[1]Plano!$C$7:$L$56,10,FALSE)</f>
        <v>45450</v>
      </c>
      <c r="P83" s="87"/>
      <c r="Q83" s="308" t="s">
        <v>137</v>
      </c>
      <c r="R83" s="308"/>
      <c r="S83" s="308"/>
      <c r="T83" s="308"/>
      <c r="U83" s="308"/>
      <c r="V83" s="308"/>
      <c r="W83" s="308"/>
      <c r="X83" s="308"/>
      <c r="Y83" s="308"/>
      <c r="Z83" s="308"/>
      <c r="AA83" s="62"/>
      <c r="AB83"/>
      <c r="AC83"/>
      <c r="AD83" s="32"/>
    </row>
    <row r="84" spans="3:30" s="2" customFormat="1" ht="15" customHeight="1">
      <c r="C84" s="157"/>
      <c r="D84" s="1"/>
      <c r="E84" s="87" t="s">
        <v>63</v>
      </c>
      <c r="F84" s="87" t="s">
        <v>141</v>
      </c>
      <c r="G84" s="87"/>
      <c r="H84" s="165" t="str">
        <f>VLOOKUP(F84,[1]Plano!$C$7:$L$56,4,FALSE)</f>
        <v>Em Implementação - Alteração EF</v>
      </c>
      <c r="I84" s="62"/>
      <c r="J84" s="62" t="str">
        <f>VLOOKUP(F84,[1]Plano!$C$7:$J$56,8,FALSE)</f>
        <v>IT</v>
      </c>
      <c r="K84" s="62"/>
      <c r="L84" s="172">
        <f>VLOOKUP(F84,[1]Plano!$C$7:$L$56,7,FALSE)</f>
        <v>45435</v>
      </c>
      <c r="M84" s="87"/>
      <c r="N84" s="87"/>
      <c r="O84" s="172">
        <f>VLOOKUP(F84,[1]Plano!$C$7:$L$56,10,FALSE)</f>
        <v>45478</v>
      </c>
      <c r="P84" s="87"/>
      <c r="Q84" s="308" t="s">
        <v>134</v>
      </c>
      <c r="R84" s="308"/>
      <c r="S84" s="308"/>
      <c r="T84" s="308"/>
      <c r="U84" s="308"/>
      <c r="V84" s="308"/>
      <c r="W84" s="308"/>
      <c r="X84" s="308"/>
      <c r="Y84" s="308"/>
      <c r="Z84" s="308"/>
      <c r="AA84" s="62"/>
      <c r="AB84"/>
      <c r="AC84"/>
      <c r="AD84" s="32"/>
    </row>
    <row r="85" spans="3:30" s="2" customFormat="1" ht="15" customHeight="1">
      <c r="C85" s="157"/>
      <c r="D85" s="1"/>
      <c r="E85" s="79" t="s">
        <v>63</v>
      </c>
      <c r="F85" s="79" t="s">
        <v>143</v>
      </c>
      <c r="G85" s="175"/>
      <c r="H85" s="165" t="str">
        <f>VLOOKUP(F85,[1]Plano!$C$7:$L$56,4,FALSE)</f>
        <v>Em Implementação - Alteração EF</v>
      </c>
      <c r="I85" s="265"/>
      <c r="J85" s="79" t="str">
        <f>VLOOKUP(F85,[1]Plano!$C$7:$J$56,8,FALSE)</f>
        <v>IT</v>
      </c>
      <c r="K85" s="172"/>
      <c r="L85" s="172">
        <f>VLOOKUP(F85,[1]Plano!$C$7:$L$56,7,FALSE)</f>
        <v>45435</v>
      </c>
      <c r="M85" s="62"/>
      <c r="N85" s="79"/>
      <c r="O85" s="172">
        <f>VLOOKUP(F85,[1]Plano!$C$7:$L$56,10,FALSE)</f>
        <v>45471</v>
      </c>
      <c r="P85" s="79"/>
      <c r="Q85" s="308" t="s">
        <v>139</v>
      </c>
      <c r="R85" s="308"/>
      <c r="S85" s="308"/>
      <c r="T85" s="308"/>
      <c r="U85" s="308"/>
      <c r="V85" s="308"/>
      <c r="W85" s="308"/>
      <c r="X85" s="308"/>
      <c r="Y85" s="308"/>
      <c r="Z85" s="308"/>
      <c r="AA85" s="62"/>
      <c r="AB85"/>
      <c r="AC85"/>
      <c r="AD85" s="32"/>
    </row>
    <row r="86" spans="3:30" s="2" customFormat="1" ht="15" customHeight="1">
      <c r="C86" s="157"/>
      <c r="D86" s="1"/>
      <c r="E86" s="79" t="s">
        <v>63</v>
      </c>
      <c r="F86" s="79" t="s">
        <v>138</v>
      </c>
      <c r="G86" s="175"/>
      <c r="H86" s="165" t="str">
        <f>VLOOKUP(F86,[1]Plano!$C$7:$L$56,4,FALSE)</f>
        <v>Em Implementação - Alteração EF</v>
      </c>
      <c r="I86" s="265"/>
      <c r="J86" s="79" t="str">
        <f>VLOOKUP(F86,[1]Plano!$C$7:$J$56,8,FALSE)</f>
        <v>IT</v>
      </c>
      <c r="K86" s="172"/>
      <c r="L86" s="172">
        <f>VLOOKUP(F86,[1]Plano!$C$7:$L$56,7,FALSE)</f>
        <v>45435</v>
      </c>
      <c r="M86" s="62"/>
      <c r="N86" s="79"/>
      <c r="O86" s="172">
        <f>VLOOKUP(F86,[1]Plano!$C$7:$L$56,10,FALSE)</f>
        <v>45492</v>
      </c>
      <c r="P86" s="79"/>
      <c r="Q86" s="308" t="s">
        <v>134</v>
      </c>
      <c r="R86" s="308"/>
      <c r="S86" s="308"/>
      <c r="T86" s="308"/>
      <c r="U86" s="308"/>
      <c r="V86" s="308"/>
      <c r="W86" s="308"/>
      <c r="X86" s="308"/>
      <c r="Y86" s="308"/>
      <c r="Z86" s="308"/>
      <c r="AA86" s="62"/>
      <c r="AB86"/>
      <c r="AC86"/>
      <c r="AD86" s="32"/>
    </row>
    <row r="87" spans="3:30" s="2" customFormat="1" ht="15" customHeight="1">
      <c r="C87" s="157"/>
      <c r="D87" s="1"/>
      <c r="E87" s="79" t="s">
        <v>63</v>
      </c>
      <c r="F87" s="79" t="s">
        <v>140</v>
      </c>
      <c r="G87" s="175"/>
      <c r="H87" s="165" t="str">
        <f>VLOOKUP(F87,[1]Plano!$C$7:$L$56,4,FALSE)</f>
        <v>Em Implementação - Alteração EF</v>
      </c>
      <c r="I87" s="265"/>
      <c r="J87" s="79" t="str">
        <f>VLOOKUP(F87,[1]Plano!$C$7:$J$56,8,FALSE)</f>
        <v>IT</v>
      </c>
      <c r="K87" s="172"/>
      <c r="L87" s="172">
        <f>VLOOKUP(F87,[1]Plano!$C$7:$L$56,7,FALSE)</f>
        <v>45435</v>
      </c>
      <c r="M87" s="62"/>
      <c r="N87" s="79"/>
      <c r="O87" s="172">
        <f>VLOOKUP(F87,[1]Plano!$C$7:$L$56,10,FALSE)</f>
        <v>45492</v>
      </c>
      <c r="P87" s="79"/>
      <c r="Q87" s="308" t="s">
        <v>134</v>
      </c>
      <c r="R87" s="308"/>
      <c r="S87" s="308"/>
      <c r="T87" s="308"/>
      <c r="U87" s="308"/>
      <c r="V87" s="308"/>
      <c r="W87" s="308"/>
      <c r="X87" s="308"/>
      <c r="Y87" s="308"/>
      <c r="Z87" s="308"/>
      <c r="AA87" s="62"/>
      <c r="AB87"/>
      <c r="AC87"/>
      <c r="AD87" s="32"/>
    </row>
    <row r="88" spans="3:30" s="2" customFormat="1" ht="15" customHeight="1">
      <c r="C88" s="157"/>
      <c r="D88" s="1"/>
      <c r="E88" s="79" t="s">
        <v>63</v>
      </c>
      <c r="F88" s="79" t="s">
        <v>144</v>
      </c>
      <c r="G88" s="175"/>
      <c r="H88" s="165" t="str">
        <f>VLOOKUP(F88,[1]Plano!$C$7:$L$56,4,FALSE)</f>
        <v>Em Implementação - Alteração EF</v>
      </c>
      <c r="I88" s="265"/>
      <c r="J88" s="79" t="str">
        <f>VLOOKUP(F88,[1]Plano!$C$7:$J$56,8,FALSE)</f>
        <v>IT</v>
      </c>
      <c r="K88" s="172"/>
      <c r="L88" s="172">
        <f>VLOOKUP(F88,[1]Plano!$C$7:$L$56,7,FALSE)</f>
        <v>45435</v>
      </c>
      <c r="M88" s="62"/>
      <c r="N88" s="79"/>
      <c r="O88" s="172">
        <f>VLOOKUP(F88,[1]Plano!$C$7:$L$56,10,FALSE)</f>
        <v>45450</v>
      </c>
      <c r="P88" s="79"/>
      <c r="Q88" s="309" t="s">
        <v>145</v>
      </c>
      <c r="R88" s="309"/>
      <c r="S88" s="309"/>
      <c r="T88" s="309"/>
      <c r="U88" s="309"/>
      <c r="V88" s="309"/>
      <c r="W88" s="309"/>
      <c r="X88" s="309"/>
      <c r="Y88" s="309"/>
      <c r="Z88" s="309"/>
      <c r="AA88" s="309"/>
      <c r="AB88"/>
      <c r="AC88"/>
      <c r="AD88" s="32"/>
    </row>
    <row r="89" spans="3:30" s="2" customFormat="1" ht="15" customHeight="1">
      <c r="C89" s="157"/>
      <c r="D89" s="1"/>
      <c r="E89" s="87" t="s">
        <v>63</v>
      </c>
      <c r="F89" s="87" t="s">
        <v>146</v>
      </c>
      <c r="G89" s="175"/>
      <c r="H89" s="165" t="str">
        <f>VLOOKUP(F89,[1]Plano!$C$7:$L$56,4,FALSE)</f>
        <v>Em Implementação - Alteração EF</v>
      </c>
      <c r="I89" s="265"/>
      <c r="J89" s="79" t="str">
        <f>VLOOKUP(F89,[1]Plano!$C$7:$J$56,8,FALSE)</f>
        <v>IT</v>
      </c>
      <c r="K89" s="62"/>
      <c r="L89" s="172">
        <f>VLOOKUP(F89,[1]Plano!$C$7:$L$56,7,FALSE)</f>
        <v>45435</v>
      </c>
      <c r="M89" s="87"/>
      <c r="N89" s="87"/>
      <c r="O89" s="172">
        <f>VLOOKUP(F89,[1]Plano!$C$7:$L$56,9,FALSE)</f>
        <v>0</v>
      </c>
      <c r="P89" s="87"/>
      <c r="Q89" s="87" t="s">
        <v>147</v>
      </c>
      <c r="R89" s="98"/>
      <c r="S89" s="98"/>
      <c r="T89" s="98"/>
      <c r="U89" s="98"/>
      <c r="V89" s="87"/>
      <c r="W89" s="87"/>
      <c r="X89" s="87"/>
      <c r="Y89" s="87"/>
      <c r="Z89" s="87"/>
      <c r="AA89" s="87"/>
      <c r="AB89"/>
      <c r="AC89"/>
      <c r="AD89" s="32"/>
    </row>
    <row r="90" spans="3:30" s="2" customFormat="1" ht="15" customHeight="1">
      <c r="C90" s="157"/>
      <c r="D90"/>
      <c r="E90" s="79" t="s">
        <v>63</v>
      </c>
      <c r="F90" s="95" t="s">
        <v>148</v>
      </c>
      <c r="G90" s="175"/>
      <c r="H90" s="165" t="str">
        <f>VLOOKUP(F90,[1]Plano!$C$7:$L$56,4,FALSE)</f>
        <v>Em Implementação - Alteração EF</v>
      </c>
      <c r="I90" s="265"/>
      <c r="J90" s="79" t="str">
        <f>VLOOKUP(F90,[1]Plano!$C$7:$J$56,8,FALSE)</f>
        <v>IT</v>
      </c>
      <c r="K90" s="172"/>
      <c r="L90" s="172">
        <f>VLOOKUP(F90,[1]Plano!$C$7:$L$56,7,FALSE)</f>
        <v>45435</v>
      </c>
      <c r="M90" s="62"/>
      <c r="N90" s="79"/>
      <c r="O90" s="172">
        <f>VLOOKUP(F90,[1]Plano!$C$7:$L$56,6,FALSE)</f>
        <v>0</v>
      </c>
      <c r="P90" s="79"/>
      <c r="Q90" s="300" t="s">
        <v>149</v>
      </c>
      <c r="R90" s="300"/>
      <c r="S90" s="300"/>
      <c r="T90" s="300"/>
      <c r="U90" s="300"/>
      <c r="V90" s="300"/>
      <c r="W90" s="300"/>
      <c r="X90" s="300"/>
      <c r="Y90" s="300"/>
      <c r="Z90" s="300"/>
      <c r="AA90" s="86"/>
      <c r="AB90" s="86"/>
      <c r="AC90" s="62"/>
      <c r="AD90" s="32"/>
    </row>
    <row r="91" spans="3:30" s="2" customFormat="1" ht="15" customHeight="1">
      <c r="C91" s="157"/>
      <c r="D91"/>
      <c r="E91" s="79" t="s">
        <v>63</v>
      </c>
      <c r="F91" s="79" t="s">
        <v>150</v>
      </c>
      <c r="G91" s="175"/>
      <c r="H91" s="165" t="str">
        <f>VLOOKUP(F91,[1]Plano!$C$7:$L$56,4,FALSE)</f>
        <v>Em Implementação - Alteração EF</v>
      </c>
      <c r="I91" s="265"/>
      <c r="J91" s="79" t="str">
        <f>VLOOKUP(F91,[1]Plano!$C$7:$J$56,8,FALSE)</f>
        <v>IT</v>
      </c>
      <c r="K91" s="62"/>
      <c r="L91" s="166">
        <f>VLOOKUP(F91,[1]Plano!$C$7:$L$56,7,FALSE)</f>
        <v>45435</v>
      </c>
      <c r="M91" s="62"/>
      <c r="N91" s="79"/>
      <c r="O91" s="172">
        <f>VLOOKUP(F91,[1]Plano!$C$7:$L$56,10,FALSE)</f>
        <v>45485</v>
      </c>
      <c r="P91" s="79"/>
      <c r="Q91" s="300" t="s">
        <v>142</v>
      </c>
      <c r="R91" s="300"/>
      <c r="S91" s="300"/>
      <c r="T91" s="300"/>
      <c r="U91" s="300"/>
      <c r="V91" s="300"/>
      <c r="W91" s="300"/>
      <c r="X91" s="300"/>
      <c r="Y91" s="300"/>
      <c r="Z91" s="300"/>
      <c r="AA91" s="300"/>
      <c r="AB91" s="267"/>
      <c r="AC91" s="62"/>
      <c r="AD91" s="32"/>
    </row>
    <row r="92" spans="3:30" s="2" customFormat="1" ht="15" customHeight="1">
      <c r="C92" s="157"/>
      <c r="D92"/>
      <c r="E92" s="79" t="s">
        <v>63</v>
      </c>
      <c r="F92" s="79" t="s">
        <v>151</v>
      </c>
      <c r="G92" s="175"/>
      <c r="H92" s="165" t="str">
        <f>VLOOKUP(F92,[1]Plano!$C$7:$L$56,4,FALSE)</f>
        <v>Em Implementação - Alteração EF</v>
      </c>
      <c r="I92" s="265"/>
      <c r="J92" s="79" t="str">
        <f>VLOOKUP(F92,[1]Plano!$C$7:$J$56,8,FALSE)</f>
        <v>IT</v>
      </c>
      <c r="K92" s="62"/>
      <c r="L92" s="166">
        <f>VLOOKUP(F92,[1]Plano!$C$7:$L$56,7,FALSE)</f>
        <v>45435</v>
      </c>
      <c r="M92" s="62"/>
      <c r="N92" s="79"/>
      <c r="O92" s="172">
        <f>VLOOKUP(F92,[1]Plano!$C$7:$L$56,10,FALSE)</f>
        <v>45485</v>
      </c>
      <c r="P92" s="79"/>
      <c r="Q92" s="300" t="s">
        <v>142</v>
      </c>
      <c r="R92" s="300"/>
      <c r="S92" s="300"/>
      <c r="T92" s="300"/>
      <c r="U92" s="300"/>
      <c r="V92" s="300"/>
      <c r="W92" s="300"/>
      <c r="X92" s="300"/>
      <c r="Y92" s="300"/>
      <c r="Z92" s="300"/>
      <c r="AA92" s="300"/>
      <c r="AB92" s="267"/>
      <c r="AC92" s="62"/>
      <c r="AD92" s="32"/>
    </row>
    <row r="93" spans="3:30" s="2" customFormat="1" ht="15" customHeight="1">
      <c r="C93" s="157"/>
      <c r="D93"/>
      <c r="E93" s="79" t="s">
        <v>63</v>
      </c>
      <c r="F93" s="79" t="s">
        <v>152</v>
      </c>
      <c r="G93" s="175"/>
      <c r="H93" s="165" t="str">
        <f>VLOOKUP(F93,[1]Plano!$C$7:$L$56,4,FALSE)</f>
        <v>Em Implementação - Alteração EF</v>
      </c>
      <c r="I93" s="265"/>
      <c r="J93" s="79" t="str">
        <f>VLOOKUP(F93,[1]Plano!$C$7:$J$56,8,FALSE)</f>
        <v>IT</v>
      </c>
      <c r="K93" s="172"/>
      <c r="L93" s="172">
        <f>VLOOKUP(F93,[1]Plano!$C$7:$L$56,7,FALSE)</f>
        <v>45435</v>
      </c>
      <c r="M93" s="62"/>
      <c r="N93" s="79"/>
      <c r="O93" s="172">
        <f>VLOOKUP(F93,[1]Plano!$C$7:$L$56,6,FALSE)</f>
        <v>0</v>
      </c>
      <c r="P93" s="79"/>
      <c r="Q93" s="300" t="s">
        <v>139</v>
      </c>
      <c r="R93" s="300"/>
      <c r="S93" s="300"/>
      <c r="T93" s="300"/>
      <c r="U93" s="300"/>
      <c r="V93" s="300"/>
      <c r="W93" s="300"/>
      <c r="X93" s="300"/>
      <c r="Y93" s="300"/>
      <c r="Z93" s="300"/>
      <c r="AA93" s="84"/>
      <c r="AB93" s="62"/>
      <c r="AC93" s="62"/>
      <c r="AD93" s="32"/>
    </row>
    <row r="94" spans="3:30" s="2" customFormat="1" ht="15" customHeight="1">
      <c r="C94" s="157"/>
      <c r="D94"/>
      <c r="E94" s="266" t="s">
        <v>63</v>
      </c>
      <c r="F94" s="266" t="s">
        <v>153</v>
      </c>
      <c r="G94" s="175"/>
      <c r="H94" s="165" t="str">
        <f>VLOOKUP(F94,[1]Plano!$C$7:$L$56,4,FALSE)</f>
        <v>Em Implementação - Alteração EF</v>
      </c>
      <c r="I94" s="265"/>
      <c r="J94" s="79" t="str">
        <f>VLOOKUP(F94,[1]Plano!$C$7:$J$56,8,FALSE)</f>
        <v>IT</v>
      </c>
      <c r="K94" s="62"/>
      <c r="L94" s="166">
        <f>VLOOKUP(F94,[1]Plano!$C$7:$L$56,7,FALSE)</f>
        <v>45435</v>
      </c>
      <c r="M94" s="62"/>
      <c r="N94" s="79"/>
      <c r="O94" s="172">
        <f>VLOOKUP(F94,[1]Plano!$C$7:$L$56,6,FALSE)</f>
        <v>0</v>
      </c>
      <c r="P94" s="79"/>
      <c r="Q94" s="300" t="s">
        <v>139</v>
      </c>
      <c r="R94" s="300"/>
      <c r="S94" s="300"/>
      <c r="T94" s="300"/>
      <c r="U94" s="300"/>
      <c r="V94" s="300"/>
      <c r="W94" s="300"/>
      <c r="X94" s="300"/>
      <c r="Y94" s="300"/>
      <c r="Z94" s="300"/>
      <c r="AA94" s="84"/>
      <c r="AB94" s="62"/>
      <c r="AC94" s="62"/>
      <c r="AD94" s="32"/>
    </row>
    <row r="95" spans="3:30" s="2" customFormat="1" ht="15" customHeight="1">
      <c r="C95" s="157"/>
      <c r="D95"/>
      <c r="E95" s="79" t="s">
        <v>154</v>
      </c>
      <c r="F95" s="79" t="s">
        <v>155</v>
      </c>
      <c r="G95" s="265"/>
      <c r="H95" s="165" t="str">
        <f>VLOOKUP(F95,[1]Plano!$C$7:$L$56,4,FALSE)</f>
        <v>Em Implementação - Alteração EF</v>
      </c>
      <c r="I95" s="265"/>
      <c r="J95" s="79" t="str">
        <f>VLOOKUP(F95,[1]Plano!$C$7:$J$56,8,FALSE)</f>
        <v>IT</v>
      </c>
      <c r="K95" s="79"/>
      <c r="L95" s="172">
        <f>VLOOKUP(F95,[1]Plano!$C$7:$L$56,7,FALSE)</f>
        <v>45435</v>
      </c>
      <c r="M95" s="62"/>
      <c r="N95" s="79"/>
      <c r="O95" s="172">
        <f>VLOOKUP(F95,[1]Plano!$C$7:$L$56,9,FALSE)</f>
        <v>45464</v>
      </c>
      <c r="P95" s="123"/>
      <c r="Q95" s="268" t="s">
        <v>156</v>
      </c>
      <c r="R95" s="87"/>
      <c r="S95" s="87"/>
      <c r="T95" s="87"/>
      <c r="U95" s="87"/>
      <c r="V95" s="87"/>
      <c r="W95" s="84"/>
      <c r="X95" s="84"/>
      <c r="Y95" s="84"/>
      <c r="Z95" s="84"/>
      <c r="AA95" s="84"/>
      <c r="AB95" s="62"/>
      <c r="AC95" s="62"/>
      <c r="AD95" s="32"/>
    </row>
    <row r="96" spans="3:30" s="2" customFormat="1" ht="15" customHeight="1">
      <c r="C96" s="157"/>
      <c r="D96"/>
      <c r="E96" s="266" t="s">
        <v>63</v>
      </c>
      <c r="F96" s="266" t="s">
        <v>157</v>
      </c>
      <c r="G96" s="175"/>
      <c r="H96" s="165" t="str">
        <f>VLOOKUP(F96,[1]Plano!$C$7:$L$56,4,FALSE)</f>
        <v>Em Implementação - Alteração EF</v>
      </c>
      <c r="I96" s="265"/>
      <c r="J96" s="79" t="str">
        <f>VLOOKUP(F96,[1]Plano!$C$7:$J$56,8,FALSE)</f>
        <v>IT</v>
      </c>
      <c r="K96" s="62"/>
      <c r="L96" s="172">
        <f>VLOOKUP(F96,[1]Plano!$C$7:$L$56,7,FALSE)</f>
        <v>45435</v>
      </c>
      <c r="M96" s="62"/>
      <c r="N96" s="79"/>
      <c r="O96" s="172">
        <f>VLOOKUP(F96,[1]Plano!$C$7:$L$56,6,FALSE)</f>
        <v>0</v>
      </c>
      <c r="P96" s="79"/>
      <c r="Q96" s="300" t="s">
        <v>139</v>
      </c>
      <c r="R96" s="300"/>
      <c r="S96" s="300"/>
      <c r="T96" s="300"/>
      <c r="U96" s="300"/>
      <c r="V96" s="300"/>
      <c r="W96" s="300"/>
      <c r="X96" s="300"/>
      <c r="Y96" s="300"/>
      <c r="Z96" s="300"/>
      <c r="AA96" s="84"/>
      <c r="AB96" s="62"/>
      <c r="AC96" s="62"/>
      <c r="AD96" s="32"/>
    </row>
    <row r="97" spans="3:30" s="2" customFormat="1" ht="15" customHeight="1">
      <c r="C97" s="157"/>
      <c r="D97"/>
      <c r="E97" s="266" t="s">
        <v>63</v>
      </c>
      <c r="F97" s="266" t="s">
        <v>158</v>
      </c>
      <c r="G97" s="175"/>
      <c r="H97" s="165" t="str">
        <f>VLOOKUP(F97,[1]Plano!$C$7:$L$56,4,FALSE)</f>
        <v>Em Implementação - Alteração EF</v>
      </c>
      <c r="I97" s="265"/>
      <c r="J97" s="79" t="str">
        <f>VLOOKUP(F97,[1]Plano!$C$7:$J$56,8,FALSE)</f>
        <v>IT</v>
      </c>
      <c r="K97" s="62"/>
      <c r="L97" s="172">
        <f>VLOOKUP(F97,[1]Plano!$C$7:$L$56,7,FALSE)</f>
        <v>45435</v>
      </c>
      <c r="M97" s="62"/>
      <c r="N97" s="79"/>
      <c r="O97" s="172">
        <f>VLOOKUP(F97,[1]Plano!$C$7:$L$56,6,FALSE)</f>
        <v>0</v>
      </c>
      <c r="P97" s="79"/>
      <c r="Q97" s="300" t="s">
        <v>139</v>
      </c>
      <c r="R97" s="300"/>
      <c r="S97" s="300"/>
      <c r="T97" s="300"/>
      <c r="U97" s="300"/>
      <c r="V97" s="300"/>
      <c r="W97" s="300"/>
      <c r="X97" s="300"/>
      <c r="Y97" s="300"/>
      <c r="Z97" s="300"/>
      <c r="AA97" s="84"/>
      <c r="AB97" s="62"/>
      <c r="AC97" s="62"/>
      <c r="AD97" s="32"/>
    </row>
    <row r="98" spans="3:30" s="2" customFormat="1" ht="15" customHeight="1">
      <c r="C98" s="157"/>
      <c r="D98"/>
      <c r="E98" s="79" t="s">
        <v>63</v>
      </c>
      <c r="F98" s="79" t="s">
        <v>159</v>
      </c>
      <c r="G98" s="165"/>
      <c r="H98" s="165" t="str">
        <f>VLOOKUP(F98,[1]Plano!$C$7:$L$56,4,FALSE)</f>
        <v>Em Implementação - Alteração EF</v>
      </c>
      <c r="I98" s="265"/>
      <c r="J98" s="79" t="str">
        <f>VLOOKUP(F98,[1]Plano!$C$7:$J$56,8,FALSE)</f>
        <v>IT</v>
      </c>
      <c r="K98" s="62"/>
      <c r="L98" s="172">
        <f>VLOOKUP(F98,[1]Plano!$C$7:$L$56,7,FALSE)</f>
        <v>45435</v>
      </c>
      <c r="M98" s="62"/>
      <c r="N98" s="79"/>
      <c r="O98" s="172">
        <f>VLOOKUP(F98,[1]Plano!$C$7:$L$56,10,FALSE)</f>
        <v>45499</v>
      </c>
      <c r="P98" s="79"/>
      <c r="Q98" s="300" t="s">
        <v>139</v>
      </c>
      <c r="R98" s="300"/>
      <c r="S98" s="300"/>
      <c r="T98" s="300"/>
      <c r="U98" s="300"/>
      <c r="V98" s="300"/>
      <c r="W98" s="300"/>
      <c r="X98" s="300"/>
      <c r="Y98" s="300"/>
      <c r="Z98" s="300"/>
      <c r="AA98" s="84"/>
      <c r="AB98" s="62"/>
      <c r="AC98" s="62"/>
      <c r="AD98" s="32"/>
    </row>
    <row r="99" spans="3:30" s="2" customFormat="1" ht="15" customHeight="1">
      <c r="C99" s="157"/>
      <c r="D99"/>
      <c r="E99" s="79" t="s">
        <v>63</v>
      </c>
      <c r="F99" s="95" t="s">
        <v>160</v>
      </c>
      <c r="G99" s="175"/>
      <c r="H99" s="165" t="str">
        <f>VLOOKUP(F99,[1]Plano!$C$7:$L$56,4,FALSE)</f>
        <v>Em Implementação - Alteração EF</v>
      </c>
      <c r="I99" s="265"/>
      <c r="J99" s="79" t="str">
        <f>VLOOKUP(F99,[1]Plano!$C$7:$J$56,8,FALSE)</f>
        <v>IT</v>
      </c>
      <c r="K99" s="62"/>
      <c r="L99" s="172">
        <f>VLOOKUP(F99,[1]Plano!$C$7:$L$56,7,FALSE)</f>
        <v>45435</v>
      </c>
      <c r="M99" s="62"/>
      <c r="N99" s="79"/>
      <c r="O99" s="172">
        <f>VLOOKUP(F99,[1]Plano!$C$7:$L$56,6,FALSE)</f>
        <v>0</v>
      </c>
      <c r="P99" s="79"/>
      <c r="Q99" s="300" t="s">
        <v>139</v>
      </c>
      <c r="R99" s="300"/>
      <c r="S99" s="300"/>
      <c r="T99" s="300"/>
      <c r="U99" s="300"/>
      <c r="V99" s="300"/>
      <c r="W99" s="300"/>
      <c r="X99" s="300"/>
      <c r="Y99" s="300"/>
      <c r="Z99" s="300"/>
      <c r="AA99" s="84"/>
      <c r="AB99" s="62"/>
      <c r="AC99" s="62"/>
      <c r="AD99" s="32"/>
    </row>
    <row r="100" spans="3:30" s="2" customFormat="1" ht="15" customHeight="1">
      <c r="C100" s="157"/>
      <c r="D100"/>
      <c r="E100" s="79" t="s">
        <v>63</v>
      </c>
      <c r="F100" s="79" t="s">
        <v>161</v>
      </c>
      <c r="G100" s="175"/>
      <c r="H100" s="165" t="str">
        <f>VLOOKUP(F100,[1]Plano!$C$7:$L$56,4,FALSE)</f>
        <v>Em Implementação - Alteração EF</v>
      </c>
      <c r="I100" s="265"/>
      <c r="J100" s="79" t="str">
        <f>VLOOKUP(F100,[1]Plano!$C$7:$J$56,8,FALSE)</f>
        <v>IT</v>
      </c>
      <c r="K100" s="62"/>
      <c r="L100" s="172">
        <f>VLOOKUP(F100,[1]Plano!$C$7:$L$56,7,FALSE)</f>
        <v>45435</v>
      </c>
      <c r="M100" s="62"/>
      <c r="N100" s="79"/>
      <c r="O100" s="172">
        <f>VLOOKUP(F100,[1]Plano!$C$7:$L$56,6,FALSE)</f>
        <v>0</v>
      </c>
      <c r="P100" s="79"/>
      <c r="Q100" s="300" t="s">
        <v>139</v>
      </c>
      <c r="R100" s="300"/>
      <c r="S100" s="300"/>
      <c r="T100" s="300"/>
      <c r="U100" s="300"/>
      <c r="V100" s="300"/>
      <c r="W100" s="300"/>
      <c r="X100" s="300"/>
      <c r="Y100" s="300"/>
      <c r="Z100" s="300"/>
      <c r="AA100" s="84"/>
      <c r="AB100" s="62"/>
      <c r="AC100" s="62"/>
      <c r="AD100" s="32"/>
    </row>
    <row r="101" spans="3:30" s="2" customFormat="1" ht="15" customHeight="1">
      <c r="C101" s="157"/>
      <c r="D101"/>
      <c r="E101" s="79" t="s">
        <v>63</v>
      </c>
      <c r="F101" s="79" t="s">
        <v>162</v>
      </c>
      <c r="G101" s="175"/>
      <c r="H101" s="265" t="str">
        <f>VLOOKUP(F101,[1]Plano!$C$7:$L$56,4,FALSE)</f>
        <v>Em Implementação - Alteração EF</v>
      </c>
      <c r="I101" s="265"/>
      <c r="J101" s="79" t="str">
        <f>VLOOKUP(F101,[1]Plano!$C$7:$J$56,8,FALSE)</f>
        <v>IT</v>
      </c>
      <c r="K101" s="62"/>
      <c r="L101" s="172">
        <f>VLOOKUP(F101,[1]Plano!$C$7:$L$56,7,FALSE)</f>
        <v>45435</v>
      </c>
      <c r="M101" s="62"/>
      <c r="N101" s="79"/>
      <c r="O101" s="172">
        <f>VLOOKUP(F101,[1]Plano!$C$7:$L$56,6,FALSE)</f>
        <v>0</v>
      </c>
      <c r="P101" s="79"/>
      <c r="Q101" s="300" t="s">
        <v>163</v>
      </c>
      <c r="R101" s="300"/>
      <c r="S101" s="300"/>
      <c r="T101" s="300"/>
      <c r="U101" s="300"/>
      <c r="V101" s="300"/>
      <c r="W101" s="300"/>
      <c r="X101" s="300"/>
      <c r="Y101" s="300"/>
      <c r="Z101" s="300"/>
      <c r="AA101" s="84"/>
      <c r="AB101" s="62"/>
      <c r="AC101" s="62"/>
      <c r="AD101" s="32"/>
    </row>
    <row r="102" spans="3:30" s="2" customFormat="1" ht="15" customHeight="1">
      <c r="C102" s="157"/>
      <c r="D102"/>
      <c r="E102" s="79" t="s">
        <v>63</v>
      </c>
      <c r="F102" s="79" t="s">
        <v>164</v>
      </c>
      <c r="G102" s="175"/>
      <c r="H102" s="265" t="str">
        <f>VLOOKUP(F102,[1]Plano!$C$7:$L$56,4,FALSE)</f>
        <v>Em Implementação - Alteração EF</v>
      </c>
      <c r="I102" s="265"/>
      <c r="J102" s="79" t="str">
        <f>VLOOKUP(F102,[1]Plano!$C$7:$J$56,8,FALSE)</f>
        <v>IT</v>
      </c>
      <c r="K102" s="62"/>
      <c r="L102" s="172">
        <f>VLOOKUP(F102,[1]Plano!$C$7:$L$56,7,FALSE)</f>
        <v>45435</v>
      </c>
      <c r="M102" s="62"/>
      <c r="N102" s="79"/>
      <c r="O102" s="172">
        <f>VLOOKUP(F102,[1]Plano!$C$7:$L$56,6,FALSE)</f>
        <v>0</v>
      </c>
      <c r="P102" s="79"/>
      <c r="Q102" s="300" t="s">
        <v>163</v>
      </c>
      <c r="R102" s="300"/>
      <c r="S102" s="300"/>
      <c r="T102" s="300"/>
      <c r="U102" s="300"/>
      <c r="V102" s="300"/>
      <c r="W102" s="300"/>
      <c r="X102" s="300"/>
      <c r="Y102" s="300"/>
      <c r="Z102" s="300"/>
      <c r="AA102" s="84"/>
      <c r="AB102" s="62"/>
      <c r="AC102" s="62"/>
      <c r="AD102" s="32"/>
    </row>
    <row r="103" spans="3:30" s="2" customFormat="1" ht="15" customHeight="1">
      <c r="C103" s="157"/>
      <c r="D103"/>
      <c r="E103" s="79" t="s">
        <v>63</v>
      </c>
      <c r="F103" s="79" t="s">
        <v>165</v>
      </c>
      <c r="G103" s="175"/>
      <c r="H103" s="265" t="str">
        <f>VLOOKUP(F103,[1]Plano!$C$7:$L$56,4,FALSE)</f>
        <v>Em Implementação - Alteração EF</v>
      </c>
      <c r="I103" s="265"/>
      <c r="J103" s="79" t="str">
        <f>VLOOKUP(F103,[1]Plano!$C$7:$J$56,8,FALSE)</f>
        <v>IT</v>
      </c>
      <c r="K103" s="62"/>
      <c r="L103" s="172">
        <f>VLOOKUP(F103,[1]Plano!$C$7:$L$56,7,FALSE)</f>
        <v>45435</v>
      </c>
      <c r="M103" s="62"/>
      <c r="N103" s="79"/>
      <c r="O103" s="172">
        <f>VLOOKUP(F103,[1]Plano!$C$7:$L$56,6,FALSE)</f>
        <v>0</v>
      </c>
      <c r="P103" s="79"/>
      <c r="Q103" s="300" t="s">
        <v>163</v>
      </c>
      <c r="R103" s="300"/>
      <c r="S103" s="300"/>
      <c r="T103" s="300"/>
      <c r="U103" s="300"/>
      <c r="V103" s="300"/>
      <c r="W103" s="300"/>
      <c r="X103" s="300"/>
      <c r="Y103" s="300"/>
      <c r="Z103" s="300"/>
      <c r="AA103" s="84"/>
      <c r="AB103" s="62"/>
      <c r="AC103" s="62"/>
      <c r="AD103" s="32"/>
    </row>
    <row r="104" spans="3:30" s="2" customFormat="1" ht="15" customHeight="1">
      <c r="C104" s="157"/>
      <c r="D104"/>
      <c r="E104" s="79" t="s">
        <v>63</v>
      </c>
      <c r="F104" s="79" t="s">
        <v>166</v>
      </c>
      <c r="G104" s="175"/>
      <c r="H104" s="265" t="str">
        <f>VLOOKUP(F104,[1]Plano!$C$7:$L$56,4,FALSE)</f>
        <v>Em Implementação - Alteração EF</v>
      </c>
      <c r="I104" s="265"/>
      <c r="J104" s="79" t="str">
        <f>VLOOKUP(F104,[1]Plano!$C$7:$J$56,8,FALSE)</f>
        <v>IT</v>
      </c>
      <c r="K104" s="62"/>
      <c r="L104" s="172">
        <f>VLOOKUP(F104,[1]Plano!$C$7:$L$56,7,FALSE)</f>
        <v>45435</v>
      </c>
      <c r="M104" s="62"/>
      <c r="N104" s="79"/>
      <c r="O104" s="172">
        <f>VLOOKUP(F104,[1]Plano!$C$7:$L$56,6,FALSE)</f>
        <v>0</v>
      </c>
      <c r="P104" s="79"/>
      <c r="Q104" s="300" t="s">
        <v>163</v>
      </c>
      <c r="R104" s="300"/>
      <c r="S104" s="300"/>
      <c r="T104" s="300"/>
      <c r="U104" s="300"/>
      <c r="V104" s="300"/>
      <c r="W104" s="300"/>
      <c r="X104" s="300"/>
      <c r="Y104" s="300"/>
      <c r="Z104" s="300"/>
      <c r="AA104" s="84"/>
      <c r="AB104" s="62"/>
      <c r="AC104" s="62"/>
      <c r="AD104" s="32"/>
    </row>
    <row r="105" spans="3:30" s="2" customFormat="1" ht="15" customHeight="1">
      <c r="C105" s="157"/>
      <c r="D105" s="104"/>
      <c r="E105" s="269"/>
      <c r="F105" s="269"/>
      <c r="G105" s="269"/>
      <c r="H105" s="270"/>
      <c r="I105" s="270"/>
      <c r="J105" s="271"/>
      <c r="K105" s="271"/>
      <c r="L105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104"/>
      <c r="X105" s="104"/>
      <c r="Y105" s="104"/>
      <c r="Z105" s="104"/>
      <c r="AA105" s="104"/>
      <c r="AB105" s="104"/>
      <c r="AC105" s="104"/>
      <c r="AD105" s="106"/>
    </row>
    <row r="106" spans="3:30" s="2" customFormat="1" ht="14.4" hidden="1">
      <c r="K106" s="12"/>
      <c r="Q106" s="12"/>
      <c r="R106" s="12"/>
      <c r="S106" s="12"/>
      <c r="T106" s="12"/>
      <c r="U106" s="12"/>
      <c r="V106" s="12"/>
      <c r="W106" s="1"/>
      <c r="X106"/>
      <c r="Y106"/>
      <c r="Z106"/>
      <c r="AA106"/>
      <c r="AB106"/>
      <c r="AC106"/>
      <c r="AD106" s="32"/>
    </row>
    <row r="107" spans="3:30" s="2" customFormat="1" ht="14.4" hidden="1">
      <c r="K107" s="12"/>
      <c r="Q107" s="12"/>
      <c r="R107" s="12"/>
      <c r="S107" s="12"/>
      <c r="T107" s="12"/>
      <c r="U107" s="12"/>
      <c r="V107" s="12"/>
      <c r="W107" s="1"/>
      <c r="X107"/>
      <c r="Y107"/>
      <c r="Z107"/>
      <c r="AA107"/>
      <c r="AB107"/>
      <c r="AC107"/>
      <c r="AD107" s="32"/>
    </row>
    <row r="108" spans="3:30" s="2" customFormat="1" ht="14.4" hidden="1">
      <c r="K108" s="12"/>
      <c r="Q108" s="12"/>
      <c r="R108" s="12"/>
      <c r="S108" s="12"/>
      <c r="T108" s="12"/>
      <c r="U108" s="12"/>
      <c r="V108" s="12"/>
      <c r="W108" s="1"/>
      <c r="X108"/>
      <c r="Y108"/>
      <c r="Z108"/>
      <c r="AA108"/>
      <c r="AB108"/>
      <c r="AC108"/>
      <c r="AD108" s="32"/>
    </row>
    <row r="109" spans="3:30" s="2" customFormat="1" ht="14.4" hidden="1">
      <c r="K109" s="12"/>
      <c r="Q109" s="12"/>
      <c r="R109" s="12"/>
      <c r="S109" s="12"/>
      <c r="T109" s="12"/>
      <c r="U109" s="12"/>
      <c r="V109" s="12"/>
      <c r="W109" s="1"/>
      <c r="X109"/>
      <c r="Y109"/>
      <c r="Z109"/>
      <c r="AA109"/>
      <c r="AB109"/>
      <c r="AC109"/>
      <c r="AD109" s="32"/>
    </row>
    <row r="110" spans="3:30" s="2" customFormat="1" ht="14.4" hidden="1">
      <c r="C110" s="183"/>
      <c r="D110" s="156"/>
      <c r="E110" s="156"/>
      <c r="F110" s="156"/>
      <c r="G110" s="156"/>
      <c r="H110" s="156"/>
      <c r="I110" s="156"/>
      <c r="J110" s="156"/>
      <c r="K110" s="1"/>
      <c r="L110" s="156"/>
      <c r="M110" s="184"/>
      <c r="O110" s="183"/>
      <c r="P110" s="156"/>
      <c r="Q110" s="1"/>
      <c r="R110" s="1"/>
      <c r="S110" s="1"/>
      <c r="T110" s="1"/>
      <c r="U110" s="1"/>
      <c r="V110" s="1"/>
      <c r="W110" s="1"/>
      <c r="X110"/>
      <c r="Y110"/>
      <c r="Z110"/>
      <c r="AA110"/>
      <c r="AB110"/>
      <c r="AC110"/>
      <c r="AD110" s="32"/>
    </row>
    <row r="111" spans="3:30" s="2" customFormat="1" ht="14.4" hidden="1">
      <c r="C111" s="185"/>
      <c r="D111"/>
      <c r="E111"/>
      <c r="F111"/>
      <c r="G111"/>
      <c r="H111"/>
      <c r="I111"/>
      <c r="J111"/>
      <c r="K111" s="1"/>
      <c r="L111"/>
      <c r="M111" s="186"/>
      <c r="O111" s="185"/>
      <c r="P111"/>
      <c r="Q111" s="1"/>
      <c r="R111" s="1"/>
      <c r="S111" s="1"/>
      <c r="T111" s="1"/>
      <c r="U111" s="1"/>
      <c r="V111" s="1"/>
      <c r="W111" s="1"/>
      <c r="X111"/>
      <c r="Y111"/>
      <c r="Z111"/>
      <c r="AA111"/>
      <c r="AB111"/>
      <c r="AC111"/>
      <c r="AD111" s="32"/>
    </row>
    <row r="112" spans="3:30" s="2" customFormat="1" ht="14.4" hidden="1">
      <c r="C112" s="185"/>
      <c r="D112"/>
      <c r="E112" s="272"/>
      <c r="F112" s="272"/>
      <c r="G112"/>
      <c r="H112"/>
      <c r="I112"/>
      <c r="J112"/>
      <c r="K112" s="1"/>
      <c r="L112"/>
      <c r="M112" s="186"/>
      <c r="O112" s="185"/>
      <c r="P112"/>
      <c r="Q112" s="187"/>
      <c r="R112" s="187"/>
      <c r="S112" s="1"/>
      <c r="T112" s="1"/>
      <c r="U112" s="1"/>
      <c r="V112" s="1"/>
      <c r="W112" s="1"/>
      <c r="X112"/>
      <c r="Y112"/>
      <c r="Z112"/>
      <c r="AA112"/>
      <c r="AB112"/>
      <c r="AC112"/>
      <c r="AD112" s="32"/>
    </row>
    <row r="113" spans="1:34" s="2" customFormat="1" ht="17.399999999999999" hidden="1">
      <c r="C113" s="185"/>
      <c r="D113" s="188" t="s">
        <v>367</v>
      </c>
      <c r="E113" s="273" t="s">
        <v>369</v>
      </c>
      <c r="F113" s="273" t="s">
        <v>370</v>
      </c>
      <c r="G113" s="273" t="s">
        <v>371</v>
      </c>
      <c r="H113" s="273"/>
      <c r="I113" s="273"/>
      <c r="J113" s="189" t="s">
        <v>372</v>
      </c>
      <c r="K113" s="191"/>
      <c r="L113" s="189" t="s">
        <v>368</v>
      </c>
      <c r="M113" s="186"/>
      <c r="O113" s="185"/>
      <c r="P113" s="188" t="s">
        <v>367</v>
      </c>
      <c r="Q113" s="190" t="s">
        <v>369</v>
      </c>
      <c r="R113" s="190" t="s">
        <v>370</v>
      </c>
      <c r="S113" s="190" t="s">
        <v>371</v>
      </c>
      <c r="T113" s="191" t="s">
        <v>372</v>
      </c>
      <c r="U113" s="191" t="s">
        <v>368</v>
      </c>
      <c r="V113" s="1"/>
      <c r="W113" s="1"/>
      <c r="X113"/>
      <c r="Y113"/>
      <c r="Z113"/>
      <c r="AA113"/>
      <c r="AB113"/>
      <c r="AC113"/>
      <c r="AD113" s="32"/>
    </row>
    <row r="114" spans="1:34" s="2" customFormat="1" ht="17.399999999999999" hidden="1">
      <c r="C114" s="185"/>
      <c r="D114" s="192" t="s">
        <v>373</v>
      </c>
      <c r="E114" s="207">
        <v>28</v>
      </c>
      <c r="F114" s="207">
        <v>25</v>
      </c>
      <c r="G114" s="207">
        <v>0</v>
      </c>
      <c r="H114" s="207"/>
      <c r="I114" s="207"/>
      <c r="J114" s="274">
        <v>0</v>
      </c>
      <c r="K114" s="195"/>
      <c r="L114" s="193">
        <v>0</v>
      </c>
      <c r="M114" s="186"/>
      <c r="O114" s="185"/>
      <c r="P114" s="192" t="s">
        <v>373</v>
      </c>
      <c r="Q114" s="194">
        <v>49</v>
      </c>
      <c r="R114" s="194">
        <v>11</v>
      </c>
      <c r="S114" s="194">
        <v>0</v>
      </c>
      <c r="T114" s="195">
        <v>0</v>
      </c>
      <c r="U114" s="196">
        <v>0</v>
      </c>
      <c r="V114" s="1"/>
      <c r="W114" s="1"/>
      <c r="X114"/>
      <c r="Y114"/>
      <c r="Z114"/>
      <c r="AA114"/>
      <c r="AB114"/>
      <c r="AC114"/>
      <c r="AD114" s="32"/>
    </row>
    <row r="115" spans="1:34" s="2" customFormat="1" ht="17.399999999999999" hidden="1">
      <c r="C115" s="185"/>
      <c r="D115" s="192" t="s">
        <v>374</v>
      </c>
      <c r="E115" s="207">
        <v>121692</v>
      </c>
      <c r="F115" s="207">
        <v>6100</v>
      </c>
      <c r="G115" s="207">
        <v>1</v>
      </c>
      <c r="H115" s="207"/>
      <c r="I115" s="207"/>
      <c r="J115" s="274">
        <v>0</v>
      </c>
      <c r="K115" s="195"/>
      <c r="L115" s="193">
        <v>1</v>
      </c>
      <c r="M115" s="186"/>
      <c r="O115" s="185"/>
      <c r="P115" s="192" t="s">
        <v>374</v>
      </c>
      <c r="Q115" s="194">
        <v>161873</v>
      </c>
      <c r="R115" s="194">
        <v>8528</v>
      </c>
      <c r="S115" s="194">
        <v>1</v>
      </c>
      <c r="T115" s="195">
        <v>0</v>
      </c>
      <c r="U115" s="196">
        <v>1</v>
      </c>
      <c r="V115" s="1"/>
      <c r="W115" s="1"/>
      <c r="X115"/>
      <c r="Y115"/>
      <c r="Z115"/>
      <c r="AA115"/>
      <c r="AB115"/>
      <c r="AC115"/>
      <c r="AD115" s="32"/>
    </row>
    <row r="116" spans="1:34" ht="17.399999999999999" hidden="1">
      <c r="A116" s="2"/>
      <c r="B116" s="2"/>
      <c r="C116" s="185"/>
      <c r="D116" s="192" t="s">
        <v>375</v>
      </c>
      <c r="E116" s="207">
        <v>252706</v>
      </c>
      <c r="F116" s="207">
        <v>68</v>
      </c>
      <c r="G116" s="207">
        <v>1</v>
      </c>
      <c r="H116" s="207"/>
      <c r="I116" s="207"/>
      <c r="J116" s="274">
        <v>1</v>
      </c>
      <c r="K116" s="195"/>
      <c r="L116" s="193">
        <v>0</v>
      </c>
      <c r="M116" s="186"/>
      <c r="N116" s="2"/>
      <c r="O116" s="185"/>
      <c r="P116" s="192" t="s">
        <v>375</v>
      </c>
      <c r="Q116" s="194">
        <v>251605</v>
      </c>
      <c r="R116" s="194">
        <v>78</v>
      </c>
      <c r="S116" s="194">
        <v>2</v>
      </c>
      <c r="T116" s="195">
        <v>1</v>
      </c>
      <c r="U116" s="196">
        <v>1</v>
      </c>
      <c r="V116" s="1"/>
      <c r="W116" s="1"/>
      <c r="X116"/>
      <c r="Y116"/>
      <c r="Z116"/>
      <c r="AA116"/>
      <c r="AB116"/>
      <c r="AC116"/>
      <c r="AD116" s="32"/>
      <c r="AF116" s="2"/>
      <c r="AG116" s="2"/>
    </row>
    <row r="117" spans="1:34" ht="17.399999999999999" hidden="1">
      <c r="A117" s="2"/>
      <c r="B117" s="2"/>
      <c r="C117" s="185"/>
      <c r="D117" s="192" t="s">
        <v>376</v>
      </c>
      <c r="E117" s="207">
        <v>50056</v>
      </c>
      <c r="F117" s="207">
        <v>3201</v>
      </c>
      <c r="G117" s="207">
        <v>1</v>
      </c>
      <c r="H117" s="207"/>
      <c r="I117" s="207"/>
      <c r="J117" s="274">
        <v>0</v>
      </c>
      <c r="K117" s="195"/>
      <c r="L117" s="193">
        <v>1</v>
      </c>
      <c r="M117" s="186"/>
      <c r="N117" s="2"/>
      <c r="O117" s="185"/>
      <c r="P117" s="192" t="s">
        <v>376</v>
      </c>
      <c r="Q117" s="194">
        <v>130224</v>
      </c>
      <c r="R117" s="194">
        <v>59577</v>
      </c>
      <c r="S117" s="194">
        <v>1</v>
      </c>
      <c r="T117" s="195">
        <v>0</v>
      </c>
      <c r="U117" s="196">
        <v>1</v>
      </c>
      <c r="V117" s="1"/>
      <c r="W117" s="1"/>
      <c r="X117"/>
      <c r="Y117"/>
      <c r="Z117"/>
      <c r="AA117"/>
      <c r="AB117"/>
      <c r="AC117"/>
      <c r="AD117" s="32"/>
      <c r="AF117" s="2"/>
      <c r="AG117" s="2"/>
    </row>
    <row r="118" spans="1:34" ht="17.399999999999999" hidden="1">
      <c r="A118" s="2"/>
      <c r="B118" s="2"/>
      <c r="C118" s="185"/>
      <c r="D118" s="192" t="s">
        <v>377</v>
      </c>
      <c r="E118" s="207">
        <v>445379</v>
      </c>
      <c r="F118" s="207">
        <v>445136</v>
      </c>
      <c r="G118" s="207">
        <v>13</v>
      </c>
      <c r="H118" s="207"/>
      <c r="I118" s="207"/>
      <c r="J118" s="274">
        <v>5</v>
      </c>
      <c r="K118" s="195"/>
      <c r="L118" s="193">
        <f>13-5</f>
        <v>8</v>
      </c>
      <c r="M118" s="186"/>
      <c r="N118" s="2"/>
      <c r="O118" s="185"/>
      <c r="P118" s="192" t="s">
        <v>377</v>
      </c>
      <c r="Q118" s="194">
        <v>752210</v>
      </c>
      <c r="R118" s="194">
        <v>749866</v>
      </c>
      <c r="S118" s="194">
        <v>13</v>
      </c>
      <c r="T118" s="195">
        <v>5</v>
      </c>
      <c r="U118" s="196">
        <f>13-5</f>
        <v>8</v>
      </c>
      <c r="V118" s="1"/>
      <c r="W118" s="1"/>
      <c r="X118"/>
      <c r="Y118"/>
      <c r="Z118"/>
      <c r="AA118"/>
      <c r="AB118"/>
      <c r="AC118"/>
      <c r="AD118" s="32"/>
      <c r="AF118" s="2"/>
      <c r="AG118" s="2"/>
    </row>
    <row r="119" spans="1:34" ht="17.399999999999999" hidden="1">
      <c r="A119" s="2"/>
      <c r="B119" s="2"/>
      <c r="C119" s="185"/>
      <c r="D119" s="192" t="s">
        <v>378</v>
      </c>
      <c r="E119" s="207">
        <v>8797316</v>
      </c>
      <c r="F119" s="207">
        <v>7479979</v>
      </c>
      <c r="G119" s="207">
        <v>41</v>
      </c>
      <c r="H119" s="207"/>
      <c r="I119" s="207"/>
      <c r="J119" s="274">
        <v>0</v>
      </c>
      <c r="K119" s="195"/>
      <c r="L119" s="193">
        <v>41</v>
      </c>
      <c r="M119" s="186"/>
      <c r="N119" s="2"/>
      <c r="O119" s="185"/>
      <c r="P119" s="192" t="s">
        <v>378</v>
      </c>
      <c r="Q119" s="194">
        <v>12565003</v>
      </c>
      <c r="R119" s="194">
        <v>10470985</v>
      </c>
      <c r="S119" s="194">
        <v>44</v>
      </c>
      <c r="T119" s="195">
        <v>0</v>
      </c>
      <c r="U119" s="196">
        <v>44</v>
      </c>
      <c r="V119" s="1"/>
      <c r="W119" s="1"/>
      <c r="X119"/>
      <c r="Y119"/>
      <c r="Z119"/>
      <c r="AA119"/>
      <c r="AB119"/>
      <c r="AC119"/>
      <c r="AD119" s="32"/>
      <c r="AF119" s="2"/>
      <c r="AG119" s="2"/>
    </row>
    <row r="120" spans="1:34" ht="17.399999999999999" hidden="1">
      <c r="A120" s="2"/>
      <c r="B120" s="2"/>
      <c r="C120" s="185"/>
      <c r="D120" s="197" t="s">
        <v>379</v>
      </c>
      <c r="E120" s="275" t="s">
        <v>380</v>
      </c>
      <c r="F120" s="275" t="s">
        <v>380</v>
      </c>
      <c r="G120" s="275" t="s">
        <v>381</v>
      </c>
      <c r="H120" s="275"/>
      <c r="I120" s="275"/>
      <c r="J120" s="276">
        <v>650</v>
      </c>
      <c r="K120" s="277"/>
      <c r="L120" s="198">
        <v>0</v>
      </c>
      <c r="M120" s="186"/>
      <c r="N120" s="2"/>
      <c r="O120" s="185"/>
      <c r="P120" s="192" t="s">
        <v>379</v>
      </c>
      <c r="Q120" s="199" t="s">
        <v>380</v>
      </c>
      <c r="R120" s="199" t="s">
        <v>380</v>
      </c>
      <c r="S120" s="199" t="s">
        <v>381</v>
      </c>
      <c r="T120" s="200">
        <v>0</v>
      </c>
      <c r="U120" s="196" t="s">
        <v>382</v>
      </c>
      <c r="V120" s="1"/>
      <c r="W120" s="1"/>
      <c r="X120"/>
      <c r="Y120"/>
      <c r="Z120"/>
      <c r="AA120"/>
      <c r="AB120"/>
      <c r="AC120"/>
      <c r="AD120" s="32"/>
      <c r="AF120" s="2"/>
      <c r="AG120" s="2"/>
    </row>
    <row r="121" spans="1:34" ht="17.399999999999999" hidden="1">
      <c r="A121" s="2"/>
      <c r="B121" s="2"/>
      <c r="C121" s="185"/>
      <c r="D121" s="156"/>
      <c r="E121" s="156"/>
      <c r="F121" s="216" t="s">
        <v>383</v>
      </c>
      <c r="G121" s="201">
        <f>SUM(G114:G119)</f>
        <v>57</v>
      </c>
      <c r="H121" s="201"/>
      <c r="I121" s="201"/>
      <c r="J121" s="201">
        <f>SUM(J114:J119)</f>
        <v>6</v>
      </c>
      <c r="K121" s="203"/>
      <c r="L121" s="201">
        <f>SUM(L114:L119)</f>
        <v>51</v>
      </c>
      <c r="M121" s="186"/>
      <c r="N121" s="2"/>
      <c r="O121" s="185"/>
      <c r="P121" s="156"/>
      <c r="Q121" s="1"/>
      <c r="R121" s="202" t="s">
        <v>383</v>
      </c>
      <c r="S121" s="203">
        <f>SUM(S114:S119)</f>
        <v>61</v>
      </c>
      <c r="T121" s="203">
        <f>SUM(T114:T119)</f>
        <v>6</v>
      </c>
      <c r="U121" s="203">
        <f>SUM(U114:U119)</f>
        <v>55</v>
      </c>
      <c r="V121" s="1"/>
      <c r="W121" s="1"/>
      <c r="X121"/>
      <c r="Y121"/>
      <c r="Z121"/>
      <c r="AA121"/>
      <c r="AB121"/>
      <c r="AC121"/>
      <c r="AD121" s="32"/>
      <c r="AF121" s="2"/>
      <c r="AG121" s="2"/>
    </row>
    <row r="122" spans="1:34" ht="14.4" hidden="1">
      <c r="A122" s="2"/>
      <c r="B122" s="2"/>
      <c r="C122" s="185"/>
      <c r="M122" s="186"/>
      <c r="N122" s="2"/>
      <c r="O122" s="185"/>
      <c r="Q122" s="1"/>
      <c r="R122" s="1"/>
      <c r="S122" s="1"/>
      <c r="T122" s="1"/>
      <c r="U122" s="1"/>
      <c r="V122" s="1"/>
      <c r="W122" s="1"/>
      <c r="X122"/>
      <c r="Y122"/>
      <c r="Z122"/>
      <c r="AA122"/>
      <c r="AB122"/>
      <c r="AC122"/>
      <c r="AD122" s="32"/>
      <c r="AF122" s="2"/>
      <c r="AG122" s="2"/>
    </row>
    <row r="123" spans="1:34" ht="17.399999999999999" hidden="1">
      <c r="A123" s="2"/>
      <c r="B123" s="2"/>
      <c r="C123" s="185"/>
      <c r="D123" s="189" t="s">
        <v>384</v>
      </c>
      <c r="E123" s="273" t="s">
        <v>385</v>
      </c>
      <c r="F123" s="273" t="s">
        <v>386</v>
      </c>
      <c r="G123" s="273" t="s">
        <v>387</v>
      </c>
      <c r="H123" s="273"/>
      <c r="I123" s="273"/>
      <c r="J123" s="278" t="s">
        <v>388</v>
      </c>
      <c r="K123" s="204"/>
      <c r="L123" s="188"/>
      <c r="M123" s="186"/>
      <c r="N123" s="2"/>
      <c r="O123" s="185"/>
      <c r="P123" s="189" t="s">
        <v>384</v>
      </c>
      <c r="Q123" s="190" t="s">
        <v>385</v>
      </c>
      <c r="R123" s="190" t="s">
        <v>386</v>
      </c>
      <c r="S123" s="190" t="s">
        <v>387</v>
      </c>
      <c r="T123" s="204" t="s">
        <v>388</v>
      </c>
      <c r="U123" s="205"/>
      <c r="V123" s="1"/>
      <c r="W123" s="1"/>
      <c r="X123"/>
      <c r="Y123"/>
      <c r="Z123"/>
      <c r="AA123"/>
      <c r="AB123"/>
      <c r="AC123"/>
      <c r="AD123" s="32"/>
      <c r="AF123" s="2"/>
      <c r="AG123" s="2"/>
    </row>
    <row r="124" spans="1:34" ht="19.8" hidden="1">
      <c r="A124" s="2"/>
      <c r="B124" s="2"/>
      <c r="C124" s="185"/>
      <c r="D124" s="206" t="s">
        <v>389</v>
      </c>
      <c r="E124" s="207">
        <v>145</v>
      </c>
      <c r="F124" s="207">
        <v>34</v>
      </c>
      <c r="G124" s="279" t="s">
        <v>381</v>
      </c>
      <c r="H124" s="279"/>
      <c r="I124" s="279"/>
      <c r="J124" s="207"/>
      <c r="K124" s="194"/>
      <c r="L124" s="207"/>
      <c r="M124" s="186"/>
      <c r="N124" s="2"/>
      <c r="O124" s="185"/>
      <c r="P124" s="206" t="s">
        <v>389</v>
      </c>
      <c r="Q124" s="194">
        <v>139</v>
      </c>
      <c r="R124" s="194">
        <v>37</v>
      </c>
      <c r="S124" s="194">
        <v>1</v>
      </c>
      <c r="T124" s="208" t="s">
        <v>390</v>
      </c>
      <c r="U124" s="194"/>
      <c r="V124" s="1"/>
      <c r="W124" s="1"/>
      <c r="X124"/>
      <c r="Y124"/>
      <c r="Z124"/>
      <c r="AA124"/>
      <c r="AB124"/>
      <c r="AC124"/>
      <c r="AD124" s="32"/>
      <c r="AF124" s="2"/>
      <c r="AG124" s="2"/>
    </row>
    <row r="125" spans="1:34" ht="19.8" hidden="1">
      <c r="A125" s="2"/>
      <c r="B125" s="2"/>
      <c r="C125" s="185"/>
      <c r="D125" s="206" t="s">
        <v>391</v>
      </c>
      <c r="E125" s="207">
        <v>139</v>
      </c>
      <c r="F125" s="207">
        <v>31</v>
      </c>
      <c r="G125" s="279">
        <v>12</v>
      </c>
      <c r="H125" s="279"/>
      <c r="I125" s="279"/>
      <c r="J125" s="280" t="s">
        <v>407</v>
      </c>
      <c r="K125" s="208"/>
      <c r="L125" s="207"/>
      <c r="M125" s="209"/>
      <c r="N125" s="2"/>
      <c r="O125" s="185"/>
      <c r="P125" s="206" t="s">
        <v>391</v>
      </c>
      <c r="Q125" s="194">
        <v>144</v>
      </c>
      <c r="R125" s="194">
        <v>28</v>
      </c>
      <c r="S125" s="194">
        <v>11</v>
      </c>
      <c r="T125" s="208" t="s">
        <v>392</v>
      </c>
      <c r="U125" s="194"/>
      <c r="V125" s="1"/>
      <c r="W125" s="1"/>
      <c r="X125"/>
      <c r="Y125"/>
      <c r="Z125"/>
      <c r="AA125"/>
      <c r="AB125"/>
      <c r="AC125"/>
      <c r="AD125" s="32"/>
      <c r="AF125" s="2"/>
      <c r="AG125" s="2"/>
    </row>
    <row r="126" spans="1:34" ht="19.8" hidden="1">
      <c r="A126" s="2"/>
      <c r="B126" s="2"/>
      <c r="C126" s="185"/>
      <c r="D126" s="206" t="s">
        <v>393</v>
      </c>
      <c r="E126" s="207">
        <v>18</v>
      </c>
      <c r="F126" s="207">
        <v>7</v>
      </c>
      <c r="G126" s="279">
        <v>5</v>
      </c>
      <c r="H126" s="279"/>
      <c r="I126" s="279"/>
      <c r="J126" s="280" t="s">
        <v>408</v>
      </c>
      <c r="K126" s="208"/>
      <c r="L126" s="207"/>
      <c r="M126" s="186"/>
      <c r="N126" s="2"/>
      <c r="O126" s="185"/>
      <c r="P126" s="206" t="s">
        <v>393</v>
      </c>
      <c r="Q126" s="194">
        <v>10</v>
      </c>
      <c r="R126" s="194">
        <v>2</v>
      </c>
      <c r="S126" s="210" t="s">
        <v>381</v>
      </c>
      <c r="T126" s="208"/>
      <c r="U126" s="194"/>
      <c r="V126" s="1"/>
      <c r="W126" s="1"/>
      <c r="X126"/>
      <c r="Y126"/>
      <c r="Z126"/>
      <c r="AA126"/>
      <c r="AB126"/>
      <c r="AC126"/>
      <c r="AD126" s="32"/>
      <c r="AF126" s="2"/>
      <c r="AG126" s="2"/>
    </row>
    <row r="127" spans="1:34" s="121" customFormat="1" ht="19.8" hidden="1">
      <c r="A127" s="2"/>
      <c r="B127" s="2"/>
      <c r="C127" s="185"/>
      <c r="D127" s="206" t="s">
        <v>394</v>
      </c>
      <c r="E127" s="207">
        <v>18</v>
      </c>
      <c r="F127" s="207">
        <v>1</v>
      </c>
      <c r="G127" s="279">
        <v>1</v>
      </c>
      <c r="H127" s="279"/>
      <c r="I127" s="279"/>
      <c r="J127" s="280" t="s">
        <v>409</v>
      </c>
      <c r="K127" s="208"/>
      <c r="L127" s="207"/>
      <c r="M127" s="186"/>
      <c r="N127" s="2"/>
      <c r="O127" s="185"/>
      <c r="P127" s="206" t="s">
        <v>395</v>
      </c>
      <c r="Q127" s="194">
        <v>30</v>
      </c>
      <c r="R127" s="194">
        <v>6</v>
      </c>
      <c r="S127" s="194">
        <v>6</v>
      </c>
      <c r="T127" s="208" t="s">
        <v>396</v>
      </c>
      <c r="U127" s="194"/>
      <c r="V127" s="1"/>
      <c r="W127" s="182"/>
      <c r="AD127" s="211"/>
      <c r="AE127" s="212"/>
      <c r="AF127" s="212"/>
      <c r="AG127" s="212"/>
      <c r="AH127" s="212"/>
    </row>
    <row r="128" spans="1:34" s="121" customFormat="1" ht="19.8" hidden="1">
      <c r="A128" s="212"/>
      <c r="B128" s="2"/>
      <c r="C128" s="185"/>
      <c r="D128" s="213" t="s">
        <v>397</v>
      </c>
      <c r="E128" s="214">
        <v>10</v>
      </c>
      <c r="F128" s="214">
        <v>4</v>
      </c>
      <c r="G128" s="281">
        <v>4</v>
      </c>
      <c r="H128" s="281"/>
      <c r="I128" s="281"/>
      <c r="J128" s="282" t="s">
        <v>398</v>
      </c>
      <c r="K128" s="208"/>
      <c r="L128" s="214"/>
      <c r="M128" s="186"/>
      <c r="N128" s="2"/>
      <c r="O128" s="185"/>
      <c r="P128" s="206" t="s">
        <v>397</v>
      </c>
      <c r="Q128" s="194">
        <v>7</v>
      </c>
      <c r="R128" s="194">
        <v>4</v>
      </c>
      <c r="S128" s="194">
        <v>4</v>
      </c>
      <c r="T128" s="208" t="s">
        <v>398</v>
      </c>
      <c r="U128" s="194"/>
      <c r="V128" s="1"/>
      <c r="W128" s="182"/>
      <c r="AD128" s="211"/>
      <c r="AE128" s="212"/>
      <c r="AF128" s="212"/>
      <c r="AG128" s="212"/>
      <c r="AH128" s="212"/>
    </row>
    <row r="129" spans="1:33" ht="17.399999999999999" hidden="1">
      <c r="A129" s="212"/>
      <c r="B129" s="212"/>
      <c r="C129" s="215"/>
      <c r="D129" s="216" t="s">
        <v>399</v>
      </c>
      <c r="E129" s="201">
        <f>SUM(E124:E128)</f>
        <v>330</v>
      </c>
      <c r="F129" s="201">
        <f>SUM(F124:F128)</f>
        <v>77</v>
      </c>
      <c r="G129" s="201">
        <f>SUM(G124:G128)</f>
        <v>22</v>
      </c>
      <c r="H129" s="201"/>
      <c r="I129" s="201"/>
      <c r="J129" s="217"/>
      <c r="K129" s="182"/>
      <c r="L129" s="217"/>
      <c r="M129" s="218"/>
      <c r="N129" s="212"/>
      <c r="O129" s="215"/>
      <c r="P129" s="216" t="s">
        <v>399</v>
      </c>
      <c r="Q129" s="203">
        <f>SUM(Q124:Q128)</f>
        <v>330</v>
      </c>
      <c r="R129" s="203">
        <f>SUM(R124:R128)</f>
        <v>77</v>
      </c>
      <c r="S129" s="203">
        <f>SUM(S124:S128)</f>
        <v>22</v>
      </c>
      <c r="T129" s="182"/>
      <c r="U129" s="182"/>
      <c r="V129" s="182"/>
      <c r="W129" s="1"/>
      <c r="X129"/>
      <c r="Y129"/>
      <c r="Z129"/>
      <c r="AA129"/>
      <c r="AB129"/>
      <c r="AC129"/>
      <c r="AD129" s="32"/>
      <c r="AF129" s="2"/>
      <c r="AG129" s="2"/>
    </row>
    <row r="130" spans="1:33" ht="17.399999999999999" hidden="1">
      <c r="A130" s="2"/>
      <c r="B130" s="212"/>
      <c r="C130" s="215"/>
      <c r="D130" s="219" t="s">
        <v>400</v>
      </c>
      <c r="E130" s="283"/>
      <c r="F130" s="283"/>
      <c r="G130" s="283"/>
      <c r="H130" s="283"/>
      <c r="I130" s="283"/>
      <c r="J130" s="121"/>
      <c r="K130" s="182"/>
      <c r="L130" s="121"/>
      <c r="M130" s="218"/>
      <c r="N130" s="212"/>
      <c r="O130" s="215"/>
      <c r="P130" s="219" t="s">
        <v>400</v>
      </c>
      <c r="Q130" s="182"/>
      <c r="R130" s="182"/>
      <c r="S130" s="182"/>
      <c r="T130" s="182"/>
      <c r="U130" s="182"/>
      <c r="V130" s="182"/>
      <c r="W130" s="1"/>
      <c r="X130"/>
      <c r="Y130"/>
      <c r="Z130"/>
      <c r="AA130"/>
      <c r="AB130"/>
      <c r="AC130"/>
      <c r="AD130" s="32"/>
      <c r="AF130" s="2"/>
      <c r="AG130" s="2"/>
    </row>
    <row r="131" spans="1:33" ht="14.4" hidden="1">
      <c r="A131" s="2"/>
      <c r="B131" s="2"/>
      <c r="C131" s="220"/>
      <c r="D131" s="221"/>
      <c r="E131" s="221"/>
      <c r="F131" s="221"/>
      <c r="G131" s="221"/>
      <c r="H131" s="221"/>
      <c r="I131" s="221"/>
      <c r="J131" s="221"/>
      <c r="L131" s="1"/>
      <c r="M131" s="222"/>
      <c r="N131" s="2"/>
      <c r="O131" s="220"/>
      <c r="P131" s="221"/>
      <c r="Q131" s="1"/>
      <c r="R131" s="1"/>
      <c r="S131" s="1"/>
      <c r="T131" s="1"/>
      <c r="U131" s="1"/>
      <c r="V131" s="1"/>
      <c r="W131" s="1"/>
      <c r="X131"/>
      <c r="Y131"/>
      <c r="Z131"/>
      <c r="AA131"/>
      <c r="AB131"/>
      <c r="AC131"/>
      <c r="AD131" s="32"/>
      <c r="AF131" s="2"/>
      <c r="AG131" s="2"/>
    </row>
    <row r="132" spans="1:33" s="2" customFormat="1" ht="14.4">
      <c r="K132" s="12"/>
      <c r="L132" s="107"/>
      <c r="Q132" s="12"/>
      <c r="R132" s="12"/>
      <c r="S132" s="12"/>
      <c r="T132" s="12"/>
      <c r="U132" s="12"/>
      <c r="V132" s="12"/>
      <c r="W132" s="12"/>
    </row>
    <row r="133" spans="1:33" s="2" customFormat="1" ht="14.4">
      <c r="K133" s="12"/>
      <c r="V133" s="12"/>
      <c r="W133" s="12"/>
    </row>
    <row r="134" spans="1:33" s="2" customFormat="1" ht="14.4">
      <c r="K134" s="12"/>
    </row>
    <row r="135" spans="1:33" s="2" customFormat="1" ht="14.4">
      <c r="K135" s="12"/>
    </row>
    <row r="136" spans="1:33" s="2" customFormat="1" ht="13.95" hidden="1" customHeight="1">
      <c r="K136" s="12"/>
    </row>
    <row r="137" spans="1:33" s="2" customFormat="1" ht="13.95" hidden="1" customHeight="1">
      <c r="K137" s="12"/>
    </row>
    <row r="138" spans="1:33" s="2" customFormat="1" ht="13.95" hidden="1" customHeight="1">
      <c r="K138" s="12"/>
    </row>
    <row r="139" spans="1:33" s="2" customFormat="1" ht="13.95" hidden="1" customHeight="1">
      <c r="K139" s="12"/>
    </row>
    <row r="140" spans="1:33" s="2" customFormat="1" ht="13.95" hidden="1" customHeight="1">
      <c r="K140" s="12"/>
    </row>
    <row r="141" spans="1:33" s="2" customFormat="1" ht="13.95" hidden="1" customHeight="1">
      <c r="K141" s="12"/>
    </row>
    <row r="142" spans="1:33" s="2" customFormat="1" ht="13.95" hidden="1" customHeight="1">
      <c r="K142" s="12"/>
    </row>
    <row r="143" spans="1:33" s="2" customFormat="1" ht="13.95" hidden="1" customHeight="1">
      <c r="K143" s="12"/>
    </row>
    <row r="144" spans="1:33" s="2" customFormat="1" ht="17.100000000000001" hidden="1" customHeight="1">
      <c r="K144" s="12"/>
    </row>
    <row r="145" spans="11:11" s="2" customFormat="1" ht="13.95" hidden="1" customHeight="1">
      <c r="K145" s="12"/>
    </row>
    <row r="146" spans="11:11" s="2" customFormat="1" ht="13.95" hidden="1" customHeight="1">
      <c r="K146" s="12"/>
    </row>
    <row r="147" spans="11:11" s="2" customFormat="1" ht="13.95" hidden="1" customHeight="1">
      <c r="K147" s="12"/>
    </row>
    <row r="148" spans="11:11" s="2" customFormat="1" ht="13.95" hidden="1" customHeight="1">
      <c r="K148" s="12"/>
    </row>
    <row r="149" spans="11:11" s="2" customFormat="1" ht="13.95" hidden="1" customHeight="1">
      <c r="K149" s="12"/>
    </row>
    <row r="150" spans="11:11" s="2" customFormat="1" ht="13.95" hidden="1" customHeight="1">
      <c r="K150" s="12"/>
    </row>
    <row r="151" spans="11:11" s="2" customFormat="1" ht="13.95" hidden="1" customHeight="1">
      <c r="K151" s="12"/>
    </row>
    <row r="152" spans="11:11" s="2" customFormat="1" ht="13.95" hidden="1" customHeight="1">
      <c r="K152" s="12"/>
    </row>
    <row r="153" spans="11:11" s="2" customFormat="1" ht="13.95" hidden="1" customHeight="1">
      <c r="K153" s="12"/>
    </row>
    <row r="154" spans="11:11" s="2" customFormat="1" ht="13.95" hidden="1" customHeight="1">
      <c r="K154" s="12"/>
    </row>
    <row r="155" spans="11:11" s="2" customFormat="1" ht="13.95" hidden="1" customHeight="1">
      <c r="K155" s="12"/>
    </row>
    <row r="156" spans="11:11" s="2" customFormat="1" ht="13.95" hidden="1" customHeight="1">
      <c r="K156" s="12"/>
    </row>
    <row r="157" spans="11:11" s="2" customFormat="1" ht="13.95" hidden="1" customHeight="1">
      <c r="K157" s="12"/>
    </row>
    <row r="158" spans="11:11" s="2" customFormat="1" ht="13.95" hidden="1" customHeight="1">
      <c r="K158" s="12"/>
    </row>
    <row r="159" spans="11:11" s="2" customFormat="1" ht="13.95" hidden="1" customHeight="1">
      <c r="K159" s="12"/>
    </row>
    <row r="160" spans="11:11" s="2" customFormat="1" ht="13.95" hidden="1" customHeight="1">
      <c r="K160" s="12"/>
    </row>
    <row r="161" spans="1:33" s="2" customFormat="1" ht="13.95" hidden="1" customHeight="1">
      <c r="K161" s="12"/>
    </row>
    <row r="162" spans="1:33" s="2" customFormat="1" ht="13.95" hidden="1" customHeight="1">
      <c r="K162" s="12"/>
    </row>
    <row r="163" spans="1:33" s="2" customFormat="1" ht="13.95" hidden="1" customHeight="1">
      <c r="K163" s="12"/>
    </row>
    <row r="164" spans="1:33" s="2" customFormat="1" ht="13.95" hidden="1" customHeight="1">
      <c r="K164" s="12"/>
    </row>
    <row r="165" spans="1:33" s="2" customFormat="1" ht="13.95" hidden="1" customHeight="1">
      <c r="K165" s="12"/>
    </row>
    <row r="166" spans="1:33" s="2" customFormat="1" ht="13.95" hidden="1" customHeight="1">
      <c r="K166" s="12"/>
    </row>
    <row r="167" spans="1:33" s="2" customFormat="1" ht="14.4">
      <c r="K167" s="12"/>
    </row>
    <row r="168" spans="1:33" s="2" customFormat="1" ht="0" hidden="1" customHeight="1">
      <c r="K168" s="12"/>
      <c r="AF168"/>
      <c r="AG168"/>
    </row>
    <row r="169" spans="1:33" s="2" customFormat="1" ht="0" hidden="1" customHeight="1">
      <c r="A169"/>
      <c r="K169" s="12"/>
      <c r="AF169"/>
      <c r="AG169"/>
    </row>
    <row r="170" spans="1:33" ht="0" hidden="1" customHeight="1"/>
    <row r="171" spans="1:33" ht="0" hidden="1" customHeight="1"/>
    <row r="172" spans="1:33" ht="0" hidden="1" customHeight="1"/>
    <row r="173" spans="1:33" ht="0" hidden="1" customHeight="1"/>
    <row r="174" spans="1:33" ht="0" hidden="1" customHeight="1"/>
    <row r="175" spans="1:33" ht="0" hidden="1" customHeight="1"/>
    <row r="176" spans="1:33" ht="0" hidden="1" customHeight="1"/>
    <row r="177" spans="1:33" ht="0" hidden="1" customHeight="1"/>
    <row r="178" spans="1:33" ht="0" hidden="1" customHeight="1"/>
    <row r="179" spans="1:33" s="2" customFormat="1" ht="0" hidden="1" customHeight="1">
      <c r="A179"/>
      <c r="B179"/>
      <c r="C179"/>
      <c r="D179"/>
      <c r="E179"/>
      <c r="F179"/>
      <c r="G179"/>
      <c r="H179"/>
      <c r="I179"/>
      <c r="J179"/>
      <c r="K179" s="1"/>
      <c r="L179"/>
      <c r="M179"/>
      <c r="N179"/>
      <c r="O179"/>
      <c r="P179"/>
      <c r="Q179"/>
      <c r="R179"/>
      <c r="S179"/>
      <c r="T179"/>
      <c r="U179"/>
      <c r="AF179"/>
      <c r="AG179"/>
    </row>
    <row r="180" spans="1:33" ht="0" hidden="1" customHeight="1"/>
    <row r="181" spans="1:33" ht="0" hidden="1" customHeight="1"/>
    <row r="182" spans="1:33" ht="0" hidden="1" customHeight="1"/>
    <row r="185" spans="1:33" ht="0" hidden="1" customHeight="1"/>
    <row r="186" spans="1:33" ht="13.95" hidden="1" customHeight="1"/>
    <row r="187" spans="1:33" ht="13.95" hidden="1" customHeight="1"/>
    <row r="188" spans="1:33" ht="13.95" hidden="1" customHeight="1"/>
    <row r="189" spans="1:33" ht="13.95" hidden="1" customHeight="1"/>
    <row r="190" spans="1:33" ht="13.95" hidden="1" customHeight="1"/>
    <row r="191" spans="1:33" ht="0" hidden="1" customHeight="1"/>
    <row r="192" spans="1:33" ht="0" hidden="1" customHeight="1"/>
    <row r="193" ht="0" hidden="1" customHeight="1"/>
    <row r="194" ht="0" hidden="1" customHeight="1"/>
    <row r="195" ht="0" hidden="1" customHeight="1"/>
    <row r="196" ht="0" hidden="1" customHeight="1"/>
    <row r="197" ht="0" hidden="1" customHeight="1"/>
    <row r="198" ht="0" hidden="1" customHeight="1"/>
    <row r="199" ht="0" hidden="1" customHeight="1"/>
    <row r="200" ht="13.95" hidden="1" customHeight="1"/>
    <row r="201" ht="13.95" hidden="1" customHeight="1"/>
    <row r="202" ht="13.95" hidden="1" customHeight="1"/>
    <row r="203" ht="13.95" hidden="1" customHeight="1"/>
    <row r="204" ht="13.95" hidden="1" customHeight="1"/>
    <row r="205" ht="13.95" hidden="1" customHeight="1"/>
    <row r="206" ht="13.95" hidden="1" customHeight="1"/>
    <row r="207" ht="0" hidden="1" customHeight="1"/>
    <row r="208" ht="0" hidden="1" customHeight="1"/>
    <row r="209" ht="0" hidden="1" customHeight="1"/>
    <row r="210" ht="0" hidden="1" customHeight="1"/>
    <row r="211" ht="0" hidden="1" customHeight="1"/>
    <row r="212" ht="0" hidden="1" customHeight="1"/>
    <row r="213" ht="0" hidden="1" customHeight="1"/>
    <row r="214" ht="0" hidden="1" customHeight="1"/>
    <row r="215" ht="0" hidden="1" customHeight="1"/>
    <row r="216" ht="0" hidden="1" customHeight="1"/>
    <row r="217" ht="0" hidden="1" customHeight="1"/>
    <row r="218" ht="0" hidden="1" customHeight="1"/>
    <row r="219" ht="0" hidden="1" customHeight="1"/>
    <row r="220" ht="0" hidden="1" customHeight="1"/>
    <row r="221" ht="0" hidden="1" customHeight="1"/>
    <row r="222" ht="0" hidden="1" customHeight="1"/>
    <row r="223" ht="0" hidden="1" customHeight="1"/>
    <row r="224" ht="0" hidden="1" customHeight="1"/>
    <row r="225" ht="0" hidden="1" customHeight="1"/>
    <row r="226" ht="0" hidden="1" customHeight="1"/>
    <row r="227" ht="0" hidden="1" customHeight="1"/>
  </sheetData>
  <mergeCells count="32">
    <mergeCell ref="Q82:Z82"/>
    <mergeCell ref="G8:G9"/>
    <mergeCell ref="J8:J9"/>
    <mergeCell ref="L8:L9"/>
    <mergeCell ref="H27:J27"/>
    <mergeCell ref="H28:J29"/>
    <mergeCell ref="Z29:Z32"/>
    <mergeCell ref="AA29:AA32"/>
    <mergeCell ref="H30:J30"/>
    <mergeCell ref="H33:J33"/>
    <mergeCell ref="H35:I35"/>
    <mergeCell ref="Q81:Z81"/>
    <mergeCell ref="Q96:Z96"/>
    <mergeCell ref="Q83:Z83"/>
    <mergeCell ref="Q84:Z84"/>
    <mergeCell ref="Q85:Z85"/>
    <mergeCell ref="Q86:Z86"/>
    <mergeCell ref="Q87:Z87"/>
    <mergeCell ref="Q88:AA88"/>
    <mergeCell ref="Q90:Z90"/>
    <mergeCell ref="Q91:AA91"/>
    <mergeCell ref="Q92:AA92"/>
    <mergeCell ref="Q93:Z93"/>
    <mergeCell ref="Q94:Z94"/>
    <mergeCell ref="Q103:Z103"/>
    <mergeCell ref="Q104:Z104"/>
    <mergeCell ref="Q97:Z97"/>
    <mergeCell ref="Q98:Z98"/>
    <mergeCell ref="Q99:Z99"/>
    <mergeCell ref="Q100:Z100"/>
    <mergeCell ref="Q101:Z101"/>
    <mergeCell ref="Q102:Z102"/>
  </mergeCells>
  <conditionalFormatting sqref="F46:G46 K46:M46">
    <cfRule type="timePeriod" dxfId="0" priority="1" timePeriod="lastMonth">
      <formula>AND(MONTH(F46)=MONTH(EDATE(TODAY(),0-1)),YEAR(F46)=YEAR(EDATE(TODAY(),0-1)))</formula>
    </cfRule>
  </conditionalFormatting>
  <pageMargins left="0.25" right="0.25" top="0.75" bottom="0.75" header="0.3" footer="0.3"/>
  <pageSetup paperSize="8" scale="4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AW926"/>
  <sheetViews>
    <sheetView showGridLines="0" zoomScale="40" zoomScaleNormal="40" workbookViewId="0">
      <selection activeCell="AE20" sqref="AE20"/>
    </sheetView>
  </sheetViews>
  <sheetFormatPr defaultColWidth="0" defaultRowHeight="0" customHeight="1" zeroHeight="1"/>
  <cols>
    <col min="1" max="1" width="2.109375" customWidth="1"/>
    <col min="2" max="2" width="4" customWidth="1"/>
    <col min="3" max="3" width="1.44140625" customWidth="1"/>
    <col min="4" max="4" width="3.109375" customWidth="1"/>
    <col min="5" max="5" width="49.88671875" customWidth="1"/>
    <col min="6" max="6" width="19" customWidth="1"/>
    <col min="7" max="7" width="32.44140625" customWidth="1"/>
    <col min="8" max="8" width="28.33203125" customWidth="1"/>
    <col min="9" max="9" width="22.109375" customWidth="1"/>
    <col min="10" max="10" width="8.109375" customWidth="1"/>
    <col min="11" max="11" width="7.6640625" style="1" customWidth="1"/>
    <col min="12" max="12" width="14.5546875" customWidth="1"/>
    <col min="13" max="13" width="19" customWidth="1"/>
    <col min="14" max="14" width="3.44140625" customWidth="1"/>
    <col min="15" max="15" width="19" customWidth="1"/>
    <col min="16" max="16" width="3.44140625" customWidth="1"/>
    <col min="17" max="17" width="19" customWidth="1"/>
    <col min="18" max="18" width="21.33203125" hidden="1" customWidth="1"/>
    <col min="19" max="21" width="17.33203125" hidden="1" customWidth="1"/>
    <col min="22" max="22" width="19.77734375" style="2" customWidth="1"/>
    <col min="23" max="23" width="7.109375" style="2" customWidth="1"/>
    <col min="24" max="24" width="3.44140625" style="2" customWidth="1"/>
    <col min="25" max="26" width="16.5546875" style="2" customWidth="1"/>
    <col min="27" max="27" width="22.88671875" style="2" customWidth="1"/>
    <col min="28" max="30" width="16.5546875" style="2" customWidth="1"/>
    <col min="31" max="31" width="16" style="2" customWidth="1"/>
    <col min="32" max="32" width="12.6640625" hidden="1" customWidth="1"/>
    <col min="33" max="33" width="37.44140625" hidden="1" customWidth="1"/>
    <col min="34" max="34" width="12.6640625" style="2" hidden="1" customWidth="1"/>
    <col min="35" max="35" width="22.109375" hidden="1" customWidth="1"/>
    <col min="36" max="36" width="25.6640625" hidden="1" customWidth="1"/>
    <col min="37" max="37" width="10.109375" hidden="1" customWidth="1"/>
    <col min="38" max="38" width="13.6640625" hidden="1" customWidth="1"/>
    <col min="39" max="39" width="65.5546875" hidden="1" customWidth="1"/>
    <col min="40" max="40" width="69.44140625" hidden="1" customWidth="1"/>
    <col min="41" max="45" width="12.6640625" hidden="1" customWidth="1"/>
    <col min="46" max="46" width="13.33203125" hidden="1" customWidth="1"/>
    <col min="47" max="49" width="12.6640625" hidden="1" customWidth="1"/>
    <col min="50" max="16384" width="10" hidden="1"/>
  </cols>
  <sheetData>
    <row r="1" spans="1:34" ht="16.2" customHeight="1"/>
    <row r="2" spans="1:34" ht="14.4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4.4">
      <c r="A3" s="6"/>
      <c r="B3" s="6"/>
      <c r="C3" s="6"/>
      <c r="D3" s="6"/>
      <c r="E3" s="7"/>
      <c r="F3" s="7"/>
      <c r="G3" s="7"/>
      <c r="H3" s="7"/>
      <c r="I3" s="7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4.4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3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6" customHeight="1">
      <c r="A6" s="2"/>
      <c r="B6" s="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4" hidden="1">
      <c r="A7" s="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24" customHeight="1">
      <c r="A8" s="2"/>
      <c r="B8" s="14"/>
      <c r="C8" s="15"/>
      <c r="D8" s="14" t="s">
        <v>410</v>
      </c>
      <c r="E8" s="15"/>
      <c r="F8" s="12"/>
      <c r="G8" s="306"/>
      <c r="H8" s="16"/>
      <c r="I8" s="16"/>
      <c r="J8" s="306"/>
      <c r="K8" s="16"/>
      <c r="L8" s="306"/>
      <c r="M8" s="15"/>
      <c r="N8" s="15"/>
      <c r="O8" s="15"/>
      <c r="P8" s="15"/>
      <c r="Q8" s="15"/>
      <c r="R8" s="15"/>
      <c r="S8" s="15"/>
      <c r="T8" s="15"/>
      <c r="U8" s="15"/>
      <c r="V8" s="12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33.6" hidden="1">
      <c r="A9" s="14"/>
      <c r="B9" s="15"/>
      <c r="C9" s="15"/>
      <c r="D9" s="15"/>
      <c r="E9" s="15"/>
      <c r="F9" s="17"/>
      <c r="G9" s="306"/>
      <c r="H9" s="16"/>
      <c r="I9" s="16"/>
      <c r="J9" s="306"/>
      <c r="K9" s="16"/>
      <c r="L9" s="306"/>
      <c r="M9" s="15"/>
      <c r="N9" s="15"/>
      <c r="O9" s="15"/>
      <c r="P9" s="15"/>
      <c r="Q9" s="15"/>
      <c r="R9" s="15"/>
      <c r="S9" s="15"/>
      <c r="T9" s="15"/>
      <c r="U9" s="15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26.4" hidden="1">
      <c r="A10" s="14"/>
      <c r="B10" s="15"/>
      <c r="C10" s="15"/>
      <c r="D10" s="15"/>
      <c r="E10" s="15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  <c r="S10" s="15"/>
      <c r="T10" s="15"/>
      <c r="U10" s="15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7.5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2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23.4" customHeight="1">
      <c r="A12" s="14"/>
      <c r="B12" s="15"/>
      <c r="C12" s="15"/>
      <c r="D12" s="15"/>
      <c r="E12" s="15"/>
      <c r="F12" s="15"/>
      <c r="G12" s="19"/>
      <c r="H12" s="19"/>
      <c r="I12" s="15"/>
      <c r="J12" s="15"/>
      <c r="K12" s="15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20"/>
      <c r="W12" s="13"/>
      <c r="X12" s="19"/>
      <c r="Y12" s="19"/>
      <c r="Z12" s="19"/>
      <c r="AA12" s="19"/>
      <c r="AB12" s="19"/>
      <c r="AC12" s="19"/>
      <c r="AD12" s="19"/>
      <c r="AE12" s="13"/>
      <c r="AF12" s="13"/>
      <c r="AG12" s="13"/>
      <c r="AH12" s="13"/>
    </row>
    <row r="13" spans="1:34" ht="26.4">
      <c r="A13" s="14"/>
      <c r="B13" s="21"/>
      <c r="C13" s="22"/>
      <c r="D13" s="23"/>
      <c r="E13" s="23"/>
      <c r="F13" s="23"/>
      <c r="G13" s="24"/>
      <c r="H13" s="24"/>
      <c r="I13" s="223"/>
      <c r="J13" s="25"/>
      <c r="K13" s="26"/>
      <c r="L13" s="24"/>
      <c r="M13" s="24"/>
      <c r="N13" s="24"/>
      <c r="O13" s="24"/>
      <c r="P13" s="24"/>
      <c r="Q13" s="24"/>
      <c r="R13" s="27"/>
      <c r="S13" s="27"/>
      <c r="T13" s="27"/>
      <c r="U13" s="27"/>
      <c r="V13" s="28"/>
      <c r="W13" s="29"/>
      <c r="X13" s="27"/>
      <c r="Y13" s="30"/>
      <c r="Z13" s="30"/>
      <c r="AA13" s="30"/>
      <c r="AB13" s="30"/>
      <c r="AC13" s="30"/>
      <c r="AD13" s="25"/>
      <c r="AE13" s="13"/>
      <c r="AF13" s="13"/>
      <c r="AG13" s="13"/>
      <c r="AH13" s="13"/>
    </row>
    <row r="14" spans="1:34" ht="27" thickBot="1">
      <c r="A14" s="14"/>
      <c r="B14" s="21"/>
      <c r="C14" s="27"/>
      <c r="D14" s="27"/>
      <c r="E14" s="27"/>
      <c r="F14" s="27"/>
      <c r="G14" s="24"/>
      <c r="H14" s="24"/>
      <c r="I14" s="24"/>
      <c r="J14" s="31"/>
      <c r="K14" s="26"/>
      <c r="L14" s="24"/>
      <c r="M14" s="24"/>
      <c r="N14" s="24"/>
      <c r="O14" s="24"/>
      <c r="P14" s="24"/>
      <c r="Q14" s="24"/>
      <c r="R14" s="27"/>
      <c r="S14" s="27"/>
      <c r="T14" s="27"/>
      <c r="U14" s="27"/>
      <c r="V14" s="32"/>
      <c r="W14" s="29"/>
      <c r="X14" s="30"/>
      <c r="Y14" s="33"/>
      <c r="Z14" s="33"/>
      <c r="AA14" s="33"/>
      <c r="AB14" s="33"/>
      <c r="AC14" s="33"/>
      <c r="AD14" s="31"/>
      <c r="AE14" s="13"/>
      <c r="AF14" s="13"/>
      <c r="AG14" s="13"/>
      <c r="AH14" s="13"/>
    </row>
    <row r="15" spans="1:34" ht="27" thickBot="1">
      <c r="A15" s="14"/>
      <c r="B15" s="21"/>
      <c r="C15" s="27"/>
      <c r="D15" s="27"/>
      <c r="E15" s="27"/>
      <c r="F15" s="27"/>
      <c r="G15" s="24"/>
      <c r="H15" s="24"/>
      <c r="I15" s="24"/>
      <c r="J15" s="31"/>
      <c r="K15" s="26"/>
      <c r="L15" s="24"/>
      <c r="M15" s="24"/>
      <c r="N15" s="24"/>
      <c r="O15" s="24"/>
      <c r="P15" s="24"/>
      <c r="Q15" s="24"/>
      <c r="R15" s="15"/>
      <c r="S15" s="15"/>
      <c r="T15" s="15"/>
      <c r="U15" s="15"/>
      <c r="V15" s="34"/>
      <c r="W15" s="29"/>
      <c r="X15"/>
      <c r="Y15" s="35"/>
      <c r="Z15" s="36"/>
      <c r="AA15" s="36"/>
      <c r="AB15" s="36"/>
      <c r="AC15" s="36"/>
      <c r="AD15" s="37"/>
      <c r="AE15" s="13"/>
      <c r="AF15" s="13"/>
      <c r="AG15" s="13"/>
      <c r="AH15" s="13"/>
    </row>
    <row r="16" spans="1:34" ht="33" thickTop="1">
      <c r="A16" s="14"/>
      <c r="B16" s="21"/>
      <c r="C16" s="27"/>
      <c r="D16" s="27"/>
      <c r="E16" s="27"/>
      <c r="F16" s="27"/>
      <c r="G16" s="24"/>
      <c r="H16" s="24"/>
      <c r="I16" s="24"/>
      <c r="J16" s="31"/>
      <c r="K16" s="26"/>
      <c r="L16" s="38"/>
      <c r="M16" s="39">
        <f>COUNTA(F42:F58)</f>
        <v>17</v>
      </c>
      <c r="O16" s="40">
        <f>COUNTA(F65:F104)</f>
        <v>38</v>
      </c>
      <c r="Q16" s="41">
        <f>COUNTA(F110:F260)</f>
        <v>151</v>
      </c>
      <c r="R16" s="15"/>
      <c r="S16" s="15"/>
      <c r="T16" s="15"/>
      <c r="U16" s="15"/>
      <c r="V16" s="34"/>
      <c r="W16" s="29"/>
      <c r="X16"/>
      <c r="Y16" s="42"/>
      <c r="Z16" s="42"/>
      <c r="AA16" s="42"/>
      <c r="AB16" s="42"/>
      <c r="AC16" s="42"/>
      <c r="AD16" s="37"/>
      <c r="AE16" s="13"/>
      <c r="AF16" s="13"/>
      <c r="AG16" s="13"/>
      <c r="AH16" s="13"/>
    </row>
    <row r="17" spans="1:34" ht="27" thickBot="1">
      <c r="A17" s="14"/>
      <c r="B17" s="21"/>
      <c r="C17" s="27"/>
      <c r="D17" s="27"/>
      <c r="E17" s="27"/>
      <c r="F17" s="27"/>
      <c r="G17" s="24"/>
      <c r="H17" s="24"/>
      <c r="I17" s="24"/>
      <c r="J17" s="31"/>
      <c r="K17" s="26"/>
      <c r="L17" s="38"/>
      <c r="M17" s="43" t="s">
        <v>1</v>
      </c>
      <c r="N17" s="44"/>
      <c r="O17" s="45" t="s">
        <v>2</v>
      </c>
      <c r="P17" s="44"/>
      <c r="Q17" s="46" t="s">
        <v>3</v>
      </c>
      <c r="R17" s="2"/>
      <c r="S17" s="2"/>
      <c r="T17" s="2"/>
      <c r="U17" s="2"/>
      <c r="V17" s="34"/>
      <c r="W17" s="29"/>
      <c r="X17"/>
      <c r="Y17" s="47"/>
      <c r="Z17" s="47"/>
      <c r="AA17" s="47"/>
      <c r="AB17" s="47"/>
      <c r="AC17" s="47"/>
      <c r="AD17" s="48"/>
      <c r="AE17" s="13"/>
      <c r="AF17" s="13"/>
      <c r="AG17" s="13"/>
      <c r="AH17" s="13"/>
    </row>
    <row r="18" spans="1:34" ht="27.6" thickTop="1" thickBot="1">
      <c r="A18" s="14"/>
      <c r="B18" s="21"/>
      <c r="C18" s="27"/>
      <c r="D18" s="27"/>
      <c r="E18" s="27"/>
      <c r="F18" s="27"/>
      <c r="G18" s="24"/>
      <c r="H18" s="24"/>
      <c r="I18" s="24"/>
      <c r="J18" s="31"/>
      <c r="K18" s="26"/>
      <c r="L18" s="49"/>
      <c r="M18" s="50"/>
      <c r="O18" s="51"/>
      <c r="Q18" s="52"/>
      <c r="R18" s="2"/>
      <c r="S18" s="2"/>
      <c r="T18" s="2"/>
      <c r="U18" s="2"/>
      <c r="V18" s="34"/>
      <c r="W18" s="29"/>
      <c r="X18"/>
      <c r="Y18" s="53"/>
      <c r="Z18" s="53"/>
      <c r="AA18" s="54"/>
      <c r="AB18" s="53"/>
      <c r="AC18" s="53"/>
      <c r="AD18" s="34"/>
      <c r="AE18" s="13"/>
      <c r="AF18" s="13"/>
      <c r="AG18" s="13"/>
      <c r="AH18" s="13"/>
    </row>
    <row r="19" spans="1:34" ht="27.6" thickTop="1" thickBot="1">
      <c r="A19" s="14"/>
      <c r="B19" s="21"/>
      <c r="C19" s="27"/>
      <c r="D19" s="27"/>
      <c r="E19" s="55"/>
      <c r="F19" s="27"/>
      <c r="G19" s="24"/>
      <c r="H19" s="24"/>
      <c r="I19" s="24"/>
      <c r="J19" s="31"/>
      <c r="K19" s="26"/>
      <c r="L19" s="56" t="s">
        <v>4</v>
      </c>
      <c r="M19" s="57">
        <f>M16-M20</f>
        <v>15</v>
      </c>
      <c r="N19" s="58"/>
      <c r="O19" s="59">
        <f>O16-O20</f>
        <v>-39</v>
      </c>
      <c r="P19" s="58"/>
      <c r="Q19" s="60">
        <f>Q16-Q20</f>
        <v>24</v>
      </c>
      <c r="R19" s="2"/>
      <c r="S19" s="2"/>
      <c r="T19" s="2"/>
      <c r="U19" s="2"/>
      <c r="V19" s="61"/>
      <c r="W19" s="29"/>
      <c r="X19"/>
      <c r="Y19" s="62"/>
      <c r="Z19" s="62"/>
      <c r="AA19" s="62"/>
      <c r="AB19" s="62"/>
      <c r="AC19" s="62"/>
      <c r="AD19" s="34"/>
      <c r="AE19" s="13"/>
      <c r="AF19" s="13"/>
      <c r="AG19" s="13"/>
      <c r="AH19" s="13"/>
    </row>
    <row r="20" spans="1:34" ht="27" thickTop="1">
      <c r="A20" s="14"/>
      <c r="B20" s="21"/>
      <c r="C20" s="63"/>
      <c r="D20" s="27"/>
      <c r="E20" s="27"/>
      <c r="F20" s="27"/>
      <c r="G20" s="24"/>
      <c r="H20" s="24"/>
      <c r="I20" s="24"/>
      <c r="J20" s="31"/>
      <c r="K20" s="26"/>
      <c r="L20" s="24"/>
      <c r="M20" s="64">
        <v>2</v>
      </c>
      <c r="N20" s="65"/>
      <c r="O20" s="66">
        <v>77</v>
      </c>
      <c r="P20" s="67">
        <v>103</v>
      </c>
      <c r="Q20" s="68">
        <v>127</v>
      </c>
      <c r="R20" s="2"/>
      <c r="S20" s="2"/>
      <c r="T20" s="2"/>
      <c r="U20" s="2"/>
      <c r="V20" s="34"/>
      <c r="W20" s="29"/>
      <c r="X20" s="30"/>
      <c r="Y20" s="33"/>
      <c r="Z20" s="33"/>
      <c r="AA20" s="33"/>
      <c r="AB20" s="33"/>
      <c r="AC20" s="33"/>
      <c r="AD20" s="31"/>
      <c r="AE20" s="13"/>
      <c r="AF20" s="13"/>
      <c r="AG20" s="13"/>
      <c r="AH20" s="13"/>
    </row>
    <row r="21" spans="1:34" ht="26.4">
      <c r="A21" s="14"/>
      <c r="B21" s="15"/>
      <c r="C21" s="63"/>
      <c r="D21" s="27"/>
      <c r="E21" s="27"/>
      <c r="F21" s="27"/>
      <c r="G21" s="24"/>
      <c r="H21" s="24"/>
      <c r="I21" s="24"/>
      <c r="J21" s="31"/>
      <c r="K21" s="26"/>
      <c r="L21" s="24"/>
      <c r="M21" s="24"/>
      <c r="N21" s="24"/>
      <c r="O21" s="24"/>
      <c r="P21" s="24"/>
      <c r="Q21" s="24"/>
      <c r="R21" s="27"/>
      <c r="S21" s="27"/>
      <c r="T21" s="27"/>
      <c r="U21" s="27"/>
      <c r="V21" s="32"/>
      <c r="W21" s="29"/>
      <c r="X21" s="30"/>
      <c r="Y21" s="33"/>
      <c r="Z21" s="33"/>
      <c r="AA21"/>
      <c r="AB21" s="33"/>
      <c r="AC21" s="33"/>
      <c r="AD21" s="31"/>
      <c r="AE21" s="13"/>
      <c r="AF21" s="13"/>
      <c r="AG21" s="13"/>
      <c r="AH21" s="13"/>
    </row>
    <row r="22" spans="1:34" ht="26.4">
      <c r="A22" s="14"/>
      <c r="B22" s="15"/>
      <c r="C22" s="69"/>
      <c r="D22" s="24"/>
      <c r="E22" s="24"/>
      <c r="F22" s="24"/>
      <c r="G22" s="24"/>
      <c r="H22" s="24"/>
      <c r="I22" s="24"/>
      <c r="J22" s="31"/>
      <c r="K22" s="26"/>
      <c r="L22" s="24"/>
      <c r="M22" s="24"/>
      <c r="N22" s="24"/>
      <c r="O22" s="24"/>
      <c r="P22" s="24"/>
      <c r="Q22" s="24"/>
      <c r="R22" s="15"/>
      <c r="S22" s="15"/>
      <c r="T22" s="15"/>
      <c r="U22" s="15"/>
      <c r="V22" s="34"/>
      <c r="W22" s="29"/>
      <c r="X22" s="30"/>
      <c r="Y22" s="30"/>
      <c r="Z22" s="30"/>
      <c r="AA22" s="30"/>
      <c r="AB22" s="30"/>
      <c r="AC22" s="30"/>
      <c r="AD22" s="70"/>
      <c r="AE22" s="13"/>
      <c r="AF22" s="13"/>
      <c r="AG22" s="13"/>
      <c r="AH22" s="13"/>
    </row>
    <row r="23" spans="1:34" ht="19.2" customHeight="1">
      <c r="A23" s="14"/>
      <c r="B23" s="26"/>
      <c r="C23" s="24"/>
      <c r="D23" s="71"/>
      <c r="E23" s="71"/>
      <c r="F23" s="71"/>
      <c r="G23" s="71"/>
      <c r="H23" s="71"/>
      <c r="I23" s="71"/>
      <c r="J23" s="72"/>
      <c r="K23" s="26"/>
      <c r="L23" s="71"/>
      <c r="M23" s="71"/>
      <c r="N23" s="71"/>
      <c r="O23" s="71"/>
      <c r="P23" s="71"/>
      <c r="Q23" s="71"/>
      <c r="R23" s="15"/>
      <c r="S23" s="15"/>
      <c r="T23" s="15"/>
      <c r="U23" s="15"/>
      <c r="V23" s="73"/>
      <c r="W23" s="29"/>
      <c r="X23" s="74"/>
      <c r="Y23" s="75"/>
      <c r="Z23" s="75"/>
      <c r="AA23" s="75"/>
      <c r="AB23" s="75"/>
      <c r="AC23" s="75"/>
      <c r="AD23" s="75"/>
      <c r="AE23" s="76"/>
      <c r="AF23" s="13"/>
      <c r="AG23" s="13"/>
      <c r="AH23" s="13"/>
    </row>
    <row r="24" spans="1:34" ht="10.8" customHeight="1">
      <c r="A24" s="14"/>
      <c r="B24" s="15"/>
      <c r="C24" s="77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ht="26.4">
      <c r="A25" s="14"/>
      <c r="B25" s="15"/>
      <c r="C25" s="1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5"/>
      <c r="S25" s="15"/>
      <c r="T25" s="15"/>
      <c r="U25" s="15"/>
      <c r="V25" s="19"/>
      <c r="W25" s="19"/>
      <c r="X25" s="19"/>
      <c r="Y25" s="19"/>
      <c r="Z25" s="19"/>
      <c r="AA25" s="19"/>
      <c r="AB25" s="19"/>
      <c r="AC25" s="19"/>
      <c r="AD25" s="19"/>
      <c r="AE25" s="13"/>
      <c r="AF25" s="13"/>
      <c r="AG25" s="13"/>
      <c r="AH25" s="13"/>
    </row>
    <row r="26" spans="1:34" ht="26.4">
      <c r="A26" s="14"/>
      <c r="B26" s="26"/>
      <c r="C26" s="78"/>
      <c r="D26" s="24"/>
      <c r="E26" s="24"/>
      <c r="F26" s="24"/>
      <c r="G26" s="24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30"/>
      <c r="Y26" s="30"/>
      <c r="Z26" s="30"/>
      <c r="AA26" s="30"/>
      <c r="AB26" s="30"/>
      <c r="AC26" s="30"/>
      <c r="AD26" s="80"/>
      <c r="AE26" s="13"/>
      <c r="AF26" s="13"/>
      <c r="AG26" s="13"/>
      <c r="AH26" s="13"/>
    </row>
    <row r="27" spans="1:34" ht="26.4">
      <c r="A27" s="14"/>
      <c r="B27" s="26"/>
      <c r="C27" s="24"/>
      <c r="D27" s="24"/>
      <c r="E27" s="81" t="s">
        <v>411</v>
      </c>
      <c r="F27" s="82" t="s">
        <v>7</v>
      </c>
      <c r="G27" s="82"/>
      <c r="H27" s="82" t="s">
        <v>8</v>
      </c>
      <c r="I27" s="79"/>
      <c r="J27" s="79"/>
      <c r="K27" s="79"/>
      <c r="L27" s="79"/>
      <c r="M27" s="79"/>
      <c r="N27" s="79"/>
      <c r="O27" s="81" t="s">
        <v>411</v>
      </c>
      <c r="P27" s="79"/>
      <c r="Q27" s="79"/>
      <c r="R27" s="79"/>
      <c r="S27" s="79"/>
      <c r="T27" s="79"/>
      <c r="U27" s="79"/>
      <c r="V27" s="81"/>
      <c r="W27" s="81" t="s">
        <v>7</v>
      </c>
      <c r="X27" s="30"/>
      <c r="Y27" s="81"/>
      <c r="Z27" s="225" t="s">
        <v>8</v>
      </c>
      <c r="AA27" s="224"/>
      <c r="AB27" s="284"/>
      <c r="AC27" s="225"/>
      <c r="AD27" s="83"/>
      <c r="AE27" s="13"/>
      <c r="AF27" s="13"/>
      <c r="AG27" s="13"/>
      <c r="AH27" s="13"/>
    </row>
    <row r="28" spans="1:34" ht="28.8" customHeight="1">
      <c r="A28" s="14"/>
      <c r="B28" s="26"/>
      <c r="C28" s="24"/>
      <c r="D28" s="24"/>
      <c r="E28" s="303" t="s">
        <v>10</v>
      </c>
      <c r="F28" s="302" t="s">
        <v>11</v>
      </c>
      <c r="G28" s="167"/>
      <c r="H28" s="319" t="s">
        <v>412</v>
      </c>
      <c r="I28" s="319"/>
      <c r="J28" s="319"/>
      <c r="K28" s="319"/>
      <c r="L28" s="319"/>
      <c r="M28" s="79"/>
      <c r="N28" s="79"/>
      <c r="O28" s="303" t="s">
        <v>17</v>
      </c>
      <c r="P28" s="303"/>
      <c r="Q28" s="303"/>
      <c r="R28" s="303"/>
      <c r="S28" s="303"/>
      <c r="T28" s="303"/>
      <c r="U28" s="303"/>
      <c r="V28" s="303"/>
      <c r="W28" s="316" t="s">
        <v>18</v>
      </c>
      <c r="X28" s="316"/>
      <c r="Y28" s="124"/>
      <c r="Z28" s="300"/>
      <c r="AA28" s="79"/>
      <c r="AB28" s="285"/>
      <c r="AC28" s="33"/>
      <c r="AD28" s="70"/>
      <c r="AE28" s="13"/>
      <c r="AF28" s="13"/>
      <c r="AG28" s="13"/>
      <c r="AH28" s="13"/>
    </row>
    <row r="29" spans="1:34" ht="25.8" customHeight="1">
      <c r="A29" s="13"/>
      <c r="B29" s="26"/>
      <c r="C29" s="24"/>
      <c r="D29" s="87"/>
      <c r="E29" s="302"/>
      <c r="F29" s="302"/>
      <c r="G29" s="167"/>
      <c r="H29" s="319"/>
      <c r="I29" s="319"/>
      <c r="J29" s="319"/>
      <c r="K29" s="319"/>
      <c r="L29" s="319"/>
      <c r="M29" s="79"/>
      <c r="N29" s="79"/>
      <c r="O29" s="303"/>
      <c r="P29" s="303"/>
      <c r="Q29" s="303"/>
      <c r="R29" s="303"/>
      <c r="S29" s="303"/>
      <c r="T29" s="303"/>
      <c r="U29" s="303"/>
      <c r="V29" s="303"/>
      <c r="W29" s="316"/>
      <c r="X29" s="316"/>
      <c r="Y29" s="124"/>
      <c r="Z29" s="300"/>
      <c r="AA29" s="79"/>
      <c r="AB29" s="286"/>
      <c r="AC29" s="317"/>
      <c r="AD29" s="32"/>
      <c r="AE29" s="13"/>
      <c r="AF29" s="13"/>
      <c r="AG29" s="13"/>
      <c r="AH29" s="13"/>
    </row>
    <row r="30" spans="1:34" ht="44.4" customHeight="1">
      <c r="A30" s="2"/>
      <c r="B30" s="90"/>
      <c r="C30" s="91"/>
      <c r="D30" s="62"/>
      <c r="E30" s="303" t="s">
        <v>19</v>
      </c>
      <c r="F30" s="302" t="s">
        <v>20</v>
      </c>
      <c r="G30" s="85"/>
      <c r="H30" s="318" t="s">
        <v>413</v>
      </c>
      <c r="I30" s="318"/>
      <c r="J30" s="318"/>
      <c r="K30" s="167"/>
      <c r="L30" s="124"/>
      <c r="M30" s="79"/>
      <c r="N30" s="79"/>
      <c r="O30" s="303" t="s">
        <v>21</v>
      </c>
      <c r="P30" s="303"/>
      <c r="Q30" s="303"/>
      <c r="R30" s="87"/>
      <c r="S30" s="79"/>
      <c r="T30" s="79"/>
      <c r="U30" s="79"/>
      <c r="V30" s="302"/>
      <c r="W30" s="316" t="s">
        <v>11</v>
      </c>
      <c r="X30" s="316"/>
      <c r="Y30" s="79"/>
      <c r="Z30" s="300"/>
      <c r="AA30" s="79"/>
      <c r="AB30" s="79"/>
      <c r="AC30" s="317"/>
      <c r="AD30" s="32"/>
      <c r="AF30" s="2"/>
      <c r="AG30" s="2"/>
    </row>
    <row r="31" spans="1:34" ht="20.399999999999999" customHeight="1">
      <c r="A31" s="2"/>
      <c r="B31" s="90"/>
      <c r="C31" s="62"/>
      <c r="D31" s="62"/>
      <c r="E31" s="303"/>
      <c r="F31" s="302"/>
      <c r="G31" s="85"/>
      <c r="H31" s="318"/>
      <c r="I31" s="318"/>
      <c r="J31" s="318"/>
      <c r="K31" s="87"/>
      <c r="L31" s="79"/>
      <c r="M31" s="79"/>
      <c r="N31" s="79"/>
      <c r="O31" s="303"/>
      <c r="P31" s="303"/>
      <c r="Q31" s="303"/>
      <c r="R31" s="87"/>
      <c r="S31" s="79"/>
      <c r="T31" s="79"/>
      <c r="U31" s="79"/>
      <c r="V31" s="302"/>
      <c r="W31" s="316"/>
      <c r="X31" s="316"/>
      <c r="Y31" s="79"/>
      <c r="Z31" s="300"/>
      <c r="AA31" s="79"/>
      <c r="AB31" s="79"/>
      <c r="AC31" s="317"/>
      <c r="AD31" s="32"/>
      <c r="AF31" s="2"/>
      <c r="AG31" s="2"/>
    </row>
    <row r="32" spans="1:34" ht="28.8" customHeight="1">
      <c r="A32" s="2"/>
      <c r="B32" s="90"/>
      <c r="C32" s="62"/>
      <c r="D32" s="62"/>
      <c r="E32" s="303" t="s">
        <v>24</v>
      </c>
      <c r="F32" s="302" t="s">
        <v>25</v>
      </c>
      <c r="G32" s="87"/>
      <c r="H32" s="311" t="s">
        <v>414</v>
      </c>
      <c r="I32" s="311"/>
      <c r="J32" s="311"/>
      <c r="K32" s="87"/>
      <c r="L32" s="79"/>
      <c r="M32" s="79"/>
      <c r="N32" s="79"/>
      <c r="O32" s="85"/>
      <c r="P32" s="85"/>
      <c r="Q32" s="88"/>
      <c r="R32" s="88"/>
      <c r="S32" s="79"/>
      <c r="T32" s="79"/>
      <c r="U32" s="79"/>
      <c r="V32" s="88"/>
      <c r="W32" s="79"/>
      <c r="X32"/>
      <c r="Y32" s="79"/>
      <c r="Z32" s="79"/>
      <c r="AA32" s="79"/>
      <c r="AB32" s="79"/>
      <c r="AC32" s="317"/>
      <c r="AD32" s="32"/>
      <c r="AF32" s="2"/>
      <c r="AG32" s="2"/>
    </row>
    <row r="33" spans="1:33" ht="38.4" customHeight="1">
      <c r="A33" s="2"/>
      <c r="B33" s="90"/>
      <c r="C33" s="62"/>
      <c r="D33" s="62"/>
      <c r="E33" s="303"/>
      <c r="F33" s="302"/>
      <c r="G33" s="24"/>
      <c r="H33" s="311"/>
      <c r="I33" s="311"/>
      <c r="J33" s="311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/>
      <c r="Y33" s="95"/>
      <c r="Z33" s="95"/>
      <c r="AA33" s="233"/>
      <c r="AB33" s="97"/>
      <c r="AC33" s="92"/>
      <c r="AD33" s="32"/>
      <c r="AF33" s="2"/>
      <c r="AG33" s="2"/>
    </row>
    <row r="34" spans="1:33" ht="28.8" customHeight="1">
      <c r="A34" s="2"/>
      <c r="B34" s="90"/>
      <c r="C34" s="62"/>
      <c r="D34" s="62"/>
      <c r="E34" s="87"/>
      <c r="F34" s="87"/>
      <c r="G34" s="24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/>
      <c r="Y34" s="95"/>
      <c r="Z34" s="95"/>
      <c r="AA34" s="233"/>
      <c r="AB34" s="97"/>
      <c r="AC34"/>
      <c r="AD34" s="32"/>
      <c r="AF34" s="2"/>
      <c r="AG34" s="2"/>
    </row>
    <row r="35" spans="1:33" ht="28.8" customHeight="1">
      <c r="A35" s="2"/>
      <c r="B35" s="90"/>
      <c r="C35" s="62"/>
      <c r="D35" s="62"/>
      <c r="E35" s="98"/>
      <c r="F35" s="44"/>
      <c r="G35" s="24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/>
      <c r="Y35" s="95"/>
      <c r="Z35" s="95"/>
      <c r="AA35" s="233"/>
      <c r="AB35" s="97"/>
      <c r="AC35"/>
      <c r="AD35" s="32"/>
      <c r="AF35" s="2"/>
      <c r="AG35" s="2"/>
    </row>
    <row r="36" spans="1:33" s="2" customFormat="1" ht="14.4" customHeight="1">
      <c r="B36" s="90"/>
      <c r="C36" s="99"/>
      <c r="D36" s="100"/>
      <c r="E36" s="101"/>
      <c r="F36" s="101"/>
      <c r="G36" s="102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/>
      <c r="Y36" s="103"/>
      <c r="Z36" s="103"/>
      <c r="AA36" s="104"/>
      <c r="AB36" s="105"/>
      <c r="AC36" s="104"/>
      <c r="AD36" s="106"/>
    </row>
    <row r="37" spans="1:33" s="2" customFormat="1" ht="11.4" customHeight="1"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5"/>
      <c r="S37" s="15"/>
      <c r="T37" s="15"/>
      <c r="U37" s="15"/>
      <c r="V37" s="107"/>
      <c r="W37" s="107"/>
      <c r="X37" s="107"/>
      <c r="Y37" s="108"/>
      <c r="Z37" s="107"/>
      <c r="AB37" s="107"/>
    </row>
    <row r="38" spans="1:33" s="2" customFormat="1" ht="21.6" customHeight="1">
      <c r="D38" s="109"/>
      <c r="K38" s="12"/>
      <c r="V38" s="20"/>
      <c r="W38" s="12"/>
      <c r="X38" s="20"/>
      <c r="Y38" s="110"/>
      <c r="Z38" s="110"/>
      <c r="AA38" s="20"/>
      <c r="AB38" s="20"/>
      <c r="AC38" s="20"/>
      <c r="AD38" s="20"/>
    </row>
    <row r="39" spans="1:33" s="2" customFormat="1" ht="19.2" customHeight="1">
      <c r="C39" s="111"/>
      <c r="D39" s="112"/>
      <c r="E39" s="113"/>
      <c r="F39" s="113"/>
      <c r="G39" s="114"/>
      <c r="H39" s="112"/>
      <c r="I39" s="112"/>
      <c r="J39" s="113"/>
      <c r="K39" s="112"/>
      <c r="L39" s="112"/>
      <c r="M39" s="112"/>
      <c r="N39" s="112"/>
      <c r="O39" s="112"/>
      <c r="P39" s="112"/>
      <c r="Q39" s="115"/>
      <c r="R39" s="112"/>
      <c r="S39" s="112"/>
      <c r="T39" s="112"/>
      <c r="U39" s="112"/>
      <c r="V39" s="1"/>
      <c r="W39" s="116"/>
      <c r="X39"/>
      <c r="Y39" s="115"/>
      <c r="Z39" s="115"/>
      <c r="AA39"/>
      <c r="AB39"/>
      <c r="AC39"/>
      <c r="AD39" s="28"/>
    </row>
    <row r="40" spans="1:33" s="2" customFormat="1" ht="17.399999999999999" customHeight="1">
      <c r="C40" s="117"/>
      <c r="D40" s="1"/>
      <c r="E40" s="119" t="s">
        <v>415</v>
      </c>
      <c r="F40" s="119" t="s">
        <v>36</v>
      </c>
      <c r="G40" s="119"/>
      <c r="H40" s="119" t="s">
        <v>37</v>
      </c>
      <c r="I40" s="119"/>
      <c r="J4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91"/>
      <c r="X40"/>
      <c r="Y40"/>
      <c r="Z40"/>
      <c r="AA40"/>
      <c r="AB40"/>
      <c r="AC40"/>
      <c r="AD40" s="32"/>
    </row>
    <row r="41" spans="1:33" s="2" customFormat="1" ht="15" customHeight="1">
      <c r="C41" s="117"/>
      <c r="D41" s="1"/>
      <c r="E41" s="1"/>
      <c r="F41" s="1"/>
      <c r="G41" s="1"/>
      <c r="H41" s="1"/>
      <c r="I41" s="1"/>
      <c r="J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91"/>
      <c r="X41"/>
      <c r="Y41"/>
      <c r="Z41"/>
      <c r="AA41"/>
      <c r="AB41"/>
      <c r="AC41"/>
      <c r="AD41" s="32"/>
    </row>
    <row r="42" spans="1:33" s="2" customFormat="1" ht="15" customHeight="1">
      <c r="C42" s="117"/>
      <c r="D42" s="1"/>
      <c r="E42" s="168" t="s">
        <v>65</v>
      </c>
      <c r="F42" s="168" t="s">
        <v>66</v>
      </c>
      <c r="G42" s="287"/>
      <c r="H42" s="288" t="str">
        <f>VLOOKUP(E42&amp;F42,'[1]MV+BI'!$E$8:$K$375,3,FALSE)</f>
        <v>Concluído</v>
      </c>
      <c r="I42" s="172"/>
      <c r="J4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91"/>
      <c r="X42"/>
      <c r="Y42"/>
      <c r="Z42"/>
      <c r="AA42"/>
      <c r="AB42"/>
      <c r="AC42"/>
      <c r="AD42" s="32"/>
    </row>
    <row r="43" spans="1:33" s="2" customFormat="1" ht="15" customHeight="1">
      <c r="C43" s="117"/>
      <c r="D43" s="1"/>
      <c r="E43" s="168" t="s">
        <v>65</v>
      </c>
      <c r="F43" s="168" t="s">
        <v>67</v>
      </c>
      <c r="G43" s="287"/>
      <c r="H43" s="288" t="str">
        <f>VLOOKUP(E43&amp;F43,'[1]MV+BI'!$E$8:$K$375,3,FALSE)</f>
        <v>Concluído</v>
      </c>
      <c r="I43" s="172"/>
      <c r="J4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91"/>
      <c r="X43"/>
      <c r="Y43"/>
      <c r="Z43"/>
      <c r="AA43"/>
      <c r="AB43"/>
      <c r="AC43"/>
      <c r="AD43" s="32"/>
    </row>
    <row r="44" spans="1:33" s="2" customFormat="1" ht="15" customHeight="1">
      <c r="C44" s="117"/>
      <c r="D44" s="1"/>
      <c r="E44" s="289" t="s">
        <v>68</v>
      </c>
      <c r="F44" s="289" t="s">
        <v>69</v>
      </c>
      <c r="G44" s="290"/>
      <c r="H44" s="291" t="str">
        <f>VLOOKUP(E44&amp;F44,'[1]MV+BI'!$E$8:$K$375,3,FALSE)</f>
        <v>Concluído</v>
      </c>
      <c r="I44" s="172"/>
      <c r="J4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91"/>
      <c r="X44"/>
      <c r="Y44"/>
      <c r="Z44"/>
      <c r="AA44"/>
      <c r="AB44"/>
      <c r="AC44"/>
      <c r="AD44" s="32"/>
    </row>
    <row r="45" spans="1:33" s="2" customFormat="1" ht="15" customHeight="1">
      <c r="C45" s="117"/>
      <c r="D45" s="1"/>
      <c r="E45" s="289" t="s">
        <v>68</v>
      </c>
      <c r="F45" s="289" t="s">
        <v>70</v>
      </c>
      <c r="G45" s="290"/>
      <c r="H45" s="291" t="str">
        <f>VLOOKUP(E45&amp;F45,'[1]MV+BI'!$E$8:$K$375,3,FALSE)</f>
        <v>Concluído</v>
      </c>
      <c r="I45" s="172"/>
      <c r="J4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91"/>
      <c r="X45"/>
      <c r="Y45"/>
      <c r="Z45"/>
      <c r="AA45"/>
      <c r="AB45"/>
      <c r="AC45"/>
      <c r="AD45" s="32"/>
    </row>
    <row r="46" spans="1:33" s="2" customFormat="1" ht="15" customHeight="1">
      <c r="C46" s="117"/>
      <c r="D46" s="1"/>
      <c r="E46" s="289" t="s">
        <v>68</v>
      </c>
      <c r="F46" s="289" t="s">
        <v>71</v>
      </c>
      <c r="G46" s="290"/>
      <c r="H46" s="291" t="str">
        <f>VLOOKUP(E46&amp;F46,'[1]MV+BI'!$E$8:$K$375,3,FALSE)</f>
        <v>Concluído</v>
      </c>
      <c r="I46" s="172"/>
      <c r="J4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91"/>
      <c r="X46"/>
      <c r="Y46"/>
      <c r="Z46"/>
      <c r="AA46"/>
      <c r="AB46"/>
      <c r="AC46"/>
      <c r="AD46" s="32"/>
    </row>
    <row r="47" spans="1:33" s="2" customFormat="1" ht="15" customHeight="1">
      <c r="C47" s="117"/>
      <c r="D47" s="1"/>
      <c r="E47" s="289" t="s">
        <v>68</v>
      </c>
      <c r="F47" s="289" t="s">
        <v>72</v>
      </c>
      <c r="G47" s="290"/>
      <c r="H47" s="291" t="str">
        <f>VLOOKUP(E47&amp;F47,'[1]MV+BI'!$E$8:$K$375,3,FALSE)</f>
        <v>Concluído</v>
      </c>
      <c r="I47" s="172"/>
      <c r="J4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91"/>
      <c r="X47"/>
      <c r="Y47"/>
      <c r="Z47"/>
      <c r="AA47"/>
      <c r="AB47"/>
      <c r="AC47"/>
      <c r="AD47" s="32"/>
    </row>
    <row r="48" spans="1:33" s="2" customFormat="1" ht="15" customHeight="1">
      <c r="C48" s="117"/>
      <c r="D48" s="1"/>
      <c r="E48" s="289" t="s">
        <v>68</v>
      </c>
      <c r="F48" s="289" t="s">
        <v>67</v>
      </c>
      <c r="G48" s="290"/>
      <c r="H48" s="291" t="str">
        <f>VLOOKUP(E48&amp;F48,'[1]MV+BI'!$E$8:$K$375,3,FALSE)</f>
        <v>Concluído</v>
      </c>
      <c r="I48" s="172"/>
      <c r="J4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91"/>
      <c r="X48"/>
      <c r="Y48"/>
      <c r="Z48"/>
      <c r="AA48"/>
      <c r="AB48"/>
      <c r="AC48"/>
      <c r="AD48" s="32"/>
    </row>
    <row r="49" spans="3:30" s="2" customFormat="1" ht="15" customHeight="1">
      <c r="C49" s="117"/>
      <c r="D49" s="1"/>
      <c r="E49" s="289" t="s">
        <v>68</v>
      </c>
      <c r="F49" s="289" t="s">
        <v>74</v>
      </c>
      <c r="G49" s="290"/>
      <c r="H49" s="291" t="str">
        <f>VLOOKUP(E49&amp;F49,'[1]MV+BI'!$E$8:$K$375,3,FALSE)</f>
        <v>Concluído</v>
      </c>
      <c r="I49" s="172"/>
      <c r="J4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91"/>
      <c r="X49"/>
      <c r="Y49"/>
      <c r="Z49"/>
      <c r="AA49"/>
      <c r="AB49"/>
      <c r="AC49"/>
      <c r="AD49" s="32"/>
    </row>
    <row r="50" spans="3:30" s="2" customFormat="1" ht="15" customHeight="1">
      <c r="C50" s="117"/>
      <c r="D50" s="1"/>
      <c r="E50" s="289" t="s">
        <v>68</v>
      </c>
      <c r="F50" s="289" t="s">
        <v>73</v>
      </c>
      <c r="G50" s="290"/>
      <c r="H50" s="291" t="str">
        <f>VLOOKUP(E50&amp;F50,'[1]MV+BI'!$E$8:$K$375,3,FALSE)</f>
        <v>Concluído</v>
      </c>
      <c r="I50" s="172"/>
      <c r="J5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91"/>
      <c r="X50"/>
      <c r="Y50"/>
      <c r="Z50"/>
      <c r="AA50"/>
      <c r="AB50"/>
      <c r="AC50"/>
      <c r="AD50" s="32"/>
    </row>
    <row r="51" spans="3:30" s="2" customFormat="1" ht="15" customHeight="1">
      <c r="C51" s="117"/>
      <c r="D51" s="1"/>
      <c r="E51" s="289" t="s">
        <v>75</v>
      </c>
      <c r="F51" s="289" t="s">
        <v>69</v>
      </c>
      <c r="G51" s="290"/>
      <c r="H51" s="291" t="str">
        <f>VLOOKUP(E51&amp;F51,'[1]MV+BI'!$E$8:$K$375,3,FALSE)</f>
        <v>Concluído</v>
      </c>
      <c r="I51" s="172"/>
      <c r="J5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91"/>
      <c r="X51"/>
      <c r="Y51"/>
      <c r="Z51"/>
      <c r="AA51"/>
      <c r="AB51"/>
      <c r="AC51"/>
      <c r="AD51" s="32"/>
    </row>
    <row r="52" spans="3:30" s="2" customFormat="1" ht="15" customHeight="1">
      <c r="C52" s="117"/>
      <c r="D52" s="1"/>
      <c r="E52" s="289" t="s">
        <v>75</v>
      </c>
      <c r="F52" s="289" t="s">
        <v>70</v>
      </c>
      <c r="G52" s="290"/>
      <c r="H52" s="291" t="str">
        <f>VLOOKUP(E52&amp;F52,'[1]MV+BI'!$E$8:$K$375,3,FALSE)</f>
        <v>Concluído</v>
      </c>
      <c r="I52" s="172"/>
      <c r="J5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91"/>
      <c r="X52"/>
      <c r="Y52"/>
      <c r="Z52"/>
      <c r="AA52"/>
      <c r="AB52"/>
      <c r="AC52"/>
      <c r="AD52" s="32"/>
    </row>
    <row r="53" spans="3:30" s="2" customFormat="1" ht="15" customHeight="1">
      <c r="C53" s="117"/>
      <c r="D53" s="1"/>
      <c r="E53" s="289" t="s">
        <v>75</v>
      </c>
      <c r="F53" s="289" t="s">
        <v>71</v>
      </c>
      <c r="G53" s="290"/>
      <c r="H53" s="291" t="str">
        <f>VLOOKUP(E53&amp;F53,'[1]MV+BI'!$E$8:$K$375,3,FALSE)</f>
        <v>Concluído</v>
      </c>
      <c r="I53" s="172"/>
      <c r="J5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91"/>
      <c r="X53"/>
      <c r="Y53"/>
      <c r="Z53"/>
      <c r="AA53"/>
      <c r="AB53"/>
      <c r="AC53"/>
      <c r="AD53" s="32"/>
    </row>
    <row r="54" spans="3:30" s="2" customFormat="1" ht="15" customHeight="1">
      <c r="C54" s="117"/>
      <c r="D54" s="1"/>
      <c r="E54" s="289" t="s">
        <v>75</v>
      </c>
      <c r="F54" s="289" t="s">
        <v>72</v>
      </c>
      <c r="G54" s="290"/>
      <c r="H54" s="291" t="str">
        <f>VLOOKUP(E54&amp;F54,'[1]MV+BI'!$E$8:$K$375,3,FALSE)</f>
        <v>Concluído</v>
      </c>
      <c r="I54" s="172"/>
      <c r="J5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91"/>
      <c r="X54"/>
      <c r="Y54"/>
      <c r="Z54"/>
      <c r="AA54"/>
      <c r="AB54"/>
      <c r="AC54"/>
      <c r="AD54" s="32"/>
    </row>
    <row r="55" spans="3:30" s="2" customFormat="1" ht="15" customHeight="1">
      <c r="C55" s="117"/>
      <c r="D55" s="1"/>
      <c r="E55" s="289" t="s">
        <v>75</v>
      </c>
      <c r="F55" s="289" t="s">
        <v>67</v>
      </c>
      <c r="G55" s="290"/>
      <c r="H55" s="291" t="str">
        <f>VLOOKUP(E55&amp;F55,'[1]MV+BI'!$E$8:$K$375,3,FALSE)</f>
        <v>Concluído</v>
      </c>
      <c r="I55" s="172"/>
      <c r="J5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91"/>
      <c r="X55"/>
      <c r="Y55"/>
      <c r="Z55"/>
      <c r="AA55"/>
      <c r="AB55"/>
      <c r="AC55"/>
      <c r="AD55" s="32"/>
    </row>
    <row r="56" spans="3:30" s="2" customFormat="1" ht="15" customHeight="1">
      <c r="C56" s="117"/>
      <c r="D56" s="1"/>
      <c r="E56" s="289" t="s">
        <v>75</v>
      </c>
      <c r="F56" s="289" t="s">
        <v>76</v>
      </c>
      <c r="G56" s="290"/>
      <c r="H56" s="291" t="str">
        <f>VLOOKUP(E56&amp;F56,'[1]MV+BI'!$E$8:$K$375,3,FALSE)</f>
        <v>Concluído</v>
      </c>
      <c r="I56" s="172"/>
      <c r="J5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91"/>
      <c r="X56"/>
      <c r="Y56"/>
      <c r="Z56"/>
      <c r="AA56"/>
      <c r="AB56"/>
      <c r="AC56"/>
      <c r="AD56" s="32"/>
    </row>
    <row r="57" spans="3:30" s="2" customFormat="1" ht="15" customHeight="1">
      <c r="C57" s="117"/>
      <c r="D57" s="1"/>
      <c r="E57" s="289" t="s">
        <v>75</v>
      </c>
      <c r="F57" s="289" t="s">
        <v>77</v>
      </c>
      <c r="G57" s="290"/>
      <c r="H57" s="291" t="str">
        <f>VLOOKUP(E57&amp;F57,'[1]MV+BI'!$E$8:$K$375,3,FALSE)</f>
        <v>Concluído</v>
      </c>
      <c r="I57" s="172"/>
      <c r="J5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91"/>
      <c r="X57"/>
      <c r="Y57"/>
      <c r="Z57"/>
      <c r="AA57"/>
      <c r="AB57"/>
      <c r="AC57"/>
      <c r="AD57" s="32"/>
    </row>
    <row r="58" spans="3:30" s="2" customFormat="1" ht="15" customHeight="1">
      <c r="C58" s="117"/>
      <c r="D58" s="1"/>
      <c r="E58" s="289" t="s">
        <v>75</v>
      </c>
      <c r="F58" s="289" t="s">
        <v>78</v>
      </c>
      <c r="G58" s="290"/>
      <c r="H58" s="291" t="str">
        <f>VLOOKUP(E58&amp;F58,'[1]MV+BI'!$E$8:$K$375,3,FALSE)</f>
        <v>Concluído</v>
      </c>
      <c r="I58" s="172"/>
      <c r="J5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91"/>
      <c r="X58"/>
      <c r="Y58"/>
      <c r="Z58"/>
      <c r="AA58"/>
      <c r="AB58"/>
      <c r="AC58"/>
      <c r="AD58" s="32"/>
    </row>
    <row r="59" spans="3:30" s="2" customFormat="1" ht="15" customHeight="1">
      <c r="C59" s="130"/>
      <c r="D59" s="131"/>
      <c r="E59" s="132"/>
      <c r="F59" s="133"/>
      <c r="G59" s="133"/>
      <c r="H59" s="133"/>
      <c r="I59" s="133"/>
      <c r="J59" s="133"/>
      <c r="K59" s="101"/>
      <c r="L59" s="134"/>
      <c r="M59" s="133"/>
      <c r="N59" s="133"/>
      <c r="O59" s="133"/>
      <c r="P59" s="133"/>
      <c r="Q59" s="133"/>
      <c r="R59" s="133"/>
      <c r="S59" s="133"/>
      <c r="T59" s="133"/>
      <c r="U59" s="133"/>
      <c r="V59" s="1"/>
      <c r="W59" s="100"/>
      <c r="X59" s="104"/>
      <c r="Y59" s="104"/>
      <c r="Z59" s="104"/>
      <c r="AA59" s="104"/>
      <c r="AB59" s="104"/>
      <c r="AC59" s="104"/>
      <c r="AD59" s="106"/>
    </row>
    <row r="60" spans="3:30" s="2" customFormat="1" ht="7.2" customHeight="1">
      <c r="K60" s="12"/>
      <c r="V60" s="107"/>
      <c r="W60" s="12"/>
    </row>
    <row r="61" spans="3:30" s="2" customFormat="1" ht="15" customHeight="1">
      <c r="K61" s="12"/>
      <c r="V61" s="12"/>
      <c r="W61" s="12"/>
    </row>
    <row r="62" spans="3:30" s="2" customFormat="1" ht="15" customHeight="1">
      <c r="D62" s="109"/>
      <c r="K62" s="12"/>
      <c r="V62" s="20"/>
      <c r="W62" s="20"/>
      <c r="X62" s="20"/>
      <c r="Y62" s="20"/>
      <c r="Z62" s="20"/>
      <c r="AA62" s="20"/>
      <c r="AB62" s="20"/>
      <c r="AC62" s="20"/>
      <c r="AD62" s="20"/>
    </row>
    <row r="63" spans="3:30" s="2" customFormat="1" ht="16.8" customHeight="1">
      <c r="C63" s="135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5"/>
      <c r="R63" s="1"/>
      <c r="S63" s="1"/>
      <c r="T63" s="1"/>
      <c r="U63" s="1"/>
      <c r="V63" s="1"/>
      <c r="W63" s="1"/>
      <c r="X63"/>
      <c r="Y63"/>
      <c r="Z63"/>
      <c r="AA63"/>
      <c r="AB63"/>
      <c r="AC63"/>
      <c r="AD63" s="28"/>
    </row>
    <row r="64" spans="3:30" s="2" customFormat="1" ht="15" customHeight="1">
      <c r="C64" s="136"/>
      <c r="D64" s="137"/>
      <c r="E64" s="138" t="s">
        <v>415</v>
      </c>
      <c r="F64" s="138" t="s">
        <v>36</v>
      </c>
      <c r="G64" s="138"/>
      <c r="H64" s="139" t="s">
        <v>37</v>
      </c>
      <c r="I64" s="138" t="s">
        <v>79</v>
      </c>
      <c r="J64" s="140"/>
      <c r="K64" s="138" t="s">
        <v>80</v>
      </c>
      <c r="L64" s="138"/>
      <c r="M64" s="138"/>
      <c r="N64" s="119"/>
      <c r="O64" s="91"/>
      <c r="P64" s="91"/>
      <c r="Q64" s="91"/>
      <c r="R64" s="91"/>
      <c r="S64" s="91"/>
      <c r="T64" s="91"/>
      <c r="U64" s="1"/>
      <c r="V64" s="1"/>
      <c r="W64" s="1"/>
      <c r="X64"/>
      <c r="Y64"/>
      <c r="Z64"/>
      <c r="AA64"/>
      <c r="AB64"/>
      <c r="AC64"/>
      <c r="AD64" s="32"/>
    </row>
    <row r="65" spans="3:30" s="2" customFormat="1" ht="15" customHeight="1">
      <c r="C65" s="136"/>
      <c r="D65" s="137"/>
      <c r="E65" s="141"/>
      <c r="F65" s="141"/>
      <c r="G65" s="138"/>
      <c r="H65" s="138"/>
      <c r="I65" s="138"/>
      <c r="J65" s="140"/>
      <c r="K65" s="138"/>
      <c r="L65" s="138"/>
      <c r="M65" s="138"/>
      <c r="N65" s="119"/>
      <c r="O65" s="91"/>
      <c r="P65" s="91"/>
      <c r="Q65" s="91"/>
      <c r="R65" s="91"/>
      <c r="S65" s="91"/>
      <c r="T65" s="91"/>
      <c r="U65" s="1"/>
      <c r="V65" s="1"/>
      <c r="W65" s="1"/>
      <c r="X65"/>
      <c r="Y65"/>
      <c r="Z65"/>
      <c r="AA65"/>
      <c r="AB65"/>
      <c r="AC65"/>
      <c r="AD65" s="32"/>
    </row>
    <row r="66" spans="3:30" s="2" customFormat="1" ht="15" customHeight="1">
      <c r="C66" s="136"/>
      <c r="D66" s="137"/>
      <c r="E66" s="168" t="s">
        <v>83</v>
      </c>
      <c r="F66" s="168" t="s">
        <v>84</v>
      </c>
      <c r="G66" s="287"/>
      <c r="H66" s="292" t="str">
        <f>VLOOKUP(E66&amp;F66,'[1]MV+BI'!$E$8:$K$375,3,FALSE)</f>
        <v>Em Teste</v>
      </c>
      <c r="I66" s="172">
        <f>VLOOKUP(E66&amp;F66,'[1]MV+BI'!$E$8:$K$375,7,FALSE)</f>
        <v>45527</v>
      </c>
      <c r="J66" s="140"/>
      <c r="K66" s="138"/>
      <c r="L66" s="138"/>
      <c r="M66" s="138"/>
      <c r="N66" s="119"/>
      <c r="O66" s="91"/>
      <c r="P66" s="91"/>
      <c r="Q66" s="91"/>
      <c r="R66" s="91"/>
      <c r="S66" s="91"/>
      <c r="T66" s="91"/>
      <c r="U66" s="1"/>
      <c r="V66" s="1"/>
      <c r="W66" s="1"/>
      <c r="X66"/>
      <c r="Y66"/>
      <c r="Z66"/>
      <c r="AA66"/>
      <c r="AB66"/>
      <c r="AC66"/>
      <c r="AD66" s="32"/>
    </row>
    <row r="67" spans="3:30" s="2" customFormat="1" ht="15" customHeight="1">
      <c r="C67" s="136"/>
      <c r="D67" s="137"/>
      <c r="E67" s="168" t="s">
        <v>83</v>
      </c>
      <c r="F67" s="168" t="s">
        <v>85</v>
      </c>
      <c r="G67" s="287"/>
      <c r="H67" s="292" t="str">
        <f>VLOOKUP(E67&amp;F67,'[1]MV+BI'!$E$8:$K$375,3,FALSE)</f>
        <v>Em Teste</v>
      </c>
      <c r="I67" s="172">
        <f>VLOOKUP(E67&amp;F67,'[1]MV+BI'!$E$8:$K$375,7,FALSE)</f>
        <v>45527</v>
      </c>
      <c r="J67" s="140"/>
      <c r="K67" s="138"/>
      <c r="L67" s="138"/>
      <c r="M67" s="138"/>
      <c r="N67" s="119"/>
      <c r="O67" s="91"/>
      <c r="P67" s="91"/>
      <c r="Q67" s="91"/>
      <c r="R67" s="91"/>
      <c r="S67" s="91"/>
      <c r="T67" s="91"/>
      <c r="U67" s="1"/>
      <c r="V67" s="1"/>
      <c r="W67" s="1"/>
      <c r="X67"/>
      <c r="Y67"/>
      <c r="Z67"/>
      <c r="AA67"/>
      <c r="AB67"/>
      <c r="AC67"/>
      <c r="AD67" s="32"/>
    </row>
    <row r="68" spans="3:30" s="2" customFormat="1" ht="15" customHeight="1">
      <c r="C68" s="136"/>
      <c r="D68" s="137"/>
      <c r="E68" s="168" t="s">
        <v>83</v>
      </c>
      <c r="F68" s="168" t="s">
        <v>86</v>
      </c>
      <c r="G68" s="287"/>
      <c r="H68" s="292" t="str">
        <f>VLOOKUP(E68&amp;F68,'[1]MV+BI'!$E$8:$K$375,3,FALSE)</f>
        <v>Em Teste</v>
      </c>
      <c r="I68" s="172">
        <f>VLOOKUP(E68&amp;F68,'[1]MV+BI'!$E$8:$K$375,7,FALSE)</f>
        <v>45527</v>
      </c>
      <c r="J68" s="140"/>
      <c r="K68" s="138"/>
      <c r="L68" s="138"/>
      <c r="M68" s="138"/>
      <c r="N68" s="119"/>
      <c r="O68" s="91"/>
      <c r="P68" s="91"/>
      <c r="Q68" s="91"/>
      <c r="R68" s="91"/>
      <c r="S68" s="91"/>
      <c r="T68" s="91"/>
      <c r="U68" s="1"/>
      <c r="V68" s="1"/>
      <c r="W68" s="1"/>
      <c r="X68"/>
      <c r="Y68"/>
      <c r="Z68"/>
      <c r="AA68"/>
      <c r="AB68"/>
      <c r="AC68"/>
      <c r="AD68" s="32"/>
    </row>
    <row r="69" spans="3:30" s="2" customFormat="1" ht="15" customHeight="1">
      <c r="C69" s="136"/>
      <c r="D69" s="137"/>
      <c r="E69" s="168" t="s">
        <v>83</v>
      </c>
      <c r="F69" s="168" t="s">
        <v>87</v>
      </c>
      <c r="G69" s="287"/>
      <c r="H69" s="292" t="str">
        <f>VLOOKUP(E69&amp;F69,'[1]MV+BI'!$E$8:$K$375,3,FALSE)</f>
        <v>Em Teste</v>
      </c>
      <c r="I69" s="172">
        <f>VLOOKUP(E69&amp;F69,'[1]MV+BI'!$E$8:$K$375,7,FALSE)</f>
        <v>45527</v>
      </c>
      <c r="J69" s="140"/>
      <c r="K69" s="138"/>
      <c r="L69" s="138"/>
      <c r="M69" s="138"/>
      <c r="N69" s="119"/>
      <c r="O69" s="91"/>
      <c r="P69" s="91"/>
      <c r="Q69" s="91"/>
      <c r="R69" s="91"/>
      <c r="S69" s="91"/>
      <c r="T69" s="91"/>
      <c r="U69" s="1"/>
      <c r="V69" s="1"/>
      <c r="W69" s="1"/>
      <c r="X69"/>
      <c r="Y69"/>
      <c r="Z69"/>
      <c r="AA69"/>
      <c r="AB69"/>
      <c r="AC69"/>
      <c r="AD69" s="32"/>
    </row>
    <row r="70" spans="3:30" s="2" customFormat="1" ht="15" customHeight="1">
      <c r="C70" s="136"/>
      <c r="D70" s="137"/>
      <c r="E70" s="168" t="s">
        <v>83</v>
      </c>
      <c r="F70" s="168" t="s">
        <v>67</v>
      </c>
      <c r="G70" s="287"/>
      <c r="H70" s="292" t="str">
        <f>VLOOKUP(E70&amp;F70,'[1]MV+BI'!$E$8:$K$375,3,FALSE)</f>
        <v>Em Teste</v>
      </c>
      <c r="I70" s="172">
        <f>VLOOKUP(E70&amp;F70,'[1]MV+BI'!$E$8:$K$375,7,FALSE)</f>
        <v>45527</v>
      </c>
      <c r="J70" s="140"/>
      <c r="K70" s="138"/>
      <c r="L70" s="138"/>
      <c r="M70" s="138"/>
      <c r="N70" s="119"/>
      <c r="O70" s="91"/>
      <c r="P70" s="91"/>
      <c r="Q70" s="91"/>
      <c r="R70" s="91"/>
      <c r="S70" s="91"/>
      <c r="T70" s="91"/>
      <c r="U70" s="1"/>
      <c r="V70" s="1"/>
      <c r="W70" s="1"/>
      <c r="X70"/>
      <c r="Y70"/>
      <c r="Z70"/>
      <c r="AA70"/>
      <c r="AB70"/>
      <c r="AC70"/>
      <c r="AD70" s="32"/>
    </row>
    <row r="71" spans="3:30" s="2" customFormat="1" ht="15" customHeight="1">
      <c r="C71" s="136"/>
      <c r="D71" s="137"/>
      <c r="E71" s="168" t="s">
        <v>83</v>
      </c>
      <c r="F71" s="168" t="s">
        <v>88</v>
      </c>
      <c r="G71" s="287"/>
      <c r="H71" s="292" t="str">
        <f>VLOOKUP(E71&amp;F71,'[1]MV+BI'!$E$8:$K$375,3,FALSE)</f>
        <v>Em Teste</v>
      </c>
      <c r="I71" s="172">
        <f>VLOOKUP(E71&amp;F71,'[1]MV+BI'!$E$8:$K$375,7,FALSE)</f>
        <v>45527</v>
      </c>
      <c r="J71" s="140"/>
      <c r="K71" s="138"/>
      <c r="L71" s="138"/>
      <c r="M71" s="138"/>
      <c r="N71" s="119"/>
      <c r="O71" s="91"/>
      <c r="P71" s="91"/>
      <c r="Q71" s="91"/>
      <c r="R71" s="91"/>
      <c r="S71" s="91"/>
      <c r="T71" s="91"/>
      <c r="U71" s="1"/>
      <c r="V71" s="1"/>
      <c r="W71" s="1"/>
      <c r="X71"/>
      <c r="Y71"/>
      <c r="Z71"/>
      <c r="AA71"/>
      <c r="AB71"/>
      <c r="AC71"/>
      <c r="AD71" s="32"/>
    </row>
    <row r="72" spans="3:30" s="2" customFormat="1" ht="15" customHeight="1">
      <c r="C72" s="136"/>
      <c r="D72" s="137"/>
      <c r="E72" s="168" t="s">
        <v>83</v>
      </c>
      <c r="F72" s="168" t="s">
        <v>89</v>
      </c>
      <c r="G72" s="287"/>
      <c r="H72" s="292" t="str">
        <f>VLOOKUP(E72&amp;F72,'[1]MV+BI'!$E$8:$K$375,3,FALSE)</f>
        <v>Em Teste</v>
      </c>
      <c r="I72" s="172">
        <f>VLOOKUP(E72&amp;F72,'[1]MV+BI'!$E$8:$K$375,7,FALSE)</f>
        <v>45527</v>
      </c>
      <c r="J72" s="140"/>
      <c r="K72" s="138"/>
      <c r="L72" s="138"/>
      <c r="M72" s="138"/>
      <c r="N72" s="119"/>
      <c r="O72" s="91"/>
      <c r="P72" s="91"/>
      <c r="Q72" s="91"/>
      <c r="R72" s="91"/>
      <c r="S72" s="91"/>
      <c r="T72" s="91"/>
      <c r="U72" s="1"/>
      <c r="V72" s="1"/>
      <c r="W72" s="1"/>
      <c r="X72"/>
      <c r="Y72"/>
      <c r="Z72"/>
      <c r="AA72"/>
      <c r="AB72"/>
      <c r="AC72"/>
      <c r="AD72" s="32"/>
    </row>
    <row r="73" spans="3:30" s="2" customFormat="1" ht="15" customHeight="1">
      <c r="C73" s="136"/>
      <c r="D73" s="137"/>
      <c r="E73" s="168" t="s">
        <v>83</v>
      </c>
      <c r="F73" s="168" t="s">
        <v>90</v>
      </c>
      <c r="G73" s="287"/>
      <c r="H73" s="292" t="str">
        <f>VLOOKUP(E73&amp;F73,'[1]MV+BI'!$E$8:$K$375,3,FALSE)</f>
        <v>Em Teste</v>
      </c>
      <c r="I73" s="172">
        <f>VLOOKUP(E73&amp;F73,'[1]MV+BI'!$E$8:$K$375,7,FALSE)</f>
        <v>45527</v>
      </c>
      <c r="J73" s="140"/>
      <c r="K73" s="138"/>
      <c r="L73" s="138"/>
      <c r="M73" s="138"/>
      <c r="N73" s="119"/>
      <c r="O73" s="91"/>
      <c r="P73" s="91"/>
      <c r="Q73" s="91"/>
      <c r="R73" s="91"/>
      <c r="S73" s="91"/>
      <c r="T73" s="91"/>
      <c r="U73" s="1"/>
      <c r="V73" s="1"/>
      <c r="W73" s="1"/>
      <c r="X73"/>
      <c r="Y73"/>
      <c r="Z73"/>
      <c r="AA73"/>
      <c r="AB73"/>
      <c r="AC73"/>
      <c r="AD73" s="32"/>
    </row>
    <row r="74" spans="3:30" s="2" customFormat="1" ht="15" customHeight="1">
      <c r="C74" s="136"/>
      <c r="D74" s="137"/>
      <c r="E74" s="168" t="s">
        <v>83</v>
      </c>
      <c r="F74" s="168" t="s">
        <v>91</v>
      </c>
      <c r="G74" s="287"/>
      <c r="H74" s="292" t="str">
        <f>VLOOKUP(E74&amp;F74,'[1]MV+BI'!$E$8:$K$375,3,FALSE)</f>
        <v>Em Teste</v>
      </c>
      <c r="I74" s="172">
        <f>VLOOKUP(E74&amp;F74,'[1]MV+BI'!$E$8:$K$375,7,FALSE)</f>
        <v>45527</v>
      </c>
      <c r="J74" s="140"/>
      <c r="K74" s="138"/>
      <c r="L74" s="138"/>
      <c r="M74" s="138"/>
      <c r="N74" s="119"/>
      <c r="O74" s="91"/>
      <c r="P74" s="91"/>
      <c r="Q74" s="91"/>
      <c r="R74" s="91"/>
      <c r="S74" s="91"/>
      <c r="T74" s="91"/>
      <c r="U74" s="1"/>
      <c r="V74" s="1"/>
      <c r="W74" s="1"/>
      <c r="X74"/>
      <c r="Y74"/>
      <c r="Z74"/>
      <c r="AA74"/>
      <c r="AB74"/>
      <c r="AC74"/>
      <c r="AD74" s="32"/>
    </row>
    <row r="75" spans="3:30" s="2" customFormat="1" ht="15" customHeight="1">
      <c r="C75" s="136"/>
      <c r="D75" s="137"/>
      <c r="E75" s="168" t="s">
        <v>83</v>
      </c>
      <c r="F75" s="168" t="s">
        <v>92</v>
      </c>
      <c r="G75" s="287"/>
      <c r="H75" s="292" t="str">
        <f>VLOOKUP(E75&amp;F75,'[1]MV+BI'!$E$8:$K$375,3,FALSE)</f>
        <v>Em Teste</v>
      </c>
      <c r="I75" s="172">
        <f>VLOOKUP(E75&amp;F75,'[1]MV+BI'!$E$8:$K$375,7,FALSE)</f>
        <v>45527</v>
      </c>
      <c r="J75" s="140"/>
      <c r="K75" s="138"/>
      <c r="L75" s="138"/>
      <c r="M75" s="138"/>
      <c r="N75" s="119"/>
      <c r="O75" s="91"/>
      <c r="P75" s="91"/>
      <c r="Q75" s="91"/>
      <c r="R75" s="91"/>
      <c r="S75" s="91"/>
      <c r="T75" s="91"/>
      <c r="U75" s="1"/>
      <c r="V75" s="1"/>
      <c r="W75" s="1"/>
      <c r="X75"/>
      <c r="Y75"/>
      <c r="Z75"/>
      <c r="AA75"/>
      <c r="AB75"/>
      <c r="AC75"/>
      <c r="AD75" s="32"/>
    </row>
    <row r="76" spans="3:30" s="2" customFormat="1" ht="15" customHeight="1">
      <c r="C76" s="136"/>
      <c r="D76" s="137"/>
      <c r="E76" s="168" t="s">
        <v>83</v>
      </c>
      <c r="F76" s="168" t="s">
        <v>93</v>
      </c>
      <c r="G76" s="287"/>
      <c r="H76" s="292" t="str">
        <f>VLOOKUP(E76&amp;F76,'[1]MV+BI'!$E$8:$K$375,3,FALSE)</f>
        <v>Em Teste</v>
      </c>
      <c r="I76" s="172">
        <f>VLOOKUP(E76&amp;F76,'[1]MV+BI'!$E$8:$K$375,7,FALSE)</f>
        <v>45527</v>
      </c>
      <c r="J76" s="140"/>
      <c r="K76" s="138"/>
      <c r="L76" s="138"/>
      <c r="M76" s="138"/>
      <c r="N76" s="119"/>
      <c r="O76" s="91"/>
      <c r="P76" s="91"/>
      <c r="Q76" s="91"/>
      <c r="R76" s="91"/>
      <c r="S76" s="91"/>
      <c r="T76" s="91"/>
      <c r="U76" s="1"/>
      <c r="V76" s="1"/>
      <c r="W76" s="1"/>
      <c r="X76"/>
      <c r="Y76"/>
      <c r="Z76"/>
      <c r="AA76"/>
      <c r="AB76"/>
      <c r="AC76"/>
      <c r="AD76" s="32"/>
    </row>
    <row r="77" spans="3:30" s="2" customFormat="1" ht="15" customHeight="1">
      <c r="C77" s="136"/>
      <c r="D77" s="137"/>
      <c r="E77" s="168" t="s">
        <v>83</v>
      </c>
      <c r="F77" s="168" t="s">
        <v>94</v>
      </c>
      <c r="G77" s="287"/>
      <c r="H77" s="292" t="str">
        <f>VLOOKUP(E77&amp;F77,'[1]MV+BI'!$E$8:$K$375,3,FALSE)</f>
        <v>Em Teste</v>
      </c>
      <c r="I77" s="172">
        <f>VLOOKUP(E77&amp;F77,'[1]MV+BI'!$E$8:$K$375,7,FALSE)</f>
        <v>45527</v>
      </c>
      <c r="J77" s="140"/>
      <c r="K77" s="138"/>
      <c r="L77" s="138"/>
      <c r="M77" s="138"/>
      <c r="N77" s="119"/>
      <c r="O77" s="91"/>
      <c r="P77" s="91"/>
      <c r="Q77" s="91"/>
      <c r="R77" s="91"/>
      <c r="S77" s="91"/>
      <c r="T77" s="91"/>
      <c r="U77" s="1"/>
      <c r="V77" s="1"/>
      <c r="W77" s="1"/>
      <c r="X77"/>
      <c r="Y77"/>
      <c r="Z77"/>
      <c r="AA77"/>
      <c r="AB77"/>
      <c r="AC77"/>
      <c r="AD77" s="32"/>
    </row>
    <row r="78" spans="3:30" s="2" customFormat="1" ht="15" customHeight="1">
      <c r="C78" s="136"/>
      <c r="D78" s="137"/>
      <c r="E78" s="168" t="s">
        <v>83</v>
      </c>
      <c r="F78" s="168" t="s">
        <v>6</v>
      </c>
      <c r="G78" s="287"/>
      <c r="H78" s="292" t="str">
        <f>VLOOKUP(E78&amp;F78,'[1]MV+BI'!$E$8:$K$375,3,FALSE)</f>
        <v>Em Teste</v>
      </c>
      <c r="I78" s="172">
        <f>VLOOKUP(E78&amp;F78,'[1]MV+BI'!$E$8:$K$375,7,FALSE)</f>
        <v>45527</v>
      </c>
      <c r="J78" s="140"/>
      <c r="K78" s="138"/>
      <c r="L78" s="138"/>
      <c r="M78" s="138"/>
      <c r="N78" s="119"/>
      <c r="O78" s="91"/>
      <c r="P78" s="91"/>
      <c r="Q78" s="91"/>
      <c r="R78" s="91"/>
      <c r="S78" s="91"/>
      <c r="T78" s="91"/>
      <c r="U78" s="1"/>
      <c r="V78" s="1"/>
      <c r="W78" s="1"/>
      <c r="X78"/>
      <c r="Y78"/>
      <c r="Z78"/>
      <c r="AA78"/>
      <c r="AB78"/>
      <c r="AC78"/>
      <c r="AD78" s="32"/>
    </row>
    <row r="79" spans="3:30" s="2" customFormat="1" ht="15" customHeight="1">
      <c r="C79" s="136"/>
      <c r="D79" s="137"/>
      <c r="E79" s="168" t="s">
        <v>95</v>
      </c>
      <c r="F79" s="168" t="s">
        <v>67</v>
      </c>
      <c r="G79" s="287"/>
      <c r="H79" s="292" t="str">
        <f>VLOOKUP(E79&amp;F79,'[1]MV+BI'!$E$8:$K$375,3,FALSE)</f>
        <v>Em Teste</v>
      </c>
      <c r="I79" s="172">
        <f>VLOOKUP(E79&amp;F79,'[1]MV+BI'!$E$8:$K$375,7,FALSE)</f>
        <v>45527</v>
      </c>
      <c r="J79" s="140"/>
      <c r="K79" s="138"/>
      <c r="L79" s="138"/>
      <c r="M79" s="138"/>
      <c r="N79" s="119"/>
      <c r="O79" s="91"/>
      <c r="P79" s="91"/>
      <c r="Q79" s="91"/>
      <c r="R79" s="91"/>
      <c r="S79" s="91"/>
      <c r="T79" s="91"/>
      <c r="U79" s="1"/>
      <c r="V79" s="1"/>
      <c r="W79" s="1"/>
      <c r="X79"/>
      <c r="Y79"/>
      <c r="Z79"/>
      <c r="AA79"/>
      <c r="AB79"/>
      <c r="AC79"/>
      <c r="AD79" s="32"/>
    </row>
    <row r="80" spans="3:30" s="2" customFormat="1" ht="15" customHeight="1">
      <c r="C80" s="136"/>
      <c r="D80" s="137"/>
      <c r="E80" s="168" t="s">
        <v>95</v>
      </c>
      <c r="F80" s="168" t="s">
        <v>96</v>
      </c>
      <c r="G80" s="287"/>
      <c r="H80" s="292" t="str">
        <f>VLOOKUP(E80&amp;F80,'[1]MV+BI'!$E$8:$K$375,3,FALSE)</f>
        <v>Em Teste</v>
      </c>
      <c r="I80" s="172">
        <f>VLOOKUP(E80&amp;F80,'[1]MV+BI'!$E$8:$K$375,7,FALSE)</f>
        <v>45527</v>
      </c>
      <c r="J80" s="140"/>
      <c r="K80" s="138"/>
      <c r="L80" s="138"/>
      <c r="M80" s="138"/>
      <c r="N80" s="119"/>
      <c r="O80" s="91"/>
      <c r="P80" s="91"/>
      <c r="Q80" s="91"/>
      <c r="R80" s="91"/>
      <c r="S80" s="91"/>
      <c r="T80" s="91"/>
      <c r="U80" s="1"/>
      <c r="V80" s="1"/>
      <c r="W80" s="1"/>
      <c r="X80"/>
      <c r="Y80"/>
      <c r="Z80"/>
      <c r="AA80"/>
      <c r="AB80"/>
      <c r="AC80"/>
      <c r="AD80" s="32"/>
    </row>
    <row r="81" spans="3:30" s="2" customFormat="1" ht="15" customHeight="1">
      <c r="C81" s="136"/>
      <c r="D81" s="137"/>
      <c r="E81" s="168" t="s">
        <v>95</v>
      </c>
      <c r="F81" s="168" t="s">
        <v>88</v>
      </c>
      <c r="G81" s="287"/>
      <c r="H81" s="292" t="str">
        <f>VLOOKUP(E81&amp;F81,'[1]MV+BI'!$E$8:$K$375,3,FALSE)</f>
        <v>Em Teste</v>
      </c>
      <c r="I81" s="172">
        <f>VLOOKUP(E81&amp;F81,'[1]MV+BI'!$E$8:$K$375,7,FALSE)</f>
        <v>45527</v>
      </c>
      <c r="J81" s="140"/>
      <c r="K81" s="138"/>
      <c r="L81" s="138"/>
      <c r="M81" s="138"/>
      <c r="N81" s="119"/>
      <c r="O81" s="91"/>
      <c r="P81" s="91"/>
      <c r="Q81" s="91"/>
      <c r="R81" s="91"/>
      <c r="S81" s="91"/>
      <c r="T81" s="91"/>
      <c r="U81" s="1"/>
      <c r="V81" s="1"/>
      <c r="W81" s="1"/>
      <c r="X81"/>
      <c r="Y81"/>
      <c r="Z81"/>
      <c r="AA81"/>
      <c r="AB81"/>
      <c r="AC81"/>
      <c r="AD81" s="32"/>
    </row>
    <row r="82" spans="3:30" s="2" customFormat="1" ht="15" customHeight="1">
      <c r="C82" s="136"/>
      <c r="D82" s="137"/>
      <c r="E82" s="168" t="s">
        <v>95</v>
      </c>
      <c r="F82" s="168" t="s">
        <v>97</v>
      </c>
      <c r="G82" s="287"/>
      <c r="H82" s="292" t="str">
        <f>VLOOKUP(E82&amp;F82,'[1]MV+BI'!$E$8:$K$375,3,FALSE)</f>
        <v>Em Teste</v>
      </c>
      <c r="I82" s="172">
        <f>VLOOKUP(E82&amp;F82,'[1]MV+BI'!$E$8:$K$375,7,FALSE)</f>
        <v>45527</v>
      </c>
      <c r="J82" s="140"/>
      <c r="K82" s="138"/>
      <c r="L82" s="138"/>
      <c r="M82" s="138"/>
      <c r="N82" s="119"/>
      <c r="O82" s="91"/>
      <c r="P82" s="91"/>
      <c r="Q82" s="91"/>
      <c r="R82" s="91"/>
      <c r="S82" s="91"/>
      <c r="T82" s="91"/>
      <c r="U82" s="1"/>
      <c r="V82" s="1"/>
      <c r="W82" s="1"/>
      <c r="X82"/>
      <c r="Y82"/>
      <c r="Z82"/>
      <c r="AA82"/>
      <c r="AB82"/>
      <c r="AC82"/>
      <c r="AD82" s="32"/>
    </row>
    <row r="83" spans="3:30" s="2" customFormat="1" ht="15" customHeight="1">
      <c r="C83" s="136"/>
      <c r="D83" s="137"/>
      <c r="E83" s="168" t="s">
        <v>95</v>
      </c>
      <c r="F83" s="168" t="s">
        <v>98</v>
      </c>
      <c r="G83" s="287"/>
      <c r="H83" s="292" t="str">
        <f>VLOOKUP(E83&amp;F83,'[1]MV+BI'!$E$8:$K$375,3,FALSE)</f>
        <v>Em Teste</v>
      </c>
      <c r="I83" s="172">
        <f>VLOOKUP(E83&amp;F83,'[1]MV+BI'!$E$8:$K$375,7,FALSE)</f>
        <v>45527</v>
      </c>
      <c r="J83" s="140"/>
      <c r="K83" s="138"/>
      <c r="L83" s="138"/>
      <c r="M83" s="138"/>
      <c r="N83" s="119"/>
      <c r="O83" s="91"/>
      <c r="P83" s="91"/>
      <c r="Q83" s="91"/>
      <c r="R83" s="91"/>
      <c r="S83" s="91"/>
      <c r="T83" s="91"/>
      <c r="U83" s="1"/>
      <c r="V83" s="1"/>
      <c r="W83" s="1"/>
      <c r="X83"/>
      <c r="Y83"/>
      <c r="Z83"/>
      <c r="AA83"/>
      <c r="AB83"/>
      <c r="AC83"/>
      <c r="AD83" s="32"/>
    </row>
    <row r="84" spans="3:30" s="2" customFormat="1" ht="15" customHeight="1">
      <c r="C84" s="136"/>
      <c r="D84" s="137"/>
      <c r="E84" s="168" t="s">
        <v>95</v>
      </c>
      <c r="F84" s="168" t="s">
        <v>99</v>
      </c>
      <c r="G84" s="287"/>
      <c r="H84" s="292" t="str">
        <f>VLOOKUP(E84&amp;F84,'[1]MV+BI'!$E$8:$K$375,3,FALSE)</f>
        <v>Em Teste</v>
      </c>
      <c r="I84" s="172">
        <f>VLOOKUP(E84&amp;F84,'[1]MV+BI'!$E$8:$K$375,7,FALSE)</f>
        <v>45527</v>
      </c>
      <c r="J84" s="140"/>
      <c r="K84" s="138"/>
      <c r="L84" s="138"/>
      <c r="M84" s="138"/>
      <c r="N84" s="119"/>
      <c r="O84" s="91"/>
      <c r="P84" s="91"/>
      <c r="Q84" s="91"/>
      <c r="R84" s="91"/>
      <c r="S84" s="91"/>
      <c r="T84" s="91"/>
      <c r="U84" s="1"/>
      <c r="V84" s="1"/>
      <c r="W84" s="1"/>
      <c r="X84"/>
      <c r="Y84"/>
      <c r="Z84"/>
      <c r="AA84"/>
      <c r="AB84"/>
      <c r="AC84"/>
      <c r="AD84" s="32"/>
    </row>
    <row r="85" spans="3:30" s="2" customFormat="1" ht="15" customHeight="1">
      <c r="C85" s="136"/>
      <c r="D85" s="137"/>
      <c r="E85" s="168" t="s">
        <v>95</v>
      </c>
      <c r="F85" s="168" t="s">
        <v>100</v>
      </c>
      <c r="G85" s="287"/>
      <c r="H85" s="292" t="str">
        <f>VLOOKUP(E85&amp;F85,'[1]MV+BI'!$E$8:$K$375,3,FALSE)</f>
        <v>Em Teste</v>
      </c>
      <c r="I85" s="172">
        <f>VLOOKUP(E85&amp;F85,'[1]MV+BI'!$E$8:$K$375,7,FALSE)</f>
        <v>45527</v>
      </c>
      <c r="J85" s="140"/>
      <c r="K85" s="138"/>
      <c r="L85" s="138"/>
      <c r="M85" s="138"/>
      <c r="N85" s="119"/>
      <c r="O85" s="91"/>
      <c r="P85" s="91"/>
      <c r="Q85" s="91"/>
      <c r="R85" s="91"/>
      <c r="S85" s="91"/>
      <c r="T85" s="91"/>
      <c r="U85" s="1"/>
      <c r="V85" s="1"/>
      <c r="W85" s="1"/>
      <c r="X85"/>
      <c r="Y85"/>
      <c r="Z85"/>
      <c r="AA85"/>
      <c r="AB85"/>
      <c r="AC85"/>
      <c r="AD85" s="32"/>
    </row>
    <row r="86" spans="3:30" s="2" customFormat="1" ht="15" customHeight="1">
      <c r="C86" s="136"/>
      <c r="D86" s="137"/>
      <c r="E86" s="168" t="s">
        <v>95</v>
      </c>
      <c r="F86" s="168" t="s">
        <v>101</v>
      </c>
      <c r="G86" s="287"/>
      <c r="H86" s="292" t="str">
        <f>VLOOKUP(E86&amp;F86,'[1]MV+BI'!$E$8:$K$375,3,FALSE)</f>
        <v>Em Teste</v>
      </c>
      <c r="I86" s="172">
        <f>VLOOKUP(E86&amp;F86,'[1]MV+BI'!$E$8:$K$375,7,FALSE)</f>
        <v>45527</v>
      </c>
      <c r="J86" s="140"/>
      <c r="K86" s="138"/>
      <c r="L86" s="138"/>
      <c r="M86" s="138"/>
      <c r="N86" s="119"/>
      <c r="O86" s="91"/>
      <c r="P86" s="91"/>
      <c r="Q86" s="91"/>
      <c r="R86" s="91"/>
      <c r="S86" s="91"/>
      <c r="T86" s="91"/>
      <c r="U86" s="1"/>
      <c r="V86" s="1"/>
      <c r="W86" s="1"/>
      <c r="X86"/>
      <c r="Y86"/>
      <c r="Z86"/>
      <c r="AA86"/>
      <c r="AB86"/>
      <c r="AC86"/>
      <c r="AD86" s="32"/>
    </row>
    <row r="87" spans="3:30" s="2" customFormat="1" ht="15" customHeight="1">
      <c r="C87" s="136"/>
      <c r="D87" s="137"/>
      <c r="E87" s="168" t="s">
        <v>95</v>
      </c>
      <c r="F87" s="168" t="s">
        <v>66</v>
      </c>
      <c r="G87" s="287"/>
      <c r="H87" s="292" t="str">
        <f>VLOOKUP(E87&amp;F87,'[1]MV+BI'!$E$8:$K$375,3,FALSE)</f>
        <v>Em Teste</v>
      </c>
      <c r="I87" s="172">
        <f>VLOOKUP(E87&amp;F87,'[1]MV+BI'!$E$8:$K$375,7,FALSE)</f>
        <v>45527</v>
      </c>
      <c r="J87" s="140"/>
      <c r="K87" s="138"/>
      <c r="L87" s="138"/>
      <c r="M87" s="138"/>
      <c r="N87" s="119"/>
      <c r="O87" s="91"/>
      <c r="P87" s="91"/>
      <c r="Q87" s="91"/>
      <c r="R87" s="91"/>
      <c r="S87" s="91"/>
      <c r="T87" s="91"/>
      <c r="U87" s="1"/>
      <c r="V87" s="1"/>
      <c r="W87" s="1"/>
      <c r="X87"/>
      <c r="Y87"/>
      <c r="Z87"/>
      <c r="AA87"/>
      <c r="AB87"/>
      <c r="AC87"/>
      <c r="AD87" s="32"/>
    </row>
    <row r="88" spans="3:30" s="2" customFormat="1" ht="15" customHeight="1">
      <c r="C88" s="136"/>
      <c r="D88" s="137"/>
      <c r="E88" s="168" t="s">
        <v>95</v>
      </c>
      <c r="F88" s="168" t="s">
        <v>84</v>
      </c>
      <c r="G88" s="287"/>
      <c r="H88" s="292" t="str">
        <f>VLOOKUP(E88&amp;F88,'[1]MV+BI'!$E$8:$K$375,3,FALSE)</f>
        <v>Em Teste</v>
      </c>
      <c r="I88" s="172">
        <f>VLOOKUP(E88&amp;F88,'[1]MV+BI'!$E$8:$K$375,7,FALSE)</f>
        <v>45527</v>
      </c>
      <c r="J88" s="140"/>
      <c r="K88" s="138"/>
      <c r="L88" s="138"/>
      <c r="M88" s="138"/>
      <c r="N88" s="119"/>
      <c r="O88" s="91"/>
      <c r="P88" s="91"/>
      <c r="Q88" s="91"/>
      <c r="R88" s="91"/>
      <c r="S88" s="91"/>
      <c r="T88" s="91"/>
      <c r="U88" s="1"/>
      <c r="V88" s="1"/>
      <c r="W88" s="1"/>
      <c r="X88"/>
      <c r="Y88"/>
      <c r="Z88"/>
      <c r="AA88"/>
      <c r="AB88"/>
      <c r="AC88"/>
      <c r="AD88" s="32"/>
    </row>
    <row r="89" spans="3:30" s="2" customFormat="1" ht="15" customHeight="1">
      <c r="C89" s="136"/>
      <c r="D89" s="137"/>
      <c r="E89" s="168" t="s">
        <v>95</v>
      </c>
      <c r="F89" s="168" t="s">
        <v>85</v>
      </c>
      <c r="G89" s="287"/>
      <c r="H89" s="292" t="str">
        <f>VLOOKUP(E89&amp;F89,'[1]MV+BI'!$E$8:$K$375,3,FALSE)</f>
        <v>Em Teste</v>
      </c>
      <c r="I89" s="172">
        <f>VLOOKUP(E89&amp;F89,'[1]MV+BI'!$E$8:$K$375,7,FALSE)</f>
        <v>45527</v>
      </c>
      <c r="J89" s="140"/>
      <c r="K89" s="138"/>
      <c r="L89" s="138"/>
      <c r="M89" s="138"/>
      <c r="N89" s="119"/>
      <c r="O89" s="91"/>
      <c r="P89" s="91"/>
      <c r="Q89" s="91"/>
      <c r="R89" s="91"/>
      <c r="S89" s="91"/>
      <c r="T89" s="91"/>
      <c r="U89" s="1"/>
      <c r="V89" s="1"/>
      <c r="W89" s="1"/>
      <c r="X89"/>
      <c r="Y89"/>
      <c r="Z89"/>
      <c r="AA89"/>
      <c r="AB89"/>
      <c r="AC89"/>
      <c r="AD89" s="32"/>
    </row>
    <row r="90" spans="3:30" s="2" customFormat="1" ht="15" customHeight="1">
      <c r="C90" s="136"/>
      <c r="D90" s="137"/>
      <c r="E90" s="168" t="s">
        <v>95</v>
      </c>
      <c r="F90" s="168" t="s">
        <v>86</v>
      </c>
      <c r="G90" s="287"/>
      <c r="H90" s="292" t="str">
        <f>VLOOKUP(E90&amp;F90,'[1]MV+BI'!$E$8:$K$375,3,FALSE)</f>
        <v>Em Teste</v>
      </c>
      <c r="I90" s="172">
        <f>VLOOKUP(E90&amp;F90,'[1]MV+BI'!$E$8:$K$375,7,FALSE)</f>
        <v>45527</v>
      </c>
      <c r="J90" s="140"/>
      <c r="K90" s="138"/>
      <c r="L90" s="138"/>
      <c r="M90" s="138"/>
      <c r="N90" s="119"/>
      <c r="O90" s="91"/>
      <c r="P90" s="91"/>
      <c r="Q90" s="91"/>
      <c r="R90" s="91"/>
      <c r="S90" s="91"/>
      <c r="T90" s="91"/>
      <c r="U90" s="1"/>
      <c r="V90" s="1"/>
      <c r="W90" s="1"/>
      <c r="X90"/>
      <c r="Y90"/>
      <c r="Z90"/>
      <c r="AA90"/>
      <c r="AB90"/>
      <c r="AC90"/>
      <c r="AD90" s="32"/>
    </row>
    <row r="91" spans="3:30" s="2" customFormat="1" ht="15" customHeight="1">
      <c r="C91" s="136"/>
      <c r="D91" s="137"/>
      <c r="E91" s="168" t="s">
        <v>95</v>
      </c>
      <c r="F91" s="168" t="s">
        <v>87</v>
      </c>
      <c r="G91" s="287"/>
      <c r="H91" s="292" t="str">
        <f>VLOOKUP(E91&amp;F91,'[1]MV+BI'!$E$8:$K$375,3,FALSE)</f>
        <v>Em Teste</v>
      </c>
      <c r="I91" s="172">
        <f>VLOOKUP(E91&amp;F91,'[1]MV+BI'!$E$8:$K$375,7,FALSE)</f>
        <v>45527</v>
      </c>
      <c r="J91" s="140"/>
      <c r="K91" s="138"/>
      <c r="L91" s="138"/>
      <c r="M91" s="138"/>
      <c r="N91" s="119"/>
      <c r="O91" s="91"/>
      <c r="P91" s="91"/>
      <c r="Q91" s="91"/>
      <c r="R91" s="91"/>
      <c r="S91" s="91"/>
      <c r="T91" s="91"/>
      <c r="U91" s="1"/>
      <c r="V91" s="1"/>
      <c r="W91" s="1"/>
      <c r="X91"/>
      <c r="Y91"/>
      <c r="Z91"/>
      <c r="AA91"/>
      <c r="AB91"/>
      <c r="AC91"/>
      <c r="AD91" s="32"/>
    </row>
    <row r="92" spans="3:30" s="2" customFormat="1" ht="15" customHeight="1">
      <c r="C92" s="136"/>
      <c r="D92" s="137"/>
      <c r="E92" s="168" t="s">
        <v>95</v>
      </c>
      <c r="F92" s="168" t="s">
        <v>102</v>
      </c>
      <c r="G92" s="287"/>
      <c r="H92" s="292" t="str">
        <f>VLOOKUP(E92&amp;F92,'[1]MV+BI'!$E$8:$K$375,3,FALSE)</f>
        <v>Em Teste</v>
      </c>
      <c r="I92" s="172">
        <f>VLOOKUP(E92&amp;F92,'[1]MV+BI'!$E$8:$K$375,7,FALSE)</f>
        <v>45527</v>
      </c>
      <c r="J92" s="140"/>
      <c r="K92" s="138"/>
      <c r="L92" s="138"/>
      <c r="M92" s="138"/>
      <c r="N92" s="119"/>
      <c r="O92" s="91"/>
      <c r="P92" s="91"/>
      <c r="Q92" s="91"/>
      <c r="R92" s="91"/>
      <c r="S92" s="91"/>
      <c r="T92" s="91"/>
      <c r="U92" s="1"/>
      <c r="V92" s="1"/>
      <c r="W92" s="1"/>
      <c r="X92"/>
      <c r="Y92"/>
      <c r="Z92"/>
      <c r="AA92"/>
      <c r="AB92"/>
      <c r="AC92"/>
      <c r="AD92" s="32"/>
    </row>
    <row r="93" spans="3:30" s="2" customFormat="1" ht="15" customHeight="1">
      <c r="C93" s="136"/>
      <c r="D93" s="137"/>
      <c r="E93" s="168" t="s">
        <v>95</v>
      </c>
      <c r="F93" s="168" t="s">
        <v>103</v>
      </c>
      <c r="G93" s="287"/>
      <c r="H93" s="292" t="str">
        <f>VLOOKUP(E93&amp;F93,'[1]MV+BI'!$E$8:$K$375,3,FALSE)</f>
        <v>Em Teste</v>
      </c>
      <c r="I93" s="172">
        <f>VLOOKUP(E93&amp;F93,'[1]MV+BI'!$E$8:$K$375,7,FALSE)</f>
        <v>45527</v>
      </c>
      <c r="J93" s="140"/>
      <c r="K93" s="138"/>
      <c r="L93" s="138"/>
      <c r="M93" s="138"/>
      <c r="N93" s="119"/>
      <c r="O93" s="91"/>
      <c r="P93" s="91"/>
      <c r="Q93" s="91"/>
      <c r="R93" s="91"/>
      <c r="S93" s="91"/>
      <c r="T93" s="91"/>
      <c r="U93" s="1"/>
      <c r="V93" s="1"/>
      <c r="W93" s="1"/>
      <c r="X93"/>
      <c r="Y93"/>
      <c r="Z93"/>
      <c r="AA93"/>
      <c r="AB93"/>
      <c r="AC93"/>
      <c r="AD93" s="32"/>
    </row>
    <row r="94" spans="3:30" s="2" customFormat="1" ht="15" customHeight="1">
      <c r="C94" s="136"/>
      <c r="D94" s="137"/>
      <c r="E94" s="168" t="s">
        <v>95</v>
      </c>
      <c r="F94" s="168" t="s">
        <v>104</v>
      </c>
      <c r="G94" s="287"/>
      <c r="H94" s="292" t="str">
        <f>VLOOKUP(E94&amp;F94,'[1]MV+BI'!$E$8:$K$375,3,FALSE)</f>
        <v>Em Teste</v>
      </c>
      <c r="I94" s="172">
        <f>VLOOKUP(E94&amp;F94,'[1]MV+BI'!$E$8:$K$375,7,FALSE)</f>
        <v>45527</v>
      </c>
      <c r="J94" s="140"/>
      <c r="K94" s="138"/>
      <c r="L94" s="138"/>
      <c r="M94" s="138"/>
      <c r="N94" s="119"/>
      <c r="O94" s="91"/>
      <c r="P94" s="91"/>
      <c r="Q94" s="91"/>
      <c r="R94" s="91"/>
      <c r="S94" s="91"/>
      <c r="T94" s="91"/>
      <c r="U94" s="1"/>
      <c r="V94" s="1"/>
      <c r="W94" s="1"/>
      <c r="X94"/>
      <c r="Y94"/>
      <c r="Z94"/>
      <c r="AA94"/>
      <c r="AB94"/>
      <c r="AC94"/>
      <c r="AD94" s="32"/>
    </row>
    <row r="95" spans="3:30" s="2" customFormat="1" ht="15" customHeight="1">
      <c r="C95" s="136"/>
      <c r="D95" s="137"/>
      <c r="E95" s="168" t="s">
        <v>95</v>
      </c>
      <c r="F95" s="168" t="s">
        <v>105</v>
      </c>
      <c r="G95" s="287"/>
      <c r="H95" s="292" t="str">
        <f>VLOOKUP(E95&amp;F95,'[1]MV+BI'!$E$8:$K$375,3,FALSE)</f>
        <v>Em Teste</v>
      </c>
      <c r="I95" s="172">
        <f>VLOOKUP(E95&amp;F95,'[1]MV+BI'!$E$8:$K$375,7,FALSE)</f>
        <v>45527</v>
      </c>
      <c r="J95" s="140"/>
      <c r="K95" s="138"/>
      <c r="L95" s="138"/>
      <c r="M95" s="138"/>
      <c r="N95" s="119"/>
      <c r="O95" s="91"/>
      <c r="P95" s="91"/>
      <c r="Q95" s="91"/>
      <c r="R95" s="91"/>
      <c r="S95" s="91"/>
      <c r="T95" s="91"/>
      <c r="U95" s="1"/>
      <c r="V95" s="1"/>
      <c r="W95" s="1"/>
      <c r="X95"/>
      <c r="Y95"/>
      <c r="Z95"/>
      <c r="AA95"/>
      <c r="AB95"/>
      <c r="AC95"/>
      <c r="AD95" s="32"/>
    </row>
    <row r="96" spans="3:30" s="2" customFormat="1" ht="15" customHeight="1">
      <c r="C96" s="136"/>
      <c r="D96" s="137"/>
      <c r="E96" s="168" t="s">
        <v>95</v>
      </c>
      <c r="F96" s="168" t="s">
        <v>106</v>
      </c>
      <c r="G96" s="287"/>
      <c r="H96" s="292" t="str">
        <f>VLOOKUP(E96&amp;F96,'[1]MV+BI'!$E$8:$K$375,3,FALSE)</f>
        <v>Em Teste</v>
      </c>
      <c r="I96" s="172">
        <f>VLOOKUP(E96&amp;F96,'[1]MV+BI'!$E$8:$K$375,7,FALSE)</f>
        <v>45527</v>
      </c>
      <c r="J96" s="140"/>
      <c r="K96" s="138"/>
      <c r="L96" s="138"/>
      <c r="M96" s="138"/>
      <c r="N96" s="119"/>
      <c r="O96" s="91"/>
      <c r="P96" s="91"/>
      <c r="Q96" s="91"/>
      <c r="R96" s="91"/>
      <c r="S96" s="91"/>
      <c r="T96" s="91"/>
      <c r="U96" s="1"/>
      <c r="V96" s="1"/>
      <c r="W96" s="1"/>
      <c r="X96"/>
      <c r="Y96"/>
      <c r="Z96"/>
      <c r="AA96"/>
      <c r="AB96"/>
      <c r="AC96"/>
      <c r="AD96" s="32"/>
    </row>
    <row r="97" spans="3:30" s="2" customFormat="1" ht="15" customHeight="1">
      <c r="C97" s="136"/>
      <c r="D97" s="137"/>
      <c r="E97" s="168" t="s">
        <v>95</v>
      </c>
      <c r="F97" s="168" t="s">
        <v>107</v>
      </c>
      <c r="G97" s="287"/>
      <c r="H97" s="292" t="str">
        <f>VLOOKUP(E97&amp;F97,'[1]MV+BI'!$E$8:$K$375,3,FALSE)</f>
        <v>Em Teste</v>
      </c>
      <c r="I97" s="172">
        <f>VLOOKUP(E97&amp;F97,'[1]MV+BI'!$E$8:$K$375,7,FALSE)</f>
        <v>45527</v>
      </c>
      <c r="J97" s="140"/>
      <c r="K97" s="138"/>
      <c r="L97" s="138"/>
      <c r="M97" s="138"/>
      <c r="N97" s="119"/>
      <c r="O97" s="91"/>
      <c r="P97" s="91"/>
      <c r="Q97" s="91"/>
      <c r="R97" s="91"/>
      <c r="S97" s="91"/>
      <c r="T97" s="91"/>
      <c r="U97" s="1"/>
      <c r="V97" s="1"/>
      <c r="W97" s="1"/>
      <c r="X97"/>
      <c r="Y97"/>
      <c r="Z97"/>
      <c r="AA97"/>
      <c r="AB97"/>
      <c r="AC97"/>
      <c r="AD97" s="32"/>
    </row>
    <row r="98" spans="3:30" s="2" customFormat="1" ht="15" customHeight="1">
      <c r="C98" s="136"/>
      <c r="D98" s="137"/>
      <c r="E98" s="168" t="s">
        <v>95</v>
      </c>
      <c r="F98" s="168" t="s">
        <v>89</v>
      </c>
      <c r="G98" s="287"/>
      <c r="H98" s="292" t="str">
        <f>VLOOKUP(E98&amp;F98,'[1]MV+BI'!$E$8:$K$375,3,FALSE)</f>
        <v>Em Teste</v>
      </c>
      <c r="I98" s="172">
        <f>VLOOKUP(E98&amp;F98,'[1]MV+BI'!$E$8:$K$375,7,FALSE)</f>
        <v>45527</v>
      </c>
      <c r="J98" s="140"/>
      <c r="K98" s="138"/>
      <c r="L98" s="138"/>
      <c r="M98" s="138"/>
      <c r="N98" s="119"/>
      <c r="O98" s="91"/>
      <c r="P98" s="91"/>
      <c r="Q98" s="91"/>
      <c r="R98" s="91"/>
      <c r="S98" s="91"/>
      <c r="T98" s="91"/>
      <c r="U98" s="1"/>
      <c r="V98" s="1"/>
      <c r="W98" s="1"/>
      <c r="X98"/>
      <c r="Y98"/>
      <c r="Z98"/>
      <c r="AA98"/>
      <c r="AB98"/>
      <c r="AC98"/>
      <c r="AD98" s="32"/>
    </row>
    <row r="99" spans="3:30" s="2" customFormat="1" ht="15" customHeight="1">
      <c r="C99" s="136"/>
      <c r="D99" s="137"/>
      <c r="E99" s="168" t="s">
        <v>95</v>
      </c>
      <c r="F99" s="168" t="s">
        <v>90</v>
      </c>
      <c r="G99" s="287"/>
      <c r="H99" s="292" t="str">
        <f>VLOOKUP(E99&amp;F99,'[1]MV+BI'!$E$8:$K$375,3,FALSE)</f>
        <v>Em Teste</v>
      </c>
      <c r="I99" s="172">
        <f>VLOOKUP(E99&amp;F99,'[1]MV+BI'!$E$8:$K$375,7,FALSE)</f>
        <v>45527</v>
      </c>
      <c r="J99" s="140"/>
      <c r="K99" s="138"/>
      <c r="L99" s="138"/>
      <c r="M99" s="138"/>
      <c r="N99" s="119"/>
      <c r="O99" s="91"/>
      <c r="P99" s="91"/>
      <c r="Q99" s="91"/>
      <c r="R99" s="91"/>
      <c r="S99" s="91"/>
      <c r="T99" s="91"/>
      <c r="U99" s="1"/>
      <c r="V99" s="1"/>
      <c r="W99" s="1"/>
      <c r="X99"/>
      <c r="Y99"/>
      <c r="Z99"/>
      <c r="AA99"/>
      <c r="AB99"/>
      <c r="AC99"/>
      <c r="AD99" s="32"/>
    </row>
    <row r="100" spans="3:30" s="2" customFormat="1" ht="15" customHeight="1">
      <c r="C100" s="136"/>
      <c r="D100" s="137"/>
      <c r="E100" s="168" t="s">
        <v>95</v>
      </c>
      <c r="F100" s="168" t="s">
        <v>91</v>
      </c>
      <c r="G100" s="287"/>
      <c r="H100" s="292" t="str">
        <f>VLOOKUP(E100&amp;F100,'[1]MV+BI'!$E$8:$K$375,3,FALSE)</f>
        <v>Em Teste</v>
      </c>
      <c r="I100" s="172">
        <f>VLOOKUP(E100&amp;F100,'[1]MV+BI'!$E$8:$K$375,7,FALSE)</f>
        <v>45527</v>
      </c>
      <c r="J100" s="140"/>
      <c r="K100" s="138"/>
      <c r="L100" s="138"/>
      <c r="M100" s="138"/>
      <c r="N100" s="119"/>
      <c r="O100" s="91"/>
      <c r="P100" s="91"/>
      <c r="Q100" s="91"/>
      <c r="R100" s="91"/>
      <c r="S100" s="91"/>
      <c r="T100" s="91"/>
      <c r="U100" s="1"/>
      <c r="V100" s="1"/>
      <c r="W100" s="1"/>
      <c r="X100"/>
      <c r="Y100"/>
      <c r="Z100"/>
      <c r="AA100"/>
      <c r="AB100"/>
      <c r="AC100"/>
      <c r="AD100" s="32"/>
    </row>
    <row r="101" spans="3:30" s="2" customFormat="1" ht="15" customHeight="1">
      <c r="C101" s="136"/>
      <c r="D101" s="137"/>
      <c r="E101" s="168" t="s">
        <v>95</v>
      </c>
      <c r="F101" s="168" t="s">
        <v>92</v>
      </c>
      <c r="G101" s="287"/>
      <c r="H101" s="292" t="str">
        <f>VLOOKUP(E101&amp;F101,'[1]MV+BI'!$E$8:$K$375,3,FALSE)</f>
        <v>Em Teste</v>
      </c>
      <c r="I101" s="172">
        <f>VLOOKUP(E101&amp;F101,'[1]MV+BI'!$E$8:$K$375,7,FALSE)</f>
        <v>45527</v>
      </c>
      <c r="J101" s="140"/>
      <c r="K101" s="138"/>
      <c r="L101" s="138"/>
      <c r="M101" s="138"/>
      <c r="N101" s="119"/>
      <c r="O101" s="91"/>
      <c r="P101" s="91"/>
      <c r="Q101" s="91"/>
      <c r="R101" s="91"/>
      <c r="S101" s="91"/>
      <c r="T101" s="91"/>
      <c r="U101" s="1"/>
      <c r="V101" s="1"/>
      <c r="W101" s="1"/>
      <c r="X101"/>
      <c r="Y101"/>
      <c r="Z101"/>
      <c r="AA101"/>
      <c r="AB101"/>
      <c r="AC101"/>
      <c r="AD101" s="32"/>
    </row>
    <row r="102" spans="3:30" s="2" customFormat="1" ht="15" customHeight="1">
      <c r="C102" s="136"/>
      <c r="D102" s="137"/>
      <c r="E102" s="168" t="s">
        <v>95</v>
      </c>
      <c r="F102" s="168" t="s">
        <v>93</v>
      </c>
      <c r="G102" s="287"/>
      <c r="H102" s="292" t="str">
        <f>VLOOKUP(E102&amp;F102,'[1]MV+BI'!$E$8:$K$375,3,FALSE)</f>
        <v>Em Teste</v>
      </c>
      <c r="I102" s="172">
        <f>VLOOKUP(E102&amp;F102,'[1]MV+BI'!$E$8:$K$375,7,FALSE)</f>
        <v>45527</v>
      </c>
      <c r="J102" s="140"/>
      <c r="K102" s="138"/>
      <c r="L102" s="138"/>
      <c r="M102" s="138"/>
      <c r="N102" s="119"/>
      <c r="O102" s="91"/>
      <c r="P102" s="91"/>
      <c r="Q102" s="91"/>
      <c r="R102" s="91"/>
      <c r="S102" s="91"/>
      <c r="T102" s="91"/>
      <c r="U102" s="1"/>
      <c r="V102" s="1"/>
      <c r="W102" s="1"/>
      <c r="X102"/>
      <c r="Y102"/>
      <c r="Z102"/>
      <c r="AA102"/>
      <c r="AB102"/>
      <c r="AC102"/>
      <c r="AD102" s="32"/>
    </row>
    <row r="103" spans="3:30" s="2" customFormat="1" ht="15" customHeight="1">
      <c r="C103" s="136"/>
      <c r="D103" s="137"/>
      <c r="E103" s="168" t="s">
        <v>95</v>
      </c>
      <c r="F103" s="168" t="s">
        <v>94</v>
      </c>
      <c r="G103" s="287"/>
      <c r="H103" s="292" t="str">
        <f>VLOOKUP(E103&amp;F103,'[1]MV+BI'!$E$8:$K$375,3,FALSE)</f>
        <v>Em Teste</v>
      </c>
      <c r="I103" s="172">
        <f>VLOOKUP(E103&amp;F103,'[1]MV+BI'!$E$8:$K$375,7,FALSE)</f>
        <v>45527</v>
      </c>
      <c r="J103" s="140"/>
      <c r="K103" s="138"/>
      <c r="L103" s="138"/>
      <c r="M103" s="138"/>
      <c r="N103" s="119"/>
      <c r="O103" s="91"/>
      <c r="P103" s="91"/>
      <c r="Q103" s="91"/>
      <c r="R103" s="91"/>
      <c r="S103" s="91"/>
      <c r="T103" s="91"/>
      <c r="U103" s="1"/>
      <c r="V103" s="1"/>
      <c r="W103" s="1"/>
      <c r="X103"/>
      <c r="Y103"/>
      <c r="Z103"/>
      <c r="AA103"/>
      <c r="AB103"/>
      <c r="AC103"/>
      <c r="AD103" s="32"/>
    </row>
    <row r="104" spans="3:30" s="2" customFormat="1" ht="15" customHeight="1">
      <c r="C104" s="146"/>
      <c r="D104" s="104"/>
      <c r="E104" s="147"/>
      <c r="F104" s="147"/>
      <c r="G104" s="147"/>
      <c r="H104" s="147"/>
      <c r="I104" s="147"/>
      <c r="J104" s="149"/>
      <c r="K104" s="148"/>
      <c r="L104" s="150"/>
      <c r="M104" s="151"/>
      <c r="N104" s="152"/>
      <c r="O104" s="152"/>
      <c r="P104" s="152"/>
      <c r="Q104" s="104"/>
      <c r="R104" s="1"/>
      <c r="S104" s="1"/>
      <c r="T104" s="1"/>
      <c r="U104" s="1"/>
      <c r="V104" s="104"/>
      <c r="W104" s="104"/>
      <c r="X104" s="104"/>
      <c r="Y104" s="104"/>
      <c r="Z104" s="104"/>
      <c r="AA104" s="104"/>
      <c r="AB104" s="104"/>
      <c r="AC104" s="104"/>
      <c r="AD104" s="106"/>
    </row>
    <row r="105" spans="3:30" s="2" customFormat="1" ht="15" customHeight="1">
      <c r="E105" s="153"/>
      <c r="F105" s="154"/>
      <c r="G105" s="154"/>
      <c r="H105" s="153"/>
      <c r="I105" s="153"/>
      <c r="J105" s="153"/>
      <c r="K105" s="153"/>
      <c r="L105" s="107"/>
      <c r="M105" s="107"/>
      <c r="Q105" s="12"/>
      <c r="R105" s="12"/>
      <c r="S105" s="12"/>
      <c r="T105" s="12"/>
      <c r="U105" s="12"/>
      <c r="V105" s="12"/>
      <c r="W105" s="12"/>
    </row>
    <row r="106" spans="3:30" s="2" customFormat="1" ht="15" customHeight="1">
      <c r="K106" s="12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3:30" s="2" customFormat="1" ht="22.8" customHeight="1">
      <c r="C107" s="155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"/>
      <c r="R107" s="1"/>
      <c r="S107" s="1"/>
      <c r="T107" s="1"/>
      <c r="U107" s="1"/>
      <c r="V107" s="1"/>
      <c r="W107" s="1"/>
      <c r="X107"/>
      <c r="Y107"/>
      <c r="Z107"/>
      <c r="AA107"/>
      <c r="AB107"/>
      <c r="AC107"/>
      <c r="AD107" s="28"/>
    </row>
    <row r="108" spans="3:30" s="2" customFormat="1" ht="15" customHeight="1">
      <c r="C108" s="157"/>
      <c r="D108" s="1"/>
      <c r="E108" s="119" t="s">
        <v>415</v>
      </c>
      <c r="F108" s="119" t="s">
        <v>36</v>
      </c>
      <c r="G108" s="119"/>
      <c r="H108" s="119" t="s">
        <v>37</v>
      </c>
      <c r="I108" s="119" t="s">
        <v>108</v>
      </c>
      <c r="J108" s="119"/>
      <c r="K108" s="119" t="s">
        <v>109</v>
      </c>
      <c r="L108" s="62"/>
      <c r="M108" s="119" t="s">
        <v>79</v>
      </c>
      <c r="N108" s="119"/>
      <c r="O108" s="119" t="s">
        <v>80</v>
      </c>
      <c r="P108"/>
      <c r="Q108" s="62"/>
      <c r="R108" s="1"/>
      <c r="S108" s="1"/>
      <c r="T108" s="1"/>
      <c r="U108" s="1"/>
      <c r="V108" s="1"/>
      <c r="W108" s="1"/>
      <c r="X108"/>
      <c r="Y108"/>
      <c r="Z108"/>
      <c r="AA108"/>
      <c r="AB108"/>
      <c r="AC108"/>
      <c r="AD108" s="32"/>
    </row>
    <row r="109" spans="3:30" s="2" customFormat="1" ht="15" customHeight="1">
      <c r="C109" s="157"/>
      <c r="D109" s="1"/>
      <c r="E109" s="1"/>
      <c r="F109" s="1"/>
      <c r="G109" s="1"/>
      <c r="H109" s="158"/>
      <c r="I109" s="159"/>
      <c r="J109"/>
      <c r="K109"/>
      <c r="L109" s="62"/>
      <c r="M109"/>
      <c r="N109"/>
      <c r="O109" s="1"/>
      <c r="P109"/>
      <c r="Q109" s="62"/>
      <c r="R109" s="1"/>
      <c r="S109" s="1"/>
      <c r="T109" s="1"/>
      <c r="U109" s="1"/>
      <c r="V109" s="1"/>
      <c r="W109" s="1"/>
      <c r="X109"/>
      <c r="Y109"/>
      <c r="Z109"/>
      <c r="AA109"/>
      <c r="AB109"/>
      <c r="AC109"/>
      <c r="AD109" s="32"/>
    </row>
    <row r="110" spans="3:30" s="2" customFormat="1" ht="15" customHeight="1">
      <c r="C110" s="157"/>
      <c r="D110" s="1"/>
      <c r="E110" s="289" t="s">
        <v>75</v>
      </c>
      <c r="F110" s="289" t="s">
        <v>107</v>
      </c>
      <c r="G110" s="290"/>
      <c r="H110" s="293" t="str">
        <f>VLOOKUP(E110&amp;F110,'[1]MV+BI'!$E$8:$K$375,3,FALSE)</f>
        <v>Validação EF</v>
      </c>
      <c r="I110" s="294" t="str">
        <f>VLOOKUP(E110&amp;F110,'[1]MV+BI'!$E$8:$K$375,6,FALSE)</f>
        <v>-</v>
      </c>
      <c r="K110" s="295" t="str">
        <f>VLOOKUP(E110&amp;F110,'[1]MV+BI'!$E$8:$K$375,5,FALSE)</f>
        <v>-</v>
      </c>
      <c r="M110" s="295">
        <f>VLOOKUP(E110&amp;F110,'[1]MV+BI'!$E$8:$K$375,7,FALSE)</f>
        <v>45429</v>
      </c>
      <c r="N110"/>
      <c r="O110" s="1" t="s">
        <v>118</v>
      </c>
      <c r="P110"/>
      <c r="Q110" s="62"/>
      <c r="R110" s="1"/>
      <c r="S110" s="1"/>
      <c r="T110" s="1"/>
      <c r="U110" s="1"/>
      <c r="V110" s="1"/>
      <c r="W110" s="1"/>
      <c r="X110"/>
      <c r="Y110"/>
      <c r="Z110"/>
      <c r="AA110"/>
      <c r="AB110"/>
      <c r="AC110"/>
      <c r="AD110" s="32"/>
    </row>
    <row r="111" spans="3:30" s="2" customFormat="1" ht="15" customHeight="1">
      <c r="C111" s="157"/>
      <c r="D111" s="1"/>
      <c r="E111" s="289" t="s">
        <v>75</v>
      </c>
      <c r="F111" s="289" t="s">
        <v>113</v>
      </c>
      <c r="G111" s="290"/>
      <c r="H111" s="293" t="str">
        <f>VLOOKUP(E111&amp;F111,'[1]MV+BI'!$E$8:$K$375,3,FALSE)</f>
        <v>Validação EF</v>
      </c>
      <c r="I111" s="294" t="str">
        <f>VLOOKUP(E111&amp;F111,'[1]MV+BI'!$E$8:$K$375,6,FALSE)</f>
        <v>Leasing</v>
      </c>
      <c r="K111" s="295" t="str">
        <f>VLOOKUP(E111&amp;F111,'[1]MV+BI'!$E$8:$K$375,5,FALSE)</f>
        <v>-</v>
      </c>
      <c r="M111" s="295">
        <f>VLOOKUP(E111&amp;F111,'[1]MV+BI'!$E$8:$K$375,7,FALSE)</f>
        <v>45429</v>
      </c>
      <c r="N111"/>
      <c r="O111" s="1" t="s">
        <v>119</v>
      </c>
      <c r="P111"/>
      <c r="Q111" s="62"/>
      <c r="R111" s="1"/>
      <c r="S111" s="1"/>
      <c r="T111" s="1"/>
      <c r="U111" s="1"/>
      <c r="V111" s="1"/>
      <c r="W111" s="1"/>
      <c r="X111"/>
      <c r="Y111"/>
      <c r="Z111"/>
      <c r="AA111"/>
      <c r="AB111"/>
      <c r="AC111"/>
      <c r="AD111" s="32"/>
    </row>
    <row r="112" spans="3:30" s="2" customFormat="1" ht="15" customHeight="1">
      <c r="C112" s="157"/>
      <c r="D112" s="1"/>
      <c r="E112" s="289" t="s">
        <v>75</v>
      </c>
      <c r="F112" s="289" t="s">
        <v>115</v>
      </c>
      <c r="G112" s="290"/>
      <c r="H112" s="293" t="str">
        <f>VLOOKUP(E112&amp;F112,'[1]MV+BI'!$E$8:$K$375,3,FALSE)</f>
        <v>Validação EF</v>
      </c>
      <c r="I112" s="294" t="str">
        <f>VLOOKUP(E112&amp;F112,'[1]MV+BI'!$E$8:$K$375,6,FALSE)</f>
        <v>Leasing</v>
      </c>
      <c r="K112" s="295" t="str">
        <f>VLOOKUP(E112&amp;F112,'[1]MV+BI'!$E$8:$K$375,5,FALSE)</f>
        <v>-</v>
      </c>
      <c r="M112" s="295">
        <f>VLOOKUP(E112&amp;F112,'[1]MV+BI'!$E$8:$K$375,7,FALSE)</f>
        <v>45429</v>
      </c>
      <c r="N112"/>
      <c r="O112" s="1" t="s">
        <v>119</v>
      </c>
      <c r="P112"/>
      <c r="Q112" s="62"/>
      <c r="R112" s="1"/>
      <c r="S112" s="1"/>
      <c r="T112" s="1"/>
      <c r="U112" s="1"/>
      <c r="V112" s="1"/>
      <c r="W112" s="1"/>
      <c r="X112"/>
      <c r="Y112"/>
      <c r="Z112"/>
      <c r="AA112"/>
      <c r="AB112"/>
      <c r="AC112"/>
      <c r="AD112" s="32"/>
    </row>
    <row r="113" spans="3:30" s="2" customFormat="1" ht="15" customHeight="1">
      <c r="C113" s="157"/>
      <c r="D113" s="1"/>
      <c r="E113" s="289" t="s">
        <v>75</v>
      </c>
      <c r="F113" s="289" t="s">
        <v>74</v>
      </c>
      <c r="G113" s="290"/>
      <c r="H113" s="293" t="str">
        <f>VLOOKUP(E113&amp;F113,'[1]MV+BI'!$E$8:$K$375,3,FALSE)</f>
        <v>Validação EF</v>
      </c>
      <c r="I113" s="294" t="str">
        <f>VLOOKUP(E113&amp;F113,'[1]MV+BI'!$E$8:$K$375,6,FALSE)</f>
        <v>Leasing</v>
      </c>
      <c r="K113" s="295" t="str">
        <f>VLOOKUP(E113&amp;F113,'[1]MV+BI'!$E$8:$K$375,5,FALSE)</f>
        <v>-</v>
      </c>
      <c r="M113" s="295">
        <f>VLOOKUP(E113&amp;F113,'[1]MV+BI'!$E$8:$K$375,7,FALSE)</f>
        <v>45429</v>
      </c>
      <c r="N113"/>
      <c r="O113" s="1" t="s">
        <v>119</v>
      </c>
      <c r="P113"/>
      <c r="Q113" s="62"/>
      <c r="R113" s="1"/>
      <c r="S113" s="1"/>
      <c r="T113" s="1"/>
      <c r="U113" s="1"/>
      <c r="V113" s="1"/>
      <c r="W113" s="1"/>
      <c r="X113"/>
      <c r="Y113"/>
      <c r="Z113"/>
      <c r="AA113"/>
      <c r="AB113"/>
      <c r="AC113"/>
      <c r="AD113" s="32"/>
    </row>
    <row r="114" spans="3:30" s="2" customFormat="1" ht="15" customHeight="1">
      <c r="C114" s="157"/>
      <c r="D114" s="1"/>
      <c r="E114" s="289" t="s">
        <v>75</v>
      </c>
      <c r="F114" s="289" t="s">
        <v>120</v>
      </c>
      <c r="G114" s="290"/>
      <c r="H114" s="293" t="str">
        <f>VLOOKUP(E114&amp;F114,'[1]MV+BI'!$E$8:$K$375,3,FALSE)</f>
        <v>Validação EF</v>
      </c>
      <c r="I114" s="294" t="str">
        <f>VLOOKUP(E114&amp;F114,'[1]MV+BI'!$E$8:$K$375,6,FALSE)</f>
        <v>Leasing</v>
      </c>
      <c r="K114" s="295" t="str">
        <f>VLOOKUP(E114&amp;F114,'[1]MV+BI'!$E$8:$K$375,5,FALSE)</f>
        <v>-</v>
      </c>
      <c r="M114" s="295">
        <f>VLOOKUP(E114&amp;F114,'[1]MV+BI'!$E$8:$K$375,7,FALSE)</f>
        <v>45429</v>
      </c>
      <c r="N114"/>
      <c r="O114" s="296" t="s">
        <v>121</v>
      </c>
      <c r="P114"/>
      <c r="Q114" s="62"/>
      <c r="R114" s="1"/>
      <c r="S114" s="1"/>
      <c r="T114" s="1"/>
      <c r="U114" s="1"/>
      <c r="V114" s="1"/>
      <c r="W114" s="1"/>
      <c r="X114"/>
      <c r="Y114"/>
      <c r="Z114"/>
      <c r="AA114"/>
      <c r="AB114"/>
      <c r="AC114"/>
      <c r="AD114" s="32"/>
    </row>
    <row r="115" spans="3:30" s="2" customFormat="1" ht="15" customHeight="1">
      <c r="C115" s="157"/>
      <c r="D115" s="1"/>
      <c r="E115" s="289" t="s">
        <v>75</v>
      </c>
      <c r="F115" s="289" t="s">
        <v>122</v>
      </c>
      <c r="G115" s="290"/>
      <c r="H115" s="293" t="str">
        <f>VLOOKUP(E115&amp;F115,'[1]MV+BI'!$E$8:$K$375,3,FALSE)</f>
        <v>Validação EF</v>
      </c>
      <c r="I115" s="294" t="str">
        <f>VLOOKUP(E115&amp;F115,'[1]MV+BI'!$E$8:$K$375,6,FALSE)</f>
        <v>Leasing</v>
      </c>
      <c r="K115" s="295" t="str">
        <f>VLOOKUP(E115&amp;F115,'[1]MV+BI'!$E$8:$K$375,5,FALSE)</f>
        <v>-</v>
      </c>
      <c r="M115" s="295">
        <f>VLOOKUP(E115&amp;F115,'[1]MV+BI'!$E$8:$K$375,7,FALSE)</f>
        <v>45429</v>
      </c>
      <c r="N115"/>
      <c r="O115" s="296" t="s">
        <v>123</v>
      </c>
      <c r="P115"/>
      <c r="Q115" s="62"/>
      <c r="R115" s="1"/>
      <c r="S115" s="1"/>
      <c r="T115" s="1"/>
      <c r="U115" s="1"/>
      <c r="V115" s="1"/>
      <c r="W115" s="1"/>
      <c r="X115"/>
      <c r="Y115"/>
      <c r="Z115"/>
      <c r="AA115"/>
      <c r="AB115"/>
      <c r="AC115"/>
      <c r="AD115" s="32"/>
    </row>
    <row r="116" spans="3:30" s="2" customFormat="1" ht="15" customHeight="1">
      <c r="C116" s="157"/>
      <c r="D116" s="1"/>
      <c r="E116" s="289" t="s">
        <v>75</v>
      </c>
      <c r="F116" s="289" t="s">
        <v>73</v>
      </c>
      <c r="G116" s="290"/>
      <c r="H116" s="293" t="str">
        <f>VLOOKUP(E116&amp;F116,'[1]MV+BI'!$E$8:$K$375,3,FALSE)</f>
        <v>Validação EF</v>
      </c>
      <c r="I116" s="294" t="str">
        <f>VLOOKUP(E116&amp;F116,'[1]MV+BI'!$E$8:$K$375,6,FALSE)</f>
        <v>Leasing</v>
      </c>
      <c r="K116" s="295" t="str">
        <f>VLOOKUP(E116&amp;F116,'[1]MV+BI'!$E$8:$K$375,5,FALSE)</f>
        <v>-</v>
      </c>
      <c r="M116" s="295">
        <f>VLOOKUP(E116&amp;F116,'[1]MV+BI'!$E$8:$K$375,7,FALSE)</f>
        <v>45429</v>
      </c>
      <c r="N116"/>
      <c r="O116" s="296" t="s">
        <v>124</v>
      </c>
      <c r="P116"/>
      <c r="Q116" s="62"/>
      <c r="R116" s="1"/>
      <c r="S116" s="1"/>
      <c r="T116" s="1"/>
      <c r="U116" s="1"/>
      <c r="V116" s="1"/>
      <c r="W116" s="1"/>
      <c r="X116"/>
      <c r="Y116"/>
      <c r="Z116"/>
      <c r="AA116"/>
      <c r="AB116"/>
      <c r="AC116"/>
      <c r="AD116" s="32"/>
    </row>
    <row r="117" spans="3:30" s="2" customFormat="1" ht="15" customHeight="1">
      <c r="C117" s="157"/>
      <c r="D117" s="1"/>
      <c r="E117" s="289" t="s">
        <v>68</v>
      </c>
      <c r="F117" s="289" t="s">
        <v>110</v>
      </c>
      <c r="G117" s="290"/>
      <c r="H117" s="293" t="str">
        <f>VLOOKUP(E117&amp;F117,'[1]MV+BI'!$E$8:$K$375,3,FALSE)</f>
        <v>Em Correção</v>
      </c>
      <c r="I117" s="294" t="str">
        <f>VLOOKUP(E117&amp;F117,'[1]MV+BI'!$E$8:$K$375,6,FALSE)</f>
        <v>IT</v>
      </c>
      <c r="K117" s="295" t="str">
        <f>VLOOKUP(E117&amp;F117,'[1]MV+BI'!$E$8:$K$375,5,FALSE)</f>
        <v>-</v>
      </c>
      <c r="M117" s="295">
        <f>VLOOKUP(E117&amp;F117,'[1]MV+BI'!$E$8:$K$375,7,FALSE)</f>
        <v>45429</v>
      </c>
      <c r="N117"/>
      <c r="O117" s="1" t="s">
        <v>125</v>
      </c>
      <c r="P117"/>
      <c r="Q117" s="62"/>
      <c r="R117" s="1"/>
      <c r="S117" s="1"/>
      <c r="T117" s="1"/>
      <c r="U117" s="1"/>
      <c r="V117" s="1"/>
      <c r="W117" s="1"/>
      <c r="X117"/>
      <c r="Y117"/>
      <c r="Z117"/>
      <c r="AA117"/>
      <c r="AB117"/>
      <c r="AC117"/>
      <c r="AD117" s="32"/>
    </row>
    <row r="118" spans="3:30" s="2" customFormat="1" ht="15" customHeight="1">
      <c r="C118" s="157"/>
      <c r="D118" s="1"/>
      <c r="E118" s="289" t="s">
        <v>68</v>
      </c>
      <c r="F118" s="289" t="s">
        <v>112</v>
      </c>
      <c r="G118" s="290"/>
      <c r="H118" s="293" t="str">
        <f>VLOOKUP(E118&amp;F118,'[1]MV+BI'!$E$8:$K$375,3,FALSE)</f>
        <v>Em Correção</v>
      </c>
      <c r="I118" s="294" t="str">
        <f>VLOOKUP(E118&amp;F118,'[1]MV+BI'!$E$8:$K$375,6,FALSE)</f>
        <v>IT</v>
      </c>
      <c r="K118" s="295" t="str">
        <f>VLOOKUP(E118&amp;F118,'[1]MV+BI'!$E$8:$K$375,5,FALSE)</f>
        <v>-</v>
      </c>
      <c r="M118" s="295">
        <f>VLOOKUP(E118&amp;F118,'[1]MV+BI'!$E$8:$K$375,7,FALSE)</f>
        <v>45429</v>
      </c>
      <c r="N118"/>
      <c r="O118" s="1" t="s">
        <v>125</v>
      </c>
      <c r="P118"/>
      <c r="Q118" s="62"/>
      <c r="R118" s="1"/>
      <c r="S118" s="1"/>
      <c r="T118" s="1"/>
      <c r="U118" s="1"/>
      <c r="V118" s="1"/>
      <c r="W118" s="1"/>
      <c r="X118"/>
      <c r="Y118"/>
      <c r="Z118"/>
      <c r="AA118"/>
      <c r="AB118"/>
      <c r="AC118"/>
      <c r="AD118" s="32"/>
    </row>
    <row r="119" spans="3:30" s="2" customFormat="1" ht="15" customHeight="1">
      <c r="C119" s="157"/>
      <c r="D119" s="1"/>
      <c r="E119" s="289" t="s">
        <v>68</v>
      </c>
      <c r="F119" s="289" t="s">
        <v>126</v>
      </c>
      <c r="G119" s="290"/>
      <c r="H119" s="293" t="str">
        <f>VLOOKUP(E119&amp;F119,'[1]MV+BI'!$E$8:$K$375,3,FALSE)</f>
        <v>Validação EF</v>
      </c>
      <c r="I119" s="294" t="str">
        <f>VLOOKUP(E119&amp;F119,'[1]MV+BI'!$E$8:$K$375,6,FALSE)</f>
        <v>-</v>
      </c>
      <c r="K119" s="295" t="str">
        <f>VLOOKUP(E119&amp;F119,'[1]MV+BI'!$E$8:$K$375,5,FALSE)</f>
        <v>-</v>
      </c>
      <c r="M119" s="295">
        <f>VLOOKUP(E119&amp;F119,'[1]MV+BI'!$E$8:$K$375,7,FALSE)</f>
        <v>45429</v>
      </c>
      <c r="N119"/>
      <c r="O119" s="296" t="s">
        <v>416</v>
      </c>
      <c r="P119"/>
      <c r="Q119" s="62"/>
      <c r="R119" s="1"/>
      <c r="S119" s="1"/>
      <c r="T119" s="1"/>
      <c r="U119" s="1"/>
      <c r="V119" s="1"/>
      <c r="W119" s="1"/>
      <c r="X119"/>
      <c r="Y119"/>
      <c r="Z119"/>
      <c r="AA119"/>
      <c r="AB119"/>
      <c r="AC119"/>
      <c r="AD119" s="32"/>
    </row>
    <row r="120" spans="3:30" s="2" customFormat="1" ht="15" customHeight="1">
      <c r="C120" s="157"/>
      <c r="D120" s="1"/>
      <c r="E120" s="289" t="s">
        <v>68</v>
      </c>
      <c r="F120" s="289" t="s">
        <v>128</v>
      </c>
      <c r="G120" s="290"/>
      <c r="H120" s="293" t="str">
        <f>VLOOKUP(E120&amp;F120,'[1]MV+BI'!$E$8:$K$375,3,FALSE)</f>
        <v>Validação EF</v>
      </c>
      <c r="I120" s="294" t="str">
        <f>VLOOKUP(E120&amp;F120,'[1]MV+BI'!$E$8:$K$375,6,FALSE)</f>
        <v>-</v>
      </c>
      <c r="K120" s="295" t="str">
        <f>VLOOKUP(E120&amp;F120,'[1]MV+BI'!$E$8:$K$375,5,FALSE)</f>
        <v>-</v>
      </c>
      <c r="M120" s="295">
        <f>VLOOKUP(E120&amp;F120,'[1]MV+BI'!$E$8:$K$375,7,FALSE)</f>
        <v>45429</v>
      </c>
      <c r="N120"/>
      <c r="O120" s="296" t="s">
        <v>416</v>
      </c>
      <c r="P120"/>
      <c r="Q120" s="62"/>
      <c r="R120" s="1"/>
      <c r="S120" s="1"/>
      <c r="T120" s="1"/>
      <c r="U120" s="1"/>
      <c r="V120" s="1"/>
      <c r="W120" s="1"/>
      <c r="X120"/>
      <c r="Y120"/>
      <c r="Z120"/>
      <c r="AA120"/>
      <c r="AB120"/>
      <c r="AC120"/>
      <c r="AD120" s="32"/>
    </row>
    <row r="121" spans="3:30" s="2" customFormat="1" ht="15" customHeight="1">
      <c r="C121" s="157"/>
      <c r="D121" s="1"/>
      <c r="E121" s="289" t="s">
        <v>68</v>
      </c>
      <c r="F121" s="289" t="s">
        <v>113</v>
      </c>
      <c r="G121" s="290"/>
      <c r="H121" s="293" t="str">
        <f>VLOOKUP(E121&amp;F121,'[1]MV+BI'!$E$8:$K$375,3,FALSE)</f>
        <v>Validação EF</v>
      </c>
      <c r="I121" s="294" t="str">
        <f>VLOOKUP(E121&amp;F121,'[1]MV+BI'!$E$8:$K$375,6,FALSE)</f>
        <v>-</v>
      </c>
      <c r="K121" s="295" t="str">
        <f>VLOOKUP(E121&amp;F121,'[1]MV+BI'!$E$8:$K$375,5,FALSE)</f>
        <v>-</v>
      </c>
      <c r="M121" s="295">
        <f>VLOOKUP(E121&amp;F121,'[1]MV+BI'!$E$8:$K$375,7,FALSE)</f>
        <v>45429</v>
      </c>
      <c r="N121"/>
      <c r="O121" s="1" t="s">
        <v>129</v>
      </c>
      <c r="P121"/>
      <c r="Q121" s="62"/>
      <c r="R121" s="1"/>
      <c r="S121" s="1"/>
      <c r="T121" s="1"/>
      <c r="U121" s="1"/>
      <c r="V121" s="1"/>
      <c r="W121" s="1"/>
      <c r="X121"/>
      <c r="Y121"/>
      <c r="Z121"/>
      <c r="AA121"/>
      <c r="AB121"/>
      <c r="AC121"/>
      <c r="AD121" s="32"/>
    </row>
    <row r="122" spans="3:30" s="2" customFormat="1" ht="15" customHeight="1">
      <c r="C122" s="157"/>
      <c r="D122" s="1"/>
      <c r="E122" s="289" t="s">
        <v>68</v>
      </c>
      <c r="F122" s="289" t="s">
        <v>115</v>
      </c>
      <c r="G122" s="290"/>
      <c r="H122" s="293" t="str">
        <f>VLOOKUP(E122&amp;F122,'[1]MV+BI'!$E$8:$K$375,3,FALSE)</f>
        <v>Validação EF</v>
      </c>
      <c r="I122" s="294" t="str">
        <f>VLOOKUP(E122&amp;F122,'[1]MV+BI'!$E$8:$K$375,6,FALSE)</f>
        <v>-</v>
      </c>
      <c r="K122" s="295" t="str">
        <f>VLOOKUP(E122&amp;F122,'[1]MV+BI'!$E$8:$K$375,5,FALSE)</f>
        <v>-</v>
      </c>
      <c r="M122" s="295">
        <f>VLOOKUP(E122&amp;F122,'[1]MV+BI'!$E$8:$K$375,7,FALSE)</f>
        <v>45429</v>
      </c>
      <c r="N122"/>
      <c r="O122" s="1" t="s">
        <v>129</v>
      </c>
      <c r="P122"/>
      <c r="Q122" s="62"/>
      <c r="R122" s="1"/>
      <c r="S122" s="1"/>
      <c r="T122" s="1"/>
      <c r="U122" s="1"/>
      <c r="V122" s="1"/>
      <c r="W122" s="1"/>
      <c r="X122"/>
      <c r="Y122"/>
      <c r="Z122"/>
      <c r="AA122"/>
      <c r="AB122"/>
      <c r="AC122"/>
      <c r="AD122" s="32"/>
    </row>
    <row r="123" spans="3:30" s="2" customFormat="1" ht="15" customHeight="1">
      <c r="C123" s="157"/>
      <c r="D123" s="1"/>
      <c r="E123" s="289" t="s">
        <v>68</v>
      </c>
      <c r="F123" s="289" t="s">
        <v>76</v>
      </c>
      <c r="G123" s="290"/>
      <c r="H123" s="293" t="str">
        <f>VLOOKUP(E123&amp;F123,'[1]MV+BI'!$E$8:$K$375,3,FALSE)</f>
        <v>Validação EF</v>
      </c>
      <c r="I123" s="294" t="str">
        <f>VLOOKUP(E123&amp;F123,'[1]MV+BI'!$E$8:$K$375,6,FALSE)</f>
        <v>IT</v>
      </c>
      <c r="K123" s="295" t="str">
        <f>VLOOKUP(E123&amp;F123,'[1]MV+BI'!$E$8:$K$375,5,FALSE)</f>
        <v>-</v>
      </c>
      <c r="M123" s="295">
        <f>VLOOKUP(E123&amp;F123,'[1]MV+BI'!$E$8:$K$375,7,FALSE)</f>
        <v>45429</v>
      </c>
      <c r="N123"/>
      <c r="O123" t="s">
        <v>130</v>
      </c>
      <c r="P123"/>
      <c r="Q123" s="62"/>
      <c r="R123" s="1"/>
      <c r="S123" s="1"/>
      <c r="T123" s="1"/>
      <c r="U123" s="1"/>
      <c r="V123" s="1"/>
      <c r="W123" s="1"/>
      <c r="X123"/>
      <c r="Y123"/>
      <c r="Z123"/>
      <c r="AA123"/>
      <c r="AB123"/>
      <c r="AC123"/>
      <c r="AD123" s="32"/>
    </row>
    <row r="124" spans="3:30" s="2" customFormat="1" ht="15" customHeight="1">
      <c r="C124" s="157"/>
      <c r="D124" s="1"/>
      <c r="E124" s="289" t="s">
        <v>68</v>
      </c>
      <c r="F124" s="289" t="s">
        <v>77</v>
      </c>
      <c r="G124" s="290"/>
      <c r="H124" s="293" t="str">
        <f>VLOOKUP(E124&amp;F124,'[1]MV+BI'!$E$8:$K$375,3,FALSE)</f>
        <v>Validação EF</v>
      </c>
      <c r="I124" s="294" t="str">
        <f>VLOOKUP(E124&amp;F124,'[1]MV+BI'!$E$8:$K$375,6,FALSE)</f>
        <v>IT</v>
      </c>
      <c r="K124" s="295" t="str">
        <f>VLOOKUP(E124&amp;F124,'[1]MV+BI'!$E$8:$K$375,5,FALSE)</f>
        <v>-</v>
      </c>
      <c r="M124" s="295">
        <f>VLOOKUP(E124&amp;F124,'[1]MV+BI'!$E$8:$K$375,7,FALSE)</f>
        <v>45429</v>
      </c>
      <c r="N124"/>
      <c r="O124" t="s">
        <v>130</v>
      </c>
      <c r="P124"/>
      <c r="Q124" s="62"/>
      <c r="R124" s="1"/>
      <c r="S124" s="1"/>
      <c r="T124" s="1"/>
      <c r="U124" s="1"/>
      <c r="V124" s="1"/>
      <c r="W124" s="1"/>
      <c r="X124"/>
      <c r="Y124"/>
      <c r="Z124"/>
      <c r="AA124"/>
      <c r="AB124"/>
      <c r="AC124"/>
      <c r="AD124" s="32"/>
    </row>
    <row r="125" spans="3:30" s="2" customFormat="1" ht="15" customHeight="1">
      <c r="C125" s="157"/>
      <c r="D125" s="1"/>
      <c r="E125" s="289" t="s">
        <v>68</v>
      </c>
      <c r="F125" s="289" t="s">
        <v>78</v>
      </c>
      <c r="G125" s="290"/>
      <c r="H125" s="293" t="str">
        <f>VLOOKUP(E125&amp;F125,'[1]MV+BI'!$E$8:$K$375,3,FALSE)</f>
        <v>Validação EF</v>
      </c>
      <c r="I125" s="294" t="str">
        <f>VLOOKUP(E125&amp;F125,'[1]MV+BI'!$E$8:$K$375,6,FALSE)</f>
        <v>-</v>
      </c>
      <c r="K125" s="295" t="str">
        <f>VLOOKUP(E125&amp;F125,'[1]MV+BI'!$E$8:$K$375,5,FALSE)</f>
        <v>-</v>
      </c>
      <c r="M125" s="295">
        <f>VLOOKUP(E125&amp;F125,'[1]MV+BI'!$E$8:$K$375,7,FALSE)</f>
        <v>45429</v>
      </c>
      <c r="N125"/>
      <c r="O125"/>
      <c r="P125"/>
      <c r="Q125" s="62"/>
      <c r="R125" s="1"/>
      <c r="S125" s="1"/>
      <c r="T125" s="1"/>
      <c r="U125" s="1"/>
      <c r="V125" s="1"/>
      <c r="W125" s="1"/>
      <c r="X125"/>
      <c r="Y125"/>
      <c r="Z125"/>
      <c r="AA125"/>
      <c r="AB125"/>
      <c r="AC125"/>
      <c r="AD125" s="32"/>
    </row>
    <row r="126" spans="3:30" s="2" customFormat="1" ht="15" customHeight="1">
      <c r="C126" s="157"/>
      <c r="D126" s="1"/>
      <c r="E126" s="289" t="s">
        <v>68</v>
      </c>
      <c r="F126" s="289" t="s">
        <v>120</v>
      </c>
      <c r="G126" s="290"/>
      <c r="H126" s="293" t="str">
        <f>VLOOKUP(E126&amp;F126,'[1]MV+BI'!$E$8:$K$375,3,FALSE)</f>
        <v>Validação EF</v>
      </c>
      <c r="I126" s="294" t="str">
        <f>VLOOKUP(E126&amp;F126,'[1]MV+BI'!$E$8:$K$375,6,FALSE)</f>
        <v>IT</v>
      </c>
      <c r="K126" s="295" t="str">
        <f>VLOOKUP(E126&amp;F126,'[1]MV+BI'!$E$8:$K$375,5,FALSE)</f>
        <v>-</v>
      </c>
      <c r="M126" s="295">
        <f>VLOOKUP(E126&amp;F126,'[1]MV+BI'!$E$8:$K$375,7,FALSE)</f>
        <v>45429</v>
      </c>
      <c r="N126"/>
      <c r="O126" t="s">
        <v>132</v>
      </c>
      <c r="P126"/>
      <c r="Q126" s="62"/>
      <c r="R126" s="1"/>
      <c r="S126" s="1"/>
      <c r="T126" s="1"/>
      <c r="U126" s="1"/>
      <c r="V126" s="1"/>
      <c r="W126" s="1"/>
      <c r="X126"/>
      <c r="Y126"/>
      <c r="Z126"/>
      <c r="AA126"/>
      <c r="AB126"/>
      <c r="AC126"/>
      <c r="AD126" s="32"/>
    </row>
    <row r="127" spans="3:30" s="2" customFormat="1" ht="15" customHeight="1">
      <c r="C127" s="157"/>
      <c r="D127" s="1"/>
      <c r="E127" s="289" t="s">
        <v>68</v>
      </c>
      <c r="F127" s="289" t="s">
        <v>122</v>
      </c>
      <c r="G127" s="290"/>
      <c r="H127" s="293" t="str">
        <f>VLOOKUP(E127&amp;F127,'[1]MV+BI'!$E$8:$K$375,3,FALSE)</f>
        <v>Validação EF</v>
      </c>
      <c r="I127" s="294" t="str">
        <f>VLOOKUP(E127&amp;F127,'[1]MV+BI'!$E$8:$K$375,6,FALSE)</f>
        <v>IT</v>
      </c>
      <c r="K127" s="295" t="str">
        <f>VLOOKUP(E127&amp;F127,'[1]MV+BI'!$E$8:$K$375,5,FALSE)</f>
        <v>-</v>
      </c>
      <c r="M127" s="295">
        <f>VLOOKUP(E127&amp;F127,'[1]MV+BI'!$E$8:$K$375,7,FALSE)</f>
        <v>45429</v>
      </c>
      <c r="N127"/>
      <c r="O127" t="s">
        <v>132</v>
      </c>
      <c r="P127"/>
      <c r="Q127" s="62"/>
      <c r="R127" s="1"/>
      <c r="S127" s="1"/>
      <c r="T127" s="1"/>
      <c r="U127" s="1"/>
      <c r="V127" s="1"/>
      <c r="W127" s="1"/>
      <c r="X127"/>
      <c r="Y127"/>
      <c r="Z127"/>
      <c r="AA127"/>
      <c r="AB127"/>
      <c r="AC127"/>
      <c r="AD127" s="32"/>
    </row>
    <row r="128" spans="3:30" s="2" customFormat="1" ht="15" customHeight="1">
      <c r="C128" s="157"/>
      <c r="D128" s="1"/>
      <c r="E128" s="289" t="s">
        <v>65</v>
      </c>
      <c r="F128" s="289" t="s">
        <v>110</v>
      </c>
      <c r="G128" s="290"/>
      <c r="H128" s="293" t="str">
        <f>VLOOKUP(E128&amp;F128,'[1]MV+BI'!$E$8:$K$375,3,FALSE)</f>
        <v>Validação EF</v>
      </c>
      <c r="I128" s="294" t="str">
        <f>VLOOKUP(E128&amp;F128,'[1]MV+BI'!$E$8:$K$375,6,FALSE)</f>
        <v>LCM</v>
      </c>
      <c r="K128" s="295" t="str">
        <f>VLOOKUP(E128&amp;F128,'[1]MV+BI'!$E$8:$K$375,5,FALSE)</f>
        <v>-</v>
      </c>
      <c r="M128" s="295">
        <f>VLOOKUP(E128&amp;F128,'[1]MV+BI'!$E$8:$K$375,7,FALSE)</f>
        <v>45478</v>
      </c>
      <c r="N128"/>
      <c r="O128" s="1" t="s">
        <v>111</v>
      </c>
      <c r="P128"/>
      <c r="Q128" s="62"/>
      <c r="R128" s="1"/>
      <c r="S128" s="1"/>
      <c r="T128" s="1"/>
      <c r="U128" s="1"/>
      <c r="V128" s="1"/>
      <c r="W128" s="1"/>
      <c r="X128"/>
      <c r="Y128"/>
      <c r="Z128"/>
      <c r="AA128"/>
      <c r="AB128"/>
      <c r="AC128"/>
      <c r="AD128" s="32"/>
    </row>
    <row r="129" spans="3:30" s="2" customFormat="1" ht="15" customHeight="1">
      <c r="C129" s="157"/>
      <c r="D129" s="1"/>
      <c r="E129" s="289" t="s">
        <v>65</v>
      </c>
      <c r="F129" s="289" t="s">
        <v>112</v>
      </c>
      <c r="G129" s="290"/>
      <c r="H129" s="293" t="str">
        <f>VLOOKUP(E129&amp;F129,'[1]MV+BI'!$E$8:$K$375,3,FALSE)</f>
        <v>Validação EF</v>
      </c>
      <c r="I129" s="294" t="str">
        <f>VLOOKUP(E129&amp;F129,'[1]MV+BI'!$E$8:$K$375,6,FALSE)</f>
        <v>LCM</v>
      </c>
      <c r="K129" s="295" t="str">
        <f>VLOOKUP(E129&amp;F129,'[1]MV+BI'!$E$8:$K$375,5,FALSE)</f>
        <v>-</v>
      </c>
      <c r="M129" s="295">
        <f>VLOOKUP(E129&amp;F129,'[1]MV+BI'!$E$8:$K$375,7,FALSE)</f>
        <v>45478</v>
      </c>
      <c r="N129"/>
      <c r="O129" s="1" t="s">
        <v>111</v>
      </c>
      <c r="P129"/>
      <c r="Q129" s="62"/>
      <c r="R129" s="1"/>
      <c r="S129" s="1"/>
      <c r="T129" s="1"/>
      <c r="U129" s="1"/>
      <c r="V129" s="1"/>
      <c r="W129" s="1"/>
      <c r="X129"/>
      <c r="Y129"/>
      <c r="Z129"/>
      <c r="AA129"/>
      <c r="AB129"/>
      <c r="AC129"/>
      <c r="AD129" s="32"/>
    </row>
    <row r="130" spans="3:30" s="2" customFormat="1" ht="15" customHeight="1">
      <c r="C130" s="157"/>
      <c r="D130" s="1"/>
      <c r="E130" s="289" t="s">
        <v>65</v>
      </c>
      <c r="F130" s="289" t="s">
        <v>113</v>
      </c>
      <c r="G130" s="290"/>
      <c r="H130" s="293" t="str">
        <f>VLOOKUP(E130&amp;F130,'[1]MV+BI'!$E$8:$K$375,3,FALSE)</f>
        <v>Em Correção</v>
      </c>
      <c r="I130" s="294" t="str">
        <f>VLOOKUP(E130&amp;F130,'[1]MV+BI'!$E$8:$K$375,6,FALSE)</f>
        <v>IT</v>
      </c>
      <c r="K130" s="295" t="str">
        <f>VLOOKUP(E130&amp;F130,'[1]MV+BI'!$E$8:$K$375,5,FALSE)</f>
        <v>-</v>
      </c>
      <c r="M130" s="295">
        <f>VLOOKUP(E130&amp;F130,'[1]MV+BI'!$E$8:$K$375,7,FALSE)</f>
        <v>45478</v>
      </c>
      <c r="N130"/>
      <c r="O130" s="296" t="s">
        <v>114</v>
      </c>
      <c r="P130"/>
      <c r="Q130" s="62"/>
      <c r="R130" s="1"/>
      <c r="S130" s="1"/>
      <c r="T130" s="1"/>
      <c r="U130" s="1"/>
      <c r="V130" s="1"/>
      <c r="W130" s="1"/>
      <c r="X130"/>
      <c r="Y130"/>
      <c r="Z130"/>
      <c r="AA130"/>
      <c r="AB130"/>
      <c r="AC130"/>
      <c r="AD130" s="32"/>
    </row>
    <row r="131" spans="3:30" s="2" customFormat="1" ht="15" customHeight="1">
      <c r="C131" s="157"/>
      <c r="D131" s="1"/>
      <c r="E131" s="289" t="s">
        <v>65</v>
      </c>
      <c r="F131" s="289" t="s">
        <v>115</v>
      </c>
      <c r="G131" s="290"/>
      <c r="H131" s="293" t="str">
        <f>VLOOKUP(E131&amp;F131,'[1]MV+BI'!$E$8:$K$375,3,FALSE)</f>
        <v>Em Correção</v>
      </c>
      <c r="I131" s="294" t="str">
        <f>VLOOKUP(E131&amp;F131,'[1]MV+BI'!$E$8:$K$375,6,FALSE)</f>
        <v>IT</v>
      </c>
      <c r="K131" s="295" t="str">
        <f>VLOOKUP(E131&amp;F131,'[1]MV+BI'!$E$8:$K$375,5,FALSE)</f>
        <v>-</v>
      </c>
      <c r="M131" s="295">
        <f>VLOOKUP(E131&amp;F131,'[1]MV+BI'!$E$8:$K$375,7,FALSE)</f>
        <v>45478</v>
      </c>
      <c r="N131"/>
      <c r="O131" s="296" t="s">
        <v>114</v>
      </c>
      <c r="P131"/>
      <c r="Q131" s="62"/>
      <c r="R131" s="1"/>
      <c r="S131" s="1"/>
      <c r="T131" s="1"/>
      <c r="U131" s="1"/>
      <c r="V131" s="1"/>
      <c r="W131" s="1"/>
      <c r="X131"/>
      <c r="Y131"/>
      <c r="Z131"/>
      <c r="AA131"/>
      <c r="AB131"/>
      <c r="AC131"/>
      <c r="AD131" s="32"/>
    </row>
    <row r="132" spans="3:30" s="2" customFormat="1" ht="15" customHeight="1">
      <c r="C132" s="157"/>
      <c r="D132" s="1"/>
      <c r="E132" s="289" t="s">
        <v>65</v>
      </c>
      <c r="F132" s="289" t="s">
        <v>74</v>
      </c>
      <c r="G132" s="290"/>
      <c r="H132" s="293" t="str">
        <f>VLOOKUP(E132&amp;F132,'[1]MV+BI'!$E$8:$K$375,3,FALSE)</f>
        <v>Em Correção</v>
      </c>
      <c r="I132" s="294" t="str">
        <f>VLOOKUP(E132&amp;F132,'[1]MV+BI'!$E$8:$K$375,6,FALSE)</f>
        <v>IT</v>
      </c>
      <c r="K132" s="295" t="str">
        <f>VLOOKUP(E132&amp;F132,'[1]MV+BI'!$E$8:$K$375,5,FALSE)</f>
        <v>-</v>
      </c>
      <c r="M132" s="295">
        <f>VLOOKUP(E132&amp;F132,'[1]MV+BI'!$E$8:$K$375,7,FALSE)</f>
        <v>45478</v>
      </c>
      <c r="N132"/>
      <c r="O132" s="296" t="s">
        <v>114</v>
      </c>
      <c r="P132"/>
      <c r="Q132" s="62"/>
      <c r="R132" s="1"/>
      <c r="S132" s="1"/>
      <c r="T132" s="1"/>
      <c r="U132" s="1"/>
      <c r="V132" s="1"/>
      <c r="W132" s="1"/>
      <c r="X132"/>
      <c r="Y132"/>
      <c r="Z132"/>
      <c r="AA132"/>
      <c r="AB132"/>
      <c r="AC132"/>
      <c r="AD132" s="32"/>
    </row>
    <row r="133" spans="3:30" s="2" customFormat="1" ht="15" customHeight="1">
      <c r="C133" s="157"/>
      <c r="D133" s="1"/>
      <c r="E133" s="289" t="s">
        <v>65</v>
      </c>
      <c r="F133" s="289" t="s">
        <v>116</v>
      </c>
      <c r="G133" s="290"/>
      <c r="H133" s="293" t="str">
        <f>VLOOKUP(E133&amp;F133,'[1]MV+BI'!$E$8:$K$375,3,FALSE)</f>
        <v>Validação EF</v>
      </c>
      <c r="I133" s="294" t="str">
        <f>VLOOKUP(E133&amp;F133,'[1]MV+BI'!$E$8:$K$375,6,FALSE)</f>
        <v>LCM</v>
      </c>
      <c r="K133" s="295" t="str">
        <f>VLOOKUP(E133&amp;F133,'[1]MV+BI'!$E$8:$K$375,5,FALSE)</f>
        <v>-</v>
      </c>
      <c r="M133" s="295">
        <f>VLOOKUP(E133&amp;F133,'[1]MV+BI'!$E$8:$K$375,7,FALSE)</f>
        <v>45478</v>
      </c>
      <c r="N133"/>
      <c r="O133" s="1" t="s">
        <v>117</v>
      </c>
      <c r="P133"/>
      <c r="Q133" s="62"/>
      <c r="R133" s="1"/>
      <c r="S133" s="1"/>
      <c r="T133" s="1"/>
      <c r="U133" s="1"/>
      <c r="V133" s="1"/>
      <c r="W133" s="1"/>
      <c r="X133"/>
      <c r="Y133"/>
      <c r="Z133"/>
      <c r="AA133"/>
      <c r="AB133"/>
      <c r="AC133"/>
      <c r="AD133" s="32"/>
    </row>
    <row r="134" spans="3:30" s="2" customFormat="1" ht="15" customHeight="1">
      <c r="C134" s="157"/>
      <c r="D134" s="1"/>
      <c r="E134" s="168" t="s">
        <v>65</v>
      </c>
      <c r="F134" s="168" t="s">
        <v>167</v>
      </c>
      <c r="G134" s="287"/>
      <c r="H134" s="176" t="str">
        <f>VLOOKUP(E134&amp;F134,'[1]MV+BI'!$E$8:$K$375,3,FALSE)</f>
        <v>Em Correção</v>
      </c>
      <c r="I134" s="170" t="str">
        <f>VLOOKUP(E134&amp;F134,'[1]MV+BI'!$E$8:$K$375,6,FALSE)</f>
        <v>IT</v>
      </c>
      <c r="J134"/>
      <c r="K134" s="172" t="str">
        <f>VLOOKUP(E134&amp;F134,'[1]MV+BI'!$E$8:$K$375,5,FALSE)</f>
        <v>-</v>
      </c>
      <c r="L134" s="62"/>
      <c r="M134" s="172">
        <f>VLOOKUP(E134&amp;F134,'[1]MV+BI'!$E$8:$L$375,8,FALSE)</f>
        <v>45443</v>
      </c>
      <c r="N134"/>
      <c r="O134" s="1"/>
      <c r="P134"/>
      <c r="Q134" s="62"/>
      <c r="R134" s="1"/>
      <c r="S134" s="1"/>
      <c r="T134" s="1"/>
      <c r="U134" s="1"/>
      <c r="V134" s="1"/>
      <c r="W134" s="1"/>
      <c r="X134"/>
      <c r="Y134"/>
      <c r="Z134"/>
      <c r="AA134"/>
      <c r="AB134"/>
      <c r="AC134"/>
      <c r="AD134" s="32"/>
    </row>
    <row r="135" spans="3:30" s="2" customFormat="1" ht="15" customHeight="1">
      <c r="C135" s="157"/>
      <c r="D135" s="1"/>
      <c r="E135" s="168" t="s">
        <v>65</v>
      </c>
      <c r="F135" s="168" t="s">
        <v>168</v>
      </c>
      <c r="G135" s="287"/>
      <c r="H135" s="176" t="str">
        <f>VLOOKUP(E135&amp;F135,'[1]MV+BI'!$E$8:$K$375,3,FALSE)</f>
        <v>Em Correção</v>
      </c>
      <c r="I135" s="170" t="str">
        <f>VLOOKUP(E135&amp;F135,'[1]MV+BI'!$E$8:$K$375,6,FALSE)</f>
        <v>IT</v>
      </c>
      <c r="J135"/>
      <c r="K135" s="172" t="str">
        <f>VLOOKUP(E135&amp;F135,'[1]MV+BI'!$E$8:$K$375,5,FALSE)</f>
        <v>-</v>
      </c>
      <c r="L135" s="62"/>
      <c r="M135" s="172">
        <f>VLOOKUP(E135&amp;F135,'[1]MV+BI'!$E$8:$L$375,8,FALSE)</f>
        <v>45443</v>
      </c>
      <c r="N135"/>
      <c r="O135" s="1"/>
      <c r="P135"/>
      <c r="Q135" s="62"/>
      <c r="R135" s="1"/>
      <c r="S135" s="1"/>
      <c r="T135" s="1"/>
      <c r="U135" s="1"/>
      <c r="V135" s="1"/>
      <c r="W135" s="1"/>
      <c r="X135"/>
      <c r="Y135"/>
      <c r="Z135"/>
      <c r="AA135"/>
      <c r="AB135"/>
      <c r="AC135"/>
      <c r="AD135" s="32"/>
    </row>
    <row r="136" spans="3:30" s="2" customFormat="1" ht="15" customHeight="1">
      <c r="C136" s="157"/>
      <c r="D136" s="1"/>
      <c r="E136" s="168" t="s">
        <v>65</v>
      </c>
      <c r="F136" s="168" t="s">
        <v>169</v>
      </c>
      <c r="G136" s="287"/>
      <c r="H136" s="176" t="str">
        <f>VLOOKUP(E136&amp;F136,'[1]MV+BI'!$E$8:$K$375,3,FALSE)</f>
        <v>Em Correção</v>
      </c>
      <c r="I136" s="170" t="str">
        <f>VLOOKUP(E136&amp;F136,'[1]MV+BI'!$E$8:$K$375,6,FALSE)</f>
        <v>IT</v>
      </c>
      <c r="J136"/>
      <c r="K136" s="172" t="str">
        <f>VLOOKUP(E136&amp;F136,'[1]MV+BI'!$E$8:$K$375,5,FALSE)</f>
        <v>-</v>
      </c>
      <c r="L136" s="62"/>
      <c r="M136" s="172">
        <f>VLOOKUP(E136&amp;F136,'[1]MV+BI'!$E$8:$L$375,8,FALSE)</f>
        <v>45443</v>
      </c>
      <c r="N136"/>
      <c r="O136" s="1"/>
      <c r="P136"/>
      <c r="Q136" s="62"/>
      <c r="R136" s="1"/>
      <c r="S136" s="1"/>
      <c r="T136" s="1"/>
      <c r="U136" s="1"/>
      <c r="V136" s="1"/>
      <c r="W136" s="1"/>
      <c r="X136"/>
      <c r="Y136"/>
      <c r="Z136"/>
      <c r="AA136"/>
      <c r="AB136"/>
      <c r="AC136"/>
      <c r="AD136" s="32"/>
    </row>
    <row r="137" spans="3:30" s="2" customFormat="1" ht="15" customHeight="1">
      <c r="C137" s="157"/>
      <c r="D137" s="1"/>
      <c r="E137" s="168" t="s">
        <v>65</v>
      </c>
      <c r="F137" s="168" t="s">
        <v>170</v>
      </c>
      <c r="G137" s="287"/>
      <c r="H137" s="176" t="str">
        <f>VLOOKUP(E137&amp;F137,'[1]MV+BI'!$E$8:$K$375,3,FALSE)</f>
        <v>Em Correção</v>
      </c>
      <c r="I137" s="170" t="str">
        <f>VLOOKUP(E137&amp;F137,'[1]MV+BI'!$E$8:$K$375,6,FALSE)</f>
        <v>IT</v>
      </c>
      <c r="J137"/>
      <c r="K137" s="172" t="str">
        <f>VLOOKUP(E137&amp;F137,'[1]MV+BI'!$E$8:$K$375,5,FALSE)</f>
        <v>-</v>
      </c>
      <c r="L137" s="62"/>
      <c r="M137" s="172">
        <f>VLOOKUP(E137&amp;F137,'[1]MV+BI'!$E$8:$L$375,8,FALSE)</f>
        <v>45443</v>
      </c>
      <c r="N137"/>
      <c r="O137" s="1"/>
      <c r="P137"/>
      <c r="Q137" s="62"/>
      <c r="R137" s="1"/>
      <c r="S137" s="1"/>
      <c r="T137" s="1"/>
      <c r="U137" s="1"/>
      <c r="V137" s="1"/>
      <c r="W137" s="1"/>
      <c r="X137"/>
      <c r="Y137"/>
      <c r="Z137"/>
      <c r="AA137"/>
      <c r="AB137"/>
      <c r="AC137"/>
      <c r="AD137" s="32"/>
    </row>
    <row r="138" spans="3:30" s="2" customFormat="1" ht="15" customHeight="1">
      <c r="C138" s="157"/>
      <c r="D138" s="1"/>
      <c r="E138" s="168" t="s">
        <v>65</v>
      </c>
      <c r="F138" s="168" t="s">
        <v>171</v>
      </c>
      <c r="G138" s="287"/>
      <c r="H138" s="176" t="str">
        <f>VLOOKUP(E138&amp;F138,'[1]MV+BI'!$E$8:$K$375,3,FALSE)</f>
        <v>Em Correção</v>
      </c>
      <c r="I138" s="170" t="str">
        <f>VLOOKUP(E138&amp;F138,'[1]MV+BI'!$E$8:$K$375,6,FALSE)</f>
        <v>IT</v>
      </c>
      <c r="J138"/>
      <c r="K138" s="172" t="str">
        <f>VLOOKUP(E138&amp;F138,'[1]MV+BI'!$E$8:$K$375,5,FALSE)</f>
        <v>-</v>
      </c>
      <c r="L138" s="62"/>
      <c r="M138" s="172">
        <f>VLOOKUP(E138&amp;F138,'[1]MV+BI'!$E$8:$L$375,8,FALSE)</f>
        <v>45443</v>
      </c>
      <c r="N138"/>
      <c r="O138" s="1"/>
      <c r="P138"/>
      <c r="Q138" s="62"/>
      <c r="R138" s="1"/>
      <c r="S138" s="1"/>
      <c r="T138" s="1"/>
      <c r="U138" s="1"/>
      <c r="V138" s="1"/>
      <c r="W138" s="1"/>
      <c r="X138"/>
      <c r="Y138"/>
      <c r="Z138"/>
      <c r="AA138"/>
      <c r="AB138"/>
      <c r="AC138"/>
      <c r="AD138" s="32"/>
    </row>
    <row r="139" spans="3:30" s="2" customFormat="1" ht="15" customHeight="1">
      <c r="C139" s="157"/>
      <c r="D139" s="1"/>
      <c r="E139" s="168" t="s">
        <v>65</v>
      </c>
      <c r="F139" s="168" t="s">
        <v>172</v>
      </c>
      <c r="G139" s="287"/>
      <c r="H139" s="176" t="str">
        <f>VLOOKUP(E139&amp;F139,'[1]MV+BI'!$E$8:$K$375,3,FALSE)</f>
        <v>Em Correção</v>
      </c>
      <c r="I139" s="170" t="str">
        <f>VLOOKUP(E139&amp;F139,'[1]MV+BI'!$E$8:$K$375,6,FALSE)</f>
        <v>IT</v>
      </c>
      <c r="J139"/>
      <c r="K139" s="172" t="str">
        <f>VLOOKUP(E139&amp;F139,'[1]MV+BI'!$E$8:$K$375,5,FALSE)</f>
        <v>-</v>
      </c>
      <c r="L139" s="62"/>
      <c r="M139" s="172">
        <f>VLOOKUP(E139&amp;F139,'[1]MV+BI'!$E$8:$L$375,8,FALSE)</f>
        <v>45443</v>
      </c>
      <c r="N139"/>
      <c r="O139" s="1"/>
      <c r="P139"/>
      <c r="Q139" s="62"/>
      <c r="R139" s="1"/>
      <c r="S139" s="1"/>
      <c r="T139" s="1"/>
      <c r="U139" s="1"/>
      <c r="V139" s="1"/>
      <c r="W139" s="1"/>
      <c r="X139"/>
      <c r="Y139"/>
      <c r="Z139"/>
      <c r="AA139"/>
      <c r="AB139"/>
      <c r="AC139"/>
      <c r="AD139" s="32"/>
    </row>
    <row r="140" spans="3:30" s="2" customFormat="1" ht="15" customHeight="1">
      <c r="C140" s="157"/>
      <c r="D140" s="1"/>
      <c r="E140" s="168" t="s">
        <v>65</v>
      </c>
      <c r="F140" s="168" t="s">
        <v>173</v>
      </c>
      <c r="G140" s="287"/>
      <c r="H140" s="176" t="str">
        <f>VLOOKUP(E140&amp;F140,'[1]MV+BI'!$E$8:$K$375,3,FALSE)</f>
        <v>Em Correção</v>
      </c>
      <c r="I140" s="170" t="str">
        <f>VLOOKUP(E140&amp;F140,'[1]MV+BI'!$E$8:$K$375,6,FALSE)</f>
        <v>IT</v>
      </c>
      <c r="J140"/>
      <c r="K140" s="172" t="str">
        <f>VLOOKUP(E140&amp;F140,'[1]MV+BI'!$E$8:$K$375,5,FALSE)</f>
        <v>-</v>
      </c>
      <c r="L140" s="62"/>
      <c r="M140" s="172">
        <f>VLOOKUP(E140&amp;F140,'[1]MV+BI'!$E$8:$L$375,8,FALSE)</f>
        <v>45443</v>
      </c>
      <c r="N140"/>
      <c r="O140" s="1"/>
      <c r="P140"/>
      <c r="Q140" s="62"/>
      <c r="R140" s="1"/>
      <c r="S140" s="1"/>
      <c r="T140" s="1"/>
      <c r="U140" s="1"/>
      <c r="V140" s="1"/>
      <c r="W140" s="1"/>
      <c r="X140"/>
      <c r="Y140"/>
      <c r="Z140"/>
      <c r="AA140"/>
      <c r="AB140"/>
      <c r="AC140"/>
      <c r="AD140" s="32"/>
    </row>
    <row r="141" spans="3:30" s="2" customFormat="1" ht="15" customHeight="1">
      <c r="C141" s="157"/>
      <c r="D141" s="1"/>
      <c r="E141" s="168" t="s">
        <v>65</v>
      </c>
      <c r="F141" s="168" t="s">
        <v>174</v>
      </c>
      <c r="G141" s="287"/>
      <c r="H141" s="176" t="str">
        <f>VLOOKUP(E141&amp;F141,'[1]MV+BI'!$E$8:$K$375,3,FALSE)</f>
        <v>Em Correção</v>
      </c>
      <c r="I141" s="170" t="str">
        <f>VLOOKUP(E141&amp;F141,'[1]MV+BI'!$E$8:$K$375,6,FALSE)</f>
        <v>IT</v>
      </c>
      <c r="J141"/>
      <c r="K141" s="172" t="str">
        <f>VLOOKUP(E141&amp;F141,'[1]MV+BI'!$E$8:$K$375,5,FALSE)</f>
        <v>-</v>
      </c>
      <c r="L141" s="62"/>
      <c r="M141" s="172">
        <f>VLOOKUP(E141&amp;F141,'[1]MV+BI'!$E$8:$L$375,8,FALSE)</f>
        <v>45443</v>
      </c>
      <c r="N141"/>
      <c r="O141" s="1"/>
      <c r="P141"/>
      <c r="Q141" s="62"/>
      <c r="R141" s="1"/>
      <c r="S141" s="1"/>
      <c r="T141" s="1"/>
      <c r="U141" s="1"/>
      <c r="V141" s="1"/>
      <c r="W141" s="1"/>
      <c r="X141"/>
      <c r="Y141"/>
      <c r="Z141"/>
      <c r="AA141"/>
      <c r="AB141"/>
      <c r="AC141"/>
      <c r="AD141" s="32"/>
    </row>
    <row r="142" spans="3:30" s="2" customFormat="1" ht="15" customHeight="1">
      <c r="C142" s="157"/>
      <c r="D142" s="1"/>
      <c r="E142" s="168" t="s">
        <v>65</v>
      </c>
      <c r="F142" s="168" t="s">
        <v>175</v>
      </c>
      <c r="G142" s="287"/>
      <c r="H142" s="176" t="str">
        <f>VLOOKUP(E142&amp;F142,'[1]MV+BI'!$E$8:$K$375,3,FALSE)</f>
        <v>Em Correção</v>
      </c>
      <c r="I142" s="170" t="str">
        <f>VLOOKUP(E142&amp;F142,'[1]MV+BI'!$E$8:$K$375,6,FALSE)</f>
        <v>IT</v>
      </c>
      <c r="J142"/>
      <c r="K142" s="172" t="str">
        <f>VLOOKUP(E142&amp;F142,'[1]MV+BI'!$E$8:$K$375,5,FALSE)</f>
        <v>-</v>
      </c>
      <c r="L142" s="62"/>
      <c r="M142" s="172">
        <f>VLOOKUP(E142&amp;F142,'[1]MV+BI'!$E$8:$L$375,8,FALSE)</f>
        <v>45443</v>
      </c>
      <c r="N142"/>
      <c r="O142" s="1"/>
      <c r="P142"/>
      <c r="Q142" s="62"/>
      <c r="R142" s="1"/>
      <c r="S142" s="1"/>
      <c r="T142" s="1"/>
      <c r="U142" s="1"/>
      <c r="V142" s="1"/>
      <c r="W142" s="1"/>
      <c r="X142"/>
      <c r="Y142"/>
      <c r="Z142"/>
      <c r="AA142"/>
      <c r="AB142"/>
      <c r="AC142"/>
      <c r="AD142" s="32"/>
    </row>
    <row r="143" spans="3:30" s="2" customFormat="1" ht="15" customHeight="1">
      <c r="C143" s="157"/>
      <c r="D143" s="1"/>
      <c r="E143" s="168" t="s">
        <v>65</v>
      </c>
      <c r="F143" s="168" t="s">
        <v>176</v>
      </c>
      <c r="G143" s="287"/>
      <c r="H143" s="176" t="str">
        <f>VLOOKUP(E143&amp;F143,'[1]MV+BI'!$E$8:$K$375,3,FALSE)</f>
        <v>Em Correção</v>
      </c>
      <c r="I143" s="170" t="str">
        <f>VLOOKUP(E143&amp;F143,'[1]MV+BI'!$E$8:$K$375,6,FALSE)</f>
        <v>IT</v>
      </c>
      <c r="J143"/>
      <c r="K143" s="172" t="str">
        <f>VLOOKUP(E143&amp;F143,'[1]MV+BI'!$E$8:$K$375,5,FALSE)</f>
        <v>-</v>
      </c>
      <c r="L143" s="62"/>
      <c r="M143" s="172">
        <f>VLOOKUP(E143&amp;F143,'[1]MV+BI'!$E$8:$L$375,8,FALSE)</f>
        <v>45443</v>
      </c>
      <c r="N143"/>
      <c r="O143" s="1"/>
      <c r="P143"/>
      <c r="Q143" s="62"/>
      <c r="R143" s="1"/>
      <c r="S143" s="1"/>
      <c r="T143" s="1"/>
      <c r="U143" s="1"/>
      <c r="V143" s="1"/>
      <c r="W143" s="1"/>
      <c r="X143"/>
      <c r="Y143"/>
      <c r="Z143"/>
      <c r="AA143"/>
      <c r="AB143"/>
      <c r="AC143"/>
      <c r="AD143" s="32"/>
    </row>
    <row r="144" spans="3:30" s="2" customFormat="1" ht="15" customHeight="1">
      <c r="C144" s="157"/>
      <c r="D144" s="1"/>
      <c r="E144" s="168" t="s">
        <v>65</v>
      </c>
      <c r="F144" s="168" t="s">
        <v>177</v>
      </c>
      <c r="G144" s="287"/>
      <c r="H144" s="176" t="str">
        <f>VLOOKUP(E144&amp;F144,'[1]MV+BI'!$E$8:$K$375,3,FALSE)</f>
        <v>Em Correção</v>
      </c>
      <c r="I144" s="170" t="str">
        <f>VLOOKUP(E144&amp;F144,'[1]MV+BI'!$E$8:$K$375,6,FALSE)</f>
        <v>IT</v>
      </c>
      <c r="J144"/>
      <c r="K144" s="172" t="str">
        <f>VLOOKUP(E144&amp;F144,'[1]MV+BI'!$E$8:$K$375,5,FALSE)</f>
        <v>-</v>
      </c>
      <c r="L144" s="62"/>
      <c r="M144" s="172">
        <f>VLOOKUP(E144&amp;F144,'[1]MV+BI'!$E$8:$L$375,8,FALSE)</f>
        <v>45443</v>
      </c>
      <c r="N144"/>
      <c r="O144" s="1"/>
      <c r="P144"/>
      <c r="Q144" s="62"/>
      <c r="R144" s="1"/>
      <c r="S144" s="1"/>
      <c r="T144" s="1"/>
      <c r="U144" s="1"/>
      <c r="V144" s="1"/>
      <c r="W144" s="1"/>
      <c r="X144"/>
      <c r="Y144"/>
      <c r="Z144"/>
      <c r="AA144"/>
      <c r="AB144"/>
      <c r="AC144"/>
      <c r="AD144" s="32"/>
    </row>
    <row r="145" spans="3:30" s="2" customFormat="1" ht="15" customHeight="1">
      <c r="C145" s="157"/>
      <c r="D145" s="1"/>
      <c r="E145" s="168" t="s">
        <v>65</v>
      </c>
      <c r="F145" s="168" t="s">
        <v>178</v>
      </c>
      <c r="G145" s="287"/>
      <c r="H145" s="176" t="str">
        <f>VLOOKUP(E145&amp;F145,'[1]MV+BI'!$E$8:$K$375,3,FALSE)</f>
        <v>Em Correção</v>
      </c>
      <c r="I145" s="170" t="str">
        <f>VLOOKUP(E145&amp;F145,'[1]MV+BI'!$E$8:$K$375,6,FALSE)</f>
        <v>IT</v>
      </c>
      <c r="J145"/>
      <c r="K145" s="172" t="str">
        <f>VLOOKUP(E145&amp;F145,'[1]MV+BI'!$E$8:$K$375,5,FALSE)</f>
        <v>-</v>
      </c>
      <c r="L145" s="62"/>
      <c r="M145" s="172">
        <f>VLOOKUP(E145&amp;F145,'[1]MV+BI'!$E$8:$L$375,8,FALSE)</f>
        <v>45443</v>
      </c>
      <c r="N145"/>
      <c r="O145" s="1"/>
      <c r="P145"/>
      <c r="Q145" s="62"/>
      <c r="R145" s="1"/>
      <c r="S145" s="1"/>
      <c r="T145" s="1"/>
      <c r="U145" s="1"/>
      <c r="V145" s="1"/>
      <c r="W145" s="1"/>
      <c r="X145"/>
      <c r="Y145"/>
      <c r="Z145"/>
      <c r="AA145"/>
      <c r="AB145"/>
      <c r="AC145"/>
      <c r="AD145" s="32"/>
    </row>
    <row r="146" spans="3:30" s="2" customFormat="1" ht="15" customHeight="1">
      <c r="C146" s="157"/>
      <c r="D146" s="1"/>
      <c r="E146" s="168" t="s">
        <v>65</v>
      </c>
      <c r="F146" s="168" t="s">
        <v>179</v>
      </c>
      <c r="G146" s="287"/>
      <c r="H146" s="176" t="str">
        <f>VLOOKUP(E146&amp;F146,'[1]MV+BI'!$E$8:$K$375,3,FALSE)</f>
        <v>Em Correção</v>
      </c>
      <c r="I146" s="170" t="str">
        <f>VLOOKUP(E146&amp;F146,'[1]MV+BI'!$E$8:$K$375,6,FALSE)</f>
        <v>IT</v>
      </c>
      <c r="J146"/>
      <c r="K146" s="172" t="str">
        <f>VLOOKUP(E146&amp;F146,'[1]MV+BI'!$E$8:$K$375,5,FALSE)</f>
        <v>-</v>
      </c>
      <c r="L146" s="62"/>
      <c r="M146" s="172">
        <f>VLOOKUP(E146&amp;F146,'[1]MV+BI'!$E$8:$L$375,8,FALSE)</f>
        <v>45443</v>
      </c>
      <c r="N146"/>
      <c r="O146" s="1"/>
      <c r="P146"/>
      <c r="Q146" s="62"/>
      <c r="R146" s="1"/>
      <c r="S146" s="1"/>
      <c r="T146" s="1"/>
      <c r="U146" s="1"/>
      <c r="V146" s="1"/>
      <c r="W146" s="1"/>
      <c r="X146"/>
      <c r="Y146"/>
      <c r="Z146"/>
      <c r="AA146"/>
      <c r="AB146"/>
      <c r="AC146"/>
      <c r="AD146" s="32"/>
    </row>
    <row r="147" spans="3:30" s="2" customFormat="1" ht="15" customHeight="1">
      <c r="C147" s="157"/>
      <c r="D147" s="1"/>
      <c r="E147" s="168" t="s">
        <v>65</v>
      </c>
      <c r="F147" s="168" t="s">
        <v>180</v>
      </c>
      <c r="G147" s="287"/>
      <c r="H147" s="176" t="str">
        <f>VLOOKUP(E147&amp;F147,'[1]MV+BI'!$E$8:$K$375,3,FALSE)</f>
        <v>Em Correção</v>
      </c>
      <c r="I147" s="170" t="str">
        <f>VLOOKUP(E147&amp;F147,'[1]MV+BI'!$E$8:$K$375,6,FALSE)</f>
        <v>IT</v>
      </c>
      <c r="J147"/>
      <c r="K147" s="172" t="str">
        <f>VLOOKUP(E147&amp;F147,'[1]MV+BI'!$E$8:$K$375,5,FALSE)</f>
        <v>-</v>
      </c>
      <c r="L147" s="62"/>
      <c r="M147" s="172">
        <f>VLOOKUP(E147&amp;F147,'[1]MV+BI'!$E$8:$L$375,8,FALSE)</f>
        <v>45443</v>
      </c>
      <c r="N147"/>
      <c r="O147" s="1"/>
      <c r="P147"/>
      <c r="Q147" s="62"/>
      <c r="R147" s="1"/>
      <c r="S147" s="1"/>
      <c r="T147" s="1"/>
      <c r="U147" s="1"/>
      <c r="V147" s="1"/>
      <c r="W147" s="1"/>
      <c r="X147"/>
      <c r="Y147"/>
      <c r="Z147"/>
      <c r="AA147"/>
      <c r="AB147"/>
      <c r="AC147"/>
      <c r="AD147" s="32"/>
    </row>
    <row r="148" spans="3:30" s="2" customFormat="1" ht="15" customHeight="1">
      <c r="C148" s="157"/>
      <c r="D148" s="1"/>
      <c r="E148" s="168" t="s">
        <v>65</v>
      </c>
      <c r="F148" s="168" t="s">
        <v>181</v>
      </c>
      <c r="G148" s="287"/>
      <c r="H148" s="176" t="str">
        <f>VLOOKUP(E148&amp;F148,'[1]MV+BI'!$E$8:$K$375,3,FALSE)</f>
        <v>Em Correção</v>
      </c>
      <c r="I148" s="170" t="str">
        <f>VLOOKUP(E148&amp;F148,'[1]MV+BI'!$E$8:$K$375,6,FALSE)</f>
        <v>IT</v>
      </c>
      <c r="J148"/>
      <c r="K148" s="172" t="str">
        <f>VLOOKUP(E148&amp;F148,'[1]MV+BI'!$E$8:$K$375,5,FALSE)</f>
        <v>-</v>
      </c>
      <c r="L148" s="62"/>
      <c r="M148" s="172">
        <f>VLOOKUP(E148&amp;F148,'[1]MV+BI'!$E$8:$L$375,8,FALSE)</f>
        <v>45443</v>
      </c>
      <c r="N148"/>
      <c r="O148" s="1"/>
      <c r="P148"/>
      <c r="Q148" s="62"/>
      <c r="R148" s="1"/>
      <c r="S148" s="1"/>
      <c r="T148" s="1"/>
      <c r="U148" s="1"/>
      <c r="V148" s="1"/>
      <c r="W148" s="1"/>
      <c r="X148"/>
      <c r="Y148"/>
      <c r="Z148"/>
      <c r="AA148"/>
      <c r="AB148"/>
      <c r="AC148"/>
      <c r="AD148" s="32"/>
    </row>
    <row r="149" spans="3:30" s="2" customFormat="1" ht="15" customHeight="1">
      <c r="C149" s="157"/>
      <c r="D149" s="1"/>
      <c r="E149" s="168" t="s">
        <v>65</v>
      </c>
      <c r="F149" s="168" t="s">
        <v>182</v>
      </c>
      <c r="G149" s="287"/>
      <c r="H149" s="176" t="str">
        <f>VLOOKUP(E149&amp;F149,'[1]MV+BI'!$E$8:$K$375,3,FALSE)</f>
        <v>Em Correção</v>
      </c>
      <c r="I149" s="170" t="str">
        <f>VLOOKUP(E149&amp;F149,'[1]MV+BI'!$E$8:$K$375,6,FALSE)</f>
        <v>IT</v>
      </c>
      <c r="J149"/>
      <c r="K149" s="172" t="str">
        <f>VLOOKUP(E149&amp;F149,'[1]MV+BI'!$E$8:$K$375,5,FALSE)</f>
        <v>-</v>
      </c>
      <c r="L149" s="62"/>
      <c r="M149" s="172">
        <f>VLOOKUP(E149&amp;F149,'[1]MV+BI'!$E$8:$L$375,8,FALSE)</f>
        <v>45443</v>
      </c>
      <c r="N149"/>
      <c r="O149" s="1"/>
      <c r="P149"/>
      <c r="Q149" s="62"/>
      <c r="R149" s="1"/>
      <c r="S149" s="1"/>
      <c r="T149" s="1"/>
      <c r="U149" s="1"/>
      <c r="V149" s="1"/>
      <c r="W149" s="1"/>
      <c r="X149"/>
      <c r="Y149"/>
      <c r="Z149"/>
      <c r="AA149"/>
      <c r="AB149"/>
      <c r="AC149"/>
      <c r="AD149" s="32"/>
    </row>
    <row r="150" spans="3:30" s="2" customFormat="1" ht="15" customHeight="1">
      <c r="C150" s="157"/>
      <c r="D150" s="1"/>
      <c r="E150" s="168" t="s">
        <v>65</v>
      </c>
      <c r="F150" s="168" t="s">
        <v>183</v>
      </c>
      <c r="G150" s="287"/>
      <c r="H150" s="176" t="str">
        <f>VLOOKUP(E150&amp;F150,'[1]MV+BI'!$E$8:$K$375,3,FALSE)</f>
        <v>Em Correção</v>
      </c>
      <c r="I150" s="170" t="str">
        <f>VLOOKUP(E150&amp;F150,'[1]MV+BI'!$E$8:$K$375,6,FALSE)</f>
        <v>IT</v>
      </c>
      <c r="J150"/>
      <c r="K150" s="172" t="str">
        <f>VLOOKUP(E150&amp;F150,'[1]MV+BI'!$E$8:$K$375,5,FALSE)</f>
        <v>-</v>
      </c>
      <c r="L150" s="62"/>
      <c r="M150" s="172">
        <f>VLOOKUP(E150&amp;F150,'[1]MV+BI'!$E$8:$L$375,8,FALSE)</f>
        <v>45443</v>
      </c>
      <c r="N150"/>
      <c r="O150" s="1"/>
      <c r="P150"/>
      <c r="Q150" s="62"/>
      <c r="R150" s="1"/>
      <c r="S150" s="1"/>
      <c r="T150" s="1"/>
      <c r="U150" s="1"/>
      <c r="V150" s="1"/>
      <c r="W150" s="1"/>
      <c r="X150"/>
      <c r="Y150"/>
      <c r="Z150"/>
      <c r="AA150"/>
      <c r="AB150"/>
      <c r="AC150"/>
      <c r="AD150" s="32"/>
    </row>
    <row r="151" spans="3:30" s="2" customFormat="1" ht="15" customHeight="1">
      <c r="C151" s="157"/>
      <c r="D151" s="1"/>
      <c r="E151" s="168" t="s">
        <v>65</v>
      </c>
      <c r="F151" s="168" t="s">
        <v>184</v>
      </c>
      <c r="G151" s="287"/>
      <c r="H151" s="176" t="str">
        <f>VLOOKUP(E151&amp;F151,'[1]MV+BI'!$E$8:$K$375,3,FALSE)</f>
        <v>Em Correção</v>
      </c>
      <c r="I151" s="170" t="str">
        <f>VLOOKUP(E151&amp;F151,'[1]MV+BI'!$E$8:$K$375,6,FALSE)</f>
        <v>IT</v>
      </c>
      <c r="J151"/>
      <c r="K151" s="172" t="str">
        <f>VLOOKUP(E151&amp;F151,'[1]MV+BI'!$E$8:$K$375,5,FALSE)</f>
        <v>-</v>
      </c>
      <c r="L151" s="62"/>
      <c r="M151" s="172">
        <f>VLOOKUP(E151&amp;F151,'[1]MV+BI'!$E$8:$L$375,8,FALSE)</f>
        <v>45443</v>
      </c>
      <c r="N151"/>
      <c r="O151" s="1"/>
      <c r="P151"/>
      <c r="Q151" s="62"/>
      <c r="R151" s="1"/>
      <c r="S151" s="1"/>
      <c r="T151" s="1"/>
      <c r="U151" s="1"/>
      <c r="V151" s="1"/>
      <c r="W151" s="1"/>
      <c r="X151"/>
      <c r="Y151"/>
      <c r="Z151"/>
      <c r="AA151"/>
      <c r="AB151"/>
      <c r="AC151"/>
      <c r="AD151" s="32"/>
    </row>
    <row r="152" spans="3:30" s="2" customFormat="1" ht="15" customHeight="1">
      <c r="C152" s="157"/>
      <c r="D152" s="1"/>
      <c r="E152" s="168" t="s">
        <v>65</v>
      </c>
      <c r="F152" s="168" t="s">
        <v>185</v>
      </c>
      <c r="G152" s="287"/>
      <c r="H152" s="176" t="str">
        <f>VLOOKUP(E152&amp;F152,'[1]MV+BI'!$E$8:$K$375,3,FALSE)</f>
        <v>Em Correção</v>
      </c>
      <c r="I152" s="170" t="str">
        <f>VLOOKUP(E152&amp;F152,'[1]MV+BI'!$E$8:$K$375,6,FALSE)</f>
        <v>IT</v>
      </c>
      <c r="J152"/>
      <c r="K152" s="172" t="str">
        <f>VLOOKUP(E152&amp;F152,'[1]MV+BI'!$E$8:$K$375,5,FALSE)</f>
        <v>-</v>
      </c>
      <c r="L152" s="62"/>
      <c r="M152" s="172">
        <f>VLOOKUP(E152&amp;F152,'[1]MV+BI'!$E$8:$L$375,8,FALSE)</f>
        <v>45443</v>
      </c>
      <c r="N152"/>
      <c r="O152" s="1"/>
      <c r="P152"/>
      <c r="Q152" s="62"/>
      <c r="R152" s="1"/>
      <c r="S152" s="1"/>
      <c r="T152" s="1"/>
      <c r="U152" s="1"/>
      <c r="V152" s="1"/>
      <c r="W152" s="1"/>
      <c r="X152"/>
      <c r="Y152"/>
      <c r="Z152"/>
      <c r="AA152"/>
      <c r="AB152"/>
      <c r="AC152"/>
      <c r="AD152" s="32"/>
    </row>
    <row r="153" spans="3:30" s="2" customFormat="1" ht="15" customHeight="1">
      <c r="C153" s="157"/>
      <c r="D153" s="1"/>
      <c r="E153" s="168" t="s">
        <v>65</v>
      </c>
      <c r="F153" s="168" t="s">
        <v>126</v>
      </c>
      <c r="G153" s="287"/>
      <c r="H153" s="176" t="str">
        <f>VLOOKUP(E153&amp;F153,'[1]MV+BI'!$E$8:$K$375,3,FALSE)</f>
        <v>Em Correção</v>
      </c>
      <c r="I153" s="170" t="str">
        <f>VLOOKUP(E153&amp;F153,'[1]MV+BI'!$E$8:$K$375,6,FALSE)</f>
        <v>IT</v>
      </c>
      <c r="J153"/>
      <c r="K153" s="172" t="str">
        <f>VLOOKUP(E153&amp;F153,'[1]MV+BI'!$E$8:$K$375,5,FALSE)</f>
        <v>-</v>
      </c>
      <c r="L153" s="62"/>
      <c r="M153" s="172">
        <f>VLOOKUP(E153&amp;F153,'[1]MV+BI'!$E$8:$L$375,8,FALSE)</f>
        <v>45443</v>
      </c>
      <c r="N153"/>
      <c r="O153" s="1"/>
      <c r="P153"/>
      <c r="Q153" s="62"/>
      <c r="R153" s="1"/>
      <c r="S153" s="1"/>
      <c r="T153" s="1"/>
      <c r="U153" s="1"/>
      <c r="V153" s="1"/>
      <c r="W153" s="1"/>
      <c r="X153"/>
      <c r="Y153"/>
      <c r="Z153"/>
      <c r="AA153"/>
      <c r="AB153"/>
      <c r="AC153"/>
      <c r="AD153" s="32"/>
    </row>
    <row r="154" spans="3:30" s="2" customFormat="1" ht="15" customHeight="1">
      <c r="C154" s="157"/>
      <c r="D154" s="1"/>
      <c r="E154" s="168" t="s">
        <v>65</v>
      </c>
      <c r="F154" s="168" t="s">
        <v>128</v>
      </c>
      <c r="G154" s="287"/>
      <c r="H154" s="176" t="str">
        <f>VLOOKUP(E154&amp;F154,'[1]MV+BI'!$E$8:$K$375,3,FALSE)</f>
        <v>Em Correção</v>
      </c>
      <c r="I154" s="170" t="str">
        <f>VLOOKUP(E154&amp;F154,'[1]MV+BI'!$E$8:$K$375,6,FALSE)</f>
        <v>IT</v>
      </c>
      <c r="J154"/>
      <c r="K154" s="172" t="str">
        <f>VLOOKUP(E154&amp;F154,'[1]MV+BI'!$E$8:$K$375,5,FALSE)</f>
        <v>-</v>
      </c>
      <c r="L154" s="62"/>
      <c r="M154" s="172">
        <f>VLOOKUP(E154&amp;F154,'[1]MV+BI'!$E$8:$L$375,8,FALSE)</f>
        <v>45443</v>
      </c>
      <c r="N154"/>
      <c r="O154" s="1"/>
      <c r="P154"/>
      <c r="Q154" s="62"/>
      <c r="R154" s="1"/>
      <c r="S154" s="1"/>
      <c r="T154" s="1"/>
      <c r="U154" s="1"/>
      <c r="V154" s="1"/>
      <c r="W154" s="1"/>
      <c r="X154"/>
      <c r="Y154"/>
      <c r="Z154"/>
      <c r="AA154"/>
      <c r="AB154"/>
      <c r="AC154"/>
      <c r="AD154" s="32"/>
    </row>
    <row r="155" spans="3:30" s="2" customFormat="1" ht="15" customHeight="1">
      <c r="C155" s="157"/>
      <c r="D155" s="1"/>
      <c r="E155" s="168" t="s">
        <v>65</v>
      </c>
      <c r="F155" s="168" t="s">
        <v>120</v>
      </c>
      <c r="G155" s="287"/>
      <c r="H155" s="176" t="str">
        <f>VLOOKUP(E155&amp;F155,'[1]MV+BI'!$E$8:$K$375,3,FALSE)</f>
        <v>Em Correção</v>
      </c>
      <c r="I155" s="170" t="str">
        <f>VLOOKUP(E155&amp;F155,'[1]MV+BI'!$E$8:$K$375,6,FALSE)</f>
        <v>IT</v>
      </c>
      <c r="J155"/>
      <c r="K155" s="172" t="str">
        <f>VLOOKUP(E155&amp;F155,'[1]MV+BI'!$E$8:$K$375,5,FALSE)</f>
        <v>-</v>
      </c>
      <c r="L155" s="62"/>
      <c r="M155" s="172">
        <f>VLOOKUP(E155&amp;F155,'[1]MV+BI'!$E$8:$L$375,8,FALSE)</f>
        <v>45443</v>
      </c>
      <c r="N155"/>
      <c r="O155" s="1"/>
      <c r="P155"/>
      <c r="Q155" s="62"/>
      <c r="R155" s="1"/>
      <c r="S155" s="1"/>
      <c r="T155" s="1"/>
      <c r="U155" s="1"/>
      <c r="V155" s="1"/>
      <c r="W155" s="1"/>
      <c r="X155"/>
      <c r="Y155"/>
      <c r="Z155"/>
      <c r="AA155"/>
      <c r="AB155"/>
      <c r="AC155"/>
      <c r="AD155" s="32"/>
    </row>
    <row r="156" spans="3:30" s="2" customFormat="1" ht="15" customHeight="1">
      <c r="C156" s="157"/>
      <c r="D156" s="1"/>
      <c r="E156" s="168" t="s">
        <v>65</v>
      </c>
      <c r="F156" s="168" t="s">
        <v>122</v>
      </c>
      <c r="G156" s="287"/>
      <c r="H156" s="176" t="str">
        <f>VLOOKUP(E156&amp;F156,'[1]MV+BI'!$E$8:$K$375,3,FALSE)</f>
        <v>Em Correção</v>
      </c>
      <c r="I156" s="170" t="str">
        <f>VLOOKUP(E156&amp;F156,'[1]MV+BI'!$E$8:$K$375,6,FALSE)</f>
        <v>IT</v>
      </c>
      <c r="J156"/>
      <c r="K156" s="172" t="str">
        <f>VLOOKUP(E156&amp;F156,'[1]MV+BI'!$E$8:$K$375,5,FALSE)</f>
        <v>-</v>
      </c>
      <c r="L156" s="62"/>
      <c r="M156" s="172">
        <f>VLOOKUP(E156&amp;F156,'[1]MV+BI'!$E$8:$L$375,8,FALSE)</f>
        <v>45443</v>
      </c>
      <c r="N156"/>
      <c r="O156" s="1"/>
      <c r="P156"/>
      <c r="Q156" s="62"/>
      <c r="R156" s="1"/>
      <c r="S156" s="1"/>
      <c r="T156" s="1"/>
      <c r="U156" s="1"/>
      <c r="V156" s="1"/>
      <c r="W156" s="1"/>
      <c r="X156"/>
      <c r="Y156"/>
      <c r="Z156"/>
      <c r="AA156"/>
      <c r="AB156"/>
      <c r="AC156"/>
      <c r="AD156" s="32"/>
    </row>
    <row r="157" spans="3:30" s="2" customFormat="1" ht="15" customHeight="1">
      <c r="C157" s="157"/>
      <c r="D157" s="1"/>
      <c r="E157" s="168" t="s">
        <v>65</v>
      </c>
      <c r="F157" s="168" t="s">
        <v>73</v>
      </c>
      <c r="G157" s="287"/>
      <c r="H157" s="176" t="str">
        <f>VLOOKUP(E157&amp;F157,'[1]MV+BI'!$E$8:$K$375,3,FALSE)</f>
        <v>Em Correção</v>
      </c>
      <c r="I157" s="170" t="str">
        <f>VLOOKUP(E157&amp;F157,'[1]MV+BI'!$E$8:$K$375,6,FALSE)</f>
        <v>IT</v>
      </c>
      <c r="J157"/>
      <c r="K157" s="172" t="str">
        <f>VLOOKUP(E157&amp;F157,'[1]MV+BI'!$E$8:$K$375,5,FALSE)</f>
        <v>-</v>
      </c>
      <c r="L157" s="62"/>
      <c r="M157" s="172">
        <f>VLOOKUP(E157&amp;F157,'[1]MV+BI'!$E$8:$L$375,8,FALSE)</f>
        <v>45443</v>
      </c>
      <c r="N157"/>
      <c r="O157" s="1"/>
      <c r="P157"/>
      <c r="Q157" s="62"/>
      <c r="R157" s="1"/>
      <c r="S157" s="1"/>
      <c r="T157" s="1"/>
      <c r="U157" s="1"/>
      <c r="V157" s="1"/>
      <c r="W157" s="1"/>
      <c r="X157"/>
      <c r="Y157"/>
      <c r="Z157"/>
      <c r="AA157"/>
      <c r="AB157"/>
      <c r="AC157"/>
      <c r="AD157" s="32"/>
    </row>
    <row r="158" spans="3:30" s="2" customFormat="1" ht="15" customHeight="1">
      <c r="C158" s="157"/>
      <c r="D158" s="1"/>
      <c r="E158" s="79" t="s">
        <v>186</v>
      </c>
      <c r="F158" s="79" t="s">
        <v>67</v>
      </c>
      <c r="G158" s="175"/>
      <c r="H158" s="176" t="str">
        <f>VLOOKUP(E158&amp;F158,'[1]MV+BI'!$E$8:$K$375,3,FALSE)</f>
        <v>Em Implementação</v>
      </c>
      <c r="I158" s="170" t="str">
        <f>VLOOKUP(E158&amp;F158,'[1]MV+BI'!$E$8:$K$375,6,FALSE)</f>
        <v>IT</v>
      </c>
      <c r="J158" s="62"/>
      <c r="K158" s="172">
        <f>VLOOKUP(E158&amp;F158,'[1]MV+BI'!$E$8:$K$375,5,FALSE)</f>
        <v>45432</v>
      </c>
      <c r="L158" s="62"/>
      <c r="M158" s="172">
        <f>VLOOKUP(E158&amp;F158,'[1]MV+BI'!$E$8:$K$375,7,FALSE)</f>
        <v>45478</v>
      </c>
      <c r="N158" s="172"/>
      <c r="O158" s="300" t="s">
        <v>187</v>
      </c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00"/>
      <c r="AA158" s="62"/>
      <c r="AB158"/>
      <c r="AC158"/>
      <c r="AD158" s="32"/>
    </row>
    <row r="159" spans="3:30" s="2" customFormat="1" ht="15" customHeight="1">
      <c r="C159" s="157"/>
      <c r="D159" s="1"/>
      <c r="E159" s="79" t="s">
        <v>186</v>
      </c>
      <c r="F159" s="79" t="s">
        <v>188</v>
      </c>
      <c r="G159" s="175"/>
      <c r="H159" s="176" t="str">
        <f>VLOOKUP(E159&amp;F159,'[1]MV+BI'!$E$8:$K$375,3,FALSE)</f>
        <v>Em Implementação</v>
      </c>
      <c r="I159" s="170" t="str">
        <f>VLOOKUP(E159&amp;F159,'[1]MV+BI'!$E$8:$K$375,6,FALSE)</f>
        <v>IT</v>
      </c>
      <c r="J159" s="62"/>
      <c r="K159" s="172">
        <f>VLOOKUP(E159&amp;F159,'[1]MV+BI'!$E$8:$K$375,5,FALSE)</f>
        <v>45432</v>
      </c>
      <c r="L159" s="62"/>
      <c r="M159" s="172">
        <f>VLOOKUP(E159&amp;F159,'[1]MV+BI'!$E$8:$K$375,7,FALSE)</f>
        <v>45478</v>
      </c>
      <c r="N159" s="172"/>
      <c r="O159" s="300" t="s">
        <v>187</v>
      </c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62"/>
      <c r="AB159"/>
      <c r="AC159"/>
      <c r="AD159" s="32"/>
    </row>
    <row r="160" spans="3:30" s="2" customFormat="1" ht="15" customHeight="1">
      <c r="C160" s="157"/>
      <c r="D160" s="1"/>
      <c r="E160" s="79" t="s">
        <v>186</v>
      </c>
      <c r="F160" s="79" t="s">
        <v>189</v>
      </c>
      <c r="G160" s="175"/>
      <c r="H160" s="176" t="str">
        <f>VLOOKUP(E160&amp;F160,'[1]MV+BI'!$E$8:$K$375,3,FALSE)</f>
        <v>Em Implementação</v>
      </c>
      <c r="I160" s="170" t="str">
        <f>VLOOKUP(E160&amp;F160,'[1]MV+BI'!$E$8:$K$375,6,FALSE)</f>
        <v>IT</v>
      </c>
      <c r="J160" s="62"/>
      <c r="K160" s="172">
        <f>VLOOKUP(E160&amp;F160,'[1]MV+BI'!$E$8:$K$375,5,FALSE)</f>
        <v>45432</v>
      </c>
      <c r="L160" s="62"/>
      <c r="M160" s="172">
        <f>VLOOKUP(E160&amp;F160,'[1]MV+BI'!$E$8:$K$375,7,FALSE)</f>
        <v>45478</v>
      </c>
      <c r="N160" s="172"/>
      <c r="O160" s="300" t="s">
        <v>187</v>
      </c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62"/>
      <c r="AA160" s="62"/>
      <c r="AB160"/>
      <c r="AC160"/>
      <c r="AD160" s="32"/>
    </row>
    <row r="161" spans="3:30" s="2" customFormat="1" ht="15" customHeight="1">
      <c r="C161" s="157"/>
      <c r="D161" s="1"/>
      <c r="E161" s="79" t="s">
        <v>186</v>
      </c>
      <c r="F161" s="79" t="s">
        <v>190</v>
      </c>
      <c r="G161" s="175"/>
      <c r="H161" s="176" t="str">
        <f>VLOOKUP(E161&amp;F161,'[1]MV+BI'!$E$8:$K$375,3,FALSE)</f>
        <v>Em Implementação</v>
      </c>
      <c r="I161" s="170" t="str">
        <f>VLOOKUP(E161&amp;F161,'[1]MV+BI'!$E$8:$K$375,6,FALSE)</f>
        <v>IT</v>
      </c>
      <c r="J161" s="62"/>
      <c r="K161" s="172">
        <f>VLOOKUP(E161&amp;F161,'[1]MV+BI'!$E$8:$K$375,5,FALSE)</f>
        <v>45432</v>
      </c>
      <c r="L161" s="62"/>
      <c r="M161" s="172">
        <f>VLOOKUP(E161&amp;F161,'[1]MV+BI'!$E$8:$K$375,7,FALSE)</f>
        <v>45478</v>
      </c>
      <c r="N161" s="172"/>
      <c r="O161" s="300" t="s">
        <v>187</v>
      </c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62"/>
      <c r="AA161" s="62"/>
      <c r="AB161"/>
      <c r="AC161"/>
      <c r="AD161" s="32"/>
    </row>
    <row r="162" spans="3:30" s="2" customFormat="1" ht="15" customHeight="1">
      <c r="C162" s="157"/>
      <c r="D162" s="1"/>
      <c r="E162" s="79" t="s">
        <v>186</v>
      </c>
      <c r="F162" s="79" t="s">
        <v>191</v>
      </c>
      <c r="G162" s="175"/>
      <c r="H162" s="176" t="str">
        <f>VLOOKUP(E162&amp;F162,'[1]MV+BI'!$E$8:$K$375,3,FALSE)</f>
        <v>Em Implementação</v>
      </c>
      <c r="I162" s="170" t="str">
        <f>VLOOKUP(E162&amp;F162,'[1]MV+BI'!$E$8:$K$375,6,FALSE)</f>
        <v>IT</v>
      </c>
      <c r="J162" s="62"/>
      <c r="K162" s="172">
        <f>VLOOKUP(E162&amp;F162,'[1]MV+BI'!$E$8:$K$375,5,FALSE)</f>
        <v>45432</v>
      </c>
      <c r="L162" s="62"/>
      <c r="M162" s="172">
        <f>VLOOKUP(E162&amp;F162,'[1]MV+BI'!$E$8:$K$375,7,FALSE)</f>
        <v>45478</v>
      </c>
      <c r="N162" s="172"/>
      <c r="O162" s="300" t="s">
        <v>187</v>
      </c>
      <c r="P162" s="300"/>
      <c r="Q162" s="300"/>
      <c r="R162" s="300"/>
      <c r="S162" s="300"/>
      <c r="T162" s="300"/>
      <c r="U162" s="300"/>
      <c r="V162" s="300"/>
      <c r="W162" s="300"/>
      <c r="X162" s="300"/>
      <c r="Y162" s="300"/>
      <c r="Z162" s="62"/>
      <c r="AA162" s="62"/>
      <c r="AB162"/>
      <c r="AC162"/>
      <c r="AD162" s="32"/>
    </row>
    <row r="163" spans="3:30" s="2" customFormat="1" ht="15" customHeight="1">
      <c r="C163" s="157"/>
      <c r="D163" s="1"/>
      <c r="E163" s="79" t="s">
        <v>186</v>
      </c>
      <c r="F163" s="79" t="s">
        <v>192</v>
      </c>
      <c r="G163" s="175"/>
      <c r="H163" s="176" t="str">
        <f>VLOOKUP(E163&amp;F163,'[1]MV+BI'!$E$8:$K$375,3,FALSE)</f>
        <v>Em Implementação</v>
      </c>
      <c r="I163" s="170" t="str">
        <f>VLOOKUP(E163&amp;F163,'[1]MV+BI'!$E$8:$K$375,6,FALSE)</f>
        <v>IT</v>
      </c>
      <c r="J163" s="62"/>
      <c r="K163" s="172">
        <f>VLOOKUP(E163&amp;F163,'[1]MV+BI'!$E$8:$K$375,5,FALSE)</f>
        <v>45432</v>
      </c>
      <c r="L163" s="62"/>
      <c r="M163" s="172">
        <f>VLOOKUP(E163&amp;F163,'[1]MV+BI'!$E$8:$K$375,7,FALSE)</f>
        <v>45478</v>
      </c>
      <c r="N163" s="172"/>
      <c r="O163" s="300" t="s">
        <v>187</v>
      </c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62"/>
      <c r="AA163" s="62"/>
      <c r="AB163"/>
      <c r="AC163"/>
      <c r="AD163" s="32"/>
    </row>
    <row r="164" spans="3:30" s="2" customFormat="1" ht="15" customHeight="1">
      <c r="C164" s="157"/>
      <c r="D164" s="1"/>
      <c r="E164" s="79" t="s">
        <v>186</v>
      </c>
      <c r="F164" s="79" t="s">
        <v>193</v>
      </c>
      <c r="G164" s="175"/>
      <c r="H164" s="176" t="str">
        <f>VLOOKUP(E164&amp;F164,'[1]MV+BI'!$E$8:$K$375,3,FALSE)</f>
        <v>Em Implementação</v>
      </c>
      <c r="I164" s="170" t="str">
        <f>VLOOKUP(E164&amp;F164,'[1]MV+BI'!$E$8:$K$375,6,FALSE)</f>
        <v>IT</v>
      </c>
      <c r="J164" s="62"/>
      <c r="K164" s="172">
        <f>VLOOKUP(E164&amp;F164,'[1]MV+BI'!$E$8:$K$375,5,FALSE)</f>
        <v>45432</v>
      </c>
      <c r="L164" s="62"/>
      <c r="M164" s="172">
        <f>VLOOKUP(E164&amp;F164,'[1]MV+BI'!$E$8:$K$375,7,FALSE)</f>
        <v>45478</v>
      </c>
      <c r="N164" s="172"/>
      <c r="O164" s="300" t="s">
        <v>187</v>
      </c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62"/>
      <c r="AA164" s="62"/>
      <c r="AB164"/>
      <c r="AC164"/>
      <c r="AD164" s="32"/>
    </row>
    <row r="165" spans="3:30" s="2" customFormat="1" ht="15" customHeight="1">
      <c r="C165" s="157"/>
      <c r="D165" s="1"/>
      <c r="E165" s="79" t="s">
        <v>194</v>
      </c>
      <c r="F165" s="79" t="s">
        <v>67</v>
      </c>
      <c r="G165" s="175"/>
      <c r="H165" s="176" t="str">
        <f>VLOOKUP(E165&amp;F165,'[1]MV+BI'!$E$8:$K$375,3,FALSE)</f>
        <v>Em Implementação</v>
      </c>
      <c r="I165" s="170" t="str">
        <f>VLOOKUP(E165&amp;F165,'[1]MV+BI'!$E$8:$K$375,6,FALSE)</f>
        <v>IT</v>
      </c>
      <c r="J165" s="62"/>
      <c r="K165" s="172">
        <f>VLOOKUP(E165&amp;F165,'[1]MV+BI'!$E$8:$K$375,5,FALSE)</f>
        <v>45432</v>
      </c>
      <c r="L165" s="62"/>
      <c r="M165" s="172">
        <f>VLOOKUP(E165&amp;F165,'[1]MV+BI'!$E$8:$K$375,7,FALSE)</f>
        <v>45443</v>
      </c>
      <c r="N165" s="172"/>
      <c r="O165" s="300" t="s">
        <v>187</v>
      </c>
      <c r="P165" s="300"/>
      <c r="Q165" s="300"/>
      <c r="R165" s="300"/>
      <c r="S165" s="300"/>
      <c r="T165" s="300"/>
      <c r="U165" s="300"/>
      <c r="V165" s="300"/>
      <c r="W165" s="300"/>
      <c r="X165" s="300"/>
      <c r="Y165" s="300"/>
      <c r="Z165" s="300"/>
      <c r="AA165" s="62"/>
      <c r="AB165"/>
      <c r="AC165"/>
      <c r="AD165" s="32"/>
    </row>
    <row r="166" spans="3:30" s="2" customFormat="1" ht="15" customHeight="1">
      <c r="C166" s="157"/>
      <c r="D166" s="1"/>
      <c r="E166" s="79" t="s">
        <v>194</v>
      </c>
      <c r="F166" s="79" t="s">
        <v>193</v>
      </c>
      <c r="G166" s="175"/>
      <c r="H166" s="176" t="str">
        <f>VLOOKUP(E166&amp;F166,'[1]MV+BI'!$E$8:$K$375,3,FALSE)</f>
        <v>Em Implementação</v>
      </c>
      <c r="I166" s="170" t="str">
        <f>VLOOKUP(E166&amp;F166,'[1]MV+BI'!$E$8:$K$375,6,FALSE)</f>
        <v>IT</v>
      </c>
      <c r="J166" s="62"/>
      <c r="K166" s="172">
        <f>VLOOKUP(E166&amp;F166,'[1]MV+BI'!$E$8:$K$375,5,FALSE)</f>
        <v>45432</v>
      </c>
      <c r="L166" s="62"/>
      <c r="M166" s="172">
        <f>VLOOKUP(E166&amp;F166,'[1]MV+BI'!$E$8:$K$375,7,FALSE)</f>
        <v>45443</v>
      </c>
      <c r="N166" s="172"/>
      <c r="O166" s="300" t="s">
        <v>187</v>
      </c>
      <c r="P166" s="300"/>
      <c r="Q166" s="300"/>
      <c r="R166" s="300"/>
      <c r="S166" s="300"/>
      <c r="T166" s="300"/>
      <c r="U166" s="300"/>
      <c r="V166" s="300"/>
      <c r="W166" s="300"/>
      <c r="X166" s="300"/>
      <c r="Y166" s="300"/>
      <c r="Z166" s="300"/>
      <c r="AA166" s="62"/>
      <c r="AB166"/>
      <c r="AC166"/>
      <c r="AD166" s="32"/>
    </row>
    <row r="167" spans="3:30" s="2" customFormat="1" ht="15" customHeight="1">
      <c r="C167" s="157"/>
      <c r="D167" s="1"/>
      <c r="E167" s="79" t="s">
        <v>194</v>
      </c>
      <c r="F167" s="79" t="s">
        <v>195</v>
      </c>
      <c r="G167" s="175"/>
      <c r="H167" s="176" t="str">
        <f>VLOOKUP(E167&amp;F167,'[1]MV+BI'!$E$8:$K$375,3,FALSE)</f>
        <v>Em Implementação</v>
      </c>
      <c r="I167" s="170" t="str">
        <f>VLOOKUP(E167&amp;F167,'[1]MV+BI'!$E$8:$K$375,6,FALSE)</f>
        <v>IT</v>
      </c>
      <c r="J167" s="62"/>
      <c r="K167" s="172">
        <f>VLOOKUP(E167&amp;F167,'[1]MV+BI'!$E$8:$K$375,5,FALSE)</f>
        <v>45432</v>
      </c>
      <c r="L167" s="62"/>
      <c r="M167" s="172">
        <f>VLOOKUP(E167&amp;F167,'[1]MV+BI'!$E$8:$K$375,7,FALSE)</f>
        <v>45443</v>
      </c>
      <c r="N167" s="172"/>
      <c r="O167" s="300" t="s">
        <v>187</v>
      </c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300"/>
      <c r="AA167" s="62"/>
      <c r="AB167"/>
      <c r="AC167"/>
      <c r="AD167" s="32"/>
    </row>
    <row r="168" spans="3:30" s="2" customFormat="1" ht="15" customHeight="1">
      <c r="C168" s="157"/>
      <c r="D168" s="1"/>
      <c r="E168" s="79" t="s">
        <v>194</v>
      </c>
      <c r="F168" s="79" t="s">
        <v>116</v>
      </c>
      <c r="G168" s="175"/>
      <c r="H168" s="176" t="str">
        <f>VLOOKUP(E168&amp;F168,'[1]MV+BI'!$E$8:$K$375,3,FALSE)</f>
        <v>Em Implementação</v>
      </c>
      <c r="I168" s="170" t="str">
        <f>VLOOKUP(E168&amp;F168,'[1]MV+BI'!$E$8:$K$375,6,FALSE)</f>
        <v>IT</v>
      </c>
      <c r="J168" s="62"/>
      <c r="K168" s="172">
        <f>VLOOKUP(E168&amp;F168,'[1]MV+BI'!$E$8:$K$375,5,FALSE)</f>
        <v>45432</v>
      </c>
      <c r="L168" s="62"/>
      <c r="M168" s="172">
        <f>VLOOKUP(E168&amp;F168,'[1]MV+BI'!$E$8:$K$375,7,FALSE)</f>
        <v>45443</v>
      </c>
      <c r="N168" s="172"/>
      <c r="O168" s="300" t="s">
        <v>187</v>
      </c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300"/>
      <c r="AA168" s="62"/>
      <c r="AB168"/>
      <c r="AC168"/>
      <c r="AD168" s="32"/>
    </row>
    <row r="169" spans="3:30" s="2" customFormat="1" ht="15" customHeight="1">
      <c r="C169" s="157"/>
      <c r="D169" s="1"/>
      <c r="E169" s="79" t="s">
        <v>194</v>
      </c>
      <c r="F169" s="79" t="s">
        <v>196</v>
      </c>
      <c r="G169" s="175"/>
      <c r="H169" s="176" t="str">
        <f>VLOOKUP(E169&amp;F169,'[1]MV+BI'!$E$8:$K$375,3,FALSE)</f>
        <v>Em Implementação</v>
      </c>
      <c r="I169" s="170" t="str">
        <f>VLOOKUP(E169&amp;F169,'[1]MV+BI'!$E$8:$K$375,6,FALSE)</f>
        <v>IT</v>
      </c>
      <c r="J169" s="62"/>
      <c r="K169" s="172">
        <f>VLOOKUP(E169&amp;F169,'[1]MV+BI'!$E$8:$K$375,5,FALSE)</f>
        <v>45432</v>
      </c>
      <c r="L169" s="62"/>
      <c r="M169" s="172">
        <f>VLOOKUP(E169&amp;F169,'[1]MV+BI'!$E$8:$K$375,7,FALSE)</f>
        <v>45443</v>
      </c>
      <c r="N169" s="172"/>
      <c r="O169" s="300" t="s">
        <v>187</v>
      </c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62"/>
      <c r="AB169"/>
      <c r="AC169"/>
      <c r="AD169" s="32"/>
    </row>
    <row r="170" spans="3:30" s="2" customFormat="1" ht="15" customHeight="1">
      <c r="C170" s="157"/>
      <c r="D170" s="1"/>
      <c r="E170" s="178" t="s">
        <v>194</v>
      </c>
      <c r="F170" s="178" t="s">
        <v>197</v>
      </c>
      <c r="G170" s="169"/>
      <c r="H170" s="176" t="str">
        <f>VLOOKUP(E170&amp;F170,'[1]MV+BI'!$E$8:$K$375,3,FALSE)</f>
        <v>Em Implementação</v>
      </c>
      <c r="I170" s="170" t="str">
        <f>VLOOKUP(E170&amp;F170,'[1]MV+BI'!$E$8:$K$375,6,FALSE)</f>
        <v>IT</v>
      </c>
      <c r="J170" s="62"/>
      <c r="K170" s="172">
        <f>VLOOKUP(E170&amp;F170,'[1]MV+BI'!$E$8:$K$375,5,FALSE)</f>
        <v>45432</v>
      </c>
      <c r="L170" s="62"/>
      <c r="M170" s="172">
        <f>VLOOKUP(E170&amp;F170,'[1]MV+BI'!$E$8:$K$375,7,FALSE)</f>
        <v>45443</v>
      </c>
      <c r="N170" s="172"/>
      <c r="O170" s="300" t="s">
        <v>187</v>
      </c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  <c r="AA170" s="62"/>
      <c r="AB170"/>
      <c r="AC170"/>
      <c r="AD170" s="32"/>
    </row>
    <row r="171" spans="3:30" s="2" customFormat="1" ht="15" customHeight="1">
      <c r="C171" s="157"/>
      <c r="D171" s="1"/>
      <c r="E171" s="178" t="s">
        <v>194</v>
      </c>
      <c r="F171" s="178" t="s">
        <v>198</v>
      </c>
      <c r="G171" s="169"/>
      <c r="H171" s="176" t="str">
        <f>VLOOKUP(E171&amp;F171,'[1]MV+BI'!$E$8:$K$375,3,FALSE)</f>
        <v>Em Implementação</v>
      </c>
      <c r="I171" s="170" t="str">
        <f>VLOOKUP(E171&amp;F171,'[1]MV+BI'!$E$8:$K$375,6,FALSE)</f>
        <v>IT</v>
      </c>
      <c r="J171" s="62"/>
      <c r="K171" s="172">
        <f>VLOOKUP(E171&amp;F171,'[1]MV+BI'!$E$8:$K$375,5,FALSE)</f>
        <v>45432</v>
      </c>
      <c r="L171" s="62"/>
      <c r="M171" s="172">
        <f>VLOOKUP(E171&amp;F171,'[1]MV+BI'!$E$8:$K$375,7,FALSE)</f>
        <v>45443</v>
      </c>
      <c r="N171" s="172"/>
      <c r="O171" s="300" t="s">
        <v>187</v>
      </c>
      <c r="P171" s="300"/>
      <c r="Q171" s="300"/>
      <c r="R171" s="300"/>
      <c r="S171" s="300"/>
      <c r="T171" s="300"/>
      <c r="U171" s="300"/>
      <c r="V171" s="300"/>
      <c r="W171" s="300"/>
      <c r="X171" s="300"/>
      <c r="Y171" s="300"/>
      <c r="Z171" s="300"/>
      <c r="AA171" s="62"/>
      <c r="AB171"/>
      <c r="AC171"/>
      <c r="AD171" s="32"/>
    </row>
    <row r="172" spans="3:30" s="2" customFormat="1" ht="15" customHeight="1">
      <c r="C172" s="157"/>
      <c r="D172" s="1"/>
      <c r="E172" s="178" t="s">
        <v>194</v>
      </c>
      <c r="F172" s="178" t="s">
        <v>199</v>
      </c>
      <c r="G172" s="169"/>
      <c r="H172" s="176" t="str">
        <f>VLOOKUP(E172&amp;F172,'[1]MV+BI'!$E$8:$K$375,3,FALSE)</f>
        <v>Em Implementação</v>
      </c>
      <c r="I172" s="170" t="str">
        <f>VLOOKUP(E172&amp;F172,'[1]MV+BI'!$E$8:$K$375,6,FALSE)</f>
        <v>IT</v>
      </c>
      <c r="J172" s="62"/>
      <c r="K172" s="172">
        <f>VLOOKUP(E172&amp;F172,'[1]MV+BI'!$E$8:$K$375,5,FALSE)</f>
        <v>45432</v>
      </c>
      <c r="L172" s="62"/>
      <c r="M172" s="172">
        <f>VLOOKUP(E172&amp;F172,'[1]MV+BI'!$E$8:$K$375,7,FALSE)</f>
        <v>45443</v>
      </c>
      <c r="N172" s="172"/>
      <c r="O172" s="300" t="s">
        <v>187</v>
      </c>
      <c r="P172" s="300"/>
      <c r="Q172" s="300"/>
      <c r="R172" s="300"/>
      <c r="S172" s="300"/>
      <c r="T172" s="300"/>
      <c r="U172" s="300"/>
      <c r="V172" s="300"/>
      <c r="W172" s="300"/>
      <c r="X172" s="300"/>
      <c r="Y172" s="300"/>
      <c r="Z172" s="300"/>
      <c r="AA172" s="62"/>
      <c r="AB172"/>
      <c r="AC172"/>
      <c r="AD172" s="32"/>
    </row>
    <row r="173" spans="3:30" s="2" customFormat="1" ht="15" customHeight="1">
      <c r="C173" s="157"/>
      <c r="D173" s="1"/>
      <c r="E173" s="178" t="s">
        <v>194</v>
      </c>
      <c r="F173" s="178" t="s">
        <v>200</v>
      </c>
      <c r="G173" s="169"/>
      <c r="H173" s="176" t="str">
        <f>VLOOKUP(E173&amp;F173,'[1]MV+BI'!$E$8:$K$375,3,FALSE)</f>
        <v>Em Implementação</v>
      </c>
      <c r="I173" s="170" t="str">
        <f>VLOOKUP(E173&amp;F173,'[1]MV+BI'!$E$8:$K$375,6,FALSE)</f>
        <v>IT</v>
      </c>
      <c r="J173" s="62"/>
      <c r="K173" s="172">
        <f>VLOOKUP(E173&amp;F173,'[1]MV+BI'!$E$8:$K$375,5,FALSE)</f>
        <v>45432</v>
      </c>
      <c r="L173" s="62"/>
      <c r="M173" s="172">
        <f>VLOOKUP(E173&amp;F173,'[1]MV+BI'!$E$8:$K$375,7,FALSE)</f>
        <v>45443</v>
      </c>
      <c r="N173" s="172"/>
      <c r="O173" s="300" t="s">
        <v>187</v>
      </c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62"/>
      <c r="AB173"/>
      <c r="AC173"/>
      <c r="AD173" s="32"/>
    </row>
    <row r="174" spans="3:30" s="2" customFormat="1" ht="15" customHeight="1">
      <c r="C174" s="157"/>
      <c r="D174" s="1"/>
      <c r="E174" s="178" t="s">
        <v>194</v>
      </c>
      <c r="F174" s="178" t="s">
        <v>201</v>
      </c>
      <c r="G174" s="169"/>
      <c r="H174" s="176" t="str">
        <f>VLOOKUP(E174&amp;F174,'[1]MV+BI'!$E$8:$K$375,3,FALSE)</f>
        <v>Em Implementação</v>
      </c>
      <c r="I174" s="170" t="str">
        <f>VLOOKUP(E174&amp;F174,'[1]MV+BI'!$E$8:$K$375,6,FALSE)</f>
        <v>IT</v>
      </c>
      <c r="J174" s="62"/>
      <c r="K174" s="172">
        <f>VLOOKUP(E174&amp;F174,'[1]MV+BI'!$E$8:$K$375,5,FALSE)</f>
        <v>45432</v>
      </c>
      <c r="L174" s="62"/>
      <c r="M174" s="172">
        <f>VLOOKUP(E174&amp;F174,'[1]MV+BI'!$E$8:$K$375,7,FALSE)</f>
        <v>45443</v>
      </c>
      <c r="N174" s="172"/>
      <c r="O174" s="300" t="s">
        <v>187</v>
      </c>
      <c r="P174" s="300"/>
      <c r="Q174" s="300"/>
      <c r="R174" s="300"/>
      <c r="S174" s="300"/>
      <c r="T174" s="300"/>
      <c r="U174" s="300"/>
      <c r="V174" s="300"/>
      <c r="W174" s="300"/>
      <c r="X174" s="300"/>
      <c r="Y174" s="300"/>
      <c r="Z174" s="300"/>
      <c r="AA174" s="62"/>
      <c r="AB174"/>
      <c r="AC174"/>
      <c r="AD174" s="32"/>
    </row>
    <row r="175" spans="3:30" s="2" customFormat="1" ht="15" customHeight="1">
      <c r="C175" s="157"/>
      <c r="D175" s="1"/>
      <c r="E175" s="178" t="s">
        <v>194</v>
      </c>
      <c r="F175" s="178" t="s">
        <v>202</v>
      </c>
      <c r="G175" s="169"/>
      <c r="H175" s="176" t="str">
        <f>VLOOKUP(E175&amp;F175,'[1]MV+BI'!$E$8:$K$375,3,FALSE)</f>
        <v>Em Implementação</v>
      </c>
      <c r="I175" s="170" t="str">
        <f>VLOOKUP(E175&amp;F175,'[1]MV+BI'!$E$8:$K$375,6,FALSE)</f>
        <v>IT</v>
      </c>
      <c r="J175" s="62"/>
      <c r="K175" s="172">
        <f>VLOOKUP(E175&amp;F175,'[1]MV+BI'!$E$8:$K$375,5,FALSE)</f>
        <v>45432</v>
      </c>
      <c r="L175" s="62"/>
      <c r="M175" s="172">
        <f>VLOOKUP(E175&amp;F175,'[1]MV+BI'!$E$8:$K$375,7,FALSE)</f>
        <v>45443</v>
      </c>
      <c r="N175" s="172"/>
      <c r="O175" s="300" t="s">
        <v>187</v>
      </c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62"/>
      <c r="AB175"/>
      <c r="AC175"/>
      <c r="AD175" s="32"/>
    </row>
    <row r="176" spans="3:30" s="2" customFormat="1" ht="15" customHeight="1">
      <c r="C176" s="157"/>
      <c r="D176" s="1"/>
      <c r="E176" s="178" t="s">
        <v>194</v>
      </c>
      <c r="F176" s="178" t="s">
        <v>203</v>
      </c>
      <c r="G176" s="169"/>
      <c r="H176" s="176" t="str">
        <f>VLOOKUP(E176&amp;F176,'[1]MV+BI'!$E$8:$K$375,3,FALSE)</f>
        <v>Em Implementação</v>
      </c>
      <c r="I176" s="170" t="str">
        <f>VLOOKUP(E176&amp;F176,'[1]MV+BI'!$E$8:$K$375,6,FALSE)</f>
        <v>IT</v>
      </c>
      <c r="J176" s="62"/>
      <c r="K176" s="172">
        <f>VLOOKUP(E176&amp;F176,'[1]MV+BI'!$E$8:$K$375,5,FALSE)</f>
        <v>45432</v>
      </c>
      <c r="L176" s="62"/>
      <c r="M176" s="172">
        <f>VLOOKUP(E176&amp;F176,'[1]MV+BI'!$E$8:$K$375,7,FALSE)</f>
        <v>45443</v>
      </c>
      <c r="N176" s="172"/>
      <c r="O176" s="300" t="s">
        <v>187</v>
      </c>
      <c r="P176" s="300"/>
      <c r="Q176" s="300"/>
      <c r="R176" s="300"/>
      <c r="S176" s="300"/>
      <c r="T176" s="300"/>
      <c r="U176" s="300"/>
      <c r="V176" s="300"/>
      <c r="W176" s="300"/>
      <c r="X176" s="300"/>
      <c r="Y176" s="300"/>
      <c r="Z176" s="300"/>
      <c r="AA176" s="62"/>
      <c r="AB176"/>
      <c r="AC176"/>
      <c r="AD176" s="32"/>
    </row>
    <row r="177" spans="3:30" s="2" customFormat="1" ht="15" customHeight="1">
      <c r="C177" s="157"/>
      <c r="D177" s="1"/>
      <c r="E177" s="178" t="s">
        <v>194</v>
      </c>
      <c r="F177" s="178" t="s">
        <v>204</v>
      </c>
      <c r="G177" s="169"/>
      <c r="H177" s="176" t="str">
        <f>VLOOKUP(E177&amp;F177,'[1]MV+BI'!$E$8:$K$375,3,FALSE)</f>
        <v>Em Implementação</v>
      </c>
      <c r="I177" s="170" t="str">
        <f>VLOOKUP(E177&amp;F177,'[1]MV+BI'!$E$8:$K$375,6,FALSE)</f>
        <v>IT</v>
      </c>
      <c r="J177" s="62"/>
      <c r="K177" s="172">
        <f>VLOOKUP(E177&amp;F177,'[1]MV+BI'!$E$8:$K$375,5,FALSE)</f>
        <v>45432</v>
      </c>
      <c r="L177" s="62"/>
      <c r="M177" s="172">
        <f>VLOOKUP(E177&amp;F177,'[1]MV+BI'!$E$8:$K$375,7,FALSE)</f>
        <v>45443</v>
      </c>
      <c r="N177" s="172"/>
      <c r="O177" s="300" t="s">
        <v>187</v>
      </c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00"/>
      <c r="AA177" s="62"/>
      <c r="AB177"/>
      <c r="AC177"/>
      <c r="AD177" s="32"/>
    </row>
    <row r="178" spans="3:30" s="2" customFormat="1" ht="15" customHeight="1">
      <c r="C178" s="157"/>
      <c r="D178" s="1"/>
      <c r="E178" s="178" t="s">
        <v>194</v>
      </c>
      <c r="F178" s="178" t="s">
        <v>205</v>
      </c>
      <c r="G178" s="169"/>
      <c r="H178" s="176" t="str">
        <f>VLOOKUP(E178&amp;F178,'[1]MV+BI'!$E$8:$K$375,3,FALSE)</f>
        <v>Em Implementação</v>
      </c>
      <c r="I178" s="170" t="str">
        <f>VLOOKUP(E178&amp;F178,'[1]MV+BI'!$E$8:$K$375,6,FALSE)</f>
        <v>IT</v>
      </c>
      <c r="J178" s="62"/>
      <c r="K178" s="172">
        <f>VLOOKUP(E178&amp;F178,'[1]MV+BI'!$E$8:$K$375,5,FALSE)</f>
        <v>45432</v>
      </c>
      <c r="L178" s="62"/>
      <c r="M178" s="172">
        <f>VLOOKUP(E178&amp;F178,'[1]MV+BI'!$E$8:$K$375,7,FALSE)</f>
        <v>45443</v>
      </c>
      <c r="N178" s="172"/>
      <c r="O178" s="300" t="s">
        <v>187</v>
      </c>
      <c r="P178" s="300"/>
      <c r="Q178" s="300"/>
      <c r="R178" s="300"/>
      <c r="S178" s="300"/>
      <c r="T178" s="300"/>
      <c r="U178" s="300"/>
      <c r="V178" s="300"/>
      <c r="W178" s="300"/>
      <c r="X178" s="300"/>
      <c r="Y178" s="300"/>
      <c r="Z178" s="300"/>
      <c r="AA178" s="62"/>
      <c r="AB178"/>
      <c r="AC178"/>
      <c r="AD178" s="32"/>
    </row>
    <row r="179" spans="3:30" s="2" customFormat="1" ht="15" customHeight="1">
      <c r="C179" s="157"/>
      <c r="D179" s="1"/>
      <c r="E179" s="178" t="s">
        <v>194</v>
      </c>
      <c r="F179" s="178" t="s">
        <v>206</v>
      </c>
      <c r="G179" s="169"/>
      <c r="H179" s="176" t="str">
        <f>VLOOKUP(E179&amp;F179,'[1]MV+BI'!$E$8:$K$375,3,FALSE)</f>
        <v>Em Implementação</v>
      </c>
      <c r="I179" s="170" t="str">
        <f>VLOOKUP(E179&amp;F179,'[1]MV+BI'!$E$8:$K$375,6,FALSE)</f>
        <v>IT</v>
      </c>
      <c r="J179" s="62"/>
      <c r="K179" s="172">
        <f>VLOOKUP(E179&amp;F179,'[1]MV+BI'!$E$8:$K$375,5,FALSE)</f>
        <v>45432</v>
      </c>
      <c r="L179" s="62"/>
      <c r="M179" s="172">
        <f>VLOOKUP(E179&amp;F179,'[1]MV+BI'!$E$8:$K$375,7,FALSE)</f>
        <v>45443</v>
      </c>
      <c r="N179" s="172"/>
      <c r="O179" s="300" t="s">
        <v>187</v>
      </c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62"/>
      <c r="AB179"/>
      <c r="AC179"/>
      <c r="AD179" s="32"/>
    </row>
    <row r="180" spans="3:30" s="2" customFormat="1" ht="15" customHeight="1">
      <c r="C180" s="157"/>
      <c r="D180" s="1"/>
      <c r="E180" s="178" t="s">
        <v>194</v>
      </c>
      <c r="F180" s="178" t="s">
        <v>207</v>
      </c>
      <c r="G180" s="169"/>
      <c r="H180" s="176" t="str">
        <f>VLOOKUP(E180&amp;F180,'[1]MV+BI'!$E$8:$K$375,3,FALSE)</f>
        <v>Em Implementação</v>
      </c>
      <c r="I180" s="170" t="str">
        <f>VLOOKUP(E180&amp;F180,'[1]MV+BI'!$E$8:$K$375,6,FALSE)</f>
        <v>IT</v>
      </c>
      <c r="J180" s="62"/>
      <c r="K180" s="172">
        <f>VLOOKUP(E180&amp;F180,'[1]MV+BI'!$E$8:$K$375,5,FALSE)</f>
        <v>45432</v>
      </c>
      <c r="L180" s="62"/>
      <c r="M180" s="172">
        <f>VLOOKUP(E180&amp;F180,'[1]MV+BI'!$E$8:$K$375,7,FALSE)</f>
        <v>45443</v>
      </c>
      <c r="N180" s="172"/>
      <c r="O180" s="300" t="s">
        <v>187</v>
      </c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62"/>
      <c r="AB180"/>
      <c r="AC180"/>
      <c r="AD180" s="32"/>
    </row>
    <row r="181" spans="3:30" s="2" customFormat="1" ht="15" customHeight="1">
      <c r="C181" s="157"/>
      <c r="D181" s="1"/>
      <c r="E181" s="178" t="s">
        <v>208</v>
      </c>
      <c r="F181" s="178" t="s">
        <v>67</v>
      </c>
      <c r="G181" s="169"/>
      <c r="H181" s="176" t="str">
        <f>VLOOKUP(E181&amp;F181,'[1]MV+BI'!$E$8:$K$375,3,FALSE)</f>
        <v>Em Implementação</v>
      </c>
      <c r="I181" s="170" t="str">
        <f>VLOOKUP(E181&amp;F181,'[1]MV+BI'!$E$8:$K$375,6,FALSE)</f>
        <v>IT</v>
      </c>
      <c r="J181" s="62"/>
      <c r="K181" s="172">
        <f>VLOOKUP(E181&amp;F181,'[1]MV+BI'!$E$8:$K$375,5,FALSE)</f>
        <v>45432</v>
      </c>
      <c r="L181" s="62"/>
      <c r="M181" s="172">
        <f>VLOOKUP(E181&amp;F181,'[1]MV+BI'!$E$8:$K$375,7,FALSE)</f>
        <v>45450</v>
      </c>
      <c r="N181" s="172"/>
      <c r="O181" s="300" t="s">
        <v>187</v>
      </c>
      <c r="P181" s="300"/>
      <c r="Q181" s="300"/>
      <c r="R181" s="300"/>
      <c r="S181" s="300"/>
      <c r="T181" s="300"/>
      <c r="U181" s="300"/>
      <c r="V181" s="300"/>
      <c r="W181" s="300"/>
      <c r="X181" s="300"/>
      <c r="Y181" s="300"/>
      <c r="Z181" s="300"/>
      <c r="AA181" s="62"/>
      <c r="AB181"/>
      <c r="AC181"/>
      <c r="AD181" s="32"/>
    </row>
    <row r="182" spans="3:30" s="2" customFormat="1" ht="15" customHeight="1">
      <c r="C182" s="157"/>
      <c r="D182" s="1"/>
      <c r="E182" s="178" t="s">
        <v>208</v>
      </c>
      <c r="F182" s="178" t="s">
        <v>190</v>
      </c>
      <c r="G182" s="169"/>
      <c r="H182" s="176" t="str">
        <f>VLOOKUP(E182&amp;F182,'[1]MV+BI'!$E$8:$K$375,3,FALSE)</f>
        <v>Em Implementação</v>
      </c>
      <c r="I182" s="170" t="str">
        <f>VLOOKUP(E182&amp;F182,'[1]MV+BI'!$E$8:$K$375,6,FALSE)</f>
        <v>IT</v>
      </c>
      <c r="J182" s="62"/>
      <c r="K182" s="172">
        <f>VLOOKUP(E182&amp;F182,'[1]MV+BI'!$E$8:$K$375,5,FALSE)</f>
        <v>45432</v>
      </c>
      <c r="L182" s="62"/>
      <c r="M182" s="172">
        <f>VLOOKUP(E182&amp;F182,'[1]MV+BI'!$E$8:$K$375,7,FALSE)</f>
        <v>45450</v>
      </c>
      <c r="N182" s="172"/>
      <c r="O182" s="300" t="s">
        <v>187</v>
      </c>
      <c r="P182" s="300"/>
      <c r="Q182" s="300"/>
      <c r="R182" s="300"/>
      <c r="S182" s="300"/>
      <c r="T182" s="300"/>
      <c r="U182" s="300"/>
      <c r="V182" s="300"/>
      <c r="W182" s="300"/>
      <c r="X182" s="300"/>
      <c r="Y182" s="300"/>
      <c r="Z182" s="300"/>
      <c r="AA182" s="62"/>
      <c r="AB182"/>
      <c r="AC182"/>
      <c r="AD182" s="32"/>
    </row>
    <row r="183" spans="3:30" s="2" customFormat="1" ht="15" customHeight="1">
      <c r="C183" s="157"/>
      <c r="D183" s="1"/>
      <c r="E183" s="178" t="s">
        <v>208</v>
      </c>
      <c r="F183" s="178" t="s">
        <v>209</v>
      </c>
      <c r="G183" s="169"/>
      <c r="H183" s="176" t="str">
        <f>VLOOKUP(E183&amp;F183,'[1]MV+BI'!$E$8:$K$375,3,FALSE)</f>
        <v>Em Implementação</v>
      </c>
      <c r="I183" s="170" t="str">
        <f>VLOOKUP(E183&amp;F183,'[1]MV+BI'!$E$8:$K$375,6,FALSE)</f>
        <v>IT</v>
      </c>
      <c r="J183" s="62"/>
      <c r="K183" s="172">
        <f>VLOOKUP(E183&amp;F183,'[1]MV+BI'!$E$8:$K$375,5,FALSE)</f>
        <v>45432</v>
      </c>
      <c r="L183" s="62"/>
      <c r="M183" s="172">
        <f>VLOOKUP(E183&amp;F183,'[1]MV+BI'!$E$8:$K$375,7,FALSE)</f>
        <v>45450</v>
      </c>
      <c r="N183" s="172"/>
      <c r="O183" s="300" t="s">
        <v>187</v>
      </c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300"/>
      <c r="AA183" s="62"/>
      <c r="AB183"/>
      <c r="AC183"/>
      <c r="AD183" s="32"/>
    </row>
    <row r="184" spans="3:30" s="2" customFormat="1" ht="15" customHeight="1">
      <c r="C184" s="157"/>
      <c r="D184" s="1"/>
      <c r="E184" s="178" t="s">
        <v>208</v>
      </c>
      <c r="F184" s="178" t="s">
        <v>188</v>
      </c>
      <c r="G184" s="169"/>
      <c r="H184" s="176" t="str">
        <f>VLOOKUP(E184&amp;F184,'[1]MV+BI'!$E$8:$K$375,3,FALSE)</f>
        <v>Em Implementação</v>
      </c>
      <c r="I184" s="170" t="str">
        <f>VLOOKUP(E184&amp;F184,'[1]MV+BI'!$E$8:$K$375,6,FALSE)</f>
        <v>IT</v>
      </c>
      <c r="J184" s="62"/>
      <c r="K184" s="172">
        <f>VLOOKUP(E184&amp;F184,'[1]MV+BI'!$E$8:$K$375,5,FALSE)</f>
        <v>45432</v>
      </c>
      <c r="L184" s="62"/>
      <c r="M184" s="172">
        <f>VLOOKUP(E184&amp;F184,'[1]MV+BI'!$E$8:$K$375,7,FALSE)</f>
        <v>45450</v>
      </c>
      <c r="N184" s="172"/>
      <c r="O184" s="300" t="s">
        <v>187</v>
      </c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62"/>
      <c r="AB184"/>
      <c r="AC184"/>
      <c r="AD184" s="32"/>
    </row>
    <row r="185" spans="3:30" s="2" customFormat="1" ht="15" customHeight="1">
      <c r="C185" s="157"/>
      <c r="D185" s="1"/>
      <c r="E185" s="178" t="s">
        <v>208</v>
      </c>
      <c r="F185" s="178" t="s">
        <v>189</v>
      </c>
      <c r="G185" s="169"/>
      <c r="H185" s="176" t="str">
        <f>VLOOKUP(E185&amp;F185,'[1]MV+BI'!$E$8:$K$375,3,FALSE)</f>
        <v>Em Implementação</v>
      </c>
      <c r="I185" s="170" t="str">
        <f>VLOOKUP(E185&amp;F185,'[1]MV+BI'!$E$8:$K$375,6,FALSE)</f>
        <v>IT</v>
      </c>
      <c r="J185" s="62"/>
      <c r="K185" s="172">
        <f>VLOOKUP(E185&amp;F185,'[1]MV+BI'!$E$8:$K$375,5,FALSE)</f>
        <v>45432</v>
      </c>
      <c r="L185" s="62"/>
      <c r="M185" s="172">
        <f>VLOOKUP(E185&amp;F185,'[1]MV+BI'!$E$8:$K$375,7,FALSE)</f>
        <v>45450</v>
      </c>
      <c r="N185" s="172"/>
      <c r="O185" s="300" t="s">
        <v>187</v>
      </c>
      <c r="P185" s="300"/>
      <c r="Q185" s="300"/>
      <c r="R185" s="300"/>
      <c r="S185" s="300"/>
      <c r="T185" s="300"/>
      <c r="U185" s="300"/>
      <c r="V185" s="300"/>
      <c r="W185" s="300"/>
      <c r="X185" s="300"/>
      <c r="Y185" s="300"/>
      <c r="Z185" s="300"/>
      <c r="AA185" s="62"/>
      <c r="AB185"/>
      <c r="AC185"/>
      <c r="AD185" s="32"/>
    </row>
    <row r="186" spans="3:30" s="2" customFormat="1" ht="15" customHeight="1">
      <c r="C186" s="157"/>
      <c r="D186" s="1"/>
      <c r="E186" s="178" t="s">
        <v>208</v>
      </c>
      <c r="F186" s="178" t="s">
        <v>113</v>
      </c>
      <c r="G186" s="169"/>
      <c r="H186" s="176" t="str">
        <f>VLOOKUP(E186&amp;F186,'[1]MV+BI'!$E$8:$K$375,3,FALSE)</f>
        <v>Em Implementação</v>
      </c>
      <c r="I186" s="170" t="str">
        <f>VLOOKUP(E186&amp;F186,'[1]MV+BI'!$E$8:$K$375,6,FALSE)</f>
        <v>IT</v>
      </c>
      <c r="J186" s="62"/>
      <c r="K186" s="172">
        <f>VLOOKUP(E186&amp;F186,'[1]MV+BI'!$E$8:$K$375,5,FALSE)</f>
        <v>45432</v>
      </c>
      <c r="L186" s="62"/>
      <c r="M186" s="172">
        <f>VLOOKUP(E186&amp;F186,'[1]MV+BI'!$E$8:$K$375,7,FALSE)</f>
        <v>45450</v>
      </c>
      <c r="N186" s="172"/>
      <c r="O186" s="300" t="s">
        <v>187</v>
      </c>
      <c r="P186" s="300"/>
      <c r="Q186" s="300"/>
      <c r="R186" s="300"/>
      <c r="S186" s="300"/>
      <c r="T186" s="300"/>
      <c r="U186" s="300"/>
      <c r="V186" s="300"/>
      <c r="W186" s="300"/>
      <c r="X186" s="300"/>
      <c r="Y186" s="300"/>
      <c r="Z186" s="300"/>
      <c r="AA186" s="62"/>
      <c r="AB186"/>
      <c r="AC186"/>
      <c r="AD186" s="32"/>
    </row>
    <row r="187" spans="3:30" s="2" customFormat="1" ht="15" customHeight="1">
      <c r="C187" s="157"/>
      <c r="D187" s="1"/>
      <c r="E187" s="178" t="s">
        <v>208</v>
      </c>
      <c r="F187" s="178" t="s">
        <v>115</v>
      </c>
      <c r="G187" s="169"/>
      <c r="H187" s="176" t="str">
        <f>VLOOKUP(E187&amp;F187,'[1]MV+BI'!$E$8:$K$375,3,FALSE)</f>
        <v>Em Implementação</v>
      </c>
      <c r="I187" s="170" t="str">
        <f>VLOOKUP(E187&amp;F187,'[1]MV+BI'!$E$8:$K$375,6,FALSE)</f>
        <v>IT</v>
      </c>
      <c r="J187" s="62"/>
      <c r="K187" s="172">
        <f>VLOOKUP(E187&amp;F187,'[1]MV+BI'!$E$8:$K$375,5,FALSE)</f>
        <v>45432</v>
      </c>
      <c r="L187" s="62"/>
      <c r="M187" s="172">
        <f>VLOOKUP(E187&amp;F187,'[1]MV+BI'!$E$8:$K$375,7,FALSE)</f>
        <v>45450</v>
      </c>
      <c r="N187" s="172"/>
      <c r="O187" s="300" t="s">
        <v>187</v>
      </c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62"/>
      <c r="AB187"/>
      <c r="AC187"/>
      <c r="AD187" s="32"/>
    </row>
    <row r="188" spans="3:30" s="2" customFormat="1" ht="15" customHeight="1">
      <c r="C188" s="157"/>
      <c r="D188" s="1"/>
      <c r="E188" s="178" t="s">
        <v>208</v>
      </c>
      <c r="F188" s="178" t="s">
        <v>74</v>
      </c>
      <c r="G188" s="169"/>
      <c r="H188" s="176" t="str">
        <f>VLOOKUP(E188&amp;F188,'[1]MV+BI'!$E$8:$K$375,3,FALSE)</f>
        <v>Em Implementação</v>
      </c>
      <c r="I188" s="170" t="str">
        <f>VLOOKUP(E188&amp;F188,'[1]MV+BI'!$E$8:$K$375,6,FALSE)</f>
        <v>IT</v>
      </c>
      <c r="J188" s="62"/>
      <c r="K188" s="172">
        <f>VLOOKUP(E188&amp;F188,'[1]MV+BI'!$E$8:$K$375,5,FALSE)</f>
        <v>45432</v>
      </c>
      <c r="L188" s="62"/>
      <c r="M188" s="172">
        <f>VLOOKUP(E188&amp;F188,'[1]MV+BI'!$E$8:$K$375,7,FALSE)</f>
        <v>45450</v>
      </c>
      <c r="N188" s="172"/>
      <c r="O188" s="300" t="s">
        <v>187</v>
      </c>
      <c r="P188" s="300"/>
      <c r="Q188" s="300"/>
      <c r="R188" s="300"/>
      <c r="S188" s="300"/>
      <c r="T188" s="300"/>
      <c r="U188" s="300"/>
      <c r="V188" s="300"/>
      <c r="W188" s="300"/>
      <c r="X188" s="300"/>
      <c r="Y188" s="300"/>
      <c r="Z188" s="300"/>
      <c r="AA188" s="62"/>
      <c r="AB188"/>
      <c r="AC188"/>
      <c r="AD188" s="32"/>
    </row>
    <row r="189" spans="3:30" s="2" customFormat="1" ht="15" customHeight="1">
      <c r="C189" s="157"/>
      <c r="D189" s="1"/>
      <c r="E189" s="178" t="s">
        <v>208</v>
      </c>
      <c r="F189" s="178" t="s">
        <v>210</v>
      </c>
      <c r="G189" s="169"/>
      <c r="H189" s="176" t="str">
        <f>VLOOKUP(E189&amp;F189,'[1]MV+BI'!$E$8:$K$375,3,FALSE)</f>
        <v>Em Implementação</v>
      </c>
      <c r="I189" s="170" t="str">
        <f>VLOOKUP(E189&amp;F189,'[1]MV+BI'!$E$8:$K$375,6,FALSE)</f>
        <v>IT</v>
      </c>
      <c r="J189" s="62"/>
      <c r="K189" s="172">
        <f>VLOOKUP(E189&amp;F189,'[1]MV+BI'!$E$8:$K$375,5,FALSE)</f>
        <v>45432</v>
      </c>
      <c r="L189" s="62"/>
      <c r="M189" s="172">
        <f>VLOOKUP(E189&amp;F189,'[1]MV+BI'!$E$8:$K$375,7,FALSE)</f>
        <v>45450</v>
      </c>
      <c r="N189" s="172"/>
      <c r="O189" s="300" t="s">
        <v>187</v>
      </c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00"/>
      <c r="AA189" s="62"/>
      <c r="AB189"/>
      <c r="AC189"/>
      <c r="AD189" s="32"/>
    </row>
    <row r="190" spans="3:30" s="2" customFormat="1" ht="15" customHeight="1">
      <c r="C190" s="157"/>
      <c r="D190" s="1"/>
      <c r="E190" s="178" t="s">
        <v>208</v>
      </c>
      <c r="F190" s="178" t="s">
        <v>211</v>
      </c>
      <c r="G190" s="169"/>
      <c r="H190" s="176" t="str">
        <f>VLOOKUP(E190&amp;F190,'[1]MV+BI'!$E$8:$K$375,3,FALSE)</f>
        <v>Em Implementação</v>
      </c>
      <c r="I190" s="170" t="str">
        <f>VLOOKUP(E190&amp;F190,'[1]MV+BI'!$E$8:$K$375,6,FALSE)</f>
        <v>IT</v>
      </c>
      <c r="J190" s="62"/>
      <c r="K190" s="172">
        <f>VLOOKUP(E190&amp;F190,'[1]MV+BI'!$E$8:$K$375,5,FALSE)</f>
        <v>45432</v>
      </c>
      <c r="L190" s="62"/>
      <c r="M190" s="172">
        <f>VLOOKUP(E190&amp;F190,'[1]MV+BI'!$E$8:$K$375,7,FALSE)</f>
        <v>45450</v>
      </c>
      <c r="N190" s="172"/>
      <c r="O190" s="300" t="s">
        <v>187</v>
      </c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  <c r="AA190" s="62"/>
      <c r="AB190"/>
      <c r="AC190"/>
      <c r="AD190" s="32"/>
    </row>
    <row r="191" spans="3:30" s="2" customFormat="1" ht="15" customHeight="1">
      <c r="C191" s="157"/>
      <c r="D191" s="1"/>
      <c r="E191" s="178" t="s">
        <v>208</v>
      </c>
      <c r="F191" s="178" t="s">
        <v>212</v>
      </c>
      <c r="G191" s="169"/>
      <c r="H191" s="176" t="str">
        <f>VLOOKUP(E191&amp;F191,'[1]MV+BI'!$E$8:$K$375,3,FALSE)</f>
        <v>Em Implementação</v>
      </c>
      <c r="I191" s="170" t="str">
        <f>VLOOKUP(E191&amp;F191,'[1]MV+BI'!$E$8:$K$375,6,FALSE)</f>
        <v>IT</v>
      </c>
      <c r="J191" s="62"/>
      <c r="K191" s="172">
        <f>VLOOKUP(E191&amp;F191,'[1]MV+BI'!$E$8:$K$375,5,FALSE)</f>
        <v>45432</v>
      </c>
      <c r="L191" s="62"/>
      <c r="M191" s="172">
        <f>VLOOKUP(E191&amp;F191,'[1]MV+BI'!$E$8:$K$375,7,FALSE)</f>
        <v>45450</v>
      </c>
      <c r="N191" s="172"/>
      <c r="O191" s="300" t="s">
        <v>187</v>
      </c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  <c r="AA191" s="62"/>
      <c r="AB191"/>
      <c r="AC191"/>
      <c r="AD191" s="32"/>
    </row>
    <row r="192" spans="3:30" s="2" customFormat="1" ht="15" customHeight="1">
      <c r="C192" s="157"/>
      <c r="D192" s="1"/>
      <c r="E192" s="178" t="s">
        <v>208</v>
      </c>
      <c r="F192" s="178" t="s">
        <v>213</v>
      </c>
      <c r="G192" s="169"/>
      <c r="H192" s="176" t="str">
        <f>VLOOKUP(E192&amp;F192,'[1]MV+BI'!$E$8:$K$375,3,FALSE)</f>
        <v>Em Implementação</v>
      </c>
      <c r="I192" s="170" t="str">
        <f>VLOOKUP(E192&amp;F192,'[1]MV+BI'!$E$8:$K$375,6,FALSE)</f>
        <v>IT</v>
      </c>
      <c r="J192" s="62"/>
      <c r="K192" s="172">
        <f>VLOOKUP(E192&amp;F192,'[1]MV+BI'!$E$8:$K$375,5,FALSE)</f>
        <v>45432</v>
      </c>
      <c r="L192" s="62"/>
      <c r="M192" s="172">
        <f>VLOOKUP(E192&amp;F192,'[1]MV+BI'!$E$8:$K$375,7,FALSE)</f>
        <v>45450</v>
      </c>
      <c r="N192" s="172"/>
      <c r="O192" s="300" t="s">
        <v>187</v>
      </c>
      <c r="P192" s="300"/>
      <c r="Q192" s="300"/>
      <c r="R192" s="300"/>
      <c r="S192" s="300"/>
      <c r="T192" s="300"/>
      <c r="U192" s="300"/>
      <c r="V192" s="300"/>
      <c r="W192" s="300"/>
      <c r="X192" s="300"/>
      <c r="Y192" s="300"/>
      <c r="Z192" s="300"/>
      <c r="AA192" s="62"/>
      <c r="AB192"/>
      <c r="AC192"/>
      <c r="AD192" s="32"/>
    </row>
    <row r="193" spans="3:30" s="2" customFormat="1" ht="15" customHeight="1">
      <c r="C193" s="157"/>
      <c r="D193" s="1"/>
      <c r="E193" s="178" t="s">
        <v>208</v>
      </c>
      <c r="F193" s="178" t="s">
        <v>214</v>
      </c>
      <c r="G193" s="169"/>
      <c r="H193" s="176" t="str">
        <f>VLOOKUP(E193&amp;F193,'[1]MV+BI'!$E$8:$K$375,3,FALSE)</f>
        <v>Em Implementação</v>
      </c>
      <c r="I193" s="170" t="str">
        <f>VLOOKUP(E193&amp;F193,'[1]MV+BI'!$E$8:$K$375,6,FALSE)</f>
        <v>IT</v>
      </c>
      <c r="J193" s="62"/>
      <c r="K193" s="172">
        <f>VLOOKUP(E193&amp;F193,'[1]MV+BI'!$E$8:$K$375,5,FALSE)</f>
        <v>45432</v>
      </c>
      <c r="L193" s="62"/>
      <c r="M193" s="172">
        <f>VLOOKUP(E193&amp;F193,'[1]MV+BI'!$E$8:$K$375,7,FALSE)</f>
        <v>45450</v>
      </c>
      <c r="N193" s="172"/>
      <c r="O193" s="300" t="s">
        <v>187</v>
      </c>
      <c r="P193" s="300"/>
      <c r="Q193" s="300"/>
      <c r="R193" s="300"/>
      <c r="S193" s="300"/>
      <c r="T193" s="300"/>
      <c r="U193" s="300"/>
      <c r="V193" s="300"/>
      <c r="W193" s="300"/>
      <c r="X193" s="300"/>
      <c r="Y193" s="300"/>
      <c r="Z193" s="300"/>
      <c r="AA193" s="62"/>
      <c r="AB193"/>
      <c r="AC193"/>
      <c r="AD193" s="32"/>
    </row>
    <row r="194" spans="3:30" s="2" customFormat="1" ht="15" customHeight="1">
      <c r="C194" s="157"/>
      <c r="D194" s="1"/>
      <c r="E194" s="178" t="s">
        <v>208</v>
      </c>
      <c r="F194" s="178" t="s">
        <v>215</v>
      </c>
      <c r="G194" s="169"/>
      <c r="H194" s="176" t="str">
        <f>VLOOKUP(E194&amp;F194,'[1]MV+BI'!$E$8:$K$375,3,FALSE)</f>
        <v>Em Implementação</v>
      </c>
      <c r="I194" s="170" t="str">
        <f>VLOOKUP(E194&amp;F194,'[1]MV+BI'!$E$8:$K$375,6,FALSE)</f>
        <v>IT</v>
      </c>
      <c r="J194" s="62"/>
      <c r="K194" s="172">
        <f>VLOOKUP(E194&amp;F194,'[1]MV+BI'!$E$8:$K$375,5,FALSE)</f>
        <v>45432</v>
      </c>
      <c r="L194" s="62"/>
      <c r="M194" s="172">
        <f>VLOOKUP(E194&amp;F194,'[1]MV+BI'!$E$8:$K$375,7,FALSE)</f>
        <v>45450</v>
      </c>
      <c r="N194" s="172"/>
      <c r="O194" s="300" t="s">
        <v>187</v>
      </c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300"/>
      <c r="AA194" s="62"/>
      <c r="AB194"/>
      <c r="AC194"/>
      <c r="AD194" s="32"/>
    </row>
    <row r="195" spans="3:30" s="2" customFormat="1" ht="15" customHeight="1">
      <c r="C195" s="157"/>
      <c r="D195" s="1"/>
      <c r="E195" s="178" t="s">
        <v>208</v>
      </c>
      <c r="F195" s="179" t="s">
        <v>216</v>
      </c>
      <c r="G195" s="169"/>
      <c r="H195" s="176" t="str">
        <f>VLOOKUP(E195&amp;F195,'[1]MV+BI'!$E$8:$K$375,3,FALSE)</f>
        <v>Em Implementação</v>
      </c>
      <c r="I195" s="170" t="str">
        <f>VLOOKUP(E195&amp;F195,'[1]MV+BI'!$E$8:$K$375,6,FALSE)</f>
        <v>IT</v>
      </c>
      <c r="J195" s="62"/>
      <c r="K195" s="172">
        <f>VLOOKUP(E195&amp;F195,'[1]MV+BI'!$E$8:$K$375,5,FALSE)</f>
        <v>45432</v>
      </c>
      <c r="L195" s="62"/>
      <c r="M195" s="172">
        <f>VLOOKUP(E195&amp;F195,'[1]MV+BI'!$E$8:$K$375,7,FALSE)</f>
        <v>45450</v>
      </c>
      <c r="N195" s="172"/>
      <c r="O195" s="300" t="s">
        <v>187</v>
      </c>
      <c r="P195" s="300"/>
      <c r="Q195" s="300"/>
      <c r="R195" s="300"/>
      <c r="S195" s="300"/>
      <c r="T195" s="300"/>
      <c r="U195" s="300"/>
      <c r="V195" s="300"/>
      <c r="W195" s="300"/>
      <c r="X195" s="300"/>
      <c r="Y195" s="300"/>
      <c r="Z195" s="300"/>
      <c r="AA195" s="62"/>
      <c r="AB195"/>
      <c r="AC195"/>
      <c r="AD195" s="32"/>
    </row>
    <row r="196" spans="3:30" s="2" customFormat="1" ht="15" customHeight="1">
      <c r="C196" s="157"/>
      <c r="D196" s="1"/>
      <c r="E196" s="178" t="s">
        <v>208</v>
      </c>
      <c r="F196" s="180" t="s">
        <v>217</v>
      </c>
      <c r="G196" s="169"/>
      <c r="H196" s="176" t="str">
        <f>VLOOKUP(E196&amp;F196,'[1]MV+BI'!$E$8:$K$375,3,FALSE)</f>
        <v>Em Implementação</v>
      </c>
      <c r="I196" s="170" t="str">
        <f>VLOOKUP(E196&amp;F196,'[1]MV+BI'!$E$8:$K$375,6,FALSE)</f>
        <v>IT</v>
      </c>
      <c r="J196" s="62"/>
      <c r="K196" s="172">
        <f>VLOOKUP(E196&amp;F196,'[1]MV+BI'!$E$8:$K$375,5,FALSE)</f>
        <v>45432</v>
      </c>
      <c r="L196" s="62"/>
      <c r="M196" s="172">
        <f>VLOOKUP(E196&amp;F196,'[1]MV+BI'!$E$8:$K$375,7,FALSE)</f>
        <v>45450</v>
      </c>
      <c r="N196" s="172"/>
      <c r="O196" s="300" t="s">
        <v>187</v>
      </c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62"/>
      <c r="AB196"/>
      <c r="AC196"/>
      <c r="AD196" s="32"/>
    </row>
    <row r="197" spans="3:30" s="2" customFormat="1" ht="15" customHeight="1">
      <c r="C197" s="157"/>
      <c r="D197" s="1"/>
      <c r="E197" s="178" t="s">
        <v>208</v>
      </c>
      <c r="F197" s="180" t="s">
        <v>218</v>
      </c>
      <c r="G197" s="169"/>
      <c r="H197" s="176" t="str">
        <f>VLOOKUP(E197&amp;F197,'[1]MV+BI'!$E$8:$K$375,3,FALSE)</f>
        <v>Em Implementação</v>
      </c>
      <c r="I197" s="170" t="str">
        <f>VLOOKUP(E197&amp;F197,'[1]MV+BI'!$E$8:$K$375,6,FALSE)</f>
        <v>IT</v>
      </c>
      <c r="J197" s="62"/>
      <c r="K197" s="172">
        <f>VLOOKUP(E197&amp;F197,'[1]MV+BI'!$E$8:$K$375,5,FALSE)</f>
        <v>45432</v>
      </c>
      <c r="L197" s="62"/>
      <c r="M197" s="172">
        <f>VLOOKUP(E197&amp;F197,'[1]MV+BI'!$E$8:$K$375,7,FALSE)</f>
        <v>45450</v>
      </c>
      <c r="N197" s="172"/>
      <c r="O197" s="300" t="s">
        <v>187</v>
      </c>
      <c r="P197" s="300"/>
      <c r="Q197" s="300"/>
      <c r="R197" s="300"/>
      <c r="S197" s="300"/>
      <c r="T197" s="300"/>
      <c r="U197" s="300"/>
      <c r="V197" s="300"/>
      <c r="W197" s="300"/>
      <c r="X197" s="300"/>
      <c r="Y197" s="300"/>
      <c r="Z197" s="300"/>
      <c r="AA197" s="62"/>
      <c r="AB197"/>
      <c r="AC197"/>
      <c r="AD197" s="32"/>
    </row>
    <row r="198" spans="3:30" s="2" customFormat="1" ht="15" customHeight="1">
      <c r="C198" s="157"/>
      <c r="D198" s="1"/>
      <c r="E198" s="178" t="s">
        <v>219</v>
      </c>
      <c r="F198" s="180" t="s">
        <v>67</v>
      </c>
      <c r="G198" s="169"/>
      <c r="H198" s="176" t="str">
        <f>VLOOKUP(E198&amp;F198,'[1]MV+BI'!$E$8:$K$375,3,FALSE)</f>
        <v>Em Implementação</v>
      </c>
      <c r="I198" s="170" t="str">
        <f>VLOOKUP(E198&amp;F198,'[1]MV+BI'!$E$8:$K$375,6,FALSE)</f>
        <v>IT</v>
      </c>
      <c r="J198" s="62"/>
      <c r="K198" s="172">
        <f>VLOOKUP(E198&amp;F198,'[1]MV+BI'!$E$8:$K$375,5,FALSE)</f>
        <v>45432</v>
      </c>
      <c r="L198" s="62"/>
      <c r="M198" s="172">
        <f>VLOOKUP(E198&amp;F198,'[1]MV+BI'!$E$8:$K$375,7,FALSE)</f>
        <v>45478</v>
      </c>
      <c r="N198" s="172"/>
      <c r="O198" s="300" t="s">
        <v>187</v>
      </c>
      <c r="P198" s="300"/>
      <c r="Q198" s="300"/>
      <c r="R198" s="300"/>
      <c r="S198" s="300"/>
      <c r="T198" s="300"/>
      <c r="U198" s="300"/>
      <c r="V198" s="300"/>
      <c r="W198" s="300"/>
      <c r="X198" s="300"/>
      <c r="Y198" s="300"/>
      <c r="Z198" s="300"/>
      <c r="AA198" s="62"/>
      <c r="AB198"/>
      <c r="AC198"/>
      <c r="AD198" s="32"/>
    </row>
    <row r="199" spans="3:30" s="2" customFormat="1" ht="15" customHeight="1">
      <c r="C199" s="157"/>
      <c r="D199" s="1"/>
      <c r="E199" s="178" t="s">
        <v>219</v>
      </c>
      <c r="F199" s="180" t="s">
        <v>190</v>
      </c>
      <c r="G199" s="169"/>
      <c r="H199" s="176" t="str">
        <f>VLOOKUP(E199&amp;F199,'[1]MV+BI'!$E$8:$K$375,3,FALSE)</f>
        <v>Em Implementação</v>
      </c>
      <c r="I199" s="170" t="str">
        <f>VLOOKUP(E199&amp;F199,'[1]MV+BI'!$E$8:$K$375,6,FALSE)</f>
        <v>IT</v>
      </c>
      <c r="J199" s="62"/>
      <c r="K199" s="172">
        <f>VLOOKUP(E199&amp;F199,'[1]MV+BI'!$E$8:$K$375,5,FALSE)</f>
        <v>45432</v>
      </c>
      <c r="L199" s="62"/>
      <c r="M199" s="172">
        <f>VLOOKUP(E199&amp;F199,'[1]MV+BI'!$E$8:$K$375,7,FALSE)</f>
        <v>45478</v>
      </c>
      <c r="N199" s="172"/>
      <c r="O199" s="300" t="s">
        <v>187</v>
      </c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00"/>
      <c r="AA199" s="62"/>
      <c r="AB199"/>
      <c r="AC199"/>
      <c r="AD199" s="32"/>
    </row>
    <row r="200" spans="3:30" s="2" customFormat="1" ht="15" customHeight="1">
      <c r="C200" s="157"/>
      <c r="D200" s="1"/>
      <c r="E200" s="178" t="s">
        <v>219</v>
      </c>
      <c r="F200" s="180" t="s">
        <v>189</v>
      </c>
      <c r="G200" s="169"/>
      <c r="H200" s="176" t="str">
        <f>VLOOKUP(E200&amp;F200,'[1]MV+BI'!$E$8:$K$375,3,FALSE)</f>
        <v>Em Implementação</v>
      </c>
      <c r="I200" s="170" t="str">
        <f>VLOOKUP(E200&amp;F200,'[1]MV+BI'!$E$8:$K$375,6,FALSE)</f>
        <v>IT</v>
      </c>
      <c r="J200" s="62"/>
      <c r="K200" s="172">
        <f>VLOOKUP(E200&amp;F200,'[1]MV+BI'!$E$8:$K$375,5,FALSE)</f>
        <v>45432</v>
      </c>
      <c r="L200" s="62"/>
      <c r="M200" s="172">
        <f>VLOOKUP(E200&amp;F200,'[1]MV+BI'!$E$8:$K$375,7,FALSE)</f>
        <v>45478</v>
      </c>
      <c r="N200" s="172"/>
      <c r="O200" s="300" t="s">
        <v>187</v>
      </c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62"/>
      <c r="AB200"/>
      <c r="AC200"/>
      <c r="AD200" s="32"/>
    </row>
    <row r="201" spans="3:30" s="2" customFormat="1" ht="15" customHeight="1">
      <c r="C201" s="157"/>
      <c r="D201" s="1"/>
      <c r="E201" s="178" t="s">
        <v>219</v>
      </c>
      <c r="F201" s="180" t="s">
        <v>220</v>
      </c>
      <c r="G201" s="169"/>
      <c r="H201" s="176" t="str">
        <f>VLOOKUP(E201&amp;F201,'[1]MV+BI'!$E$8:$K$375,3,FALSE)</f>
        <v>Em Implementação</v>
      </c>
      <c r="I201" s="170" t="str">
        <f>VLOOKUP(E201&amp;F201,'[1]MV+BI'!$E$8:$K$375,6,FALSE)</f>
        <v>IT</v>
      </c>
      <c r="J201" s="62"/>
      <c r="K201" s="172">
        <f>VLOOKUP(E201&amp;F201,'[1]MV+BI'!$E$8:$K$375,5,FALSE)</f>
        <v>45432</v>
      </c>
      <c r="L201" s="62"/>
      <c r="M201" s="172">
        <f>VLOOKUP(E201&amp;F201,'[1]MV+BI'!$E$8:$K$375,7,FALSE)</f>
        <v>45478</v>
      </c>
      <c r="N201" s="172"/>
      <c r="O201" s="300" t="s">
        <v>187</v>
      </c>
      <c r="P201" s="300"/>
      <c r="Q201" s="300"/>
      <c r="R201" s="300"/>
      <c r="S201" s="300"/>
      <c r="T201" s="300"/>
      <c r="U201" s="300"/>
      <c r="V201" s="300"/>
      <c r="W201" s="300"/>
      <c r="X201" s="300"/>
      <c r="Y201" s="300"/>
      <c r="Z201" s="300"/>
      <c r="AA201" s="62"/>
      <c r="AB201"/>
      <c r="AC201"/>
      <c r="AD201" s="32"/>
    </row>
    <row r="202" spans="3:30" s="2" customFormat="1" ht="15" customHeight="1">
      <c r="C202" s="157"/>
      <c r="D202" s="1"/>
      <c r="E202" s="178" t="s">
        <v>219</v>
      </c>
      <c r="F202" s="180" t="s">
        <v>191</v>
      </c>
      <c r="G202" s="169"/>
      <c r="H202" s="176" t="str">
        <f>VLOOKUP(E202&amp;F202,'[1]MV+BI'!$E$8:$K$375,3,FALSE)</f>
        <v>Em Implementação</v>
      </c>
      <c r="I202" s="170" t="str">
        <f>VLOOKUP(E202&amp;F202,'[1]MV+BI'!$E$8:$K$375,6,FALSE)</f>
        <v>IT</v>
      </c>
      <c r="J202" s="62"/>
      <c r="K202" s="172">
        <f>VLOOKUP(E202&amp;F202,'[1]MV+BI'!$E$8:$K$375,5,FALSE)</f>
        <v>45432</v>
      </c>
      <c r="L202" s="62"/>
      <c r="M202" s="172">
        <f>VLOOKUP(E202&amp;F202,'[1]MV+BI'!$E$8:$K$375,7,FALSE)</f>
        <v>45478</v>
      </c>
      <c r="N202" s="172"/>
      <c r="O202" s="300" t="s">
        <v>187</v>
      </c>
      <c r="P202" s="300"/>
      <c r="Q202" s="300"/>
      <c r="R202" s="300"/>
      <c r="S202" s="300"/>
      <c r="T202" s="300"/>
      <c r="U202" s="300"/>
      <c r="V202" s="300"/>
      <c r="W202" s="300"/>
      <c r="X202" s="300"/>
      <c r="Y202" s="300"/>
      <c r="Z202" s="300"/>
      <c r="AA202" s="62"/>
      <c r="AB202"/>
      <c r="AC202"/>
      <c r="AD202" s="32"/>
    </row>
    <row r="203" spans="3:30" s="2" customFormat="1" ht="15" customHeight="1">
      <c r="C203" s="157"/>
      <c r="D203" s="1"/>
      <c r="E203" s="178" t="s">
        <v>219</v>
      </c>
      <c r="F203" s="180" t="s">
        <v>167</v>
      </c>
      <c r="G203" s="169"/>
      <c r="H203" s="176" t="str">
        <f>VLOOKUP(E203&amp;F203,'[1]MV+BI'!$E$8:$K$375,3,FALSE)</f>
        <v>Em Implementação</v>
      </c>
      <c r="I203" s="170" t="str">
        <f>VLOOKUP(E203&amp;F203,'[1]MV+BI'!$E$8:$K$375,6,FALSE)</f>
        <v>IT</v>
      </c>
      <c r="J203" s="62"/>
      <c r="K203" s="172">
        <f>VLOOKUP(E203&amp;F203,'[1]MV+BI'!$E$8:$K$375,5,FALSE)</f>
        <v>45432</v>
      </c>
      <c r="L203" s="62"/>
      <c r="M203" s="172">
        <f>VLOOKUP(E203&amp;F203,'[1]MV+BI'!$E$8:$K$375,7,FALSE)</f>
        <v>45478</v>
      </c>
      <c r="N203" s="172"/>
      <c r="O203" s="300" t="s">
        <v>187</v>
      </c>
      <c r="P203" s="300"/>
      <c r="Q203" s="300"/>
      <c r="R203" s="300"/>
      <c r="S203" s="300"/>
      <c r="T203" s="300"/>
      <c r="U203" s="300"/>
      <c r="V203" s="300"/>
      <c r="W203" s="300"/>
      <c r="X203" s="300"/>
      <c r="Y203" s="300"/>
      <c r="Z203" s="300"/>
      <c r="AA203" s="62"/>
      <c r="AB203"/>
      <c r="AC203"/>
      <c r="AD203" s="32"/>
    </row>
    <row r="204" spans="3:30" s="2" customFormat="1" ht="15" customHeight="1">
      <c r="C204" s="157"/>
      <c r="D204" s="1"/>
      <c r="E204" s="178" t="s">
        <v>219</v>
      </c>
      <c r="F204" s="180" t="s">
        <v>171</v>
      </c>
      <c r="G204" s="169"/>
      <c r="H204" s="176" t="str">
        <f>VLOOKUP(E204&amp;F204,'[1]MV+BI'!$E$8:$K$375,3,FALSE)</f>
        <v>Em Implementação</v>
      </c>
      <c r="I204" s="170" t="str">
        <f>VLOOKUP(E204&amp;F204,'[1]MV+BI'!$E$8:$K$375,6,FALSE)</f>
        <v>IT</v>
      </c>
      <c r="J204" s="62"/>
      <c r="K204" s="172">
        <f>VLOOKUP(E204&amp;F204,'[1]MV+BI'!$E$8:$K$375,5,FALSE)</f>
        <v>45432</v>
      </c>
      <c r="L204" s="62"/>
      <c r="M204" s="172">
        <f>VLOOKUP(E204&amp;F204,'[1]MV+BI'!$E$8:$K$375,7,FALSE)</f>
        <v>45478</v>
      </c>
      <c r="N204" s="172"/>
      <c r="O204" s="300" t="s">
        <v>187</v>
      </c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62"/>
      <c r="AB204"/>
      <c r="AC204"/>
      <c r="AD204" s="32"/>
    </row>
    <row r="205" spans="3:30" s="2" customFormat="1" ht="15" customHeight="1">
      <c r="C205" s="157"/>
      <c r="D205" s="1"/>
      <c r="E205" s="178" t="s">
        <v>219</v>
      </c>
      <c r="F205" s="180" t="s">
        <v>172</v>
      </c>
      <c r="G205" s="169"/>
      <c r="H205" s="176" t="str">
        <f>VLOOKUP(E205&amp;F205,'[1]MV+BI'!$E$8:$K$375,3,FALSE)</f>
        <v>Em Implementação</v>
      </c>
      <c r="I205" s="170" t="str">
        <f>VLOOKUP(E205&amp;F205,'[1]MV+BI'!$E$8:$K$375,6,FALSE)</f>
        <v>IT</v>
      </c>
      <c r="J205" s="62"/>
      <c r="K205" s="172">
        <f>VLOOKUP(E205&amp;F205,'[1]MV+BI'!$E$8:$K$375,5,FALSE)</f>
        <v>45432</v>
      </c>
      <c r="L205" s="62"/>
      <c r="M205" s="172">
        <f>VLOOKUP(E205&amp;F205,'[1]MV+BI'!$E$8:$K$375,7,FALSE)</f>
        <v>45478</v>
      </c>
      <c r="N205" s="172"/>
      <c r="O205" s="300" t="s">
        <v>187</v>
      </c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300"/>
      <c r="AA205" s="62"/>
      <c r="AB205"/>
      <c r="AC205"/>
      <c r="AD205" s="32"/>
    </row>
    <row r="206" spans="3:30" s="2" customFormat="1" ht="15" customHeight="1">
      <c r="C206" s="157"/>
      <c r="D206" s="1"/>
      <c r="E206" s="178" t="s">
        <v>219</v>
      </c>
      <c r="F206" s="180" t="s">
        <v>173</v>
      </c>
      <c r="G206" s="169"/>
      <c r="H206" s="176" t="str">
        <f>VLOOKUP(E206&amp;F206,'[1]MV+BI'!$E$8:$K$375,3,FALSE)</f>
        <v>Em Implementação</v>
      </c>
      <c r="I206" s="170" t="str">
        <f>VLOOKUP(E206&amp;F206,'[1]MV+BI'!$E$8:$K$375,6,FALSE)</f>
        <v>IT</v>
      </c>
      <c r="J206" s="62"/>
      <c r="K206" s="172">
        <f>VLOOKUP(E206&amp;F206,'[1]MV+BI'!$E$8:$K$375,5,FALSE)</f>
        <v>45432</v>
      </c>
      <c r="L206" s="62"/>
      <c r="M206" s="172">
        <f>VLOOKUP(E206&amp;F206,'[1]MV+BI'!$E$8:$K$375,7,FALSE)</f>
        <v>45478</v>
      </c>
      <c r="N206" s="172"/>
      <c r="O206" s="300" t="s">
        <v>187</v>
      </c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300"/>
      <c r="AA206" s="62"/>
      <c r="AB206"/>
      <c r="AC206"/>
      <c r="AD206" s="32"/>
    </row>
    <row r="207" spans="3:30" s="2" customFormat="1" ht="15" customHeight="1">
      <c r="C207" s="157"/>
      <c r="D207" s="1"/>
      <c r="E207" s="178" t="s">
        <v>219</v>
      </c>
      <c r="F207" s="180" t="s">
        <v>174</v>
      </c>
      <c r="G207" s="169"/>
      <c r="H207" s="176" t="str">
        <f>VLOOKUP(E207&amp;F207,'[1]MV+BI'!$E$8:$K$375,3,FALSE)</f>
        <v>Em Implementação</v>
      </c>
      <c r="I207" s="170" t="str">
        <f>VLOOKUP(E207&amp;F207,'[1]MV+BI'!$E$8:$K$375,6,FALSE)</f>
        <v>IT</v>
      </c>
      <c r="J207" s="62"/>
      <c r="K207" s="172">
        <f>VLOOKUP(E207&amp;F207,'[1]MV+BI'!$E$8:$K$375,5,FALSE)</f>
        <v>45432</v>
      </c>
      <c r="L207" s="62"/>
      <c r="M207" s="172">
        <f>VLOOKUP(E207&amp;F207,'[1]MV+BI'!$E$8:$K$375,7,FALSE)</f>
        <v>45478</v>
      </c>
      <c r="N207" s="172"/>
      <c r="O207" s="300" t="s">
        <v>187</v>
      </c>
      <c r="P207" s="300"/>
      <c r="Q207" s="300"/>
      <c r="R207" s="300"/>
      <c r="S207" s="300"/>
      <c r="T207" s="300"/>
      <c r="U207" s="300"/>
      <c r="V207" s="300"/>
      <c r="W207" s="300"/>
      <c r="X207" s="300"/>
      <c r="Y207" s="300"/>
      <c r="Z207" s="300"/>
      <c r="AA207" s="62"/>
      <c r="AB207"/>
      <c r="AC207"/>
      <c r="AD207" s="32"/>
    </row>
    <row r="208" spans="3:30" s="2" customFormat="1" ht="15" customHeight="1">
      <c r="C208" s="157"/>
      <c r="D208" s="1"/>
      <c r="E208" s="178" t="s">
        <v>219</v>
      </c>
      <c r="F208" s="180" t="s">
        <v>175</v>
      </c>
      <c r="G208" s="169"/>
      <c r="H208" s="176" t="str">
        <f>VLOOKUP(E208&amp;F208,'[1]MV+BI'!$E$8:$K$375,3,FALSE)</f>
        <v>Em Implementação</v>
      </c>
      <c r="I208" s="170" t="str">
        <f>VLOOKUP(E208&amp;F208,'[1]MV+BI'!$E$8:$K$375,6,FALSE)</f>
        <v>IT</v>
      </c>
      <c r="J208" s="62"/>
      <c r="K208" s="172">
        <f>VLOOKUP(E208&amp;F208,'[1]MV+BI'!$E$8:$K$375,5,FALSE)</f>
        <v>45432</v>
      </c>
      <c r="L208" s="62"/>
      <c r="M208" s="172">
        <f>VLOOKUP(E208&amp;F208,'[1]MV+BI'!$E$8:$K$375,7,FALSE)</f>
        <v>45478</v>
      </c>
      <c r="N208" s="172"/>
      <c r="O208" s="300" t="s">
        <v>187</v>
      </c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2"/>
      <c r="AB208"/>
      <c r="AC208"/>
      <c r="AD208" s="32"/>
    </row>
    <row r="209" spans="3:30" s="2" customFormat="1" ht="15" customHeight="1">
      <c r="C209" s="157"/>
      <c r="D209" s="1"/>
      <c r="E209" s="178" t="s">
        <v>219</v>
      </c>
      <c r="F209" s="180" t="s">
        <v>176</v>
      </c>
      <c r="G209" s="169"/>
      <c r="H209" s="176" t="str">
        <f>VLOOKUP(E209&amp;F209,'[1]MV+BI'!$E$8:$K$375,3,FALSE)</f>
        <v>Em Implementação</v>
      </c>
      <c r="I209" s="170" t="str">
        <f>VLOOKUP(E209&amp;F209,'[1]MV+BI'!$E$8:$K$375,6,FALSE)</f>
        <v>IT</v>
      </c>
      <c r="J209" s="62"/>
      <c r="K209" s="172">
        <f>VLOOKUP(E209&amp;F209,'[1]MV+BI'!$E$8:$K$375,5,FALSE)</f>
        <v>45432</v>
      </c>
      <c r="L209" s="62"/>
      <c r="M209" s="172">
        <f>VLOOKUP(E209&amp;F209,'[1]MV+BI'!$E$8:$K$375,7,FALSE)</f>
        <v>45478</v>
      </c>
      <c r="N209" s="172"/>
      <c r="O209" s="300" t="s">
        <v>187</v>
      </c>
      <c r="P209" s="300"/>
      <c r="Q209" s="300"/>
      <c r="R209" s="300"/>
      <c r="S209" s="300"/>
      <c r="T209" s="300"/>
      <c r="U209" s="300"/>
      <c r="V209" s="300"/>
      <c r="W209" s="300"/>
      <c r="X209" s="300"/>
      <c r="Y209" s="300"/>
      <c r="Z209" s="300"/>
      <c r="AA209" s="62"/>
      <c r="AB209"/>
      <c r="AC209"/>
      <c r="AD209" s="32"/>
    </row>
    <row r="210" spans="3:30" s="2" customFormat="1" ht="15" customHeight="1">
      <c r="C210" s="157"/>
      <c r="D210" s="1"/>
      <c r="E210" s="178" t="s">
        <v>219</v>
      </c>
      <c r="F210" s="180" t="s">
        <v>177</v>
      </c>
      <c r="G210" s="169"/>
      <c r="H210" s="176" t="str">
        <f>VLOOKUP(E210&amp;F210,'[1]MV+BI'!$E$8:$K$375,3,FALSE)</f>
        <v>Em Implementação</v>
      </c>
      <c r="I210" s="170" t="str">
        <f>VLOOKUP(E210&amp;F210,'[1]MV+BI'!$E$8:$K$375,6,FALSE)</f>
        <v>IT</v>
      </c>
      <c r="J210" s="62"/>
      <c r="K210" s="172">
        <f>VLOOKUP(E210&amp;F210,'[1]MV+BI'!$E$8:$K$375,5,FALSE)</f>
        <v>45432</v>
      </c>
      <c r="L210" s="62"/>
      <c r="M210" s="172">
        <f>VLOOKUP(E210&amp;F210,'[1]MV+BI'!$E$8:$K$375,7,FALSE)</f>
        <v>45478</v>
      </c>
      <c r="N210" s="172"/>
      <c r="O210" s="300" t="s">
        <v>187</v>
      </c>
      <c r="P210" s="300"/>
      <c r="Q210" s="300"/>
      <c r="R210" s="300"/>
      <c r="S210" s="300"/>
      <c r="T210" s="300"/>
      <c r="U210" s="300"/>
      <c r="V210" s="300"/>
      <c r="W210" s="300"/>
      <c r="X210" s="300"/>
      <c r="Y210" s="300"/>
      <c r="Z210" s="300"/>
      <c r="AA210" s="62"/>
      <c r="AB210"/>
      <c r="AC210"/>
      <c r="AD210" s="32"/>
    </row>
    <row r="211" spans="3:30" s="2" customFormat="1" ht="15" customHeight="1">
      <c r="C211" s="157"/>
      <c r="D211" s="1"/>
      <c r="E211" s="178" t="s">
        <v>219</v>
      </c>
      <c r="F211" s="180" t="s">
        <v>178</v>
      </c>
      <c r="G211" s="169"/>
      <c r="H211" s="176" t="str">
        <f>VLOOKUP(E211&amp;F211,'[1]MV+BI'!$E$8:$K$375,3,FALSE)</f>
        <v>Em Implementação</v>
      </c>
      <c r="I211" s="170" t="str">
        <f>VLOOKUP(E211&amp;F211,'[1]MV+BI'!$E$8:$K$375,6,FALSE)</f>
        <v>IT</v>
      </c>
      <c r="J211" s="62"/>
      <c r="K211" s="172">
        <f>VLOOKUP(E211&amp;F211,'[1]MV+BI'!$E$8:$K$375,5,FALSE)</f>
        <v>45432</v>
      </c>
      <c r="L211" s="62"/>
      <c r="M211" s="172">
        <f>VLOOKUP(E211&amp;F211,'[1]MV+BI'!$E$8:$K$375,7,FALSE)</f>
        <v>45478</v>
      </c>
      <c r="N211" s="172"/>
      <c r="O211" s="300" t="s">
        <v>187</v>
      </c>
      <c r="P211" s="300"/>
      <c r="Q211" s="300"/>
      <c r="R211" s="300"/>
      <c r="S211" s="300"/>
      <c r="T211" s="300"/>
      <c r="U211" s="300"/>
      <c r="V211" s="300"/>
      <c r="W211" s="300"/>
      <c r="X211" s="300"/>
      <c r="Y211" s="300"/>
      <c r="Z211" s="300"/>
      <c r="AA211" s="62"/>
      <c r="AB211"/>
      <c r="AC211"/>
      <c r="AD211" s="32"/>
    </row>
    <row r="212" spans="3:30" s="2" customFormat="1" ht="15" customHeight="1">
      <c r="C212" s="157"/>
      <c r="D212" s="1"/>
      <c r="E212" s="178" t="s">
        <v>219</v>
      </c>
      <c r="F212" s="180" t="s">
        <v>179</v>
      </c>
      <c r="G212" s="169"/>
      <c r="H212" s="176" t="str">
        <f>VLOOKUP(E212&amp;F212,'[1]MV+BI'!$E$8:$K$375,3,FALSE)</f>
        <v>Em Implementação</v>
      </c>
      <c r="I212" s="170" t="str">
        <f>VLOOKUP(E212&amp;F212,'[1]MV+BI'!$E$8:$K$375,6,FALSE)</f>
        <v>IT</v>
      </c>
      <c r="J212" s="62"/>
      <c r="K212" s="172">
        <f>VLOOKUP(E212&amp;F212,'[1]MV+BI'!$E$8:$K$375,5,FALSE)</f>
        <v>45432</v>
      </c>
      <c r="L212" s="62"/>
      <c r="M212" s="172">
        <f>VLOOKUP(E212&amp;F212,'[1]MV+BI'!$E$8:$K$375,7,FALSE)</f>
        <v>45478</v>
      </c>
      <c r="N212" s="172"/>
      <c r="O212" s="300" t="s">
        <v>187</v>
      </c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  <c r="AA212" s="62"/>
      <c r="AB212"/>
      <c r="AC212"/>
      <c r="AD212" s="32"/>
    </row>
    <row r="213" spans="3:30" s="2" customFormat="1" ht="15" customHeight="1">
      <c r="C213" s="157"/>
      <c r="D213" s="1"/>
      <c r="E213" s="178" t="s">
        <v>219</v>
      </c>
      <c r="F213" s="180" t="s">
        <v>180</v>
      </c>
      <c r="G213" s="169"/>
      <c r="H213" s="176" t="str">
        <f>VLOOKUP(E213&amp;F213,'[1]MV+BI'!$E$8:$K$375,3,FALSE)</f>
        <v>Em Implementação</v>
      </c>
      <c r="I213" s="170" t="str">
        <f>VLOOKUP(E213&amp;F213,'[1]MV+BI'!$E$8:$K$375,6,FALSE)</f>
        <v>IT</v>
      </c>
      <c r="J213" s="62"/>
      <c r="K213" s="172">
        <f>VLOOKUP(E213&amp;F213,'[1]MV+BI'!$E$8:$K$375,5,FALSE)</f>
        <v>45432</v>
      </c>
      <c r="L213" s="62"/>
      <c r="M213" s="172">
        <f>VLOOKUP(E213&amp;F213,'[1]MV+BI'!$E$8:$K$375,7,FALSE)</f>
        <v>45478</v>
      </c>
      <c r="N213" s="172"/>
      <c r="O213" s="300" t="s">
        <v>187</v>
      </c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62"/>
      <c r="AB213"/>
      <c r="AC213"/>
      <c r="AD213" s="32"/>
    </row>
    <row r="214" spans="3:30" s="2" customFormat="1" ht="15" customHeight="1">
      <c r="C214" s="157"/>
      <c r="D214" s="1"/>
      <c r="E214" s="178" t="s">
        <v>219</v>
      </c>
      <c r="F214" s="180" t="s">
        <v>181</v>
      </c>
      <c r="G214" s="169"/>
      <c r="H214" s="176" t="str">
        <f>VLOOKUP(E214&amp;F214,'[1]MV+BI'!$E$8:$K$375,3,FALSE)</f>
        <v>Em Implementação</v>
      </c>
      <c r="I214" s="170" t="str">
        <f>VLOOKUP(E214&amp;F214,'[1]MV+BI'!$E$8:$K$375,6,FALSE)</f>
        <v>IT</v>
      </c>
      <c r="J214" s="62"/>
      <c r="K214" s="172">
        <f>VLOOKUP(E214&amp;F214,'[1]MV+BI'!$E$8:$K$375,5,FALSE)</f>
        <v>45432</v>
      </c>
      <c r="L214" s="62"/>
      <c r="M214" s="172">
        <f>VLOOKUP(E214&amp;F214,'[1]MV+BI'!$E$8:$K$375,7,FALSE)</f>
        <v>45478</v>
      </c>
      <c r="N214" s="172"/>
      <c r="O214" s="300" t="s">
        <v>187</v>
      </c>
      <c r="P214" s="300"/>
      <c r="Q214" s="300"/>
      <c r="R214" s="300"/>
      <c r="S214" s="300"/>
      <c r="T214" s="300"/>
      <c r="U214" s="300"/>
      <c r="V214" s="300"/>
      <c r="W214" s="300"/>
      <c r="X214" s="300"/>
      <c r="Y214" s="300"/>
      <c r="Z214" s="300"/>
      <c r="AA214" s="62"/>
      <c r="AB214"/>
      <c r="AC214"/>
      <c r="AD214" s="32"/>
    </row>
    <row r="215" spans="3:30" s="2" customFormat="1" ht="15" customHeight="1">
      <c r="C215" s="157"/>
      <c r="D215" s="1"/>
      <c r="E215" s="178" t="s">
        <v>219</v>
      </c>
      <c r="F215" s="180" t="s">
        <v>182</v>
      </c>
      <c r="G215" s="169"/>
      <c r="H215" s="176" t="str">
        <f>VLOOKUP(E215&amp;F215,'[1]MV+BI'!$E$8:$K$375,3,FALSE)</f>
        <v>Em Implementação</v>
      </c>
      <c r="I215" s="170" t="str">
        <f>VLOOKUP(E215&amp;F215,'[1]MV+BI'!$E$8:$K$375,6,FALSE)</f>
        <v>IT</v>
      </c>
      <c r="J215" s="62"/>
      <c r="K215" s="172">
        <f>VLOOKUP(E215&amp;F215,'[1]MV+BI'!$E$8:$K$375,5,FALSE)</f>
        <v>45432</v>
      </c>
      <c r="L215" s="62"/>
      <c r="M215" s="172">
        <f>VLOOKUP(E215&amp;F215,'[1]MV+BI'!$E$8:$K$375,7,FALSE)</f>
        <v>45478</v>
      </c>
      <c r="N215" s="172"/>
      <c r="O215" s="300" t="s">
        <v>187</v>
      </c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  <c r="AA215" s="62"/>
      <c r="AB215"/>
      <c r="AC215"/>
      <c r="AD215" s="32"/>
    </row>
    <row r="216" spans="3:30" s="2" customFormat="1" ht="15" customHeight="1">
      <c r="C216" s="157"/>
      <c r="D216" s="1"/>
      <c r="E216" s="178" t="s">
        <v>219</v>
      </c>
      <c r="F216" s="180" t="s">
        <v>183</v>
      </c>
      <c r="G216" s="169"/>
      <c r="H216" s="176" t="str">
        <f>VLOOKUP(E216&amp;F216,'[1]MV+BI'!$E$8:$K$375,3,FALSE)</f>
        <v>Em Implementação</v>
      </c>
      <c r="I216" s="170" t="str">
        <f>VLOOKUP(E216&amp;F216,'[1]MV+BI'!$E$8:$K$375,6,FALSE)</f>
        <v>IT</v>
      </c>
      <c r="J216" s="62"/>
      <c r="K216" s="172">
        <f>VLOOKUP(E216&amp;F216,'[1]MV+BI'!$E$8:$K$375,5,FALSE)</f>
        <v>45432</v>
      </c>
      <c r="L216" s="62"/>
      <c r="M216" s="172">
        <f>VLOOKUP(E216&amp;F216,'[1]MV+BI'!$E$8:$K$375,7,FALSE)</f>
        <v>45478</v>
      </c>
      <c r="N216" s="172"/>
      <c r="O216" s="300" t="s">
        <v>187</v>
      </c>
      <c r="P216" s="300"/>
      <c r="Q216" s="300"/>
      <c r="R216" s="300"/>
      <c r="S216" s="300"/>
      <c r="T216" s="300"/>
      <c r="U216" s="300"/>
      <c r="V216" s="300"/>
      <c r="W216" s="300"/>
      <c r="X216" s="300"/>
      <c r="Y216" s="300"/>
      <c r="Z216" s="300"/>
      <c r="AA216" s="62"/>
      <c r="AB216"/>
      <c r="AC216"/>
      <c r="AD216" s="32"/>
    </row>
    <row r="217" spans="3:30" s="2" customFormat="1" ht="15" customHeight="1">
      <c r="C217" s="157"/>
      <c r="D217" s="1"/>
      <c r="E217" s="178" t="s">
        <v>219</v>
      </c>
      <c r="F217" s="180" t="s">
        <v>184</v>
      </c>
      <c r="G217" s="169"/>
      <c r="H217" s="176" t="str">
        <f>VLOOKUP(E217&amp;F217,'[1]MV+BI'!$E$8:$K$375,3,FALSE)</f>
        <v>Em Implementação</v>
      </c>
      <c r="I217" s="170" t="str">
        <f>VLOOKUP(E217&amp;F217,'[1]MV+BI'!$E$8:$K$375,6,FALSE)</f>
        <v>IT</v>
      </c>
      <c r="J217" s="62"/>
      <c r="K217" s="172">
        <f>VLOOKUP(E217&amp;F217,'[1]MV+BI'!$E$8:$K$375,5,FALSE)</f>
        <v>45432</v>
      </c>
      <c r="L217" s="62"/>
      <c r="M217" s="172">
        <f>VLOOKUP(E217&amp;F217,'[1]MV+BI'!$E$8:$K$375,7,FALSE)</f>
        <v>45478</v>
      </c>
      <c r="N217" s="172"/>
      <c r="O217" s="300" t="s">
        <v>187</v>
      </c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00"/>
      <c r="AA217" s="62"/>
      <c r="AB217"/>
      <c r="AC217"/>
      <c r="AD217" s="32"/>
    </row>
    <row r="218" spans="3:30" s="2" customFormat="1" ht="15" customHeight="1">
      <c r="C218" s="157"/>
      <c r="D218" s="1"/>
      <c r="E218" s="178" t="s">
        <v>221</v>
      </c>
      <c r="F218" s="180" t="s">
        <v>67</v>
      </c>
      <c r="G218" s="169"/>
      <c r="H218" s="176" t="str">
        <f>VLOOKUP(E218&amp;F218,'[1]MV+BI'!$E$8:$K$375,3,FALSE)</f>
        <v>Em Implementação</v>
      </c>
      <c r="I218" s="170" t="str">
        <f>VLOOKUP(E218&amp;F218,'[1]MV+BI'!$E$8:$K$375,6,FALSE)</f>
        <v>IT</v>
      </c>
      <c r="J218" s="62"/>
      <c r="K218" s="172">
        <f>VLOOKUP(E218&amp;F218,'[1]MV+BI'!$E$8:$K$375,5,FALSE)</f>
        <v>45432</v>
      </c>
      <c r="L218" s="62"/>
      <c r="M218" s="172">
        <f>VLOOKUP(E218&amp;F218,'[1]MV+BI'!$E$8:$K$375,7,FALSE)</f>
        <v>45436</v>
      </c>
      <c r="N218" s="172"/>
      <c r="O218" s="300" t="s">
        <v>187</v>
      </c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  <c r="AA218" s="62"/>
      <c r="AB218"/>
      <c r="AC218"/>
      <c r="AD218" s="32"/>
    </row>
    <row r="219" spans="3:30" s="2" customFormat="1" ht="15" customHeight="1">
      <c r="C219" s="157"/>
      <c r="D219" s="1"/>
      <c r="E219" s="178" t="s">
        <v>221</v>
      </c>
      <c r="F219" s="180" t="s">
        <v>222</v>
      </c>
      <c r="G219" s="169"/>
      <c r="H219" s="176" t="str">
        <f>VLOOKUP(E219&amp;F219,'[1]MV+BI'!$E$8:$K$375,3,FALSE)</f>
        <v>Em Implementação</v>
      </c>
      <c r="I219" s="170" t="str">
        <f>VLOOKUP(E219&amp;F219,'[1]MV+BI'!$E$8:$K$375,6,FALSE)</f>
        <v>IT</v>
      </c>
      <c r="J219" s="62"/>
      <c r="K219" s="172">
        <f>VLOOKUP(E219&amp;F219,'[1]MV+BI'!$E$8:$K$375,5,FALSE)</f>
        <v>45432</v>
      </c>
      <c r="L219" s="62"/>
      <c r="M219" s="172">
        <f>VLOOKUP(E219&amp;F219,'[1]MV+BI'!$E$8:$K$375,7,FALSE)</f>
        <v>45436</v>
      </c>
      <c r="N219" s="172"/>
      <c r="O219" s="300" t="s">
        <v>187</v>
      </c>
      <c r="P219" s="300"/>
      <c r="Q219" s="300"/>
      <c r="R219" s="300"/>
      <c r="S219" s="300"/>
      <c r="T219" s="300"/>
      <c r="U219" s="300"/>
      <c r="V219" s="300"/>
      <c r="W219" s="300"/>
      <c r="X219" s="300"/>
      <c r="Y219" s="300"/>
      <c r="Z219" s="300"/>
      <c r="AA219" s="62"/>
      <c r="AB219"/>
      <c r="AC219"/>
      <c r="AD219" s="32"/>
    </row>
    <row r="220" spans="3:30" s="2" customFormat="1" ht="15" customHeight="1">
      <c r="C220" s="157"/>
      <c r="D220" s="1"/>
      <c r="E220" s="178" t="s">
        <v>221</v>
      </c>
      <c r="F220" s="180" t="s">
        <v>223</v>
      </c>
      <c r="G220" s="169"/>
      <c r="H220" s="176" t="str">
        <f>VLOOKUP(E220&amp;F220,'[1]MV+BI'!$E$8:$K$375,3,FALSE)</f>
        <v>Em Implementação</v>
      </c>
      <c r="I220" s="170" t="str">
        <f>VLOOKUP(E220&amp;F220,'[1]MV+BI'!$E$8:$K$375,6,FALSE)</f>
        <v>IT</v>
      </c>
      <c r="J220" s="62"/>
      <c r="K220" s="172">
        <f>VLOOKUP(E220&amp;F220,'[1]MV+BI'!$E$8:$K$375,5,FALSE)</f>
        <v>45432</v>
      </c>
      <c r="L220" s="62"/>
      <c r="M220" s="172">
        <f>VLOOKUP(E220&amp;F220,'[1]MV+BI'!$E$8:$K$375,7,FALSE)</f>
        <v>45436</v>
      </c>
      <c r="N220" s="172"/>
      <c r="O220" s="300" t="s">
        <v>187</v>
      </c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62"/>
      <c r="AB220"/>
      <c r="AC220"/>
      <c r="AD220" s="32"/>
    </row>
    <row r="221" spans="3:30" s="2" customFormat="1" ht="15" customHeight="1">
      <c r="C221" s="157"/>
      <c r="D221" s="1"/>
      <c r="E221" s="178" t="s">
        <v>221</v>
      </c>
      <c r="F221" s="180" t="s">
        <v>116</v>
      </c>
      <c r="G221" s="169"/>
      <c r="H221" s="176" t="str">
        <f>VLOOKUP(E221&amp;F221,'[1]MV+BI'!$E$8:$K$375,3,FALSE)</f>
        <v>Em Implementação</v>
      </c>
      <c r="I221" s="170" t="str">
        <f>VLOOKUP(E221&amp;F221,'[1]MV+BI'!$E$8:$K$375,6,FALSE)</f>
        <v>IT</v>
      </c>
      <c r="J221" s="62"/>
      <c r="K221" s="172">
        <f>VLOOKUP(E221&amp;F221,'[1]MV+BI'!$E$8:$K$375,5,FALSE)</f>
        <v>45432</v>
      </c>
      <c r="L221" s="62"/>
      <c r="M221" s="172">
        <f>VLOOKUP(E221&amp;F221,'[1]MV+BI'!$E$8:$K$375,7,FALSE)</f>
        <v>45436</v>
      </c>
      <c r="N221" s="172"/>
      <c r="O221" s="300" t="s">
        <v>187</v>
      </c>
      <c r="P221" s="300"/>
      <c r="Q221" s="300"/>
      <c r="R221" s="300"/>
      <c r="S221" s="300"/>
      <c r="T221" s="300"/>
      <c r="U221" s="300"/>
      <c r="V221" s="300"/>
      <c r="W221" s="300"/>
      <c r="X221" s="300"/>
      <c r="Y221" s="300"/>
      <c r="Z221" s="300"/>
      <c r="AA221" s="62"/>
      <c r="AB221"/>
      <c r="AC221"/>
      <c r="AD221" s="32"/>
    </row>
    <row r="222" spans="3:30" s="2" customFormat="1" ht="15" customHeight="1">
      <c r="C222" s="157"/>
      <c r="D222" s="1"/>
      <c r="E222" s="178" t="s">
        <v>221</v>
      </c>
      <c r="F222" s="180" t="s">
        <v>110</v>
      </c>
      <c r="G222" s="169"/>
      <c r="H222" s="176" t="str">
        <f>VLOOKUP(E222&amp;F222,'[1]MV+BI'!$E$8:$K$375,3,FALSE)</f>
        <v>Em Implementação</v>
      </c>
      <c r="I222" s="170" t="str">
        <f>VLOOKUP(E222&amp;F222,'[1]MV+BI'!$E$8:$K$375,6,FALSE)</f>
        <v>IT</v>
      </c>
      <c r="J222" s="62"/>
      <c r="K222" s="172">
        <f>VLOOKUP(E222&amp;F222,'[1]MV+BI'!$E$8:$K$375,5,FALSE)</f>
        <v>45432</v>
      </c>
      <c r="L222" s="62"/>
      <c r="M222" s="172">
        <f>VLOOKUP(E222&amp;F222,'[1]MV+BI'!$E$8:$K$375,7,FALSE)</f>
        <v>45436</v>
      </c>
      <c r="N222" s="172"/>
      <c r="O222" s="300" t="s">
        <v>187</v>
      </c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00"/>
      <c r="AA222" s="62"/>
      <c r="AB222"/>
      <c r="AC222"/>
      <c r="AD222" s="32"/>
    </row>
    <row r="223" spans="3:30" s="2" customFormat="1" ht="15" customHeight="1">
      <c r="C223" s="157"/>
      <c r="D223" s="1"/>
      <c r="E223" s="178" t="s">
        <v>221</v>
      </c>
      <c r="F223" s="180" t="s">
        <v>112</v>
      </c>
      <c r="G223" s="169"/>
      <c r="H223" s="176" t="str">
        <f>VLOOKUP(E223&amp;F223,'[1]MV+BI'!$E$8:$K$375,3,FALSE)</f>
        <v>Em Implementação</v>
      </c>
      <c r="I223" s="170" t="str">
        <f>VLOOKUP(E223&amp;F223,'[1]MV+BI'!$E$8:$K$375,6,FALSE)</f>
        <v>IT</v>
      </c>
      <c r="J223" s="62"/>
      <c r="K223" s="172">
        <f>VLOOKUP(E223&amp;F223,'[1]MV+BI'!$E$8:$K$375,5,FALSE)</f>
        <v>45432</v>
      </c>
      <c r="L223" s="62"/>
      <c r="M223" s="172">
        <f>VLOOKUP(E223&amp;F223,'[1]MV+BI'!$E$8:$K$375,7,FALSE)</f>
        <v>45436</v>
      </c>
      <c r="N223" s="172"/>
      <c r="O223" s="300" t="s">
        <v>187</v>
      </c>
      <c r="P223" s="300"/>
      <c r="Q223" s="300"/>
      <c r="R223" s="300"/>
      <c r="S223" s="300"/>
      <c r="T223" s="300"/>
      <c r="U223" s="300"/>
      <c r="V223" s="300"/>
      <c r="W223" s="300"/>
      <c r="X223" s="300"/>
      <c r="Y223" s="300"/>
      <c r="Z223" s="300"/>
      <c r="AA223" s="62"/>
      <c r="AB223"/>
      <c r="AC223"/>
      <c r="AD223" s="32"/>
    </row>
    <row r="224" spans="3:30" s="2" customFormat="1" ht="15" customHeight="1">
      <c r="C224" s="157"/>
      <c r="D224" s="1"/>
      <c r="E224" s="178" t="s">
        <v>224</v>
      </c>
      <c r="F224" s="180" t="s">
        <v>67</v>
      </c>
      <c r="G224" s="169"/>
      <c r="H224" s="176" t="str">
        <f>VLOOKUP(E224&amp;F224,'[1]MV+BI'!$E$8:$K$375,3,FALSE)</f>
        <v>Em Implementação</v>
      </c>
      <c r="I224" s="170" t="str">
        <f>VLOOKUP(E224&amp;F224,'[1]MV+BI'!$E$8:$K$375,6,FALSE)</f>
        <v>IT</v>
      </c>
      <c r="J224" s="62"/>
      <c r="K224" s="172">
        <f>VLOOKUP(E224&amp;F224,'[1]MV+BI'!$E$8:$K$375,5,FALSE)</f>
        <v>45432</v>
      </c>
      <c r="L224" s="62"/>
      <c r="M224" s="172">
        <f>VLOOKUP(E224&amp;F224,'[1]MV+BI'!$E$8:$K$375,7,FALSE)</f>
        <v>45471</v>
      </c>
      <c r="N224" s="172"/>
      <c r="O224" s="300" t="s">
        <v>187</v>
      </c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62"/>
      <c r="AB224"/>
      <c r="AC224"/>
      <c r="AD224" s="32"/>
    </row>
    <row r="225" spans="3:30" s="2" customFormat="1" ht="15" customHeight="1">
      <c r="C225" s="157"/>
      <c r="D225" s="1"/>
      <c r="E225" s="178" t="s">
        <v>224</v>
      </c>
      <c r="F225" s="180" t="s">
        <v>193</v>
      </c>
      <c r="G225" s="169"/>
      <c r="H225" s="176" t="str">
        <f>VLOOKUP(E225&amp;F225,'[1]MV+BI'!$E$8:$K$375,3,FALSE)</f>
        <v>Em Implementação</v>
      </c>
      <c r="I225" s="170" t="str">
        <f>VLOOKUP(E225&amp;F225,'[1]MV+BI'!$E$8:$K$375,6,FALSE)</f>
        <v>IT</v>
      </c>
      <c r="J225" s="62"/>
      <c r="K225" s="172">
        <f>VLOOKUP(E225&amp;F225,'[1]MV+BI'!$E$8:$K$375,5,FALSE)</f>
        <v>45432</v>
      </c>
      <c r="L225" s="62"/>
      <c r="M225" s="172">
        <f>VLOOKUP(E225&amp;F225,'[1]MV+BI'!$E$8:$K$375,7,FALSE)</f>
        <v>45471</v>
      </c>
      <c r="N225" s="172"/>
      <c r="O225" s="300" t="s">
        <v>187</v>
      </c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300"/>
      <c r="AA225" s="62"/>
      <c r="AB225"/>
      <c r="AC225"/>
      <c r="AD225" s="32"/>
    </row>
    <row r="226" spans="3:30" s="2" customFormat="1" ht="15" customHeight="1">
      <c r="C226" s="157"/>
      <c r="D226" s="1"/>
      <c r="E226" s="178" t="s">
        <v>224</v>
      </c>
      <c r="F226" s="180" t="s">
        <v>225</v>
      </c>
      <c r="G226" s="169"/>
      <c r="H226" s="176" t="str">
        <f>VLOOKUP(E226&amp;F226,'[1]MV+BI'!$E$8:$K$375,3,FALSE)</f>
        <v>Em Implementação</v>
      </c>
      <c r="I226" s="170" t="str">
        <f>VLOOKUP(E226&amp;F226,'[1]MV+BI'!$E$8:$K$375,6,FALSE)</f>
        <v>IT</v>
      </c>
      <c r="J226" s="62"/>
      <c r="K226" s="172">
        <f>VLOOKUP(E226&amp;F226,'[1]MV+BI'!$E$8:$K$375,5,FALSE)</f>
        <v>45432</v>
      </c>
      <c r="L226" s="62"/>
      <c r="M226" s="172">
        <f>VLOOKUP(E226&amp;F226,'[1]MV+BI'!$E$8:$K$375,7,FALSE)</f>
        <v>45471</v>
      </c>
      <c r="N226" s="172"/>
      <c r="O226" s="300" t="s">
        <v>187</v>
      </c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62"/>
      <c r="AB226"/>
      <c r="AC226"/>
      <c r="AD226" s="32"/>
    </row>
    <row r="227" spans="3:30" s="2" customFormat="1" ht="15" customHeight="1">
      <c r="C227" s="157"/>
      <c r="D227" s="1"/>
      <c r="E227" s="178" t="s">
        <v>224</v>
      </c>
      <c r="F227" s="180" t="s">
        <v>193</v>
      </c>
      <c r="G227" s="169"/>
      <c r="H227" s="176" t="str">
        <f>VLOOKUP(E227&amp;F227,'[1]MV+BI'!$E$8:$K$375,3,FALSE)</f>
        <v>Em Implementação</v>
      </c>
      <c r="I227" s="170" t="str">
        <f>VLOOKUP(E227&amp;F227,'[1]MV+BI'!$E$8:$K$375,6,FALSE)</f>
        <v>IT</v>
      </c>
      <c r="J227" s="62"/>
      <c r="K227" s="172">
        <f>VLOOKUP(E227&amp;F227,'[1]MV+BI'!$E$8:$K$375,5,FALSE)</f>
        <v>45432</v>
      </c>
      <c r="L227" s="62"/>
      <c r="M227" s="172">
        <f>VLOOKUP(E227&amp;F227,'[1]MV+BI'!$E$8:$K$375,7,FALSE)</f>
        <v>45471</v>
      </c>
      <c r="N227" s="172"/>
      <c r="O227" s="300" t="s">
        <v>187</v>
      </c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300"/>
      <c r="AA227" s="62"/>
      <c r="AB227"/>
      <c r="AC227"/>
      <c r="AD227" s="32"/>
    </row>
    <row r="228" spans="3:30" s="2" customFormat="1" ht="15" customHeight="1">
      <c r="C228" s="157"/>
      <c r="D228" s="1"/>
      <c r="E228" s="178" t="s">
        <v>224</v>
      </c>
      <c r="F228" s="180" t="s">
        <v>226</v>
      </c>
      <c r="G228" s="169"/>
      <c r="H228" s="176" t="str">
        <f>VLOOKUP(E228&amp;F228,'[1]MV+BI'!$E$8:$K$375,3,FALSE)</f>
        <v>Em Implementação</v>
      </c>
      <c r="I228" s="170" t="str">
        <f>VLOOKUP(E228&amp;F228,'[1]MV+BI'!$E$8:$K$375,6,FALSE)</f>
        <v>IT</v>
      </c>
      <c r="J228" s="62"/>
      <c r="K228" s="172">
        <f>VLOOKUP(E228&amp;F228,'[1]MV+BI'!$E$8:$K$375,5,FALSE)</f>
        <v>45432</v>
      </c>
      <c r="L228" s="62"/>
      <c r="M228" s="172">
        <f>VLOOKUP(E228&amp;F228,'[1]MV+BI'!$E$8:$K$375,7,FALSE)</f>
        <v>45471</v>
      </c>
      <c r="N228" s="172"/>
      <c r="O228" s="300" t="s">
        <v>187</v>
      </c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62"/>
      <c r="AB228"/>
      <c r="AC228"/>
      <c r="AD228" s="32"/>
    </row>
    <row r="229" spans="3:30" s="2" customFormat="1" ht="15" customHeight="1">
      <c r="C229" s="157"/>
      <c r="D229" s="1"/>
      <c r="E229" s="178" t="s">
        <v>224</v>
      </c>
      <c r="F229" s="180" t="s">
        <v>227</v>
      </c>
      <c r="G229" s="169"/>
      <c r="H229" s="176" t="str">
        <f>VLOOKUP(E229&amp;F229,'[1]MV+BI'!$E$8:$K$375,3,FALSE)</f>
        <v>Em Implementação</v>
      </c>
      <c r="I229" s="170" t="str">
        <f>VLOOKUP(E229&amp;F229,'[1]MV+BI'!$E$8:$K$375,6,FALSE)</f>
        <v>IT</v>
      </c>
      <c r="J229" s="62"/>
      <c r="K229" s="172">
        <f>VLOOKUP(E229&amp;F229,'[1]MV+BI'!$E$8:$K$375,5,FALSE)</f>
        <v>45432</v>
      </c>
      <c r="L229" s="62"/>
      <c r="M229" s="172">
        <f>VLOOKUP(E229&amp;F229,'[1]MV+BI'!$E$8:$K$375,7,FALSE)</f>
        <v>45471</v>
      </c>
      <c r="N229" s="172"/>
      <c r="O229" s="300" t="s">
        <v>187</v>
      </c>
      <c r="P229" s="300"/>
      <c r="Q229" s="300"/>
      <c r="R229" s="300"/>
      <c r="S229" s="300"/>
      <c r="T229" s="300"/>
      <c r="U229" s="300"/>
      <c r="V229" s="300"/>
      <c r="W229" s="300"/>
      <c r="X229" s="300"/>
      <c r="Y229" s="300"/>
      <c r="Z229" s="300"/>
      <c r="AA229" s="62"/>
      <c r="AB229"/>
      <c r="AC229"/>
      <c r="AD229" s="32"/>
    </row>
    <row r="230" spans="3:30" s="2" customFormat="1" ht="15" customHeight="1">
      <c r="C230" s="157"/>
      <c r="D230" s="1"/>
      <c r="E230" s="178" t="s">
        <v>224</v>
      </c>
      <c r="F230" s="180" t="s">
        <v>228</v>
      </c>
      <c r="G230" s="169"/>
      <c r="H230" s="176" t="str">
        <f>VLOOKUP(E230&amp;F230,'[1]MV+BI'!$E$8:$K$375,3,FALSE)</f>
        <v>Em Implementação</v>
      </c>
      <c r="I230" s="170" t="str">
        <f>VLOOKUP(E230&amp;F230,'[1]MV+BI'!$E$8:$K$375,6,FALSE)</f>
        <v>IT</v>
      </c>
      <c r="J230" s="62"/>
      <c r="K230" s="172">
        <f>VLOOKUP(E230&amp;F230,'[1]MV+BI'!$E$8:$K$375,5,FALSE)</f>
        <v>45432</v>
      </c>
      <c r="L230" s="62"/>
      <c r="M230" s="172">
        <f>VLOOKUP(E230&amp;F230,'[1]MV+BI'!$E$8:$K$375,7,FALSE)</f>
        <v>45471</v>
      </c>
      <c r="N230" s="172"/>
      <c r="O230" s="300" t="s">
        <v>187</v>
      </c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62"/>
      <c r="AB230"/>
      <c r="AC230"/>
      <c r="AD230" s="32"/>
    </row>
    <row r="231" spans="3:30" s="2" customFormat="1" ht="15" customHeight="1">
      <c r="C231" s="157"/>
      <c r="D231" s="1"/>
      <c r="E231" s="178" t="s">
        <v>224</v>
      </c>
      <c r="F231" s="180" t="s">
        <v>200</v>
      </c>
      <c r="G231" s="169"/>
      <c r="H231" s="176" t="str">
        <f>VLOOKUP(E231&amp;F231,'[1]MV+BI'!$E$8:$K$375,3,FALSE)</f>
        <v>Em Implementação</v>
      </c>
      <c r="I231" s="170" t="str">
        <f>VLOOKUP(E231&amp;F231,'[1]MV+BI'!$E$8:$K$375,6,FALSE)</f>
        <v>IT</v>
      </c>
      <c r="J231" s="62"/>
      <c r="K231" s="172">
        <f>VLOOKUP(E231&amp;F231,'[1]MV+BI'!$E$8:$K$375,5,FALSE)</f>
        <v>45432</v>
      </c>
      <c r="L231" s="62"/>
      <c r="M231" s="172">
        <f>VLOOKUP(E231&amp;F231,'[1]MV+BI'!$E$8:$K$375,7,FALSE)</f>
        <v>45471</v>
      </c>
      <c r="N231" s="172"/>
      <c r="O231" s="300" t="s">
        <v>187</v>
      </c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00"/>
      <c r="AA231" s="62"/>
      <c r="AB231"/>
      <c r="AC231"/>
      <c r="AD231" s="32"/>
    </row>
    <row r="232" spans="3:30" s="2" customFormat="1" ht="15" customHeight="1">
      <c r="C232" s="157"/>
      <c r="D232" s="1"/>
      <c r="E232" s="178" t="s">
        <v>224</v>
      </c>
      <c r="F232" s="180" t="s">
        <v>229</v>
      </c>
      <c r="G232" s="169"/>
      <c r="H232" s="176" t="str">
        <f>VLOOKUP(E232&amp;F232,'[1]MV+BI'!$E$8:$K$375,3,FALSE)</f>
        <v>Em Implementação</v>
      </c>
      <c r="I232" s="170" t="str">
        <f>VLOOKUP(E232&amp;F232,'[1]MV+BI'!$E$8:$K$375,6,FALSE)</f>
        <v>IT</v>
      </c>
      <c r="J232" s="62"/>
      <c r="K232" s="172">
        <f>VLOOKUP(E232&amp;F232,'[1]MV+BI'!$E$8:$K$375,5,FALSE)</f>
        <v>45432</v>
      </c>
      <c r="L232" s="62"/>
      <c r="M232" s="172">
        <f>VLOOKUP(E232&amp;F232,'[1]MV+BI'!$E$8:$K$375,7,FALSE)</f>
        <v>45471</v>
      </c>
      <c r="N232" s="172"/>
      <c r="O232" s="300" t="s">
        <v>187</v>
      </c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62"/>
      <c r="AB232"/>
      <c r="AC232"/>
      <c r="AD232" s="32"/>
    </row>
    <row r="233" spans="3:30" s="2" customFormat="1" ht="15" customHeight="1">
      <c r="C233" s="157"/>
      <c r="D233" s="1"/>
      <c r="E233" s="178" t="s">
        <v>224</v>
      </c>
      <c r="F233" s="180" t="s">
        <v>230</v>
      </c>
      <c r="G233" s="169"/>
      <c r="H233" s="176" t="str">
        <f>VLOOKUP(E233&amp;F233,'[1]MV+BI'!$E$8:$K$375,3,FALSE)</f>
        <v>Em Implementação</v>
      </c>
      <c r="I233" s="170" t="str">
        <f>VLOOKUP(E233&amp;F233,'[1]MV+BI'!$E$8:$K$375,6,FALSE)</f>
        <v>IT</v>
      </c>
      <c r="J233" s="62"/>
      <c r="K233" s="172">
        <f>VLOOKUP(E233&amp;F233,'[1]MV+BI'!$E$8:$K$375,5,FALSE)</f>
        <v>45432</v>
      </c>
      <c r="L233" s="62"/>
      <c r="M233" s="172">
        <f>VLOOKUP(E233&amp;F233,'[1]MV+BI'!$E$8:$K$375,7,FALSE)</f>
        <v>45471</v>
      </c>
      <c r="N233" s="172"/>
      <c r="O233" s="300" t="s">
        <v>187</v>
      </c>
      <c r="P233" s="300"/>
      <c r="Q233" s="300"/>
      <c r="R233" s="300"/>
      <c r="S233" s="300"/>
      <c r="T233" s="300"/>
      <c r="U233" s="300"/>
      <c r="V233" s="300"/>
      <c r="W233" s="300"/>
      <c r="X233" s="300"/>
      <c r="Y233" s="300"/>
      <c r="Z233" s="300"/>
      <c r="AA233" s="62"/>
      <c r="AB233"/>
      <c r="AC233"/>
      <c r="AD233" s="32"/>
    </row>
    <row r="234" spans="3:30" s="2" customFormat="1" ht="15" customHeight="1">
      <c r="C234" s="157"/>
      <c r="D234" s="1"/>
      <c r="E234" s="178" t="s">
        <v>224</v>
      </c>
      <c r="F234" s="180" t="s">
        <v>204</v>
      </c>
      <c r="G234" s="169"/>
      <c r="H234" s="176" t="str">
        <f>VLOOKUP(E234&amp;F234,'[1]MV+BI'!$E$8:$K$375,3,FALSE)</f>
        <v>Em Implementação</v>
      </c>
      <c r="I234" s="170" t="str">
        <f>VLOOKUP(E234&amp;F234,'[1]MV+BI'!$E$8:$K$375,6,FALSE)</f>
        <v>IT</v>
      </c>
      <c r="J234" s="62"/>
      <c r="K234" s="172">
        <f>VLOOKUP(E234&amp;F234,'[1]MV+BI'!$E$8:$K$375,5,FALSE)</f>
        <v>45432</v>
      </c>
      <c r="L234" s="62"/>
      <c r="M234" s="172">
        <f>VLOOKUP(E234&amp;F234,'[1]MV+BI'!$E$8:$K$375,7,FALSE)</f>
        <v>45471</v>
      </c>
      <c r="N234" s="172"/>
      <c r="O234" s="300" t="s">
        <v>187</v>
      </c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300"/>
      <c r="AA234" s="62"/>
      <c r="AB234"/>
      <c r="AC234"/>
      <c r="AD234" s="32"/>
    </row>
    <row r="235" spans="3:30" s="2" customFormat="1" ht="15" customHeight="1">
      <c r="C235" s="157"/>
      <c r="D235" s="1"/>
      <c r="E235" s="178" t="s">
        <v>224</v>
      </c>
      <c r="F235" s="180" t="s">
        <v>205</v>
      </c>
      <c r="G235" s="169"/>
      <c r="H235" s="176" t="str">
        <f>VLOOKUP(E235&amp;F235,'[1]MV+BI'!$E$8:$K$375,3,FALSE)</f>
        <v>Em Implementação</v>
      </c>
      <c r="I235" s="170" t="str">
        <f>VLOOKUP(E235&amp;F235,'[1]MV+BI'!$E$8:$K$375,6,FALSE)</f>
        <v>IT</v>
      </c>
      <c r="J235" s="62"/>
      <c r="K235" s="172">
        <f>VLOOKUP(E235&amp;F235,'[1]MV+BI'!$E$8:$K$375,5,FALSE)</f>
        <v>45432</v>
      </c>
      <c r="L235" s="62"/>
      <c r="M235" s="172">
        <f>VLOOKUP(E235&amp;F235,'[1]MV+BI'!$E$8:$K$375,7,FALSE)</f>
        <v>45471</v>
      </c>
      <c r="N235" s="172"/>
      <c r="O235" s="300" t="s">
        <v>187</v>
      </c>
      <c r="P235" s="300"/>
      <c r="Q235" s="300"/>
      <c r="R235" s="300"/>
      <c r="S235" s="300"/>
      <c r="T235" s="300"/>
      <c r="U235" s="300"/>
      <c r="V235" s="300"/>
      <c r="W235" s="300"/>
      <c r="X235" s="300"/>
      <c r="Y235" s="300"/>
      <c r="Z235" s="300"/>
      <c r="AA235" s="62"/>
      <c r="AB235"/>
      <c r="AC235"/>
      <c r="AD235" s="32"/>
    </row>
    <row r="236" spans="3:30" s="2" customFormat="1" ht="15" customHeight="1">
      <c r="C236" s="157"/>
      <c r="D236" s="1"/>
      <c r="E236" s="178" t="s">
        <v>224</v>
      </c>
      <c r="F236" s="180" t="s">
        <v>207</v>
      </c>
      <c r="G236" s="169"/>
      <c r="H236" s="176" t="str">
        <f>VLOOKUP(E236&amp;F236,'[1]MV+BI'!$E$8:$K$375,3,FALSE)</f>
        <v>Em Implementação</v>
      </c>
      <c r="I236" s="170" t="str">
        <f>VLOOKUP(E236&amp;F236,'[1]MV+BI'!$E$8:$K$375,6,FALSE)</f>
        <v>IT</v>
      </c>
      <c r="J236" s="62"/>
      <c r="K236" s="172">
        <f>VLOOKUP(E236&amp;F236,'[1]MV+BI'!$E$8:$K$375,5,FALSE)</f>
        <v>45432</v>
      </c>
      <c r="L236" s="62"/>
      <c r="M236" s="172">
        <f>VLOOKUP(E236&amp;F236,'[1]MV+BI'!$E$8:$K$375,7,FALSE)</f>
        <v>45471</v>
      </c>
      <c r="N236" s="172"/>
      <c r="O236" s="300" t="s">
        <v>187</v>
      </c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62"/>
      <c r="AB236"/>
      <c r="AC236"/>
      <c r="AD236" s="32"/>
    </row>
    <row r="237" spans="3:30" s="2" customFormat="1" ht="15" customHeight="1">
      <c r="C237" s="157"/>
      <c r="D237" s="1"/>
      <c r="E237" s="178" t="s">
        <v>231</v>
      </c>
      <c r="F237" s="180" t="s">
        <v>67</v>
      </c>
      <c r="G237" s="169"/>
      <c r="H237" s="176" t="str">
        <f>VLOOKUP(E237&amp;F237,'[1]MV+BI'!$E$8:$K$375,3,FALSE)</f>
        <v>Em Implementação</v>
      </c>
      <c r="I237" s="170" t="str">
        <f>VLOOKUP(E237&amp;F237,'[1]MV+BI'!$E$8:$K$375,6,FALSE)</f>
        <v>IT</v>
      </c>
      <c r="J237" s="62"/>
      <c r="K237" s="172">
        <f>VLOOKUP(E237&amp;F237,'[1]MV+BI'!$E$8:$K$375,5,FALSE)</f>
        <v>45432</v>
      </c>
      <c r="L237" s="62"/>
      <c r="M237" s="172">
        <f>VLOOKUP(E237&amp;F237,'[1]MV+BI'!$E$8:$K$375,7,FALSE)</f>
        <v>45471</v>
      </c>
      <c r="N237" s="172"/>
      <c r="O237" s="300" t="s">
        <v>187</v>
      </c>
      <c r="P237" s="300"/>
      <c r="Q237" s="300"/>
      <c r="R237" s="300"/>
      <c r="S237" s="300"/>
      <c r="T237" s="300"/>
      <c r="U237" s="300"/>
      <c r="V237" s="300"/>
      <c r="W237" s="300"/>
      <c r="X237" s="300"/>
      <c r="Y237" s="300"/>
      <c r="Z237" s="300"/>
      <c r="AA237" s="62"/>
      <c r="AB237"/>
      <c r="AC237"/>
      <c r="AD237" s="32"/>
    </row>
    <row r="238" spans="3:30" s="2" customFormat="1" ht="15" customHeight="1">
      <c r="C238" s="157"/>
      <c r="D238" s="1"/>
      <c r="E238" s="178" t="s">
        <v>231</v>
      </c>
      <c r="F238" s="180" t="s">
        <v>193</v>
      </c>
      <c r="G238" s="169"/>
      <c r="H238" s="176" t="str">
        <f>VLOOKUP(E238&amp;F238,'[1]MV+BI'!$E$8:$K$375,3,FALSE)</f>
        <v>Em Implementação</v>
      </c>
      <c r="I238" s="170" t="str">
        <f>VLOOKUP(E238&amp;F238,'[1]MV+BI'!$E$8:$K$375,6,FALSE)</f>
        <v>IT</v>
      </c>
      <c r="J238" s="62"/>
      <c r="K238" s="172">
        <f>VLOOKUP(E238&amp;F238,'[1]MV+BI'!$E$8:$K$375,5,FALSE)</f>
        <v>45432</v>
      </c>
      <c r="L238" s="62"/>
      <c r="M238" s="172">
        <f>VLOOKUP(E238&amp;F238,'[1]MV+BI'!$E$8:$K$375,7,FALSE)</f>
        <v>45471</v>
      </c>
      <c r="N238" s="172"/>
      <c r="O238" s="300" t="s">
        <v>187</v>
      </c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300"/>
      <c r="AA238" s="62"/>
      <c r="AB238"/>
      <c r="AC238"/>
      <c r="AD238" s="32"/>
    </row>
    <row r="239" spans="3:30" s="2" customFormat="1" ht="15" customHeight="1">
      <c r="C239" s="157"/>
      <c r="D239" s="1"/>
      <c r="E239" s="178" t="s">
        <v>231</v>
      </c>
      <c r="F239" s="180" t="s">
        <v>232</v>
      </c>
      <c r="G239" s="169"/>
      <c r="H239" s="176" t="str">
        <f>VLOOKUP(E239&amp;F239,'[1]MV+BI'!$E$8:$K$375,3,FALSE)</f>
        <v>Em Implementação</v>
      </c>
      <c r="I239" s="170" t="str">
        <f>VLOOKUP(E239&amp;F239,'[1]MV+BI'!$E$8:$K$375,6,FALSE)</f>
        <v>IT</v>
      </c>
      <c r="J239" s="62"/>
      <c r="K239" s="172">
        <f>VLOOKUP(E239&amp;F239,'[1]MV+BI'!$E$8:$K$375,5,FALSE)</f>
        <v>45432</v>
      </c>
      <c r="L239" s="62"/>
      <c r="M239" s="172">
        <f>VLOOKUP(E239&amp;F239,'[1]MV+BI'!$E$8:$K$375,7,FALSE)</f>
        <v>45471</v>
      </c>
      <c r="N239" s="172"/>
      <c r="O239" s="300" t="s">
        <v>187</v>
      </c>
      <c r="P239" s="300"/>
      <c r="Q239" s="300"/>
      <c r="R239" s="300"/>
      <c r="S239" s="300"/>
      <c r="T239" s="300"/>
      <c r="U239" s="300"/>
      <c r="V239" s="300"/>
      <c r="W239" s="300"/>
      <c r="X239" s="300"/>
      <c r="Y239" s="300"/>
      <c r="Z239" s="300"/>
      <c r="AA239" s="62"/>
      <c r="AB239"/>
      <c r="AC239"/>
      <c r="AD239" s="32"/>
    </row>
    <row r="240" spans="3:30" s="2" customFormat="1" ht="15" customHeight="1">
      <c r="C240" s="157"/>
      <c r="D240" s="1"/>
      <c r="E240" s="178" t="s">
        <v>231</v>
      </c>
      <c r="F240" s="180" t="s">
        <v>225</v>
      </c>
      <c r="G240" s="169"/>
      <c r="H240" s="176" t="str">
        <f>VLOOKUP(E240&amp;F240,'[1]MV+BI'!$E$8:$K$375,3,FALSE)</f>
        <v>Em Implementação</v>
      </c>
      <c r="I240" s="170" t="str">
        <f>VLOOKUP(E240&amp;F240,'[1]MV+BI'!$E$8:$K$375,6,FALSE)</f>
        <v>IT</v>
      </c>
      <c r="J240" s="62"/>
      <c r="K240" s="172">
        <f>VLOOKUP(E240&amp;F240,'[1]MV+BI'!$E$8:$K$375,5,FALSE)</f>
        <v>45432</v>
      </c>
      <c r="L240" s="62"/>
      <c r="M240" s="172">
        <f>VLOOKUP(E240&amp;F240,'[1]MV+BI'!$E$8:$K$375,7,FALSE)</f>
        <v>45471</v>
      </c>
      <c r="N240" s="172"/>
      <c r="O240" s="300" t="s">
        <v>187</v>
      </c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62"/>
      <c r="AB240"/>
      <c r="AC240"/>
      <c r="AD240" s="32"/>
    </row>
    <row r="241" spans="3:30" s="2" customFormat="1" ht="15" customHeight="1">
      <c r="C241" s="157"/>
      <c r="D241" s="1"/>
      <c r="E241" s="178" t="s">
        <v>231</v>
      </c>
      <c r="F241" s="180" t="s">
        <v>233</v>
      </c>
      <c r="G241" s="169"/>
      <c r="H241" s="176" t="str">
        <f>VLOOKUP(E241&amp;F241,'[1]MV+BI'!$E$8:$K$375,3,FALSE)</f>
        <v>Em Implementação</v>
      </c>
      <c r="I241" s="170" t="str">
        <f>VLOOKUP(E241&amp;F241,'[1]MV+BI'!$E$8:$K$375,6,FALSE)</f>
        <v>IT</v>
      </c>
      <c r="J241" s="62"/>
      <c r="K241" s="172">
        <f>VLOOKUP(E241&amp;F241,'[1]MV+BI'!$E$8:$K$375,5,FALSE)</f>
        <v>45432</v>
      </c>
      <c r="L241" s="62"/>
      <c r="M241" s="172">
        <f>VLOOKUP(E241&amp;F241,'[1]MV+BI'!$E$8:$K$375,7,FALSE)</f>
        <v>45471</v>
      </c>
      <c r="N241" s="172"/>
      <c r="O241" s="300" t="s">
        <v>187</v>
      </c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300"/>
      <c r="AA241" s="62"/>
      <c r="AB241"/>
      <c r="AC241"/>
      <c r="AD241" s="32"/>
    </row>
    <row r="242" spans="3:30" s="2" customFormat="1" ht="15" customHeight="1">
      <c r="C242" s="157"/>
      <c r="D242" s="1"/>
      <c r="E242" s="178" t="s">
        <v>231</v>
      </c>
      <c r="F242" s="180" t="s">
        <v>234</v>
      </c>
      <c r="G242" s="169"/>
      <c r="H242" s="176" t="str">
        <f>VLOOKUP(E242&amp;F242,'[1]MV+BI'!$E$8:$K$375,3,FALSE)</f>
        <v>Em Implementação</v>
      </c>
      <c r="I242" s="170" t="str">
        <f>VLOOKUP(E242&amp;F242,'[1]MV+BI'!$E$8:$K$375,6,FALSE)</f>
        <v>IT</v>
      </c>
      <c r="J242" s="62"/>
      <c r="K242" s="172">
        <f>VLOOKUP(E242&amp;F242,'[1]MV+BI'!$E$8:$K$375,5,FALSE)</f>
        <v>45432</v>
      </c>
      <c r="L242" s="62"/>
      <c r="M242" s="172">
        <f>VLOOKUP(E242&amp;F242,'[1]MV+BI'!$E$8:$K$375,7,FALSE)</f>
        <v>45471</v>
      </c>
      <c r="N242" s="172"/>
      <c r="O242" s="300" t="s">
        <v>187</v>
      </c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62"/>
      <c r="AB242"/>
      <c r="AC242"/>
      <c r="AD242" s="32"/>
    </row>
    <row r="243" spans="3:30" s="2" customFormat="1" ht="15" customHeight="1">
      <c r="C243" s="157"/>
      <c r="D243" s="1"/>
      <c r="E243" s="178" t="s">
        <v>231</v>
      </c>
      <c r="F243" s="180" t="s">
        <v>235</v>
      </c>
      <c r="G243" s="169"/>
      <c r="H243" s="176" t="str">
        <f>VLOOKUP(E243&amp;F243,'[1]MV+BI'!$E$8:$K$375,3,FALSE)</f>
        <v>Em Implementação</v>
      </c>
      <c r="I243" s="170" t="str">
        <f>VLOOKUP(E243&amp;F243,'[1]MV+BI'!$E$8:$K$375,6,FALSE)</f>
        <v>IT</v>
      </c>
      <c r="J243" s="62"/>
      <c r="K243" s="172">
        <f>VLOOKUP(E243&amp;F243,'[1]MV+BI'!$E$8:$K$375,5,FALSE)</f>
        <v>45432</v>
      </c>
      <c r="L243" s="62"/>
      <c r="M243" s="172">
        <f>VLOOKUP(E243&amp;F243,'[1]MV+BI'!$E$8:$K$375,7,FALSE)</f>
        <v>45471</v>
      </c>
      <c r="N243" s="172"/>
      <c r="O243" s="300" t="s">
        <v>187</v>
      </c>
      <c r="P243" s="300"/>
      <c r="Q243" s="300"/>
      <c r="R243" s="300"/>
      <c r="S243" s="300"/>
      <c r="T243" s="300"/>
      <c r="U243" s="300"/>
      <c r="V243" s="300"/>
      <c r="W243" s="300"/>
      <c r="X243" s="300"/>
      <c r="Y243" s="300"/>
      <c r="Z243" s="300"/>
      <c r="AA243" s="62"/>
      <c r="AB243"/>
      <c r="AC243"/>
      <c r="AD243" s="32"/>
    </row>
    <row r="244" spans="3:30" s="2" customFormat="1" ht="15" customHeight="1">
      <c r="C244" s="157"/>
      <c r="D244" s="1"/>
      <c r="E244" s="178" t="s">
        <v>231</v>
      </c>
      <c r="F244" s="180" t="s">
        <v>236</v>
      </c>
      <c r="G244" s="169"/>
      <c r="H244" s="176" t="str">
        <f>VLOOKUP(E244&amp;F244,'[1]MV+BI'!$E$8:$K$375,3,FALSE)</f>
        <v>Em Implementação</v>
      </c>
      <c r="I244" s="170" t="str">
        <f>VLOOKUP(E244&amp;F244,'[1]MV+BI'!$E$8:$K$375,6,FALSE)</f>
        <v>IT</v>
      </c>
      <c r="J244" s="62"/>
      <c r="K244" s="172">
        <f>VLOOKUP(E244&amp;F244,'[1]MV+BI'!$E$8:$K$375,5,FALSE)</f>
        <v>45432</v>
      </c>
      <c r="L244" s="62"/>
      <c r="M244" s="172">
        <f>VLOOKUP(E244&amp;F244,'[1]MV+BI'!$E$8:$K$375,7,FALSE)</f>
        <v>45471</v>
      </c>
      <c r="N244" s="172"/>
      <c r="O244" s="300" t="s">
        <v>187</v>
      </c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300"/>
      <c r="AA244" s="62"/>
      <c r="AB244"/>
      <c r="AC244"/>
      <c r="AD244" s="32"/>
    </row>
    <row r="245" spans="3:30" s="2" customFormat="1" ht="15" customHeight="1">
      <c r="C245" s="157"/>
      <c r="D245" s="1"/>
      <c r="E245" s="178" t="s">
        <v>231</v>
      </c>
      <c r="F245" s="180" t="s">
        <v>228</v>
      </c>
      <c r="G245" s="169"/>
      <c r="H245" s="176" t="str">
        <f>VLOOKUP(E245&amp;F245,'[1]MV+BI'!$E$8:$K$375,3,FALSE)</f>
        <v>Em Implementação</v>
      </c>
      <c r="I245" s="170" t="str">
        <f>VLOOKUP(E245&amp;F245,'[1]MV+BI'!$E$8:$K$375,6,FALSE)</f>
        <v>IT</v>
      </c>
      <c r="J245" s="62"/>
      <c r="K245" s="172">
        <f>VLOOKUP(E245&amp;F245,'[1]MV+BI'!$E$8:$K$375,5,FALSE)</f>
        <v>45432</v>
      </c>
      <c r="L245" s="62"/>
      <c r="M245" s="172">
        <f>VLOOKUP(E245&amp;F245,'[1]MV+BI'!$E$8:$K$375,7,FALSE)</f>
        <v>45471</v>
      </c>
      <c r="N245" s="172"/>
      <c r="O245" s="300" t="s">
        <v>187</v>
      </c>
      <c r="P245" s="300"/>
      <c r="Q245" s="300"/>
      <c r="R245" s="300"/>
      <c r="S245" s="300"/>
      <c r="T245" s="300"/>
      <c r="U245" s="300"/>
      <c r="V245" s="300"/>
      <c r="W245" s="300"/>
      <c r="X245" s="300"/>
      <c r="Y245" s="300"/>
      <c r="Z245" s="300"/>
      <c r="AA245" s="62"/>
      <c r="AB245"/>
      <c r="AC245"/>
      <c r="AD245" s="32"/>
    </row>
    <row r="246" spans="3:30" s="2" customFormat="1" ht="15" customHeight="1">
      <c r="C246" s="157"/>
      <c r="D246" s="1"/>
      <c r="E246" s="178" t="s">
        <v>231</v>
      </c>
      <c r="F246" s="180" t="s">
        <v>200</v>
      </c>
      <c r="G246" s="169"/>
      <c r="H246" s="176" t="str">
        <f>VLOOKUP(E246&amp;F246,'[1]MV+BI'!$E$8:$K$375,3,FALSE)</f>
        <v>Em Implementação</v>
      </c>
      <c r="I246" s="170" t="str">
        <f>VLOOKUP(E246&amp;F246,'[1]MV+BI'!$E$8:$K$375,6,FALSE)</f>
        <v>IT</v>
      </c>
      <c r="J246" s="62"/>
      <c r="K246" s="172">
        <f>VLOOKUP(E246&amp;F246,'[1]MV+BI'!$E$8:$K$375,5,FALSE)</f>
        <v>45432</v>
      </c>
      <c r="L246" s="62"/>
      <c r="M246" s="172">
        <f>VLOOKUP(E246&amp;F246,'[1]MV+BI'!$E$8:$K$375,7,FALSE)</f>
        <v>45471</v>
      </c>
      <c r="N246" s="172"/>
      <c r="O246" s="300" t="s">
        <v>187</v>
      </c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  <c r="AA246" s="62"/>
      <c r="AB246"/>
      <c r="AC246"/>
      <c r="AD246" s="32"/>
    </row>
    <row r="247" spans="3:30" s="2" customFormat="1" ht="15" customHeight="1">
      <c r="C247" s="157"/>
      <c r="D247" s="1"/>
      <c r="E247" s="178" t="s">
        <v>231</v>
      </c>
      <c r="F247" s="180" t="s">
        <v>229</v>
      </c>
      <c r="G247" s="169"/>
      <c r="H247" s="176" t="str">
        <f>VLOOKUP(E247&amp;F247,'[1]MV+BI'!$E$8:$K$375,3,FALSE)</f>
        <v>Em Implementação</v>
      </c>
      <c r="I247" s="170" t="str">
        <f>VLOOKUP(E247&amp;F247,'[1]MV+BI'!$E$8:$K$375,6,FALSE)</f>
        <v>IT</v>
      </c>
      <c r="J247" s="62"/>
      <c r="K247" s="172">
        <f>VLOOKUP(E247&amp;F247,'[1]MV+BI'!$E$8:$K$375,5,FALSE)</f>
        <v>45432</v>
      </c>
      <c r="L247" s="62"/>
      <c r="M247" s="172">
        <f>VLOOKUP(E247&amp;F247,'[1]MV+BI'!$E$8:$K$375,7,FALSE)</f>
        <v>45471</v>
      </c>
      <c r="N247" s="172"/>
      <c r="O247" s="300" t="s">
        <v>187</v>
      </c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62"/>
      <c r="AB247"/>
      <c r="AC247"/>
      <c r="AD247" s="32"/>
    </row>
    <row r="248" spans="3:30" s="2" customFormat="1" ht="15" customHeight="1">
      <c r="C248" s="157"/>
      <c r="D248" s="1"/>
      <c r="E248" s="178" t="s">
        <v>231</v>
      </c>
      <c r="F248" s="180" t="s">
        <v>230</v>
      </c>
      <c r="G248" s="169"/>
      <c r="H248" s="176" t="str">
        <f>VLOOKUP(E248&amp;F248,'[1]MV+BI'!$E$8:$K$375,3,FALSE)</f>
        <v>Em Implementação</v>
      </c>
      <c r="I248" s="170" t="str">
        <f>VLOOKUP(E248&amp;F248,'[1]MV+BI'!$E$8:$K$375,6,FALSE)</f>
        <v>IT</v>
      </c>
      <c r="J248" s="62"/>
      <c r="K248" s="172">
        <f>VLOOKUP(E248&amp;F248,'[1]MV+BI'!$E$8:$K$375,5,FALSE)</f>
        <v>45432</v>
      </c>
      <c r="L248" s="62"/>
      <c r="M248" s="172">
        <f>VLOOKUP(E248&amp;F248,'[1]MV+BI'!$E$8:$K$375,7,FALSE)</f>
        <v>45471</v>
      </c>
      <c r="N248" s="172"/>
      <c r="O248" s="300" t="s">
        <v>187</v>
      </c>
      <c r="P248" s="300"/>
      <c r="Q248" s="300"/>
      <c r="R248" s="300"/>
      <c r="S248" s="300"/>
      <c r="T248" s="300"/>
      <c r="U248" s="300"/>
      <c r="V248" s="300"/>
      <c r="W248" s="300"/>
      <c r="X248" s="300"/>
      <c r="Y248" s="300"/>
      <c r="Z248" s="300"/>
      <c r="AA248" s="62"/>
      <c r="AB248"/>
      <c r="AC248"/>
      <c r="AD248" s="32"/>
    </row>
    <row r="249" spans="3:30" s="2" customFormat="1" ht="15" customHeight="1">
      <c r="C249" s="157"/>
      <c r="D249" s="1"/>
      <c r="E249" s="178" t="s">
        <v>231</v>
      </c>
      <c r="F249" s="180" t="s">
        <v>204</v>
      </c>
      <c r="G249" s="169"/>
      <c r="H249" s="176" t="str">
        <f>VLOOKUP(E249&amp;F249,'[1]MV+BI'!$E$8:$K$375,3,FALSE)</f>
        <v>Em Implementação</v>
      </c>
      <c r="I249" s="170" t="str">
        <f>VLOOKUP(E249&amp;F249,'[1]MV+BI'!$E$8:$K$375,6,FALSE)</f>
        <v>IT</v>
      </c>
      <c r="J249" s="62"/>
      <c r="K249" s="172">
        <f>VLOOKUP(E249&amp;F249,'[1]MV+BI'!$E$8:$K$375,5,FALSE)</f>
        <v>45432</v>
      </c>
      <c r="L249" s="62"/>
      <c r="M249" s="172">
        <f>VLOOKUP(E249&amp;F249,'[1]MV+BI'!$E$8:$K$375,7,FALSE)</f>
        <v>45471</v>
      </c>
      <c r="N249" s="172"/>
      <c r="O249" s="300" t="s">
        <v>187</v>
      </c>
      <c r="P249" s="300"/>
      <c r="Q249" s="300"/>
      <c r="R249" s="300"/>
      <c r="S249" s="300"/>
      <c r="T249" s="300"/>
      <c r="U249" s="300"/>
      <c r="V249" s="300"/>
      <c r="W249" s="300"/>
      <c r="X249" s="300"/>
      <c r="Y249" s="300"/>
      <c r="Z249" s="300"/>
      <c r="AA249" s="62"/>
      <c r="AB249"/>
      <c r="AC249"/>
      <c r="AD249" s="32"/>
    </row>
    <row r="250" spans="3:30" s="2" customFormat="1" ht="15" customHeight="1">
      <c r="C250" s="157"/>
      <c r="D250" s="1"/>
      <c r="E250" s="178" t="s">
        <v>231</v>
      </c>
      <c r="F250" s="180" t="s">
        <v>205</v>
      </c>
      <c r="G250" s="169"/>
      <c r="H250" s="176" t="str">
        <f>VLOOKUP(E250&amp;F250,'[1]MV+BI'!$E$8:$K$375,3,FALSE)</f>
        <v>Em Implementação</v>
      </c>
      <c r="I250" s="170" t="str">
        <f>VLOOKUP(E250&amp;F250,'[1]MV+BI'!$E$8:$K$375,6,FALSE)</f>
        <v>IT</v>
      </c>
      <c r="J250" s="62"/>
      <c r="K250" s="172">
        <f>VLOOKUP(E250&amp;F250,'[1]MV+BI'!$E$8:$K$375,5,FALSE)</f>
        <v>45432</v>
      </c>
      <c r="L250" s="62"/>
      <c r="M250" s="172">
        <f>VLOOKUP(E250&amp;F250,'[1]MV+BI'!$E$8:$K$375,7,FALSE)</f>
        <v>45471</v>
      </c>
      <c r="N250" s="172"/>
      <c r="O250" s="300" t="s">
        <v>187</v>
      </c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300"/>
      <c r="AA250" s="62"/>
      <c r="AB250"/>
      <c r="AC250"/>
      <c r="AD250" s="32"/>
    </row>
    <row r="251" spans="3:30" s="2" customFormat="1" ht="15" customHeight="1">
      <c r="C251" s="157"/>
      <c r="D251" s="1"/>
      <c r="E251" s="178" t="s">
        <v>231</v>
      </c>
      <c r="F251" s="180" t="s">
        <v>206</v>
      </c>
      <c r="G251" s="169"/>
      <c r="H251" s="176" t="str">
        <f>VLOOKUP(E251&amp;F251,'[1]MV+BI'!$E$8:$K$375,3,FALSE)</f>
        <v>Em Implementação</v>
      </c>
      <c r="I251" s="170" t="str">
        <f>VLOOKUP(E251&amp;F251,'[1]MV+BI'!$E$8:$K$375,6,FALSE)</f>
        <v>IT</v>
      </c>
      <c r="J251" s="62"/>
      <c r="K251" s="172">
        <f>VLOOKUP(E251&amp;F251,'[1]MV+BI'!$E$8:$K$375,5,FALSE)</f>
        <v>45432</v>
      </c>
      <c r="L251" s="62"/>
      <c r="M251" s="172">
        <f>VLOOKUP(E251&amp;F251,'[1]MV+BI'!$E$8:$K$375,7,FALSE)</f>
        <v>45471</v>
      </c>
      <c r="N251" s="172"/>
      <c r="O251" s="300" t="s">
        <v>187</v>
      </c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2"/>
      <c r="AB251"/>
      <c r="AC251"/>
      <c r="AD251" s="32"/>
    </row>
    <row r="252" spans="3:30" s="2" customFormat="1" ht="15" customHeight="1">
      <c r="C252" s="157"/>
      <c r="D252" s="1"/>
      <c r="E252" s="178" t="s">
        <v>231</v>
      </c>
      <c r="F252" s="180" t="s">
        <v>207</v>
      </c>
      <c r="G252" s="169"/>
      <c r="H252" s="176" t="str">
        <f>VLOOKUP(E252&amp;F252,'[1]MV+BI'!$E$8:$K$375,3,FALSE)</f>
        <v>Em Implementação</v>
      </c>
      <c r="I252" s="170" t="str">
        <f>VLOOKUP(E252&amp;F252,'[1]MV+BI'!$E$8:$K$375,6,FALSE)</f>
        <v>IT</v>
      </c>
      <c r="J252" s="62"/>
      <c r="K252" s="172">
        <f>VLOOKUP(E252&amp;F252,'[1]MV+BI'!$E$8:$K$375,5,FALSE)</f>
        <v>45432</v>
      </c>
      <c r="L252" s="62"/>
      <c r="M252" s="172">
        <f>VLOOKUP(E252&amp;F252,'[1]MV+BI'!$E$8:$K$375,7,FALSE)</f>
        <v>45471</v>
      </c>
      <c r="N252" s="172"/>
      <c r="O252" s="300" t="s">
        <v>187</v>
      </c>
      <c r="P252" s="300"/>
      <c r="Q252" s="300"/>
      <c r="R252" s="300"/>
      <c r="S252" s="300"/>
      <c r="T252" s="300"/>
      <c r="U252" s="300"/>
      <c r="V252" s="300"/>
      <c r="W252" s="300"/>
      <c r="X252" s="300"/>
      <c r="Y252" s="300"/>
      <c r="Z252" s="300"/>
      <c r="AA252" s="62"/>
      <c r="AB252"/>
      <c r="AC252"/>
      <c r="AD252" s="32"/>
    </row>
    <row r="253" spans="3:30" s="2" customFormat="1" ht="15" customHeight="1">
      <c r="C253" s="157"/>
      <c r="D253" s="1"/>
      <c r="E253" s="178" t="s">
        <v>237</v>
      </c>
      <c r="F253" s="180" t="s">
        <v>67</v>
      </c>
      <c r="G253" s="169"/>
      <c r="H253" s="176" t="str">
        <f>VLOOKUP(E253&amp;F253,'[1]MV+BI'!$E$8:$K$375,3,FALSE)</f>
        <v>Em Implementação</v>
      </c>
      <c r="I253" s="170" t="str">
        <f>VLOOKUP(E253&amp;F253,'[1]MV+BI'!$E$8:$K$375,6,FALSE)</f>
        <v>IT</v>
      </c>
      <c r="J253" s="62"/>
      <c r="K253" s="172">
        <f>VLOOKUP(E253&amp;F253,'[1]MV+BI'!$E$8:$K$375,5,FALSE)</f>
        <v>45432</v>
      </c>
      <c r="L253" s="62"/>
      <c r="M253" s="172">
        <f>VLOOKUP(E253&amp;F253,'[1]MV+BI'!$E$8:$K$375,7,FALSE)</f>
        <v>45436</v>
      </c>
      <c r="N253" s="172"/>
      <c r="O253" s="300" t="s">
        <v>187</v>
      </c>
      <c r="P253" s="300"/>
      <c r="Q253" s="300"/>
      <c r="R253" s="300"/>
      <c r="S253" s="300"/>
      <c r="T253" s="300"/>
      <c r="U253" s="300"/>
      <c r="V253" s="300"/>
      <c r="W253" s="300"/>
      <c r="X253" s="300"/>
      <c r="Y253" s="300"/>
      <c r="Z253" s="300"/>
      <c r="AA253" s="62"/>
      <c r="AB253"/>
      <c r="AC253"/>
      <c r="AD253" s="32"/>
    </row>
    <row r="254" spans="3:30" s="2" customFormat="1" ht="15" customHeight="1">
      <c r="C254" s="157"/>
      <c r="D254" s="1"/>
      <c r="E254" s="178" t="s">
        <v>237</v>
      </c>
      <c r="F254" s="178" t="s">
        <v>222</v>
      </c>
      <c r="G254" s="169"/>
      <c r="H254" s="176" t="str">
        <f>VLOOKUP(E254&amp;F254,'[1]MV+BI'!$E$8:$K$375,3,FALSE)</f>
        <v>Em Implementação</v>
      </c>
      <c r="I254" s="170" t="str">
        <f>VLOOKUP(E254&amp;F254,'[1]MV+BI'!$E$8:$K$375,6,FALSE)</f>
        <v>IT</v>
      </c>
      <c r="J254" s="62"/>
      <c r="K254" s="172">
        <f>VLOOKUP(E254&amp;F254,'[1]MV+BI'!$E$8:$K$375,5,FALSE)</f>
        <v>45432</v>
      </c>
      <c r="L254" s="62"/>
      <c r="M254" s="172">
        <f>VLOOKUP(E254&amp;F254,'[1]MV+BI'!$E$8:$K$375,7,FALSE)</f>
        <v>45436</v>
      </c>
      <c r="N254" s="172"/>
      <c r="O254" s="300" t="s">
        <v>187</v>
      </c>
      <c r="P254" s="300"/>
      <c r="Q254" s="300"/>
      <c r="R254" s="300"/>
      <c r="S254" s="300"/>
      <c r="T254" s="300"/>
      <c r="U254" s="300"/>
      <c r="V254" s="300"/>
      <c r="W254" s="300"/>
      <c r="X254" s="300"/>
      <c r="Y254" s="300"/>
      <c r="Z254" s="300"/>
      <c r="AA254" s="62"/>
      <c r="AB254"/>
      <c r="AC254"/>
      <c r="AD254" s="32"/>
    </row>
    <row r="255" spans="3:30" s="2" customFormat="1" ht="15" customHeight="1">
      <c r="C255" s="157"/>
      <c r="D255" s="1"/>
      <c r="E255" s="178" t="s">
        <v>237</v>
      </c>
      <c r="F255" s="178" t="s">
        <v>238</v>
      </c>
      <c r="G255" s="169"/>
      <c r="H255" s="176" t="str">
        <f>VLOOKUP(E255&amp;F255,'[1]MV+BI'!$E$8:$K$375,3,FALSE)</f>
        <v>Em Implementação</v>
      </c>
      <c r="I255" s="170" t="str">
        <f>VLOOKUP(E255&amp;F255,'[1]MV+BI'!$E$8:$K$375,6,FALSE)</f>
        <v>IT</v>
      </c>
      <c r="J255" s="62"/>
      <c r="K255" s="172">
        <f>VLOOKUP(E255&amp;F255,'[1]MV+BI'!$E$8:$K$375,5,FALSE)</f>
        <v>45432</v>
      </c>
      <c r="L255" s="62"/>
      <c r="M255" s="172">
        <f>VLOOKUP(E255&amp;F255,'[1]MV+BI'!$E$8:$K$375,7,FALSE)</f>
        <v>45436</v>
      </c>
      <c r="N255" s="172"/>
      <c r="O255" s="300" t="s">
        <v>187</v>
      </c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  <c r="AA255" s="62"/>
      <c r="AB255"/>
      <c r="AC255"/>
      <c r="AD255" s="32"/>
    </row>
    <row r="256" spans="3:30" s="2" customFormat="1" ht="15" customHeight="1">
      <c r="C256" s="157"/>
      <c r="D256" s="1"/>
      <c r="E256" s="178" t="s">
        <v>237</v>
      </c>
      <c r="F256" s="178" t="s">
        <v>234</v>
      </c>
      <c r="G256" s="169"/>
      <c r="H256" s="176" t="str">
        <f>VLOOKUP(E256&amp;F256,'[1]MV+BI'!$E$8:$K$375,3,FALSE)</f>
        <v>Em Implementação</v>
      </c>
      <c r="I256" s="170" t="str">
        <f>VLOOKUP(E256&amp;F256,'[1]MV+BI'!$E$8:$K$375,6,FALSE)</f>
        <v>IT</v>
      </c>
      <c r="J256" s="62"/>
      <c r="K256" s="172">
        <f>VLOOKUP(E256&amp;F256,'[1]MV+BI'!$E$8:$K$375,5,FALSE)</f>
        <v>45432</v>
      </c>
      <c r="L256" s="62"/>
      <c r="M256" s="172">
        <f>VLOOKUP(E256&amp;F256,'[1]MV+BI'!$E$8:$K$375,7,FALSE)</f>
        <v>45436</v>
      </c>
      <c r="N256" s="172"/>
      <c r="O256" s="300" t="s">
        <v>187</v>
      </c>
      <c r="P256" s="300"/>
      <c r="Q256" s="300"/>
      <c r="R256" s="300"/>
      <c r="S256" s="300"/>
      <c r="T256" s="300"/>
      <c r="U256" s="300"/>
      <c r="V256" s="300"/>
      <c r="W256" s="300"/>
      <c r="X256" s="300"/>
      <c r="Y256" s="300"/>
      <c r="Z256" s="300"/>
      <c r="AA256" s="62"/>
      <c r="AB256"/>
      <c r="AC256"/>
      <c r="AD256" s="32"/>
    </row>
    <row r="257" spans="1:33" s="2" customFormat="1" ht="15" customHeight="1">
      <c r="C257" s="157"/>
      <c r="D257" s="1"/>
      <c r="E257" s="178" t="s">
        <v>237</v>
      </c>
      <c r="F257" s="180" t="s">
        <v>239</v>
      </c>
      <c r="G257" s="169"/>
      <c r="H257" s="176" t="str">
        <f>VLOOKUP(E257&amp;F257,'[1]MV+BI'!$E$8:$K$375,3,FALSE)</f>
        <v>Em Implementação</v>
      </c>
      <c r="I257" s="170" t="str">
        <f>VLOOKUP(E257&amp;F257,'[1]MV+BI'!$E$8:$K$375,6,FALSE)</f>
        <v>IT</v>
      </c>
      <c r="J257" s="62"/>
      <c r="K257" s="172">
        <f>VLOOKUP(E257&amp;F257,'[1]MV+BI'!$E$8:$K$375,5,FALSE)</f>
        <v>45432</v>
      </c>
      <c r="L257" s="62"/>
      <c r="M257" s="172">
        <f>VLOOKUP(E257&amp;F257,'[1]MV+BI'!$E$8:$K$375,7,FALSE)</f>
        <v>45436</v>
      </c>
      <c r="N257" s="172"/>
      <c r="O257" s="300" t="s">
        <v>187</v>
      </c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62"/>
      <c r="AB257"/>
      <c r="AC257"/>
      <c r="AD257" s="32"/>
    </row>
    <row r="258" spans="1:33" s="2" customFormat="1" ht="15" customHeight="1">
      <c r="C258" s="157"/>
      <c r="D258" s="1"/>
      <c r="E258" s="178" t="s">
        <v>237</v>
      </c>
      <c r="F258" s="180" t="s">
        <v>240</v>
      </c>
      <c r="G258" s="169"/>
      <c r="H258" s="176" t="str">
        <f>VLOOKUP(E258&amp;F258,'[1]MV+BI'!$E$8:$K$375,3,FALSE)</f>
        <v>Em Implementação</v>
      </c>
      <c r="I258" s="170" t="str">
        <f>VLOOKUP(E258&amp;F258,'[1]MV+BI'!$E$8:$K$375,6,FALSE)</f>
        <v>IT</v>
      </c>
      <c r="J258" s="62"/>
      <c r="K258" s="172">
        <f>VLOOKUP(E258&amp;F258,'[1]MV+BI'!$E$8:$K$375,5,FALSE)</f>
        <v>45432</v>
      </c>
      <c r="L258" s="62"/>
      <c r="M258" s="172">
        <f>VLOOKUP(E258&amp;F258,'[1]MV+BI'!$E$8:$K$375,7,FALSE)</f>
        <v>45436</v>
      </c>
      <c r="N258" s="172"/>
      <c r="O258" s="300" t="s">
        <v>187</v>
      </c>
      <c r="P258" s="300"/>
      <c r="Q258" s="300"/>
      <c r="R258" s="300"/>
      <c r="S258" s="300"/>
      <c r="T258" s="300"/>
      <c r="U258" s="300"/>
      <c r="V258" s="300"/>
      <c r="W258" s="300"/>
      <c r="X258" s="300"/>
      <c r="Y258" s="300"/>
      <c r="Z258" s="300"/>
      <c r="AA258" s="62"/>
      <c r="AB258"/>
      <c r="AC258"/>
      <c r="AD258" s="32"/>
    </row>
    <row r="259" spans="1:33" s="2" customFormat="1" ht="15" customHeight="1">
      <c r="C259" s="157"/>
      <c r="D259" s="1"/>
      <c r="E259" s="178" t="s">
        <v>237</v>
      </c>
      <c r="F259" s="180" t="s">
        <v>241</v>
      </c>
      <c r="G259" s="169"/>
      <c r="H259" s="176" t="str">
        <f>VLOOKUP(E259&amp;F259,'[1]MV+BI'!$E$8:$K$375,3,FALSE)</f>
        <v>Em Implementação</v>
      </c>
      <c r="I259" s="170" t="str">
        <f>VLOOKUP(E259&amp;F259,'[1]MV+BI'!$E$8:$K$375,6,FALSE)</f>
        <v>IT</v>
      </c>
      <c r="J259" s="62"/>
      <c r="K259" s="172">
        <f>VLOOKUP(E259&amp;F259,'[1]MV+BI'!$E$8:$K$375,5,FALSE)</f>
        <v>45432</v>
      </c>
      <c r="L259" s="62"/>
      <c r="M259" s="172">
        <f>VLOOKUP(E259&amp;F259,'[1]MV+BI'!$E$8:$K$375,7,FALSE)</f>
        <v>45436</v>
      </c>
      <c r="N259" s="172"/>
      <c r="O259" s="300" t="s">
        <v>187</v>
      </c>
      <c r="P259" s="300"/>
      <c r="Q259" s="300"/>
      <c r="R259" s="300"/>
      <c r="S259" s="300"/>
      <c r="T259" s="300"/>
      <c r="U259" s="300"/>
      <c r="V259" s="300"/>
      <c r="W259" s="300"/>
      <c r="X259" s="300"/>
      <c r="Y259" s="300"/>
      <c r="Z259" s="300"/>
      <c r="AA259" s="62"/>
      <c r="AB259"/>
      <c r="AC259"/>
      <c r="AD259" s="32"/>
    </row>
    <row r="260" spans="1:33" s="2" customFormat="1" ht="15" customHeight="1">
      <c r="C260" s="157"/>
      <c r="D260" s="1"/>
      <c r="E260" s="178" t="s">
        <v>237</v>
      </c>
      <c r="F260" s="180" t="s">
        <v>242</v>
      </c>
      <c r="G260" s="169"/>
      <c r="H260" s="176" t="str">
        <f>VLOOKUP(E260&amp;F260,'[1]MV+BI'!$E$8:$K$375,3,FALSE)</f>
        <v>Em Implementação</v>
      </c>
      <c r="I260" s="170" t="str">
        <f>VLOOKUP(E260&amp;F260,'[1]MV+BI'!$E$8:$K$375,6,FALSE)</f>
        <v>IT</v>
      </c>
      <c r="J260" s="62"/>
      <c r="K260" s="172">
        <f>VLOOKUP(E260&amp;F260,'[1]MV+BI'!$E$8:$K$375,5,FALSE)</f>
        <v>45432</v>
      </c>
      <c r="L260" s="62"/>
      <c r="M260" s="172">
        <f>VLOOKUP(E260&amp;F260,'[1]MV+BI'!$E$8:$K$375,7,FALSE)</f>
        <v>45436</v>
      </c>
      <c r="N260" s="172"/>
      <c r="O260" s="300" t="s">
        <v>187</v>
      </c>
      <c r="P260" s="300"/>
      <c r="Q260" s="300"/>
      <c r="R260" s="300"/>
      <c r="S260" s="300"/>
      <c r="T260" s="300"/>
      <c r="U260" s="300"/>
      <c r="V260" s="300"/>
      <c r="W260" s="300"/>
      <c r="X260" s="300"/>
      <c r="Y260" s="300"/>
      <c r="Z260" s="300"/>
      <c r="AA260" s="62"/>
      <c r="AB260"/>
      <c r="AC260"/>
      <c r="AD260" s="32"/>
    </row>
    <row r="261" spans="1:33" s="2" customFormat="1" ht="15" customHeight="1">
      <c r="C261" s="157"/>
      <c r="D261" s="104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0"/>
      <c r="AB261" s="104"/>
      <c r="AC261" s="104"/>
      <c r="AD261" s="106"/>
    </row>
    <row r="262" spans="1:33" s="2" customFormat="1" ht="17.399999999999999" hidden="1">
      <c r="E262" s="178" t="s">
        <v>311</v>
      </c>
      <c r="F262" s="180" t="s">
        <v>350</v>
      </c>
      <c r="G262" s="169"/>
      <c r="H262" s="181" t="str">
        <f>VLOOKUP(E262&amp;F262,'[1]MV+BI'!$E$8:$K$375,3,FALSE)</f>
        <v>Em Teste - Alteração EF</v>
      </c>
      <c r="I262" s="182" t="str">
        <f>VLOOKUP(E262&amp;F262,'[1]MV+BI'!$E$8:$K$375,4,FALSE)</f>
        <v>-</v>
      </c>
      <c r="J262" s="93"/>
      <c r="K262" s="172">
        <f>VLOOKUP(E262&amp;F262,'[1]MV+BI'!$E$8:$K$375,7,FALSE)</f>
        <v>45520</v>
      </c>
      <c r="Q262" s="12"/>
      <c r="R262" s="12"/>
      <c r="S262" s="12"/>
      <c r="T262" s="12"/>
      <c r="U262" s="12"/>
      <c r="V262" s="12"/>
      <c r="W262" s="1"/>
      <c r="X262"/>
      <c r="Y262"/>
      <c r="Z262"/>
      <c r="AA262"/>
      <c r="AB262"/>
      <c r="AC262"/>
      <c r="AD262" s="32"/>
    </row>
    <row r="263" spans="1:33" s="2" customFormat="1" ht="17.399999999999999" hidden="1">
      <c r="E263" s="178" t="s">
        <v>311</v>
      </c>
      <c r="F263" s="180" t="s">
        <v>351</v>
      </c>
      <c r="G263" s="169"/>
      <c r="H263" s="181" t="str">
        <f>VLOOKUP(E263&amp;F263,'[1]MV+BI'!$E$8:$K$375,3,FALSE)</f>
        <v>Em Teste - Alteração EF</v>
      </c>
      <c r="I263" s="182" t="str">
        <f>VLOOKUP(E263&amp;F263,'[1]MV+BI'!$E$8:$K$375,4,FALSE)</f>
        <v>-</v>
      </c>
      <c r="J263" s="93"/>
      <c r="K263" s="172">
        <f>VLOOKUP(E263&amp;F263,'[1]MV+BI'!$E$8:$K$375,7,FALSE)</f>
        <v>45520</v>
      </c>
      <c r="Q263" s="12"/>
      <c r="R263" s="12"/>
      <c r="S263" s="12"/>
      <c r="T263" s="12"/>
      <c r="U263" s="12"/>
      <c r="V263" s="12"/>
      <c r="W263" s="1"/>
      <c r="X263"/>
      <c r="Y263"/>
      <c r="Z263"/>
      <c r="AA263"/>
      <c r="AB263"/>
      <c r="AC263"/>
      <c r="AD263" s="32"/>
    </row>
    <row r="264" spans="1:33" s="2" customFormat="1" ht="17.399999999999999" hidden="1">
      <c r="E264" s="178" t="s">
        <v>311</v>
      </c>
      <c r="F264" s="180" t="s">
        <v>352</v>
      </c>
      <c r="G264" s="169"/>
      <c r="H264" s="181" t="str">
        <f>VLOOKUP(E264&amp;F264,'[1]MV+BI'!$E$8:$K$375,3,FALSE)</f>
        <v>Em Teste - Alteração EF</v>
      </c>
      <c r="I264" s="182" t="str">
        <f>VLOOKUP(E264&amp;F264,'[1]MV+BI'!$E$8:$K$375,4,FALSE)</f>
        <v>-</v>
      </c>
      <c r="J264" s="93"/>
      <c r="K264" s="172">
        <f>VLOOKUP(E264&amp;F264,'[1]MV+BI'!$E$8:$K$375,7,FALSE)</f>
        <v>45520</v>
      </c>
      <c r="Q264" s="12"/>
      <c r="R264" s="12"/>
      <c r="S264" s="12"/>
      <c r="T264" s="12"/>
      <c r="U264" s="12"/>
      <c r="V264" s="12"/>
      <c r="W264" s="1"/>
      <c r="X264"/>
      <c r="Y264"/>
      <c r="Z264"/>
      <c r="AA264"/>
      <c r="AB264"/>
      <c r="AC264"/>
      <c r="AD264" s="32"/>
    </row>
    <row r="265" spans="1:33" s="2" customFormat="1" ht="17.399999999999999" hidden="1">
      <c r="E265" s="178" t="s">
        <v>311</v>
      </c>
      <c r="F265" s="180" t="s">
        <v>353</v>
      </c>
      <c r="G265" s="169"/>
      <c r="H265" s="181" t="str">
        <f>VLOOKUP(E265&amp;F265,'[1]MV+BI'!$E$8:$K$375,3,FALSE)</f>
        <v>Em Teste - Alteração EF</v>
      </c>
      <c r="I265" s="182" t="str">
        <f>VLOOKUP(E265&amp;F265,'[1]MV+BI'!$E$8:$K$375,4,FALSE)</f>
        <v>-</v>
      </c>
      <c r="J265" s="93"/>
      <c r="K265" s="172">
        <f>VLOOKUP(E265&amp;F265,'[1]MV+BI'!$E$8:$K$375,7,FALSE)</f>
        <v>45520</v>
      </c>
      <c r="Q265" s="12"/>
      <c r="R265" s="12"/>
      <c r="S265" s="12"/>
      <c r="T265" s="12"/>
      <c r="U265" s="12"/>
      <c r="V265" s="12"/>
      <c r="W265" s="1"/>
      <c r="X265"/>
      <c r="Y265"/>
      <c r="Z265"/>
      <c r="AA265"/>
      <c r="AB265"/>
      <c r="AC265"/>
      <c r="AD265" s="32"/>
    </row>
    <row r="266" spans="1:33" s="2" customFormat="1" ht="17.399999999999999" hidden="1">
      <c r="C266" s="183"/>
      <c r="D266" s="156"/>
      <c r="E266" s="178" t="s">
        <v>311</v>
      </c>
      <c r="F266" s="180" t="s">
        <v>354</v>
      </c>
      <c r="G266" s="169"/>
      <c r="H266" s="181" t="str">
        <f>VLOOKUP(E266&amp;F266,'[1]MV+BI'!$E$8:$K$375,3,FALSE)</f>
        <v>Em Teste - Alteração EF</v>
      </c>
      <c r="I266" s="182" t="str">
        <f>VLOOKUP(E266&amp;F266,'[1]MV+BI'!$E$8:$K$375,4,FALSE)</f>
        <v>-</v>
      </c>
      <c r="J266" s="93"/>
      <c r="K266" s="172">
        <f>VLOOKUP(E266&amp;F266,'[1]MV+BI'!$E$8:$K$375,7,FALSE)</f>
        <v>45520</v>
      </c>
      <c r="L266" s="156"/>
      <c r="M266" s="184"/>
      <c r="O266" s="183"/>
      <c r="P266" s="156"/>
      <c r="Q266" s="1"/>
      <c r="R266" s="1"/>
      <c r="S266" s="1"/>
      <c r="T266" s="1"/>
      <c r="U266" s="1"/>
      <c r="V266" s="1"/>
      <c r="W266" s="1"/>
      <c r="X266"/>
      <c r="Y266"/>
      <c r="Z266"/>
      <c r="AA266"/>
      <c r="AB266"/>
      <c r="AC266"/>
      <c r="AD266" s="32"/>
    </row>
    <row r="267" spans="1:33" s="2" customFormat="1" ht="17.399999999999999" hidden="1">
      <c r="C267" s="185"/>
      <c r="D267"/>
      <c r="E267" s="178" t="s">
        <v>311</v>
      </c>
      <c r="F267" s="180" t="s">
        <v>355</v>
      </c>
      <c r="G267" s="169"/>
      <c r="H267" s="181" t="str">
        <f>VLOOKUP(E267&amp;F267,'[1]MV+BI'!$E$8:$K$375,3,FALSE)</f>
        <v>Em Teste - Alteração EF</v>
      </c>
      <c r="I267" s="182" t="str">
        <f>VLOOKUP(E267&amp;F267,'[1]MV+BI'!$E$8:$K$375,4,FALSE)</f>
        <v>-</v>
      </c>
      <c r="J267" s="93"/>
      <c r="K267" s="172">
        <f>VLOOKUP(E267&amp;F267,'[1]MV+BI'!$E$8:$K$375,7,FALSE)</f>
        <v>45520</v>
      </c>
      <c r="L267"/>
      <c r="M267" s="186"/>
      <c r="O267" s="185"/>
      <c r="P267"/>
      <c r="Q267" s="1"/>
      <c r="R267" s="1"/>
      <c r="S267" s="1"/>
      <c r="T267" s="1"/>
      <c r="U267" s="1"/>
      <c r="V267" s="1"/>
      <c r="W267" s="1"/>
      <c r="X267"/>
      <c r="Y267"/>
      <c r="Z267"/>
      <c r="AA267"/>
      <c r="AB267"/>
      <c r="AC267"/>
      <c r="AD267" s="32"/>
    </row>
    <row r="268" spans="1:33" s="2" customFormat="1" ht="17.399999999999999" hidden="1">
      <c r="C268" s="185"/>
      <c r="D268"/>
      <c r="E268" s="178" t="s">
        <v>311</v>
      </c>
      <c r="F268" s="180" t="s">
        <v>356</v>
      </c>
      <c r="G268" s="169"/>
      <c r="H268" s="181" t="str">
        <f>VLOOKUP(E268&amp;F268,'[1]MV+BI'!$E$8:$K$375,3,FALSE)</f>
        <v>Em Teste - Alteração EF</v>
      </c>
      <c r="I268" s="182" t="str">
        <f>VLOOKUP(E268&amp;F268,'[1]MV+BI'!$E$8:$K$375,4,FALSE)</f>
        <v>-</v>
      </c>
      <c r="J268" s="93"/>
      <c r="K268" s="172">
        <f>VLOOKUP(E268&amp;F268,'[1]MV+BI'!$E$8:$K$375,7,FALSE)</f>
        <v>45520</v>
      </c>
      <c r="L268"/>
      <c r="M268" s="186"/>
      <c r="O268" s="185"/>
      <c r="P268"/>
      <c r="Q268" s="187"/>
      <c r="R268" s="187"/>
      <c r="S268" s="1"/>
      <c r="T268" s="1"/>
      <c r="U268" s="1"/>
      <c r="V268" s="1"/>
      <c r="W268" s="1"/>
      <c r="X268"/>
      <c r="Y268"/>
      <c r="Z268"/>
      <c r="AA268"/>
      <c r="AB268"/>
      <c r="AC268"/>
      <c r="AD268" s="32"/>
    </row>
    <row r="269" spans="1:33" s="2" customFormat="1" ht="17.399999999999999" hidden="1">
      <c r="C269" s="185"/>
      <c r="D269" s="188" t="s">
        <v>367</v>
      </c>
      <c r="E269" s="178" t="s">
        <v>311</v>
      </c>
      <c r="F269" s="180" t="s">
        <v>357</v>
      </c>
      <c r="G269" s="169"/>
      <c r="H269" s="181" t="str">
        <f>VLOOKUP(E269&amp;F269,'[1]MV+BI'!$E$8:$K$375,3,FALSE)</f>
        <v>Em Teste - Alteração EF</v>
      </c>
      <c r="I269" s="182" t="str">
        <f>VLOOKUP(E269&amp;F269,'[1]MV+BI'!$E$8:$K$375,4,FALSE)</f>
        <v>-</v>
      </c>
      <c r="J269" s="93"/>
      <c r="K269" s="172">
        <f>VLOOKUP(E269&amp;F269,'[1]MV+BI'!$E$8:$K$375,7,FALSE)</f>
        <v>45520</v>
      </c>
      <c r="L269" s="189" t="s">
        <v>368</v>
      </c>
      <c r="M269" s="186"/>
      <c r="O269" s="185"/>
      <c r="P269" s="188" t="s">
        <v>367</v>
      </c>
      <c r="Q269" s="190" t="s">
        <v>369</v>
      </c>
      <c r="R269" s="190" t="s">
        <v>370</v>
      </c>
      <c r="S269" s="190" t="s">
        <v>371</v>
      </c>
      <c r="T269" s="191" t="s">
        <v>372</v>
      </c>
      <c r="U269" s="191" t="s">
        <v>368</v>
      </c>
      <c r="V269" s="1"/>
      <c r="W269" s="1"/>
      <c r="X269"/>
      <c r="Y269"/>
      <c r="Z269"/>
      <c r="AA269"/>
      <c r="AB269"/>
      <c r="AC269"/>
      <c r="AD269" s="32"/>
    </row>
    <row r="270" spans="1:33" s="2" customFormat="1" ht="17.399999999999999" hidden="1">
      <c r="C270" s="185"/>
      <c r="D270" s="192" t="s">
        <v>373</v>
      </c>
      <c r="E270" s="178" t="s">
        <v>311</v>
      </c>
      <c r="F270" s="180" t="s">
        <v>358</v>
      </c>
      <c r="G270" s="169"/>
      <c r="H270" s="181" t="str">
        <f>VLOOKUP(E270&amp;F270,'[1]MV+BI'!$E$8:$K$375,3,FALSE)</f>
        <v>Em Teste - Alteração EF</v>
      </c>
      <c r="I270" s="182" t="str">
        <f>VLOOKUP(E270&amp;F270,'[1]MV+BI'!$E$8:$K$375,4,FALSE)</f>
        <v>-</v>
      </c>
      <c r="J270" s="93"/>
      <c r="K270" s="172">
        <f>VLOOKUP(E270&amp;F270,'[1]MV+BI'!$E$8:$K$375,7,FALSE)</f>
        <v>45520</v>
      </c>
      <c r="L270" s="193">
        <v>0</v>
      </c>
      <c r="M270" s="186"/>
      <c r="O270" s="185"/>
      <c r="P270" s="192" t="s">
        <v>373</v>
      </c>
      <c r="Q270" s="194">
        <v>49</v>
      </c>
      <c r="R270" s="194">
        <v>11</v>
      </c>
      <c r="S270" s="194">
        <v>0</v>
      </c>
      <c r="T270" s="195">
        <v>0</v>
      </c>
      <c r="U270" s="196">
        <v>0</v>
      </c>
      <c r="V270" s="1"/>
      <c r="W270" s="1"/>
      <c r="X270"/>
      <c r="Y270"/>
      <c r="Z270"/>
      <c r="AA270"/>
      <c r="AB270"/>
      <c r="AC270"/>
      <c r="AD270" s="32"/>
    </row>
    <row r="271" spans="1:33" s="2" customFormat="1" ht="17.399999999999999" hidden="1">
      <c r="C271" s="185"/>
      <c r="D271" s="192" t="s">
        <v>374</v>
      </c>
      <c r="E271" s="178" t="s">
        <v>311</v>
      </c>
      <c r="F271" s="180" t="s">
        <v>359</v>
      </c>
      <c r="G271" s="169"/>
      <c r="H271" s="181" t="str">
        <f>VLOOKUP(E271&amp;F271,'[1]MV+BI'!$E$8:$K$375,3,FALSE)</f>
        <v>Em Teste - Alteração EF</v>
      </c>
      <c r="I271" s="182" t="str">
        <f>VLOOKUP(E271&amp;F271,'[1]MV+BI'!$E$8:$K$375,4,FALSE)</f>
        <v>-</v>
      </c>
      <c r="J271" s="93"/>
      <c r="K271" s="172">
        <f>VLOOKUP(E271&amp;F271,'[1]MV+BI'!$E$8:$K$375,7,FALSE)</f>
        <v>45520</v>
      </c>
      <c r="L271" s="193">
        <v>1</v>
      </c>
      <c r="M271" s="186"/>
      <c r="O271" s="185"/>
      <c r="P271" s="192" t="s">
        <v>374</v>
      </c>
      <c r="Q271" s="194">
        <v>161873</v>
      </c>
      <c r="R271" s="194">
        <v>8528</v>
      </c>
      <c r="S271" s="194">
        <v>1</v>
      </c>
      <c r="T271" s="195">
        <v>0</v>
      </c>
      <c r="U271" s="196">
        <v>1</v>
      </c>
      <c r="V271" s="1"/>
      <c r="W271" s="1"/>
      <c r="X271"/>
      <c r="Y271"/>
      <c r="Z271"/>
      <c r="AA271"/>
      <c r="AB271"/>
      <c r="AC271"/>
      <c r="AD271" s="32"/>
    </row>
    <row r="272" spans="1:33" ht="17.399999999999999" hidden="1">
      <c r="A272" s="2"/>
      <c r="B272" s="2"/>
      <c r="C272" s="185"/>
      <c r="D272" s="192" t="s">
        <v>375</v>
      </c>
      <c r="E272" s="178" t="s">
        <v>311</v>
      </c>
      <c r="F272" s="180" t="s">
        <v>360</v>
      </c>
      <c r="G272" s="169"/>
      <c r="H272" s="181" t="str">
        <f>VLOOKUP(E272&amp;F272,'[1]MV+BI'!$E$8:$K$375,3,FALSE)</f>
        <v>Em Teste - Alteração EF</v>
      </c>
      <c r="I272" s="182" t="str">
        <f>VLOOKUP(E272&amp;F272,'[1]MV+BI'!$E$8:$K$375,4,FALSE)</f>
        <v>-</v>
      </c>
      <c r="J272" s="93"/>
      <c r="K272" s="172">
        <f>VLOOKUP(E272&amp;F272,'[1]MV+BI'!$E$8:$K$375,7,FALSE)</f>
        <v>45520</v>
      </c>
      <c r="L272" s="193">
        <v>0</v>
      </c>
      <c r="M272" s="186"/>
      <c r="N272" s="2"/>
      <c r="O272" s="185"/>
      <c r="P272" s="192" t="s">
        <v>375</v>
      </c>
      <c r="Q272" s="194">
        <v>251605</v>
      </c>
      <c r="R272" s="194">
        <v>78</v>
      </c>
      <c r="S272" s="194">
        <v>2</v>
      </c>
      <c r="T272" s="195">
        <v>1</v>
      </c>
      <c r="U272" s="196">
        <v>1</v>
      </c>
      <c r="V272" s="1"/>
      <c r="W272" s="1"/>
      <c r="X272"/>
      <c r="Y272"/>
      <c r="Z272"/>
      <c r="AA272"/>
      <c r="AB272"/>
      <c r="AC272"/>
      <c r="AD272" s="32"/>
      <c r="AF272" s="2"/>
      <c r="AG272" s="2"/>
    </row>
    <row r="273" spans="1:49" ht="17.399999999999999" hidden="1">
      <c r="A273" s="2"/>
      <c r="B273" s="2"/>
      <c r="C273" s="185"/>
      <c r="D273" s="192" t="s">
        <v>376</v>
      </c>
      <c r="E273" s="178" t="s">
        <v>311</v>
      </c>
      <c r="F273" s="180" t="s">
        <v>361</v>
      </c>
      <c r="G273" s="169"/>
      <c r="H273" s="181" t="str">
        <f>VLOOKUP(E273&amp;F273,'[1]MV+BI'!$E$8:$K$375,3,FALSE)</f>
        <v>Em Teste - Alteração EF</v>
      </c>
      <c r="I273" s="182" t="str">
        <f>VLOOKUP(E273&amp;F273,'[1]MV+BI'!$E$8:$K$375,4,FALSE)</f>
        <v>-</v>
      </c>
      <c r="J273" s="93"/>
      <c r="K273" s="172">
        <f>VLOOKUP(E273&amp;F273,'[1]MV+BI'!$E$8:$K$375,7,FALSE)</f>
        <v>45520</v>
      </c>
      <c r="L273" s="193">
        <v>1</v>
      </c>
      <c r="M273" s="186"/>
      <c r="N273" s="2"/>
      <c r="O273" s="185"/>
      <c r="P273" s="192" t="s">
        <v>376</v>
      </c>
      <c r="Q273" s="194">
        <v>130224</v>
      </c>
      <c r="R273" s="194">
        <v>59577</v>
      </c>
      <c r="S273" s="194">
        <v>1</v>
      </c>
      <c r="T273" s="195">
        <v>0</v>
      </c>
      <c r="U273" s="196">
        <v>1</v>
      </c>
      <c r="V273" s="1"/>
      <c r="W273" s="1"/>
      <c r="X273"/>
      <c r="Y273"/>
      <c r="Z273"/>
      <c r="AA273"/>
      <c r="AB273"/>
      <c r="AC273"/>
      <c r="AD273" s="32"/>
      <c r="AF273" s="2"/>
      <c r="AG273" s="2"/>
    </row>
    <row r="274" spans="1:49" ht="17.399999999999999" hidden="1">
      <c r="A274" s="2"/>
      <c r="B274" s="2"/>
      <c r="C274" s="185"/>
      <c r="D274" s="192" t="s">
        <v>377</v>
      </c>
      <c r="E274" s="178" t="s">
        <v>311</v>
      </c>
      <c r="F274" s="180" t="s">
        <v>362</v>
      </c>
      <c r="G274" s="169"/>
      <c r="H274" s="181" t="str">
        <f>VLOOKUP(E274&amp;F274,'[1]MV+BI'!$E$8:$K$375,3,FALSE)</f>
        <v>Em Teste - Alteração EF</v>
      </c>
      <c r="I274" s="182" t="str">
        <f>VLOOKUP(E274&amp;F274,'[1]MV+BI'!$E$8:$K$375,4,FALSE)</f>
        <v>-</v>
      </c>
      <c r="J274" s="93"/>
      <c r="K274" s="172">
        <f>VLOOKUP(E274&amp;F274,'[1]MV+BI'!$E$8:$K$375,7,FALSE)</f>
        <v>45520</v>
      </c>
      <c r="L274" s="193">
        <f>13-5</f>
        <v>8</v>
      </c>
      <c r="M274" s="186"/>
      <c r="N274" s="2"/>
      <c r="O274" s="185"/>
      <c r="P274" s="192" t="s">
        <v>377</v>
      </c>
      <c r="Q274" s="194">
        <v>752210</v>
      </c>
      <c r="R274" s="194">
        <v>749866</v>
      </c>
      <c r="S274" s="194">
        <v>13</v>
      </c>
      <c r="T274" s="195">
        <v>5</v>
      </c>
      <c r="U274" s="196">
        <f>13-5</f>
        <v>8</v>
      </c>
      <c r="V274" s="1"/>
      <c r="W274" s="1"/>
      <c r="X274"/>
      <c r="Y274"/>
      <c r="Z274"/>
      <c r="AA274"/>
      <c r="AB274"/>
      <c r="AC274"/>
      <c r="AD274" s="32"/>
      <c r="AF274" s="2"/>
      <c r="AG274" s="2"/>
    </row>
    <row r="275" spans="1:49" ht="17.399999999999999" hidden="1">
      <c r="A275" s="2"/>
      <c r="B275" s="2"/>
      <c r="C275" s="185"/>
      <c r="D275" s="192" t="s">
        <v>378</v>
      </c>
      <c r="E275" s="178" t="s">
        <v>311</v>
      </c>
      <c r="F275" s="180" t="s">
        <v>363</v>
      </c>
      <c r="G275" s="169"/>
      <c r="H275" s="181" t="str">
        <f>VLOOKUP(E275&amp;F275,'[1]MV+BI'!$E$8:$K$375,3,FALSE)</f>
        <v>Em Teste - Alteração EF</v>
      </c>
      <c r="I275" s="182" t="str">
        <f>VLOOKUP(E275&amp;F275,'[1]MV+BI'!$E$8:$K$375,4,FALSE)</f>
        <v>-</v>
      </c>
      <c r="J275" s="93"/>
      <c r="K275" s="172">
        <f>VLOOKUP(E275&amp;F275,'[1]MV+BI'!$E$8:$K$375,7,FALSE)</f>
        <v>45520</v>
      </c>
      <c r="L275" s="193">
        <v>41</v>
      </c>
      <c r="M275" s="186"/>
      <c r="N275" s="2"/>
      <c r="O275" s="185"/>
      <c r="P275" s="192" t="s">
        <v>378</v>
      </c>
      <c r="Q275" s="194">
        <v>12565003</v>
      </c>
      <c r="R275" s="194">
        <v>10470985</v>
      </c>
      <c r="S275" s="194">
        <v>44</v>
      </c>
      <c r="T275" s="195">
        <v>0</v>
      </c>
      <c r="U275" s="196">
        <v>44</v>
      </c>
      <c r="V275" s="1"/>
      <c r="W275" s="1"/>
      <c r="X275"/>
      <c r="Y275"/>
      <c r="Z275"/>
      <c r="AA275"/>
      <c r="AB275"/>
      <c r="AC275"/>
      <c r="AD275" s="32"/>
      <c r="AF275" s="2"/>
      <c r="AG275" s="2"/>
    </row>
    <row r="276" spans="1:49" ht="17.399999999999999" hidden="1">
      <c r="A276" s="2"/>
      <c r="B276" s="2"/>
      <c r="C276" s="185"/>
      <c r="D276" s="197" t="s">
        <v>379</v>
      </c>
      <c r="E276" s="178" t="s">
        <v>311</v>
      </c>
      <c r="F276" s="180" t="s">
        <v>364</v>
      </c>
      <c r="G276" s="169"/>
      <c r="H276" s="181" t="str">
        <f>VLOOKUP(E276&amp;F276,'[1]MV+BI'!$E$8:$K$375,3,FALSE)</f>
        <v>Em Teste - Alteração EF</v>
      </c>
      <c r="I276" s="182" t="str">
        <f>VLOOKUP(E276&amp;F276,'[1]MV+BI'!$E$8:$K$375,4,FALSE)</f>
        <v>-</v>
      </c>
      <c r="J276" s="93"/>
      <c r="K276" s="172">
        <f>VLOOKUP(E276&amp;F276,'[1]MV+BI'!$E$8:$K$375,7,FALSE)</f>
        <v>45520</v>
      </c>
      <c r="L276" s="198">
        <v>0</v>
      </c>
      <c r="M276" s="186"/>
      <c r="N276" s="2"/>
      <c r="O276" s="185"/>
      <c r="P276" s="192" t="s">
        <v>379</v>
      </c>
      <c r="Q276" s="199" t="s">
        <v>380</v>
      </c>
      <c r="R276" s="199" t="s">
        <v>380</v>
      </c>
      <c r="S276" s="199" t="s">
        <v>381</v>
      </c>
      <c r="T276" s="200">
        <v>0</v>
      </c>
      <c r="U276" s="196" t="s">
        <v>382</v>
      </c>
      <c r="V276" s="1"/>
      <c r="W276" s="1"/>
      <c r="X276"/>
      <c r="Y276"/>
      <c r="Z276"/>
      <c r="AA276"/>
      <c r="AB276"/>
      <c r="AC276"/>
      <c r="AD276" s="32"/>
      <c r="AF276" s="2"/>
      <c r="AG276" s="2"/>
    </row>
    <row r="277" spans="1:49" ht="17.399999999999999" hidden="1">
      <c r="A277" s="2"/>
      <c r="B277" s="2"/>
      <c r="C277" s="185"/>
      <c r="D277" s="156"/>
      <c r="E277" s="178" t="s">
        <v>311</v>
      </c>
      <c r="F277" s="180" t="s">
        <v>365</v>
      </c>
      <c r="G277" s="169"/>
      <c r="H277" s="181" t="str">
        <f>VLOOKUP(E277&amp;F277,'[1]MV+BI'!$E$8:$K$375,3,FALSE)</f>
        <v>Em Teste - Alteração EF</v>
      </c>
      <c r="I277" s="182" t="str">
        <f>VLOOKUP(E277&amp;F277,'[1]MV+BI'!$E$8:$K$375,4,FALSE)</f>
        <v>-</v>
      </c>
      <c r="J277" s="93"/>
      <c r="K277" s="172">
        <f>VLOOKUP(E277&amp;F277,'[1]MV+BI'!$E$8:$K$375,7,FALSE)</f>
        <v>45520</v>
      </c>
      <c r="L277" s="201">
        <f>SUM(L270:L275)</f>
        <v>51</v>
      </c>
      <c r="M277" s="186"/>
      <c r="N277" s="2"/>
      <c r="O277" s="185"/>
      <c r="P277" s="156"/>
      <c r="Q277" s="1"/>
      <c r="R277" s="202" t="s">
        <v>383</v>
      </c>
      <c r="S277" s="203">
        <f>SUM(S270:S275)</f>
        <v>61</v>
      </c>
      <c r="T277" s="203">
        <f>SUM(T270:T275)</f>
        <v>6</v>
      </c>
      <c r="U277" s="203">
        <f>SUM(U270:U275)</f>
        <v>55</v>
      </c>
      <c r="V277" s="1"/>
      <c r="W277" s="1"/>
      <c r="X277"/>
      <c r="Y277"/>
      <c r="Z277"/>
      <c r="AA277"/>
      <c r="AB277"/>
      <c r="AC277"/>
      <c r="AD277" s="32"/>
      <c r="AF277" s="2"/>
      <c r="AG277" s="2"/>
    </row>
    <row r="278" spans="1:49" ht="17.399999999999999" hidden="1">
      <c r="A278" s="2"/>
      <c r="B278" s="2"/>
      <c r="C278" s="185"/>
      <c r="E278" s="178" t="s">
        <v>311</v>
      </c>
      <c r="F278" s="180" t="s">
        <v>366</v>
      </c>
      <c r="G278" s="169"/>
      <c r="H278" s="181" t="str">
        <f>VLOOKUP(E278&amp;F278,'[1]MV+BI'!$E$8:$K$375,3,FALSE)</f>
        <v>Em Teste - Alteração EF</v>
      </c>
      <c r="I278" s="182" t="str">
        <f>VLOOKUP(E278&amp;F278,'[1]MV+BI'!$E$8:$K$375,4,FALSE)</f>
        <v>-</v>
      </c>
      <c r="J278" s="93"/>
      <c r="K278" s="172">
        <f>VLOOKUP(E278&amp;F278,'[1]MV+BI'!$E$8:$K$375,7,FALSE)</f>
        <v>45520</v>
      </c>
      <c r="M278" s="186"/>
      <c r="N278" s="2"/>
      <c r="O278" s="185"/>
      <c r="Q278" s="1"/>
      <c r="R278" s="1"/>
      <c r="S278" s="1"/>
      <c r="T278" s="1"/>
      <c r="U278" s="1"/>
      <c r="V278" s="1"/>
      <c r="W278" s="1"/>
      <c r="X278"/>
      <c r="Y278"/>
      <c r="Z278"/>
      <c r="AA278"/>
      <c r="AB278"/>
      <c r="AC278"/>
      <c r="AD278" s="32"/>
      <c r="AF278" s="2"/>
      <c r="AG278" s="2"/>
    </row>
    <row r="279" spans="1:49" ht="17.399999999999999" hidden="1">
      <c r="A279" s="2"/>
      <c r="B279" s="2"/>
      <c r="C279" s="185"/>
      <c r="D279" s="189" t="s">
        <v>384</v>
      </c>
      <c r="E279" s="178" t="s">
        <v>311</v>
      </c>
      <c r="F279" s="180" t="s">
        <v>6</v>
      </c>
      <c r="G279" s="169"/>
      <c r="H279" s="181" t="str">
        <f>VLOOKUP(E279&amp;F279,'[1]MV+BI'!$E$8:$K$375,3,FALSE)</f>
        <v>Em Teste - Alteração EF</v>
      </c>
      <c r="I279" s="182" t="str">
        <f>VLOOKUP(E279&amp;F279,'[1]MV+BI'!$E$8:$K$375,4,FALSE)</f>
        <v>-</v>
      </c>
      <c r="J279" s="93"/>
      <c r="K279" s="172">
        <f>VLOOKUP(E279&amp;F279,'[1]MV+BI'!$E$8:$K$375,7,FALSE)</f>
        <v>45520</v>
      </c>
      <c r="L279" s="188"/>
      <c r="M279" s="186"/>
      <c r="N279" s="2"/>
      <c r="O279" s="185"/>
      <c r="P279" s="189" t="s">
        <v>384</v>
      </c>
      <c r="Q279" s="190" t="s">
        <v>385</v>
      </c>
      <c r="R279" s="190" t="s">
        <v>386</v>
      </c>
      <c r="S279" s="190" t="s">
        <v>387</v>
      </c>
      <c r="T279" s="204" t="s">
        <v>388</v>
      </c>
      <c r="U279" s="205"/>
      <c r="V279" s="1"/>
      <c r="W279" s="1"/>
      <c r="X279"/>
      <c r="Y279"/>
      <c r="Z279"/>
      <c r="AA279"/>
      <c r="AB279"/>
      <c r="AC279"/>
      <c r="AD279" s="32"/>
      <c r="AF279" s="2"/>
      <c r="AG279" s="2"/>
    </row>
    <row r="280" spans="1:49" ht="17.399999999999999" hidden="1">
      <c r="A280" s="2"/>
      <c r="B280" s="2"/>
      <c r="C280" s="185"/>
      <c r="D280" s="206" t="s">
        <v>389</v>
      </c>
      <c r="E280" s="178" t="s">
        <v>311</v>
      </c>
      <c r="F280" s="177" t="s">
        <v>249</v>
      </c>
      <c r="G280" s="169"/>
      <c r="H280" s="181" t="str">
        <f>VLOOKUP(E280&amp;F280,'[1]MV+BI'!$E$8:$K$375,3,FALSE)</f>
        <v>Em Teste - Alteração EF</v>
      </c>
      <c r="I280" s="182" t="str">
        <f>VLOOKUP(E280&amp;F280,'[1]MV+BI'!$E$8:$K$375,4,FALSE)</f>
        <v>-</v>
      </c>
      <c r="J280" s="93"/>
      <c r="K280" s="172">
        <f>VLOOKUP(E280&amp;F280,'[1]MV+BI'!$E$8:$K$375,7,FALSE)</f>
        <v>45520</v>
      </c>
      <c r="L280" s="207"/>
      <c r="M280" s="186"/>
      <c r="N280" s="2"/>
      <c r="O280" s="185"/>
      <c r="P280" s="206" t="s">
        <v>389</v>
      </c>
      <c r="Q280" s="194">
        <v>139</v>
      </c>
      <c r="R280" s="194">
        <v>37</v>
      </c>
      <c r="S280" s="194">
        <v>1</v>
      </c>
      <c r="T280" s="208" t="s">
        <v>390</v>
      </c>
      <c r="U280" s="194"/>
      <c r="V280" s="1"/>
      <c r="W280" s="1"/>
      <c r="X280"/>
      <c r="Y280"/>
      <c r="Z280"/>
      <c r="AA280"/>
      <c r="AB280"/>
      <c r="AC280"/>
      <c r="AD280" s="32"/>
      <c r="AF280" s="2"/>
      <c r="AG280" s="2"/>
    </row>
    <row r="281" spans="1:49" ht="17.399999999999999" hidden="1">
      <c r="A281" s="2"/>
      <c r="B281" s="2"/>
      <c r="C281" s="185"/>
      <c r="D281" s="206" t="s">
        <v>391</v>
      </c>
      <c r="E281" s="178" t="s">
        <v>301</v>
      </c>
      <c r="F281" s="178" t="s">
        <v>84</v>
      </c>
      <c r="G281" s="169"/>
      <c r="H281" s="181" t="str">
        <f>VLOOKUP(E281&amp;F281,'[1]MV+BI'!$E$8:$K$375,3,FALSE)</f>
        <v>Em Teste - Alteração EF</v>
      </c>
      <c r="I281" s="182" t="str">
        <f>VLOOKUP(E281&amp;F281,'[1]MV+BI'!$E$8:$K$375,4,FALSE)</f>
        <v>-</v>
      </c>
      <c r="J281" s="93"/>
      <c r="K281" s="172">
        <f>VLOOKUP(E281&amp;F281,'[1]MV+BI'!$E$8:$K$375,7,FALSE)</f>
        <v>45513</v>
      </c>
      <c r="L281" s="207"/>
      <c r="M281" s="209"/>
      <c r="N281" s="2"/>
      <c r="O281" s="185"/>
      <c r="P281" s="206" t="s">
        <v>391</v>
      </c>
      <c r="Q281" s="194">
        <v>144</v>
      </c>
      <c r="R281" s="194">
        <v>28</v>
      </c>
      <c r="S281" s="194">
        <v>11</v>
      </c>
      <c r="T281" s="208" t="s">
        <v>392</v>
      </c>
      <c r="U281" s="194"/>
      <c r="V281" s="1"/>
      <c r="W281" s="1"/>
      <c r="X281"/>
      <c r="Y281"/>
      <c r="Z281"/>
      <c r="AA281"/>
      <c r="AB281"/>
      <c r="AC281"/>
      <c r="AD281" s="32"/>
      <c r="AF281" s="2"/>
      <c r="AG281" s="2"/>
    </row>
    <row r="282" spans="1:49" ht="17.399999999999999" hidden="1">
      <c r="A282" s="2"/>
      <c r="B282" s="2"/>
      <c r="C282" s="185"/>
      <c r="D282" s="206" t="s">
        <v>393</v>
      </c>
      <c r="E282" s="178" t="s">
        <v>301</v>
      </c>
      <c r="F282" s="178" t="s">
        <v>282</v>
      </c>
      <c r="G282" s="169"/>
      <c r="H282" s="181" t="str">
        <f>VLOOKUP(E282&amp;F282,'[1]MV+BI'!$E$8:$K$375,3,FALSE)</f>
        <v>Em Teste - Alteração EF</v>
      </c>
      <c r="I282" s="182" t="str">
        <f>VLOOKUP(E282&amp;F282,'[1]MV+BI'!$E$8:$K$375,4,FALSE)</f>
        <v>-</v>
      </c>
      <c r="J282" s="93"/>
      <c r="K282" s="172">
        <f>VLOOKUP(E282&amp;F282,'[1]MV+BI'!$E$8:$K$375,7,FALSE)</f>
        <v>45513</v>
      </c>
      <c r="L282" s="207"/>
      <c r="M282" s="186"/>
      <c r="N282" s="2"/>
      <c r="O282" s="185"/>
      <c r="P282" s="206" t="s">
        <v>393</v>
      </c>
      <c r="Q282" s="194">
        <v>10</v>
      </c>
      <c r="R282" s="194">
        <v>2</v>
      </c>
      <c r="S282" s="210" t="s">
        <v>381</v>
      </c>
      <c r="T282" s="208"/>
      <c r="U282" s="194"/>
      <c r="V282" s="1"/>
      <c r="W282" s="1"/>
      <c r="X282"/>
      <c r="Y282"/>
      <c r="Z282"/>
      <c r="AA282"/>
      <c r="AB282"/>
      <c r="AC282"/>
      <c r="AD282" s="32"/>
      <c r="AF282" s="2"/>
      <c r="AG282" s="2"/>
    </row>
    <row r="283" spans="1:49" s="121" customFormat="1" ht="17.399999999999999" hidden="1">
      <c r="A283" s="2"/>
      <c r="B283" s="2"/>
      <c r="C283" s="185"/>
      <c r="D283" s="206" t="s">
        <v>394</v>
      </c>
      <c r="E283" s="178" t="s">
        <v>301</v>
      </c>
      <c r="F283" s="178" t="s">
        <v>283</v>
      </c>
      <c r="G283" s="169"/>
      <c r="H283" s="181" t="str">
        <f>VLOOKUP(E283&amp;F283,'[1]MV+BI'!$E$8:$K$375,3,FALSE)</f>
        <v>Em Teste - Alteração EF</v>
      </c>
      <c r="I283" s="182" t="str">
        <f>VLOOKUP(E283&amp;F283,'[1]MV+BI'!$E$8:$K$375,4,FALSE)</f>
        <v>-</v>
      </c>
      <c r="J283" s="93"/>
      <c r="K283" s="172">
        <f>VLOOKUP(E283&amp;F283,'[1]MV+BI'!$E$8:$K$375,7,FALSE)</f>
        <v>45513</v>
      </c>
      <c r="L283" s="207"/>
      <c r="M283" s="186"/>
      <c r="N283" s="2"/>
      <c r="O283" s="185"/>
      <c r="P283" s="206" t="s">
        <v>395</v>
      </c>
      <c r="Q283" s="194">
        <v>30</v>
      </c>
      <c r="R283" s="194">
        <v>6</v>
      </c>
      <c r="S283" s="194">
        <v>6</v>
      </c>
      <c r="T283" s="208" t="s">
        <v>396</v>
      </c>
      <c r="U283" s="194"/>
      <c r="V283" s="1"/>
      <c r="W283" s="182"/>
      <c r="AD283" s="211"/>
      <c r="AE283" s="212"/>
      <c r="AF283" s="212"/>
      <c r="AG283" s="212"/>
      <c r="AH283" s="212"/>
    </row>
    <row r="284" spans="1:49" s="121" customFormat="1" ht="17.399999999999999" hidden="1">
      <c r="A284" s="212"/>
      <c r="B284" s="2"/>
      <c r="C284" s="185"/>
      <c r="D284" s="213" t="s">
        <v>397</v>
      </c>
      <c r="E284" s="178" t="s">
        <v>301</v>
      </c>
      <c r="F284" s="178" t="s">
        <v>284</v>
      </c>
      <c r="G284" s="169"/>
      <c r="H284" s="181" t="str">
        <f>VLOOKUP(E284&amp;F284,'[1]MV+BI'!$E$8:$K$375,3,FALSE)</f>
        <v>Em Teste - Alteração EF</v>
      </c>
      <c r="I284" s="182" t="str">
        <f>VLOOKUP(E284&amp;F284,'[1]MV+BI'!$E$8:$K$375,4,FALSE)</f>
        <v>-</v>
      </c>
      <c r="J284" s="93"/>
      <c r="K284" s="172">
        <f>VLOOKUP(E284&amp;F284,'[1]MV+BI'!$E$8:$K$375,7,FALSE)</f>
        <v>45513</v>
      </c>
      <c r="L284" s="214"/>
      <c r="M284" s="186"/>
      <c r="N284" s="2"/>
      <c r="O284" s="185"/>
      <c r="P284" s="206" t="s">
        <v>397</v>
      </c>
      <c r="Q284" s="194">
        <v>7</v>
      </c>
      <c r="R284" s="194">
        <v>4</v>
      </c>
      <c r="S284" s="194">
        <v>4</v>
      </c>
      <c r="T284" s="208" t="s">
        <v>398</v>
      </c>
      <c r="U284" s="194"/>
      <c r="V284" s="1"/>
      <c r="W284" s="182"/>
      <c r="AD284" s="211"/>
      <c r="AE284" s="212"/>
      <c r="AF284" s="212"/>
      <c r="AG284" s="212"/>
      <c r="AH284" s="212"/>
    </row>
    <row r="285" spans="1:49" s="2" customFormat="1" ht="17.399999999999999" hidden="1">
      <c r="A285" s="212"/>
      <c r="B285" s="212"/>
      <c r="C285" s="215"/>
      <c r="D285" s="216" t="s">
        <v>399</v>
      </c>
      <c r="E285" s="178" t="s">
        <v>301</v>
      </c>
      <c r="F285" s="178" t="s">
        <v>302</v>
      </c>
      <c r="G285" s="169"/>
      <c r="H285" s="181" t="str">
        <f>VLOOKUP(E285&amp;F285,'[1]MV+BI'!$E$8:$K$375,3,FALSE)</f>
        <v>Em Teste - Alteração EF</v>
      </c>
      <c r="I285" s="182" t="str">
        <f>VLOOKUP(E285&amp;F285,'[1]MV+BI'!$E$8:$K$375,4,FALSE)</f>
        <v>-</v>
      </c>
      <c r="J285" s="93"/>
      <c r="K285" s="172">
        <f>VLOOKUP(E285&amp;F285,'[1]MV+BI'!$E$8:$K$375,7,FALSE)</f>
        <v>45513</v>
      </c>
      <c r="L285" s="217"/>
      <c r="M285" s="218"/>
      <c r="N285" s="212"/>
      <c r="O285" s="215"/>
      <c r="P285" s="216" t="s">
        <v>399</v>
      </c>
      <c r="Q285" s="203">
        <f>SUM(Q280:Q284)</f>
        <v>330</v>
      </c>
      <c r="R285" s="203">
        <f>SUM(R280:R284)</f>
        <v>77</v>
      </c>
      <c r="S285" s="203">
        <f>SUM(S280:S284)</f>
        <v>22</v>
      </c>
      <c r="T285" s="182"/>
      <c r="U285" s="182"/>
      <c r="V285" s="182"/>
      <c r="W285" s="1"/>
      <c r="X285"/>
      <c r="Y285"/>
      <c r="Z285"/>
      <c r="AA285"/>
      <c r="AB285"/>
      <c r="AC285"/>
      <c r="AD285" s="32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</row>
    <row r="286" spans="1:49" s="2" customFormat="1" ht="17.399999999999999" hidden="1">
      <c r="B286" s="212"/>
      <c r="C286" s="215"/>
      <c r="D286" s="219" t="s">
        <v>400</v>
      </c>
      <c r="E286" s="178" t="s">
        <v>301</v>
      </c>
      <c r="F286" s="178" t="s">
        <v>303</v>
      </c>
      <c r="G286" s="169"/>
      <c r="H286" s="181" t="str">
        <f>VLOOKUP(E286&amp;F286,'[1]MV+BI'!$E$8:$K$375,3,FALSE)</f>
        <v>Em Teste - Alteração EF</v>
      </c>
      <c r="I286" s="182" t="str">
        <f>VLOOKUP(E286&amp;F286,'[1]MV+BI'!$E$8:$K$375,4,FALSE)</f>
        <v>-</v>
      </c>
      <c r="J286" s="93"/>
      <c r="K286" s="172">
        <f>VLOOKUP(E286&amp;F286,'[1]MV+BI'!$E$8:$K$375,7,FALSE)</f>
        <v>45513</v>
      </c>
      <c r="L286" s="121"/>
      <c r="M286" s="218"/>
      <c r="N286" s="212"/>
      <c r="O286" s="215"/>
      <c r="P286" s="219" t="s">
        <v>400</v>
      </c>
      <c r="Q286" s="182"/>
      <c r="R286" s="182"/>
      <c r="S286" s="182"/>
      <c r="T286" s="182"/>
      <c r="U286" s="182"/>
      <c r="V286" s="182"/>
      <c r="W286" s="1"/>
      <c r="X286"/>
      <c r="Y286"/>
      <c r="Z286"/>
      <c r="AA286"/>
      <c r="AB286"/>
      <c r="AC286"/>
      <c r="AD286" s="32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</row>
    <row r="287" spans="1:49" s="2" customFormat="1" ht="14.4" hidden="1">
      <c r="C287" s="220"/>
      <c r="D287" s="221"/>
      <c r="L287" s="1"/>
      <c r="M287" s="222"/>
      <c r="O287" s="220"/>
      <c r="P287" s="221"/>
      <c r="Q287" s="1"/>
      <c r="R287" s="1"/>
      <c r="S287" s="1"/>
      <c r="T287" s="1"/>
      <c r="U287" s="1"/>
      <c r="V287" s="1"/>
      <c r="W287" s="1"/>
      <c r="X287"/>
      <c r="Y287"/>
      <c r="Z287"/>
      <c r="AA287"/>
      <c r="AB287"/>
      <c r="AC287"/>
      <c r="AD287" s="32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</row>
    <row r="288" spans="1:49" s="2" customFormat="1" ht="14.4">
      <c r="Q288" s="12"/>
      <c r="R288" s="12"/>
      <c r="S288" s="12"/>
      <c r="T288" s="12"/>
      <c r="U288" s="12"/>
      <c r="V288" s="12"/>
      <c r="W288" s="12"/>
    </row>
    <row r="289" spans="5:23" s="2" customFormat="1" ht="14.4">
      <c r="V289" s="12"/>
      <c r="W289" s="12"/>
    </row>
    <row r="290" spans="5:23" s="2" customFormat="1" ht="14.4"/>
    <row r="291" spans="5:23" s="2" customFormat="1" ht="14.4"/>
    <row r="292" spans="5:23" s="2" customFormat="1" ht="13.95" hidden="1" customHeight="1">
      <c r="E292" s="178" t="s">
        <v>301</v>
      </c>
      <c r="F292" s="178" t="s">
        <v>304</v>
      </c>
      <c r="G292" s="169"/>
      <c r="H292" s="181" t="str">
        <f>VLOOKUP(E292&amp;F292,'[1]MV+BI'!$E$8:$K$375,3,FALSE)</f>
        <v>Em Teste - Alteração EF</v>
      </c>
      <c r="I292" s="182" t="str">
        <f>VLOOKUP(E292&amp;F292,'[1]MV+BI'!$E$8:$K$375,4,FALSE)</f>
        <v>-</v>
      </c>
      <c r="J292" s="93"/>
      <c r="K292" s="172">
        <f>VLOOKUP(E292&amp;F292,'[1]MV+BI'!$E$8:$K$375,7,FALSE)</f>
        <v>45513</v>
      </c>
    </row>
    <row r="293" spans="5:23" s="2" customFormat="1" ht="13.95" hidden="1" customHeight="1">
      <c r="E293" s="178" t="s">
        <v>301</v>
      </c>
      <c r="F293" s="178" t="s">
        <v>305</v>
      </c>
      <c r="G293" s="169"/>
      <c r="H293" s="181" t="str">
        <f>VLOOKUP(E293&amp;F293,'[1]MV+BI'!$E$8:$K$375,3,FALSE)</f>
        <v>Em Teste - Alteração EF</v>
      </c>
      <c r="I293" s="182" t="str">
        <f>VLOOKUP(E293&amp;F293,'[1]MV+BI'!$E$8:$K$375,4,FALSE)</f>
        <v>-</v>
      </c>
      <c r="J293" s="93"/>
      <c r="K293" s="172">
        <f>VLOOKUP(E293&amp;F293,'[1]MV+BI'!$E$8:$K$375,7,FALSE)</f>
        <v>45513</v>
      </c>
    </row>
    <row r="294" spans="5:23" s="2" customFormat="1" ht="13.95" hidden="1" customHeight="1">
      <c r="E294" s="178" t="s">
        <v>301</v>
      </c>
      <c r="F294" s="178" t="s">
        <v>306</v>
      </c>
      <c r="G294" s="169"/>
      <c r="H294" s="181" t="str">
        <f>VLOOKUP(E294&amp;F294,'[1]MV+BI'!$E$8:$K$375,3,FALSE)</f>
        <v>Em Teste - Alteração EF</v>
      </c>
      <c r="I294" s="182" t="str">
        <f>VLOOKUP(E294&amp;F294,'[1]MV+BI'!$E$8:$K$375,4,FALSE)</f>
        <v>-</v>
      </c>
      <c r="J294" s="93"/>
      <c r="K294" s="172">
        <f>VLOOKUP(E294&amp;F294,'[1]MV+BI'!$E$8:$K$375,7,FALSE)</f>
        <v>45513</v>
      </c>
    </row>
    <row r="295" spans="5:23" s="2" customFormat="1" ht="13.95" hidden="1" customHeight="1">
      <c r="E295" s="178" t="s">
        <v>301</v>
      </c>
      <c r="F295" s="178" t="s">
        <v>307</v>
      </c>
      <c r="G295" s="169"/>
      <c r="H295" s="181" t="str">
        <f>VLOOKUP(E295&amp;F295,'[1]MV+BI'!$E$8:$K$375,3,FALSE)</f>
        <v>Em Teste - Alteração EF</v>
      </c>
      <c r="I295" s="182" t="str">
        <f>VLOOKUP(E295&amp;F295,'[1]MV+BI'!$E$8:$K$375,4,FALSE)</f>
        <v>-</v>
      </c>
      <c r="J295" s="93"/>
      <c r="K295" s="172">
        <f>VLOOKUP(E295&amp;F295,'[1]MV+BI'!$E$8:$K$375,7,FALSE)</f>
        <v>45513</v>
      </c>
    </row>
    <row r="296" spans="5:23" s="2" customFormat="1" ht="13.95" hidden="1" customHeight="1">
      <c r="E296" s="178" t="s">
        <v>301</v>
      </c>
      <c r="F296" s="178" t="s">
        <v>308</v>
      </c>
      <c r="G296" s="169"/>
      <c r="H296" s="181" t="str">
        <f>VLOOKUP(E296&amp;F296,'[1]MV+BI'!$E$8:$K$375,3,FALSE)</f>
        <v>Em Teste - Alteração EF</v>
      </c>
      <c r="I296" s="182" t="str">
        <f>VLOOKUP(E296&amp;F296,'[1]MV+BI'!$E$8:$K$375,4,FALSE)</f>
        <v>-</v>
      </c>
      <c r="J296" s="93"/>
      <c r="K296" s="172">
        <f>VLOOKUP(E296&amp;F296,'[1]MV+BI'!$E$8:$K$375,7,FALSE)</f>
        <v>45513</v>
      </c>
    </row>
    <row r="297" spans="5:23" s="2" customFormat="1" ht="13.95" hidden="1" customHeight="1">
      <c r="E297" s="178" t="s">
        <v>301</v>
      </c>
      <c r="F297" s="178" t="s">
        <v>309</v>
      </c>
      <c r="G297" s="169"/>
      <c r="H297" s="181" t="str">
        <f>VLOOKUP(E297&amp;F297,'[1]MV+BI'!$E$8:$K$375,3,FALSE)</f>
        <v>Em Teste - Alteração EF</v>
      </c>
      <c r="I297" s="182" t="str">
        <f>VLOOKUP(E297&amp;F297,'[1]MV+BI'!$E$8:$K$375,4,FALSE)</f>
        <v>-</v>
      </c>
      <c r="J297" s="93"/>
      <c r="K297" s="172">
        <f>VLOOKUP(E297&amp;F297,'[1]MV+BI'!$E$8:$K$375,7,FALSE)</f>
        <v>45513</v>
      </c>
    </row>
    <row r="298" spans="5:23" s="2" customFormat="1" ht="13.95" hidden="1" customHeight="1">
      <c r="E298" s="178" t="s">
        <v>301</v>
      </c>
      <c r="F298" s="178" t="s">
        <v>310</v>
      </c>
      <c r="G298" s="169"/>
      <c r="H298" s="181" t="str">
        <f>VLOOKUP(E298&amp;F298,'[1]MV+BI'!$E$8:$K$375,3,FALSE)</f>
        <v>Em Teste - Alteração EF</v>
      </c>
      <c r="I298" s="182" t="str">
        <f>VLOOKUP(E298&amp;F298,'[1]MV+BI'!$E$8:$K$375,4,FALSE)</f>
        <v>-</v>
      </c>
      <c r="J298" s="93"/>
      <c r="K298" s="172">
        <f>VLOOKUP(E298&amp;F298,'[1]MV+BI'!$E$8:$K$375,7,FALSE)</f>
        <v>45513</v>
      </c>
    </row>
    <row r="299" spans="5:23" s="2" customFormat="1" ht="13.95" hidden="1" customHeight="1">
      <c r="E299" s="178" t="s">
        <v>301</v>
      </c>
      <c r="F299" s="178" t="s">
        <v>67</v>
      </c>
      <c r="G299" s="169"/>
      <c r="H299" s="181" t="str">
        <f>VLOOKUP(E299&amp;F299,'[1]MV+BI'!$E$8:$K$375,3,FALSE)</f>
        <v>Em Teste - Alteração EF</v>
      </c>
      <c r="I299" s="182" t="str">
        <f>VLOOKUP(E299&amp;F299,'[1]MV+BI'!$E$8:$K$375,4,FALSE)</f>
        <v>-</v>
      </c>
      <c r="J299" s="93"/>
      <c r="K299" s="172">
        <f>VLOOKUP(E299&amp;F299,'[1]MV+BI'!$E$8:$K$375,7,FALSE)</f>
        <v>45513</v>
      </c>
    </row>
    <row r="300" spans="5:23" s="2" customFormat="1" ht="17.100000000000001" hidden="1" customHeight="1">
      <c r="E300" s="178" t="s">
        <v>301</v>
      </c>
      <c r="F300" s="178" t="s">
        <v>6</v>
      </c>
      <c r="G300" s="169"/>
      <c r="H300" s="181" t="str">
        <f>VLOOKUP(E300&amp;F300,'[1]MV+BI'!$E$8:$K$375,3,FALSE)</f>
        <v>Em Teste - Alteração EF</v>
      </c>
      <c r="I300" s="182" t="str">
        <f>VLOOKUP(E300&amp;F300,'[1]MV+BI'!$E$8:$K$375,4,FALSE)</f>
        <v>-</v>
      </c>
      <c r="J300" s="93"/>
      <c r="K300" s="172">
        <f>VLOOKUP(E300&amp;F300,'[1]MV+BI'!$E$8:$K$375,7,FALSE)</f>
        <v>45513</v>
      </c>
    </row>
    <row r="301" spans="5:23" s="2" customFormat="1" ht="13.95" hidden="1" customHeight="1">
      <c r="E301" s="178" t="s">
        <v>277</v>
      </c>
      <c r="F301" s="178" t="s">
        <v>278</v>
      </c>
      <c r="G301" s="169"/>
      <c r="H301" s="181" t="str">
        <f>VLOOKUP(E301&amp;F301,'[1]MV+BI'!$E$8:$K$375,3,FALSE)</f>
        <v>Em Teste - Alteração EF</v>
      </c>
      <c r="I301" s="182" t="str">
        <f>VLOOKUP(E301&amp;F301,'[1]MV+BI'!$E$8:$K$375,4,FALSE)</f>
        <v>-</v>
      </c>
      <c r="J301" s="93"/>
      <c r="K301" s="172">
        <f>VLOOKUP(E301&amp;F301,'[1]MV+BI'!$E$8:$K$375,7,FALSE)</f>
        <v>45513</v>
      </c>
    </row>
    <row r="302" spans="5:23" s="2" customFormat="1" ht="13.95" hidden="1" customHeight="1">
      <c r="E302" s="178" t="s">
        <v>277</v>
      </c>
      <c r="F302" s="178" t="s">
        <v>279</v>
      </c>
      <c r="G302" s="169"/>
      <c r="H302" s="181" t="str">
        <f>VLOOKUP(E302&amp;F302,'[1]MV+BI'!$E$8:$K$375,3,FALSE)</f>
        <v>Em Teste - Alteração EF</v>
      </c>
      <c r="I302" s="182" t="str">
        <f>VLOOKUP(E302&amp;F302,'[1]MV+BI'!$E$8:$K$375,4,FALSE)</f>
        <v>-</v>
      </c>
      <c r="J302" s="93"/>
      <c r="K302" s="172">
        <f>VLOOKUP(E302&amp;F302,'[1]MV+BI'!$E$8:$K$375,7,FALSE)</f>
        <v>45513</v>
      </c>
    </row>
    <row r="303" spans="5:23" s="2" customFormat="1" ht="13.95" hidden="1" customHeight="1">
      <c r="E303" s="178" t="s">
        <v>277</v>
      </c>
      <c r="F303" s="178" t="s">
        <v>280</v>
      </c>
      <c r="G303" s="169"/>
      <c r="H303" s="181" t="str">
        <f>VLOOKUP(E303&amp;F303,'[1]MV+BI'!$E$8:$K$375,3,FALSE)</f>
        <v>Em Teste - Alteração EF</v>
      </c>
      <c r="I303" s="182" t="str">
        <f>VLOOKUP(E303&amp;F303,'[1]MV+BI'!$E$8:$K$375,4,FALSE)</f>
        <v>-</v>
      </c>
      <c r="J303" s="93"/>
      <c r="K303" s="172">
        <f>VLOOKUP(E303&amp;F303,'[1]MV+BI'!$E$8:$K$375,7,FALSE)</f>
        <v>45513</v>
      </c>
    </row>
    <row r="304" spans="5:23" s="2" customFormat="1" ht="13.95" hidden="1" customHeight="1">
      <c r="E304" s="178" t="s">
        <v>277</v>
      </c>
      <c r="F304" s="178" t="s">
        <v>281</v>
      </c>
      <c r="G304" s="169"/>
      <c r="H304" s="181" t="str">
        <f>VLOOKUP(E304&amp;F304,'[1]MV+BI'!$E$8:$K$375,3,FALSE)</f>
        <v>Em Teste - Alteração EF</v>
      </c>
      <c r="I304" s="182" t="str">
        <f>VLOOKUP(E304&amp;F304,'[1]MV+BI'!$E$8:$K$375,4,FALSE)</f>
        <v>-</v>
      </c>
      <c r="J304" s="93"/>
      <c r="K304" s="172">
        <f>VLOOKUP(E304&amp;F304,'[1]MV+BI'!$E$8:$K$375,7,FALSE)</f>
        <v>45513</v>
      </c>
    </row>
    <row r="305" spans="5:11" s="2" customFormat="1" ht="13.95" hidden="1" customHeight="1">
      <c r="E305" s="178" t="s">
        <v>277</v>
      </c>
      <c r="F305" s="178" t="s">
        <v>84</v>
      </c>
      <c r="G305" s="169"/>
      <c r="H305" s="181" t="str">
        <f>VLOOKUP(E305&amp;F305,'[1]MV+BI'!$E$8:$K$375,3,FALSE)</f>
        <v>Em Teste - Alteração EF</v>
      </c>
      <c r="I305" s="182" t="str">
        <f>VLOOKUP(E305&amp;F305,'[1]MV+BI'!$E$8:$K$375,4,FALSE)</f>
        <v>-</v>
      </c>
      <c r="J305" s="93"/>
      <c r="K305" s="172">
        <f>VLOOKUP(E305&amp;F305,'[1]MV+BI'!$E$8:$K$375,7,FALSE)</f>
        <v>45513</v>
      </c>
    </row>
    <row r="306" spans="5:11" s="2" customFormat="1" ht="13.95" hidden="1" customHeight="1">
      <c r="E306" s="178" t="s">
        <v>277</v>
      </c>
      <c r="F306" s="178" t="s">
        <v>282</v>
      </c>
      <c r="G306" s="169"/>
      <c r="H306" s="181" t="str">
        <f>VLOOKUP(E306&amp;F306,'[1]MV+BI'!$E$8:$K$375,3,FALSE)</f>
        <v>Em Teste - Alteração EF</v>
      </c>
      <c r="I306" s="182" t="str">
        <f>VLOOKUP(E306&amp;F306,'[1]MV+BI'!$E$8:$K$375,4,FALSE)</f>
        <v>-</v>
      </c>
      <c r="J306" s="93"/>
      <c r="K306" s="172">
        <f>VLOOKUP(E306&amp;F306,'[1]MV+BI'!$E$8:$K$375,7,FALSE)</f>
        <v>45513</v>
      </c>
    </row>
    <row r="307" spans="5:11" s="2" customFormat="1" ht="13.95" hidden="1" customHeight="1">
      <c r="E307" s="178" t="s">
        <v>277</v>
      </c>
      <c r="F307" s="178" t="s">
        <v>283</v>
      </c>
      <c r="G307" s="169"/>
      <c r="H307" s="181" t="str">
        <f>VLOOKUP(E307&amp;F307,'[1]MV+BI'!$E$8:$K$375,3,FALSE)</f>
        <v>Em Teste - Alteração EF</v>
      </c>
      <c r="I307" s="182" t="str">
        <f>VLOOKUP(E307&amp;F307,'[1]MV+BI'!$E$8:$K$375,4,FALSE)</f>
        <v>-</v>
      </c>
      <c r="J307" s="93"/>
      <c r="K307" s="172">
        <f>VLOOKUP(E307&amp;F307,'[1]MV+BI'!$E$8:$K$375,7,FALSE)</f>
        <v>45513</v>
      </c>
    </row>
    <row r="308" spans="5:11" s="2" customFormat="1" ht="13.95" hidden="1" customHeight="1">
      <c r="E308" s="178" t="s">
        <v>277</v>
      </c>
      <c r="F308" s="178" t="s">
        <v>284</v>
      </c>
      <c r="G308" s="169"/>
      <c r="H308" s="181" t="str">
        <f>VLOOKUP(E308&amp;F308,'[1]MV+BI'!$E$8:$K$375,3,FALSE)</f>
        <v>Em Teste - Alteração EF</v>
      </c>
      <c r="I308" s="182" t="str">
        <f>VLOOKUP(E308&amp;F308,'[1]MV+BI'!$E$8:$K$375,4,FALSE)</f>
        <v>-</v>
      </c>
      <c r="J308" s="93"/>
      <c r="K308" s="172">
        <f>VLOOKUP(E308&amp;F308,'[1]MV+BI'!$E$8:$K$375,7,FALSE)</f>
        <v>45513</v>
      </c>
    </row>
    <row r="309" spans="5:11" s="2" customFormat="1" ht="13.95" hidden="1" customHeight="1">
      <c r="E309" s="178" t="s">
        <v>277</v>
      </c>
      <c r="F309" s="178" t="s">
        <v>285</v>
      </c>
      <c r="G309" s="169"/>
      <c r="H309" s="181" t="str">
        <f>VLOOKUP(E309&amp;F309,'[1]MV+BI'!$E$8:$K$375,3,FALSE)</f>
        <v>Em Teste - Alteração EF</v>
      </c>
      <c r="I309" s="182" t="str">
        <f>VLOOKUP(E309&amp;F309,'[1]MV+BI'!$E$8:$K$375,4,FALSE)</f>
        <v>-</v>
      </c>
      <c r="J309" s="93"/>
      <c r="K309" s="172">
        <f>VLOOKUP(E309&amp;F309,'[1]MV+BI'!$E$8:$K$375,7,FALSE)</f>
        <v>45513</v>
      </c>
    </row>
    <row r="310" spans="5:11" s="2" customFormat="1" ht="13.95" hidden="1" customHeight="1">
      <c r="E310" s="178" t="s">
        <v>277</v>
      </c>
      <c r="F310" s="178" t="s">
        <v>286</v>
      </c>
      <c r="G310" s="169"/>
      <c r="H310" s="181" t="str">
        <f>VLOOKUP(E310&amp;F310,'[1]MV+BI'!$E$8:$K$375,3,FALSE)</f>
        <v>Em Teste - Alteração EF</v>
      </c>
      <c r="I310" s="182" t="str">
        <f>VLOOKUP(E310&amp;F310,'[1]MV+BI'!$E$8:$K$375,4,FALSE)</f>
        <v>-</v>
      </c>
      <c r="J310" s="93"/>
      <c r="K310" s="172">
        <f>VLOOKUP(E310&amp;F310,'[1]MV+BI'!$E$8:$K$375,7,FALSE)</f>
        <v>45513</v>
      </c>
    </row>
    <row r="311" spans="5:11" s="2" customFormat="1" ht="13.95" hidden="1" customHeight="1">
      <c r="E311" s="178" t="s">
        <v>277</v>
      </c>
      <c r="F311" s="178" t="s">
        <v>287</v>
      </c>
      <c r="G311" s="169"/>
      <c r="H311" s="181" t="str">
        <f>VLOOKUP(E311&amp;F311,'[1]MV+BI'!$E$8:$K$375,3,FALSE)</f>
        <v>Em Teste - Alteração EF</v>
      </c>
      <c r="I311" s="182" t="str">
        <f>VLOOKUP(E311&amp;F311,'[1]MV+BI'!$E$8:$K$375,4,FALSE)</f>
        <v>-</v>
      </c>
      <c r="J311" s="93"/>
      <c r="K311" s="172">
        <f>VLOOKUP(E311&amp;F311,'[1]MV+BI'!$E$8:$K$375,7,FALSE)</f>
        <v>45513</v>
      </c>
    </row>
    <row r="312" spans="5:11" s="2" customFormat="1" ht="13.95" hidden="1" customHeight="1">
      <c r="E312" s="178" t="s">
        <v>277</v>
      </c>
      <c r="F312" s="178" t="s">
        <v>288</v>
      </c>
      <c r="G312" s="169"/>
      <c r="H312" s="181" t="str">
        <f>VLOOKUP(E312&amp;F312,'[1]MV+BI'!$E$8:$K$375,3,FALSE)</f>
        <v>Em Teste - Alteração EF</v>
      </c>
      <c r="I312" s="182" t="str">
        <f>VLOOKUP(E312&amp;F312,'[1]MV+BI'!$E$8:$K$375,4,FALSE)</f>
        <v>-</v>
      </c>
      <c r="J312" s="93"/>
      <c r="K312" s="172">
        <f>VLOOKUP(E312&amp;F312,'[1]MV+BI'!$E$8:$K$375,7,FALSE)</f>
        <v>45513</v>
      </c>
    </row>
    <row r="313" spans="5:11" s="2" customFormat="1" ht="13.95" hidden="1" customHeight="1">
      <c r="E313" s="178" t="s">
        <v>277</v>
      </c>
      <c r="F313" s="178" t="s">
        <v>289</v>
      </c>
      <c r="G313" s="169"/>
      <c r="H313" s="181" t="str">
        <f>VLOOKUP(E313&amp;F313,'[1]MV+BI'!$E$8:$K$375,3,FALSE)</f>
        <v>Em Teste - Alteração EF</v>
      </c>
      <c r="I313" s="182" t="str">
        <f>VLOOKUP(E313&amp;F313,'[1]MV+BI'!$E$8:$K$375,4,FALSE)</f>
        <v>-</v>
      </c>
      <c r="J313" s="93"/>
      <c r="K313" s="172">
        <f>VLOOKUP(E313&amp;F313,'[1]MV+BI'!$E$8:$K$375,7,FALSE)</f>
        <v>45513</v>
      </c>
    </row>
    <row r="314" spans="5:11" s="2" customFormat="1" ht="13.95" hidden="1" customHeight="1">
      <c r="E314" s="178" t="s">
        <v>277</v>
      </c>
      <c r="F314" s="178" t="s">
        <v>290</v>
      </c>
      <c r="G314" s="169"/>
      <c r="H314" s="181" t="str">
        <f>VLOOKUP(E314&amp;F314,'[1]MV+BI'!$E$8:$K$375,3,FALSE)</f>
        <v>Em Teste - Alteração EF</v>
      </c>
      <c r="I314" s="182" t="str">
        <f>VLOOKUP(E314&amp;F314,'[1]MV+BI'!$E$8:$K$375,4,FALSE)</f>
        <v>-</v>
      </c>
      <c r="J314" s="93"/>
      <c r="K314" s="172">
        <f>VLOOKUP(E314&amp;F314,'[1]MV+BI'!$E$8:$K$375,7,FALSE)</f>
        <v>45513</v>
      </c>
    </row>
    <row r="315" spans="5:11" s="2" customFormat="1" ht="13.95" hidden="1" customHeight="1">
      <c r="E315" s="178" t="s">
        <v>277</v>
      </c>
      <c r="F315" s="178" t="s">
        <v>291</v>
      </c>
      <c r="G315" s="169"/>
      <c r="H315" s="181" t="str">
        <f>VLOOKUP(E315&amp;F315,'[1]MV+BI'!$E$8:$K$375,3,FALSE)</f>
        <v>Em Teste - Alteração EF</v>
      </c>
      <c r="I315" s="182" t="str">
        <f>VLOOKUP(E315&amp;F315,'[1]MV+BI'!$E$8:$K$375,4,FALSE)</f>
        <v>-</v>
      </c>
      <c r="J315" s="93"/>
      <c r="K315" s="172">
        <f>VLOOKUP(E315&amp;F315,'[1]MV+BI'!$E$8:$K$375,7,FALSE)</f>
        <v>45513</v>
      </c>
    </row>
    <row r="316" spans="5:11" s="2" customFormat="1" ht="13.95" hidden="1" customHeight="1">
      <c r="E316" s="178" t="s">
        <v>277</v>
      </c>
      <c r="F316" s="178" t="s">
        <v>292</v>
      </c>
      <c r="G316" s="169"/>
      <c r="H316" s="181" t="str">
        <f>VLOOKUP(E316&amp;F316,'[1]MV+BI'!$E$8:$K$375,3,FALSE)</f>
        <v>Em Teste - Alteração EF</v>
      </c>
      <c r="I316" s="182" t="str">
        <f>VLOOKUP(E316&amp;F316,'[1]MV+BI'!$E$8:$K$375,4,FALSE)</f>
        <v>-</v>
      </c>
      <c r="J316" s="93"/>
      <c r="K316" s="172">
        <f>VLOOKUP(E316&amp;F316,'[1]MV+BI'!$E$8:$K$375,7,FALSE)</f>
        <v>45513</v>
      </c>
    </row>
    <row r="317" spans="5:11" s="2" customFormat="1" ht="13.95" hidden="1" customHeight="1">
      <c r="E317" s="178" t="s">
        <v>277</v>
      </c>
      <c r="F317" s="178" t="s">
        <v>293</v>
      </c>
      <c r="G317" s="169"/>
      <c r="H317" s="181" t="str">
        <f>VLOOKUP(E317&amp;F317,'[1]MV+BI'!$E$8:$K$375,3,FALSE)</f>
        <v>Em Teste - Alteração EF</v>
      </c>
      <c r="I317" s="182" t="str">
        <f>VLOOKUP(E317&amp;F317,'[1]MV+BI'!$E$8:$K$375,4,FALSE)</f>
        <v>-</v>
      </c>
      <c r="J317" s="93"/>
      <c r="K317" s="172">
        <f>VLOOKUP(E317&amp;F317,'[1]MV+BI'!$E$8:$K$375,7,FALSE)</f>
        <v>45513</v>
      </c>
    </row>
    <row r="318" spans="5:11" s="2" customFormat="1" ht="13.95" hidden="1" customHeight="1">
      <c r="E318" s="178" t="s">
        <v>277</v>
      </c>
      <c r="F318" s="178" t="s">
        <v>294</v>
      </c>
      <c r="G318" s="169"/>
      <c r="H318" s="181" t="str">
        <f>VLOOKUP(E318&amp;F318,'[1]MV+BI'!$E$8:$K$375,3,FALSE)</f>
        <v>Em Teste - Alteração EF</v>
      </c>
      <c r="I318" s="182" t="str">
        <f>VLOOKUP(E318&amp;F318,'[1]MV+BI'!$E$8:$K$375,4,FALSE)</f>
        <v>-</v>
      </c>
      <c r="J318" s="93"/>
      <c r="K318" s="172">
        <f>VLOOKUP(E318&amp;F318,'[1]MV+BI'!$E$8:$K$375,7,FALSE)</f>
        <v>45513</v>
      </c>
    </row>
    <row r="319" spans="5:11" s="2" customFormat="1" ht="13.95" hidden="1" customHeight="1">
      <c r="E319" s="178" t="s">
        <v>277</v>
      </c>
      <c r="F319" s="178" t="s">
        <v>67</v>
      </c>
      <c r="G319" s="169"/>
      <c r="H319" s="181" t="str">
        <f>VLOOKUP(E319&amp;F319,'[1]MV+BI'!$E$8:$K$375,3,FALSE)</f>
        <v>Em Teste - Alteração EF</v>
      </c>
      <c r="I319" s="182" t="str">
        <f>VLOOKUP(E319&amp;F319,'[1]MV+BI'!$E$8:$K$375,4,FALSE)</f>
        <v>-</v>
      </c>
      <c r="J319" s="93"/>
      <c r="K319" s="172">
        <f>VLOOKUP(E319&amp;F319,'[1]MV+BI'!$E$8:$K$375,7,FALSE)</f>
        <v>45513</v>
      </c>
    </row>
    <row r="320" spans="5:11" s="2" customFormat="1" ht="13.95" hidden="1" customHeight="1">
      <c r="E320" s="178" t="s">
        <v>277</v>
      </c>
      <c r="F320" s="178" t="s">
        <v>6</v>
      </c>
      <c r="G320" s="169"/>
      <c r="H320" s="181" t="str">
        <f>VLOOKUP(E320&amp;F320,'[1]MV+BI'!$E$8:$K$375,3,FALSE)</f>
        <v>Em Teste - Alteração EF</v>
      </c>
      <c r="I320" s="182" t="str">
        <f>VLOOKUP(E320&amp;F320,'[1]MV+BI'!$E$8:$K$375,4,FALSE)</f>
        <v>-</v>
      </c>
      <c r="J320" s="93"/>
      <c r="K320" s="172">
        <f>VLOOKUP(E320&amp;F320,'[1]MV+BI'!$E$8:$K$375,7,FALSE)</f>
        <v>45513</v>
      </c>
    </row>
    <row r="321" spans="1:49" s="2" customFormat="1" ht="13.95" hidden="1" customHeight="1">
      <c r="E321" s="178" t="s">
        <v>295</v>
      </c>
      <c r="F321" s="178" t="s">
        <v>84</v>
      </c>
      <c r="G321" s="169"/>
      <c r="H321" s="181" t="str">
        <f>VLOOKUP(E321&amp;F321,'[1]MV+BI'!$E$8:$K$375,3,FALSE)</f>
        <v>Em Teste - Alteração EF</v>
      </c>
      <c r="I321" s="182" t="str">
        <f>VLOOKUP(E321&amp;F321,'[1]MV+BI'!$E$8:$K$375,4,FALSE)</f>
        <v>-</v>
      </c>
      <c r="J321" s="93"/>
      <c r="K321" s="172">
        <f>VLOOKUP(E321&amp;F321,'[1]MV+BI'!$E$8:$K$375,7,FALSE)</f>
        <v>45450</v>
      </c>
    </row>
    <row r="322" spans="1:49" s="2" customFormat="1" ht="13.95" hidden="1" customHeight="1">
      <c r="E322" s="178" t="s">
        <v>295</v>
      </c>
      <c r="F322" s="178" t="s">
        <v>282</v>
      </c>
      <c r="G322" s="169"/>
      <c r="H322" s="181" t="str">
        <f>VLOOKUP(E322&amp;F322,'[1]MV+BI'!$E$8:$K$375,3,FALSE)</f>
        <v>Em Teste - Alteração EF</v>
      </c>
      <c r="I322" s="182" t="str">
        <f>VLOOKUP(E322&amp;F322,'[1]MV+BI'!$E$8:$K$375,4,FALSE)</f>
        <v>-</v>
      </c>
      <c r="J322" s="93"/>
      <c r="K322" s="172">
        <f>VLOOKUP(E322&amp;F322,'[1]MV+BI'!$E$8:$K$375,7,FALSE)</f>
        <v>45450</v>
      </c>
    </row>
    <row r="323" spans="1:49" s="2" customFormat="1" ht="14.4"/>
    <row r="324" spans="1:49" s="2" customFormat="1" ht="0" hidden="1" customHeight="1">
      <c r="E324" s="178" t="s">
        <v>295</v>
      </c>
      <c r="F324" s="178" t="s">
        <v>284</v>
      </c>
      <c r="G324" s="169"/>
      <c r="H324" s="181" t="str">
        <f>VLOOKUP(E324&amp;F324,'[1]MV+BI'!$E$8:$K$375,3,FALSE)</f>
        <v>Em Teste - Alteração EF</v>
      </c>
      <c r="I324" s="182" t="str">
        <f>VLOOKUP(E324&amp;F324,'[1]MV+BI'!$E$8:$K$375,4,FALSE)</f>
        <v>-</v>
      </c>
      <c r="J324" s="93"/>
      <c r="K324" s="172">
        <f>VLOOKUP(E324&amp;F324,'[1]MV+BI'!$E$8:$K$375,7,FALSE)</f>
        <v>45450</v>
      </c>
      <c r="AF324"/>
      <c r="AG324"/>
    </row>
    <row r="325" spans="1:49" s="2" customFormat="1" ht="0" hidden="1" customHeight="1">
      <c r="A325"/>
      <c r="E325" s="178" t="s">
        <v>295</v>
      </c>
      <c r="F325" s="178" t="s">
        <v>69</v>
      </c>
      <c r="G325" s="169"/>
      <c r="H325" s="181" t="str">
        <f>VLOOKUP(E325&amp;F325,'[1]MV+BI'!$E$8:$K$375,3,FALSE)</f>
        <v>Em Teste - Alteração EF</v>
      </c>
      <c r="I325" s="182" t="str">
        <f>VLOOKUP(E325&amp;F325,'[1]MV+BI'!$E$8:$K$375,4,FALSE)</f>
        <v>-</v>
      </c>
      <c r="J325" s="93"/>
      <c r="K325" s="172">
        <f>VLOOKUP(E325&amp;F325,'[1]MV+BI'!$E$8:$K$375,7,FALSE)</f>
        <v>45450</v>
      </c>
      <c r="AF325"/>
      <c r="AG325"/>
    </row>
    <row r="326" spans="1:49" s="2" customFormat="1" ht="0" hidden="1" customHeight="1">
      <c r="A326"/>
      <c r="B326"/>
      <c r="C326"/>
      <c r="D326"/>
      <c r="E326" s="178" t="s">
        <v>295</v>
      </c>
      <c r="F326" s="178" t="s">
        <v>70</v>
      </c>
      <c r="G326" s="169"/>
      <c r="H326" s="181" t="str">
        <f>VLOOKUP(E326&amp;F326,'[1]MV+BI'!$E$8:$K$375,3,FALSE)</f>
        <v>Em Teste - Alteração EF</v>
      </c>
      <c r="I326" s="182" t="str">
        <f>VLOOKUP(E326&amp;F326,'[1]MV+BI'!$E$8:$K$375,4,FALSE)</f>
        <v>-</v>
      </c>
      <c r="J326" s="93"/>
      <c r="K326" s="172">
        <f>VLOOKUP(E326&amp;F326,'[1]MV+BI'!$E$8:$K$375,7,FALSE)</f>
        <v>45450</v>
      </c>
      <c r="L326"/>
      <c r="M326"/>
      <c r="N326"/>
      <c r="O326"/>
      <c r="P326"/>
      <c r="Q326"/>
      <c r="R326"/>
      <c r="S326"/>
      <c r="T326"/>
      <c r="U326"/>
      <c r="AF326"/>
      <c r="AG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</row>
    <row r="327" spans="1:49" s="2" customFormat="1" ht="0" hidden="1" customHeight="1">
      <c r="A327"/>
      <c r="B327"/>
      <c r="C327"/>
      <c r="D327"/>
      <c r="E327" s="178" t="s">
        <v>295</v>
      </c>
      <c r="F327" s="178" t="s">
        <v>71</v>
      </c>
      <c r="G327" s="169"/>
      <c r="H327" s="181" t="str">
        <f>VLOOKUP(E327&amp;F327,'[1]MV+BI'!$E$8:$K$375,3,FALSE)</f>
        <v>Em Teste - Alteração EF</v>
      </c>
      <c r="I327" s="182" t="str">
        <f>VLOOKUP(E327&amp;F327,'[1]MV+BI'!$E$8:$K$375,4,FALSE)</f>
        <v>-</v>
      </c>
      <c r="J327" s="93"/>
      <c r="K327" s="172">
        <f>VLOOKUP(E327&amp;F327,'[1]MV+BI'!$E$8:$K$375,7,FALSE)</f>
        <v>45450</v>
      </c>
      <c r="L327"/>
      <c r="M327"/>
      <c r="N327"/>
      <c r="O327"/>
      <c r="P327"/>
      <c r="Q327"/>
      <c r="R327"/>
      <c r="S327"/>
      <c r="T327"/>
      <c r="U327"/>
      <c r="AF327"/>
      <c r="AG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</row>
    <row r="328" spans="1:49" s="2" customFormat="1" ht="0" hidden="1" customHeight="1">
      <c r="A328"/>
      <c r="B328"/>
      <c r="C328"/>
      <c r="D328"/>
      <c r="E328" s="178" t="s">
        <v>295</v>
      </c>
      <c r="F328" s="178" t="s">
        <v>72</v>
      </c>
      <c r="G328" s="169"/>
      <c r="H328" s="181" t="str">
        <f>VLOOKUP(E328&amp;F328,'[1]MV+BI'!$E$8:$K$375,3,FALSE)</f>
        <v>Em Teste - Alteração EF</v>
      </c>
      <c r="I328" s="182" t="str">
        <f>VLOOKUP(E328&amp;F328,'[1]MV+BI'!$E$8:$K$375,4,FALSE)</f>
        <v>-</v>
      </c>
      <c r="J328" s="93"/>
      <c r="K328" s="172">
        <f>VLOOKUP(E328&amp;F328,'[1]MV+BI'!$E$8:$K$375,7,FALSE)</f>
        <v>45450</v>
      </c>
      <c r="L328"/>
      <c r="M328"/>
      <c r="N328"/>
      <c r="O328"/>
      <c r="P328"/>
      <c r="Q328"/>
      <c r="R328"/>
      <c r="S328"/>
      <c r="T328"/>
      <c r="U328"/>
      <c r="AF328"/>
      <c r="AG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</row>
    <row r="329" spans="1:49" s="2" customFormat="1" ht="0" hidden="1" customHeight="1">
      <c r="A329"/>
      <c r="B329"/>
      <c r="C329"/>
      <c r="D329"/>
      <c r="E329" s="178" t="s">
        <v>295</v>
      </c>
      <c r="F329" s="178" t="s">
        <v>296</v>
      </c>
      <c r="G329" s="169"/>
      <c r="H329" s="181" t="str">
        <f>VLOOKUP(E329&amp;F329,'[1]MV+BI'!$E$8:$K$375,3,FALSE)</f>
        <v>Em Teste - Alteração EF</v>
      </c>
      <c r="I329" s="182" t="str">
        <f>VLOOKUP(E329&amp;F329,'[1]MV+BI'!$E$8:$K$375,4,FALSE)</f>
        <v>-</v>
      </c>
      <c r="J329" s="93"/>
      <c r="K329" s="172">
        <f>VLOOKUP(E329&amp;F329,'[1]MV+BI'!$E$8:$K$375,7,FALSE)</f>
        <v>45450</v>
      </c>
      <c r="L329"/>
      <c r="M329"/>
      <c r="N329"/>
      <c r="O329"/>
      <c r="P329"/>
      <c r="Q329"/>
      <c r="R329"/>
      <c r="S329"/>
      <c r="T329"/>
      <c r="U329"/>
      <c r="AF329"/>
      <c r="AG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</row>
    <row r="330" spans="1:49" s="2" customFormat="1" ht="0" hidden="1" customHeight="1">
      <c r="A330"/>
      <c r="B330"/>
      <c r="C330"/>
      <c r="D330"/>
      <c r="E330" s="178" t="s">
        <v>295</v>
      </c>
      <c r="F330" s="180" t="s">
        <v>297</v>
      </c>
      <c r="G330" s="169"/>
      <c r="H330" s="181" t="str">
        <f>VLOOKUP(E330&amp;F330,'[1]MV+BI'!$E$8:$K$375,3,FALSE)</f>
        <v>Em Teste - Alteração EF</v>
      </c>
      <c r="I330" s="182" t="str">
        <f>VLOOKUP(E330&amp;F330,'[1]MV+BI'!$E$8:$K$375,4,FALSE)</f>
        <v>-</v>
      </c>
      <c r="J330" s="93"/>
      <c r="K330" s="172">
        <f>VLOOKUP(E330&amp;F330,'[1]MV+BI'!$E$8:$K$375,7,FALSE)</f>
        <v>45450</v>
      </c>
      <c r="L330"/>
      <c r="M330"/>
      <c r="N330"/>
      <c r="O330"/>
      <c r="P330"/>
      <c r="Q330"/>
      <c r="R330"/>
      <c r="S330"/>
      <c r="T330"/>
      <c r="U330"/>
      <c r="AF330"/>
      <c r="AG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</row>
    <row r="331" spans="1:49" s="2" customFormat="1" ht="0" hidden="1" customHeight="1">
      <c r="A331"/>
      <c r="B331"/>
      <c r="C331"/>
      <c r="D331"/>
      <c r="E331" s="178" t="s">
        <v>295</v>
      </c>
      <c r="F331" s="180" t="s">
        <v>298</v>
      </c>
      <c r="G331" s="169"/>
      <c r="H331" s="181" t="str">
        <f>VLOOKUP(E331&amp;F331,'[1]MV+BI'!$E$8:$K$375,3,FALSE)</f>
        <v>Em Teste - Alteração EF</v>
      </c>
      <c r="I331" s="182" t="str">
        <f>VLOOKUP(E331&amp;F331,'[1]MV+BI'!$E$8:$K$375,4,FALSE)</f>
        <v>-</v>
      </c>
      <c r="J331" s="93"/>
      <c r="K331" s="172">
        <f>VLOOKUP(E331&amp;F331,'[1]MV+BI'!$E$8:$K$375,7,FALSE)</f>
        <v>45450</v>
      </c>
      <c r="L331"/>
      <c r="M331"/>
      <c r="N331"/>
      <c r="O331"/>
      <c r="P331"/>
      <c r="Q331"/>
      <c r="R331"/>
      <c r="S331"/>
      <c r="T331"/>
      <c r="U331"/>
      <c r="AF331"/>
      <c r="AG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</row>
    <row r="332" spans="1:49" s="2" customFormat="1" ht="0" hidden="1" customHeight="1">
      <c r="A332"/>
      <c r="B332"/>
      <c r="C332"/>
      <c r="D332"/>
      <c r="E332" s="178" t="s">
        <v>295</v>
      </c>
      <c r="F332" s="180" t="s">
        <v>299</v>
      </c>
      <c r="G332" s="169"/>
      <c r="H332" s="181" t="str">
        <f>VLOOKUP(E332&amp;F332,'[1]MV+BI'!$E$8:$K$375,3,FALSE)</f>
        <v>Em Teste - Alteração EF</v>
      </c>
      <c r="I332" s="182" t="str">
        <f>VLOOKUP(E332&amp;F332,'[1]MV+BI'!$E$8:$K$375,4,FALSE)</f>
        <v>-</v>
      </c>
      <c r="J332" s="93"/>
      <c r="K332" s="172">
        <f>VLOOKUP(E332&amp;F332,'[1]MV+BI'!$E$8:$K$375,7,FALSE)</f>
        <v>45450</v>
      </c>
      <c r="L332"/>
      <c r="M332"/>
      <c r="N332"/>
      <c r="O332"/>
      <c r="P332"/>
      <c r="Q332"/>
      <c r="R332"/>
      <c r="S332"/>
      <c r="T332"/>
      <c r="U332"/>
      <c r="AF332"/>
      <c r="AG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</row>
    <row r="333" spans="1:49" s="2" customFormat="1" ht="0" hidden="1" customHeight="1">
      <c r="A333"/>
      <c r="B333"/>
      <c r="C333"/>
      <c r="D333"/>
      <c r="E333" s="178" t="s">
        <v>295</v>
      </c>
      <c r="F333" s="180" t="s">
        <v>300</v>
      </c>
      <c r="G333" s="169"/>
      <c r="H333" s="181" t="str">
        <f>VLOOKUP(E333&amp;F333,'[1]MV+BI'!$E$8:$K$375,3,FALSE)</f>
        <v>Em Teste - Alteração EF</v>
      </c>
      <c r="I333" s="182" t="str">
        <f>VLOOKUP(E333&amp;F333,'[1]MV+BI'!$E$8:$K$375,4,FALSE)</f>
        <v>-</v>
      </c>
      <c r="J333" s="93"/>
      <c r="K333" s="172">
        <f>VLOOKUP(E333&amp;F333,'[1]MV+BI'!$E$8:$K$375,7,FALSE)</f>
        <v>45450</v>
      </c>
      <c r="L333"/>
      <c r="M333"/>
      <c r="N333"/>
      <c r="O333"/>
      <c r="P333"/>
      <c r="Q333"/>
      <c r="R333"/>
      <c r="S333"/>
      <c r="T333"/>
      <c r="U333"/>
      <c r="AF333"/>
      <c r="AG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</row>
    <row r="334" spans="1:49" s="2" customFormat="1" ht="0" hidden="1" customHeight="1">
      <c r="A334"/>
      <c r="B334"/>
      <c r="C334"/>
      <c r="D334"/>
      <c r="E334" s="178" t="s">
        <v>295</v>
      </c>
      <c r="F334" s="178" t="s">
        <v>67</v>
      </c>
      <c r="G334" s="169"/>
      <c r="H334" s="181" t="str">
        <f>VLOOKUP(E334&amp;F334,'[1]MV+BI'!$E$8:$K$375,3,FALSE)</f>
        <v>Em Teste - Alteração EF</v>
      </c>
      <c r="I334" s="182" t="str">
        <f>VLOOKUP(E334&amp;F334,'[1]MV+BI'!$E$8:$K$375,4,FALSE)</f>
        <v>-</v>
      </c>
      <c r="J334" s="93"/>
      <c r="K334" s="172">
        <f>VLOOKUP(E334&amp;F334,'[1]MV+BI'!$E$8:$K$375,7,FALSE)</f>
        <v>45450</v>
      </c>
      <c r="L334"/>
      <c r="M334"/>
      <c r="N334"/>
      <c r="O334"/>
      <c r="P334"/>
      <c r="Q334"/>
      <c r="R334"/>
      <c r="S334"/>
      <c r="T334"/>
      <c r="U334"/>
      <c r="AF334"/>
      <c r="AG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</row>
    <row r="335" spans="1:49" s="2" customFormat="1" ht="0" hidden="1" customHeight="1">
      <c r="A335"/>
      <c r="B335"/>
      <c r="C335"/>
      <c r="D335"/>
      <c r="E335" s="178" t="s">
        <v>295</v>
      </c>
      <c r="F335" s="178" t="s">
        <v>6</v>
      </c>
      <c r="G335" s="169"/>
      <c r="H335" s="181" t="str">
        <f>VLOOKUP(E335&amp;F335,'[1]MV+BI'!$E$8:$K$375,3,FALSE)</f>
        <v>Em Teste - Alteração EF</v>
      </c>
      <c r="I335" s="182" t="str">
        <f>VLOOKUP(E335&amp;F335,'[1]MV+BI'!$E$8:$K$375,4,FALSE)</f>
        <v>-</v>
      </c>
      <c r="J335" s="93"/>
      <c r="K335" s="172">
        <f>VLOOKUP(E335&amp;F335,'[1]MV+BI'!$E$8:$K$375,7,FALSE)</f>
        <v>45450</v>
      </c>
      <c r="L335"/>
      <c r="M335"/>
      <c r="N335"/>
      <c r="O335"/>
      <c r="P335"/>
      <c r="Q335"/>
      <c r="R335"/>
      <c r="S335"/>
      <c r="T335"/>
      <c r="U335"/>
      <c r="AF335"/>
      <c r="AG335"/>
    </row>
    <row r="336" spans="1:49" s="2" customFormat="1" ht="0" hidden="1" customHeight="1">
      <c r="A336"/>
      <c r="B336"/>
      <c r="C336"/>
      <c r="D336"/>
      <c r="E336"/>
      <c r="F336"/>
      <c r="G336"/>
      <c r="H336"/>
      <c r="I336"/>
      <c r="J336"/>
      <c r="K336" s="1"/>
      <c r="L336"/>
      <c r="M336"/>
      <c r="N336"/>
      <c r="O336"/>
      <c r="P336"/>
      <c r="Q336"/>
      <c r="R336"/>
      <c r="S336"/>
      <c r="T336"/>
      <c r="U336"/>
      <c r="AF336"/>
      <c r="AG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</row>
    <row r="337" spans="1:49" s="2" customFormat="1" ht="0" hidden="1" customHeight="1">
      <c r="A337"/>
      <c r="B337"/>
      <c r="C337"/>
      <c r="D337"/>
      <c r="E337"/>
      <c r="F337"/>
      <c r="G337"/>
      <c r="H337"/>
      <c r="I337"/>
      <c r="J337"/>
      <c r="K337" s="1"/>
      <c r="L337"/>
      <c r="M337"/>
      <c r="N337"/>
      <c r="O337"/>
      <c r="P337"/>
      <c r="Q337"/>
      <c r="R337"/>
      <c r="S337"/>
      <c r="T337"/>
      <c r="U337"/>
      <c r="AF337"/>
      <c r="AG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</row>
    <row r="338" spans="1:49" s="2" customFormat="1" ht="0" hidden="1" customHeight="1">
      <c r="A338"/>
      <c r="B338"/>
      <c r="C338"/>
      <c r="D338"/>
      <c r="E338"/>
      <c r="F338"/>
      <c r="G338"/>
      <c r="H338"/>
      <c r="I338"/>
      <c r="J338"/>
      <c r="K338" s="1"/>
      <c r="L338"/>
      <c r="M338"/>
      <c r="N338"/>
      <c r="O338"/>
      <c r="P338"/>
      <c r="Q338"/>
      <c r="R338"/>
      <c r="S338"/>
      <c r="T338"/>
      <c r="U338"/>
      <c r="AF338"/>
      <c r="AG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</row>
    <row r="339" spans="1:49" ht="0" hidden="1" customHeight="1"/>
    <row r="340" spans="1:49" ht="0" hidden="1" customHeight="1"/>
    <row r="341" spans="1:49" s="2" customFormat="1" ht="0" hidden="1" customHeight="1">
      <c r="A341"/>
      <c r="B341"/>
      <c r="C341"/>
      <c r="D341"/>
      <c r="E341"/>
      <c r="F341"/>
      <c r="G341"/>
      <c r="H341"/>
      <c r="I341"/>
      <c r="J341"/>
      <c r="K341" s="1"/>
      <c r="L341"/>
      <c r="M341"/>
      <c r="N341"/>
      <c r="O341"/>
      <c r="P341"/>
      <c r="Q341"/>
      <c r="R341"/>
      <c r="S341"/>
      <c r="T341"/>
      <c r="U341"/>
      <c r="AF341"/>
      <c r="AG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</row>
    <row r="342" spans="1:49" s="2" customFormat="1" ht="13.95" hidden="1" customHeight="1">
      <c r="A342"/>
      <c r="B342"/>
      <c r="C342"/>
      <c r="D342"/>
      <c r="E342"/>
      <c r="F342"/>
      <c r="G342"/>
      <c r="H342"/>
      <c r="I342"/>
      <c r="J342"/>
      <c r="K342" s="1"/>
      <c r="L342"/>
      <c r="M342"/>
      <c r="N342"/>
      <c r="O342"/>
      <c r="P342"/>
      <c r="Q342"/>
      <c r="R342"/>
      <c r="S342"/>
      <c r="T342"/>
      <c r="U342"/>
      <c r="AF342"/>
      <c r="AG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</row>
    <row r="343" spans="1:49" s="2" customFormat="1" ht="13.95" hidden="1" customHeight="1">
      <c r="A343"/>
      <c r="B343"/>
      <c r="C343"/>
      <c r="D343"/>
      <c r="E343"/>
      <c r="F343"/>
      <c r="G343"/>
      <c r="H343"/>
      <c r="I343"/>
      <c r="J343"/>
      <c r="K343" s="1"/>
      <c r="L343"/>
      <c r="M343"/>
      <c r="N343"/>
      <c r="O343"/>
      <c r="P343"/>
      <c r="Q343"/>
      <c r="R343"/>
      <c r="S343"/>
      <c r="T343"/>
      <c r="U343"/>
      <c r="AF343"/>
      <c r="AG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</row>
    <row r="344" spans="1:49" s="2" customFormat="1" ht="13.95" hidden="1" customHeight="1">
      <c r="A344"/>
      <c r="B344"/>
      <c r="C344"/>
      <c r="D344"/>
      <c r="E344"/>
      <c r="F344"/>
      <c r="G344"/>
      <c r="H344"/>
      <c r="I344"/>
      <c r="J344"/>
      <c r="K344" s="1"/>
      <c r="L344"/>
      <c r="M344"/>
      <c r="N344"/>
      <c r="O344"/>
      <c r="P344"/>
      <c r="Q344"/>
      <c r="R344"/>
      <c r="S344"/>
      <c r="T344"/>
      <c r="U344"/>
      <c r="AF344"/>
      <c r="AG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</row>
    <row r="345" spans="1:49" s="2" customFormat="1" ht="13.95" hidden="1" customHeight="1">
      <c r="A345"/>
      <c r="B345"/>
      <c r="C345"/>
      <c r="D345"/>
      <c r="E345"/>
      <c r="F345"/>
      <c r="G345"/>
      <c r="H345"/>
      <c r="I345"/>
      <c r="J345"/>
      <c r="K345" s="1"/>
      <c r="L345"/>
      <c r="M345"/>
      <c r="N345"/>
      <c r="O345"/>
      <c r="P345"/>
      <c r="Q345"/>
      <c r="R345"/>
      <c r="S345"/>
      <c r="T345"/>
      <c r="U345"/>
      <c r="AF345"/>
      <c r="AG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</row>
    <row r="346" spans="1:49" s="2" customFormat="1" ht="13.95" hidden="1" customHeight="1">
      <c r="A346"/>
      <c r="B346"/>
      <c r="C346"/>
      <c r="D346"/>
      <c r="E346"/>
      <c r="F346"/>
      <c r="G346"/>
      <c r="H346"/>
      <c r="I346"/>
      <c r="J346"/>
      <c r="K346" s="1"/>
      <c r="L346"/>
      <c r="M346"/>
      <c r="N346"/>
      <c r="O346"/>
      <c r="P346"/>
      <c r="Q346"/>
      <c r="R346"/>
      <c r="S346"/>
      <c r="T346"/>
      <c r="U346"/>
      <c r="AF346"/>
      <c r="AG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</row>
    <row r="347" spans="1:49" s="2" customFormat="1" ht="0" hidden="1" customHeight="1">
      <c r="A347"/>
      <c r="B347"/>
      <c r="C347"/>
      <c r="D347"/>
      <c r="E347"/>
      <c r="F347"/>
      <c r="G347"/>
      <c r="H347"/>
      <c r="I347"/>
      <c r="J347"/>
      <c r="K347" s="1"/>
      <c r="L347"/>
      <c r="M347"/>
      <c r="N347"/>
      <c r="O347"/>
      <c r="P347"/>
      <c r="Q347"/>
      <c r="R347"/>
      <c r="S347"/>
      <c r="T347"/>
      <c r="U347"/>
      <c r="AF347"/>
      <c r="AG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</row>
    <row r="348" spans="1:49" s="2" customFormat="1" ht="0" hidden="1" customHeight="1">
      <c r="A348"/>
      <c r="B348"/>
      <c r="C348"/>
      <c r="D348"/>
      <c r="E348"/>
      <c r="F348"/>
      <c r="G348"/>
      <c r="H348"/>
      <c r="I348"/>
      <c r="J348"/>
      <c r="K348" s="1"/>
      <c r="L348"/>
      <c r="M348"/>
      <c r="N348"/>
      <c r="O348"/>
      <c r="P348"/>
      <c r="Q348"/>
      <c r="R348"/>
      <c r="S348"/>
      <c r="T348"/>
      <c r="U348"/>
      <c r="AF348"/>
      <c r="AG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</row>
    <row r="349" spans="1:49" ht="0" hidden="1" customHeight="1"/>
    <row r="350" spans="1:49" ht="0" hidden="1" customHeight="1"/>
    <row r="351" spans="1:49" ht="0" hidden="1" customHeight="1"/>
    <row r="352" spans="1:49" ht="0" hidden="1" customHeight="1"/>
    <row r="353" ht="0" hidden="1" customHeight="1"/>
    <row r="354" ht="0" hidden="1" customHeight="1"/>
    <row r="355" ht="0" hidden="1" customHeight="1"/>
    <row r="356" ht="13.95" hidden="1" customHeight="1"/>
    <row r="357" ht="13.95" hidden="1" customHeight="1"/>
    <row r="358" ht="13.95" hidden="1" customHeight="1"/>
    <row r="359" ht="13.95" hidden="1" customHeight="1"/>
    <row r="360" ht="13.95" hidden="1" customHeight="1"/>
    <row r="361" ht="13.95" hidden="1" customHeight="1"/>
    <row r="362" ht="13.95" hidden="1" customHeight="1"/>
    <row r="363" ht="0" hidden="1" customHeight="1"/>
    <row r="364" ht="0" hidden="1" customHeight="1"/>
    <row r="365" ht="0" hidden="1" customHeight="1"/>
    <row r="366" ht="0" hidden="1" customHeight="1"/>
    <row r="367" ht="0" hidden="1" customHeight="1"/>
    <row r="368" ht="0" hidden="1" customHeight="1"/>
    <row r="369" ht="0" hidden="1" customHeight="1"/>
    <row r="370" ht="0" hidden="1" customHeight="1"/>
    <row r="371" ht="0" hidden="1" customHeight="1"/>
    <row r="372" ht="0" hidden="1" customHeight="1"/>
    <row r="373" ht="0" hidden="1" customHeight="1"/>
    <row r="374" ht="0" hidden="1" customHeight="1"/>
    <row r="375" ht="0" hidden="1" customHeight="1"/>
    <row r="376" ht="0" hidden="1" customHeight="1"/>
    <row r="377" ht="0" hidden="1" customHeight="1"/>
    <row r="378" ht="0" hidden="1" customHeight="1"/>
    <row r="379" ht="0" hidden="1" customHeight="1"/>
    <row r="380" ht="0" hidden="1" customHeight="1"/>
    <row r="381" ht="0" hidden="1" customHeight="1"/>
    <row r="382" ht="0" hidden="1" customHeight="1"/>
    <row r="383" ht="0" hidden="1" customHeight="1"/>
    <row r="384" ht="0" hidden="1" customHeight="1"/>
    <row r="385" ht="0" hidden="1" customHeight="1"/>
    <row r="386" ht="0" hidden="1" customHeight="1"/>
    <row r="387" ht="0" hidden="1" customHeight="1"/>
    <row r="388" ht="0" hidden="1" customHeight="1"/>
    <row r="389" ht="0" hidden="1" customHeight="1"/>
    <row r="390" ht="0" hidden="1" customHeight="1"/>
    <row r="391" ht="0" hidden="1" customHeight="1"/>
    <row r="392" ht="0" hidden="1" customHeight="1"/>
    <row r="393" ht="0" hidden="1" customHeight="1"/>
    <row r="394" ht="0" hidden="1" customHeight="1"/>
    <row r="395" ht="0" hidden="1" customHeight="1"/>
    <row r="396" ht="0" hidden="1" customHeight="1"/>
    <row r="397" ht="0" hidden="1" customHeight="1"/>
    <row r="398" ht="0" hidden="1" customHeight="1"/>
    <row r="399" ht="0" hidden="1" customHeight="1"/>
    <row r="400" ht="0" hidden="1" customHeight="1"/>
    <row r="401" ht="0" hidden="1" customHeight="1"/>
    <row r="402" ht="0" hidden="1" customHeight="1"/>
    <row r="403" ht="0" hidden="1" customHeight="1"/>
    <row r="404" ht="0" hidden="1" customHeight="1"/>
    <row r="405" ht="0" hidden="1" customHeight="1"/>
    <row r="406" ht="0" hidden="1" customHeight="1"/>
    <row r="407" ht="0" hidden="1" customHeight="1"/>
    <row r="408" ht="0" hidden="1" customHeight="1"/>
    <row r="409" ht="0" hidden="1" customHeight="1"/>
    <row r="410" ht="0" hidden="1" customHeight="1"/>
    <row r="411" ht="0" hidden="1" customHeight="1"/>
    <row r="412" ht="0" hidden="1" customHeight="1"/>
    <row r="413" ht="0" hidden="1" customHeight="1"/>
    <row r="414" ht="0" hidden="1" customHeight="1"/>
    <row r="415" ht="0" hidden="1" customHeight="1"/>
    <row r="416" ht="0" hidden="1" customHeight="1"/>
    <row r="417" ht="0" hidden="1" customHeight="1"/>
    <row r="418" ht="0" hidden="1" customHeight="1"/>
    <row r="419" ht="0" hidden="1" customHeight="1"/>
    <row r="420" ht="0" hidden="1" customHeight="1"/>
    <row r="421" ht="0" hidden="1" customHeight="1"/>
    <row r="422" ht="0" hidden="1" customHeight="1"/>
    <row r="423" ht="0" hidden="1" customHeight="1"/>
    <row r="424" ht="0" hidden="1" customHeight="1"/>
    <row r="425" ht="0" hidden="1" customHeight="1"/>
    <row r="426" ht="0" hidden="1" customHeight="1"/>
    <row r="427" ht="0" hidden="1" customHeight="1"/>
    <row r="428" ht="0" hidden="1" customHeight="1"/>
    <row r="429" ht="0" hidden="1" customHeight="1"/>
    <row r="430" ht="0" hidden="1" customHeight="1"/>
    <row r="431" ht="0" hidden="1" customHeight="1"/>
    <row r="432" ht="0" hidden="1" customHeight="1"/>
    <row r="433" ht="0" hidden="1" customHeight="1"/>
    <row r="434" ht="0" hidden="1" customHeight="1"/>
    <row r="435" ht="0" hidden="1" customHeight="1"/>
    <row r="436" ht="0" hidden="1" customHeight="1"/>
    <row r="437" ht="0" hidden="1" customHeight="1"/>
    <row r="438" ht="0" hidden="1" customHeight="1"/>
    <row r="439" ht="0" hidden="1" customHeight="1"/>
    <row r="440" ht="0" hidden="1" customHeight="1"/>
    <row r="441" ht="0" hidden="1" customHeight="1"/>
    <row r="442" ht="0" hidden="1" customHeight="1"/>
    <row r="443" ht="0" hidden="1" customHeight="1"/>
    <row r="444" ht="0" hidden="1" customHeight="1"/>
    <row r="445" ht="0" hidden="1" customHeight="1"/>
    <row r="446" ht="0" hidden="1" customHeight="1"/>
    <row r="447" ht="0" hidden="1" customHeight="1"/>
    <row r="448" ht="0" hidden="1" customHeight="1"/>
    <row r="449" ht="0" hidden="1" customHeight="1"/>
    <row r="450" ht="0" hidden="1" customHeight="1"/>
    <row r="451" ht="0" hidden="1" customHeight="1"/>
    <row r="452" ht="0" hidden="1" customHeight="1"/>
    <row r="453" ht="0" hidden="1" customHeight="1"/>
    <row r="454" ht="0" hidden="1" customHeight="1"/>
    <row r="455" ht="0" hidden="1" customHeight="1"/>
    <row r="456" ht="0" hidden="1" customHeight="1"/>
    <row r="457" ht="0" hidden="1" customHeight="1"/>
    <row r="458" ht="0" hidden="1" customHeight="1"/>
    <row r="459" ht="0" hidden="1" customHeight="1"/>
    <row r="460" ht="0" hidden="1" customHeight="1"/>
    <row r="461" ht="0" hidden="1" customHeight="1"/>
    <row r="462" ht="0" hidden="1" customHeight="1"/>
    <row r="463" ht="0" hidden="1" customHeight="1"/>
    <row r="464" ht="0" hidden="1" customHeight="1"/>
    <row r="465" ht="0" hidden="1" customHeight="1"/>
    <row r="466" ht="0" hidden="1" customHeight="1"/>
    <row r="467" ht="0" hidden="1" customHeight="1"/>
    <row r="468" ht="0" hidden="1" customHeight="1"/>
    <row r="469" ht="0" hidden="1" customHeight="1"/>
    <row r="470" ht="0" hidden="1" customHeight="1"/>
    <row r="471" ht="0" hidden="1" customHeight="1"/>
    <row r="472" ht="0" hidden="1" customHeight="1"/>
    <row r="473" ht="0" hidden="1" customHeight="1"/>
    <row r="474" ht="0" hidden="1" customHeight="1"/>
    <row r="475" ht="0" hidden="1" customHeight="1"/>
    <row r="476" ht="0" hidden="1" customHeight="1"/>
    <row r="477" ht="0" hidden="1" customHeight="1"/>
    <row r="478" ht="0" hidden="1" customHeight="1"/>
    <row r="479" ht="0" hidden="1" customHeight="1"/>
    <row r="480" ht="0" hidden="1" customHeight="1"/>
    <row r="481" ht="0" hidden="1" customHeight="1"/>
    <row r="482" ht="0" hidden="1" customHeight="1"/>
    <row r="483" ht="0" hidden="1" customHeight="1"/>
    <row r="484" ht="0" hidden="1" customHeight="1"/>
    <row r="485" ht="0" hidden="1" customHeight="1"/>
    <row r="486" ht="0" hidden="1" customHeight="1"/>
    <row r="487" ht="0" hidden="1" customHeight="1"/>
    <row r="488" ht="0" hidden="1" customHeight="1"/>
    <row r="489" ht="0" hidden="1" customHeight="1"/>
    <row r="490" ht="0" hidden="1" customHeight="1"/>
    <row r="491" ht="0" hidden="1" customHeight="1"/>
    <row r="492" ht="0" hidden="1" customHeight="1"/>
    <row r="493" ht="0" hidden="1" customHeight="1"/>
    <row r="494" ht="0" hidden="1" customHeight="1"/>
    <row r="495" ht="0" hidden="1" customHeight="1"/>
    <row r="496" ht="0" hidden="1" customHeight="1"/>
    <row r="497" ht="0" hidden="1" customHeight="1"/>
    <row r="498" ht="0" hidden="1" customHeight="1"/>
    <row r="499" ht="0" hidden="1" customHeight="1"/>
    <row r="500" ht="0" hidden="1" customHeight="1"/>
    <row r="501" ht="0" hidden="1" customHeight="1"/>
    <row r="502" ht="0" hidden="1" customHeight="1"/>
    <row r="503" ht="0" hidden="1" customHeight="1"/>
    <row r="504" ht="0" hidden="1" customHeight="1"/>
    <row r="505" ht="0" hidden="1" customHeight="1"/>
    <row r="506" ht="0" hidden="1" customHeight="1"/>
    <row r="507" ht="0" hidden="1" customHeight="1"/>
    <row r="508" ht="0" hidden="1" customHeight="1"/>
    <row r="509" ht="0" hidden="1" customHeight="1"/>
    <row r="510" ht="0" hidden="1" customHeight="1"/>
    <row r="511" ht="0" hidden="1" customHeight="1"/>
    <row r="512" ht="0" hidden="1" customHeight="1"/>
    <row r="513" ht="0" hidden="1" customHeight="1"/>
    <row r="514" ht="0" hidden="1" customHeight="1"/>
    <row r="515" ht="0" hidden="1" customHeight="1"/>
    <row r="516" ht="0" hidden="1" customHeight="1"/>
    <row r="517" ht="0" hidden="1" customHeight="1"/>
    <row r="518" ht="0" hidden="1" customHeight="1"/>
    <row r="519" ht="0" hidden="1" customHeight="1"/>
    <row r="520" ht="0" hidden="1" customHeight="1"/>
    <row r="521" ht="0" hidden="1" customHeight="1"/>
    <row r="522" ht="0" hidden="1" customHeight="1"/>
    <row r="523" ht="0" hidden="1" customHeight="1"/>
    <row r="524" ht="0" hidden="1" customHeight="1"/>
    <row r="525" ht="0" hidden="1" customHeight="1"/>
    <row r="526" ht="0" hidden="1" customHeight="1"/>
    <row r="527" ht="0" hidden="1" customHeight="1"/>
    <row r="528" ht="0" hidden="1" customHeight="1"/>
    <row r="529" ht="0" hidden="1" customHeight="1"/>
    <row r="530" ht="0" hidden="1" customHeight="1"/>
    <row r="531" ht="0" hidden="1" customHeight="1"/>
    <row r="532" ht="0" hidden="1" customHeight="1"/>
    <row r="533" ht="0" hidden="1" customHeight="1"/>
    <row r="534" ht="0" hidden="1" customHeight="1"/>
    <row r="535" ht="0" hidden="1" customHeight="1"/>
    <row r="536" ht="0" hidden="1" customHeight="1"/>
    <row r="537" ht="0" hidden="1" customHeight="1"/>
    <row r="538" ht="0" hidden="1" customHeight="1"/>
    <row r="539" ht="0" hidden="1" customHeight="1"/>
    <row r="540" ht="0" hidden="1" customHeight="1"/>
    <row r="541" ht="0" hidden="1" customHeight="1"/>
    <row r="542" ht="0" hidden="1" customHeight="1"/>
    <row r="543" ht="0" hidden="1" customHeight="1"/>
    <row r="544" ht="0" hidden="1" customHeight="1"/>
    <row r="545" ht="0" hidden="1" customHeight="1"/>
    <row r="546" ht="0" hidden="1" customHeight="1"/>
    <row r="547" ht="0" hidden="1" customHeight="1"/>
    <row r="548" ht="0" hidden="1" customHeight="1"/>
    <row r="549" ht="0" hidden="1" customHeight="1"/>
    <row r="550" ht="0" hidden="1" customHeight="1"/>
    <row r="551" ht="0" hidden="1" customHeight="1"/>
    <row r="552" ht="0" hidden="1" customHeight="1"/>
    <row r="553" ht="0" hidden="1" customHeight="1"/>
    <row r="554" ht="0" hidden="1" customHeight="1"/>
    <row r="555" ht="0" hidden="1" customHeight="1"/>
    <row r="556" ht="0" hidden="1" customHeight="1"/>
    <row r="557" ht="0" hidden="1" customHeight="1"/>
    <row r="558" ht="0" hidden="1" customHeight="1"/>
    <row r="559" ht="0" hidden="1" customHeight="1"/>
    <row r="560" ht="0" hidden="1" customHeight="1"/>
    <row r="561" ht="0" hidden="1" customHeight="1"/>
    <row r="562" ht="0" hidden="1" customHeight="1"/>
    <row r="563" ht="0" hidden="1" customHeight="1"/>
    <row r="564" ht="0" hidden="1" customHeight="1"/>
    <row r="565" ht="0" hidden="1" customHeight="1"/>
    <row r="566" ht="0" hidden="1" customHeight="1"/>
    <row r="567" ht="0" hidden="1" customHeight="1"/>
    <row r="568" ht="0" hidden="1" customHeight="1"/>
    <row r="569" ht="0" hidden="1" customHeight="1"/>
    <row r="570" ht="0" hidden="1" customHeight="1"/>
    <row r="571" ht="0" hidden="1" customHeight="1"/>
    <row r="572" ht="0" hidden="1" customHeight="1"/>
    <row r="573" ht="0" hidden="1" customHeight="1"/>
    <row r="574" ht="0" hidden="1" customHeight="1"/>
    <row r="575" ht="0" hidden="1" customHeight="1"/>
    <row r="576" ht="0" hidden="1" customHeight="1"/>
    <row r="577" ht="0" hidden="1" customHeight="1"/>
    <row r="578" ht="0" hidden="1" customHeight="1"/>
    <row r="579" ht="0" hidden="1" customHeight="1"/>
    <row r="580" ht="0" hidden="1" customHeight="1"/>
    <row r="581" ht="0" hidden="1" customHeight="1"/>
    <row r="582" ht="0" hidden="1" customHeight="1"/>
    <row r="583" ht="0" hidden="1" customHeight="1"/>
    <row r="584" ht="0" hidden="1" customHeight="1"/>
    <row r="585" ht="0" hidden="1" customHeight="1"/>
    <row r="586" ht="0" hidden="1" customHeight="1"/>
    <row r="587" ht="0" hidden="1" customHeight="1"/>
    <row r="588" ht="0" hidden="1" customHeight="1"/>
    <row r="589" ht="0" hidden="1" customHeight="1"/>
    <row r="590" ht="0" hidden="1" customHeight="1"/>
    <row r="591" ht="0" hidden="1" customHeight="1"/>
    <row r="592" ht="0" hidden="1" customHeight="1"/>
    <row r="593" ht="0" hidden="1" customHeight="1"/>
    <row r="594" ht="0" hidden="1" customHeight="1"/>
    <row r="595" ht="0" hidden="1" customHeight="1"/>
    <row r="596" ht="0" hidden="1" customHeight="1"/>
    <row r="597" ht="0" hidden="1" customHeight="1"/>
    <row r="598" ht="0" hidden="1" customHeight="1"/>
    <row r="599" ht="0" hidden="1" customHeight="1"/>
    <row r="600" ht="0" hidden="1" customHeight="1"/>
    <row r="601" ht="0" hidden="1" customHeight="1"/>
    <row r="602" ht="0" hidden="1" customHeight="1"/>
    <row r="603" ht="0" hidden="1" customHeight="1"/>
    <row r="604" ht="0" hidden="1" customHeight="1"/>
    <row r="605" ht="0" hidden="1" customHeight="1"/>
    <row r="606" ht="0" hidden="1" customHeight="1"/>
    <row r="607" ht="0" hidden="1" customHeight="1"/>
    <row r="608" ht="0" hidden="1" customHeight="1"/>
    <row r="609" ht="0" hidden="1" customHeight="1"/>
    <row r="610" ht="0" hidden="1" customHeight="1"/>
    <row r="611" ht="0" hidden="1" customHeight="1"/>
    <row r="612" ht="0" hidden="1" customHeight="1"/>
    <row r="613" ht="0" hidden="1" customHeight="1"/>
    <row r="614" ht="0" hidden="1" customHeight="1"/>
    <row r="615" ht="0" hidden="1" customHeight="1"/>
    <row r="616" ht="0" hidden="1" customHeight="1"/>
    <row r="617" ht="0" hidden="1" customHeight="1"/>
    <row r="618" ht="0" hidden="1" customHeight="1"/>
    <row r="619" ht="0" hidden="1" customHeight="1"/>
    <row r="620" ht="0" hidden="1" customHeight="1"/>
    <row r="621" ht="0" hidden="1" customHeight="1"/>
    <row r="622" ht="0" hidden="1" customHeight="1"/>
    <row r="623" ht="0" hidden="1" customHeight="1"/>
    <row r="624" ht="0" hidden="1" customHeight="1"/>
    <row r="625" ht="0" hidden="1" customHeight="1"/>
    <row r="626" ht="0" hidden="1" customHeight="1"/>
    <row r="627" ht="0" hidden="1" customHeight="1"/>
    <row r="628" ht="0" hidden="1" customHeight="1"/>
    <row r="629" ht="0" hidden="1" customHeight="1"/>
    <row r="630" ht="0" hidden="1" customHeight="1"/>
    <row r="631" ht="0" hidden="1" customHeight="1"/>
    <row r="632" ht="0" hidden="1" customHeight="1"/>
    <row r="633" ht="0" hidden="1" customHeight="1"/>
    <row r="634" ht="0" hidden="1" customHeight="1"/>
    <row r="635" ht="0" hidden="1" customHeight="1"/>
    <row r="636" ht="0" hidden="1" customHeight="1"/>
    <row r="637" ht="0" hidden="1" customHeight="1"/>
    <row r="638" ht="0" hidden="1" customHeight="1"/>
    <row r="639" ht="0" hidden="1" customHeight="1"/>
    <row r="640" ht="0" hidden="1" customHeight="1"/>
    <row r="641" ht="0" hidden="1" customHeight="1"/>
    <row r="642" ht="0" hidden="1" customHeight="1"/>
    <row r="643" ht="0" hidden="1" customHeight="1"/>
    <row r="644" ht="0" hidden="1" customHeight="1"/>
    <row r="645" ht="0" hidden="1" customHeight="1"/>
    <row r="646" ht="0" hidden="1" customHeight="1"/>
    <row r="647" ht="0" hidden="1" customHeight="1"/>
    <row r="648" ht="0" hidden="1" customHeight="1"/>
    <row r="649" ht="0" hidden="1" customHeight="1"/>
    <row r="650" ht="0" hidden="1" customHeight="1"/>
    <row r="651" ht="0" hidden="1" customHeight="1"/>
    <row r="652" ht="0" hidden="1" customHeight="1"/>
    <row r="653" ht="0" hidden="1" customHeight="1"/>
    <row r="654" ht="0" hidden="1" customHeight="1"/>
    <row r="655" ht="0" hidden="1" customHeight="1"/>
    <row r="656" ht="0" hidden="1" customHeight="1"/>
    <row r="657" ht="0" hidden="1" customHeight="1"/>
    <row r="658" ht="0" hidden="1" customHeight="1"/>
    <row r="659" ht="0" hidden="1" customHeight="1"/>
    <row r="660" ht="0" hidden="1" customHeight="1"/>
    <row r="661" ht="0" hidden="1" customHeight="1"/>
    <row r="662" ht="0" hidden="1" customHeight="1"/>
    <row r="663" ht="0" hidden="1" customHeight="1"/>
    <row r="664" ht="0" hidden="1" customHeight="1"/>
    <row r="665" ht="0" hidden="1" customHeight="1"/>
    <row r="666" ht="0" hidden="1" customHeight="1"/>
    <row r="667" ht="0" hidden="1" customHeight="1"/>
    <row r="668" ht="0" hidden="1" customHeight="1"/>
    <row r="669" ht="0" hidden="1" customHeight="1"/>
    <row r="670" ht="0" hidden="1" customHeight="1"/>
    <row r="671" ht="0" hidden="1" customHeight="1"/>
    <row r="672" ht="0" hidden="1" customHeight="1"/>
    <row r="673" ht="0" hidden="1" customHeight="1"/>
    <row r="674" ht="0" hidden="1" customHeight="1"/>
    <row r="675" ht="0" hidden="1" customHeight="1"/>
    <row r="676" ht="0" hidden="1" customHeight="1"/>
    <row r="677" ht="0" hidden="1" customHeight="1"/>
    <row r="678" ht="0" hidden="1" customHeight="1"/>
    <row r="679" ht="0" hidden="1" customHeight="1"/>
    <row r="680" ht="0" hidden="1" customHeight="1"/>
    <row r="681" ht="0" hidden="1" customHeight="1"/>
    <row r="682" ht="0" hidden="1" customHeight="1"/>
    <row r="683" ht="0" hidden="1" customHeight="1"/>
    <row r="684" ht="0" hidden="1" customHeight="1"/>
    <row r="685" ht="0" hidden="1" customHeight="1"/>
    <row r="686" ht="0" hidden="1" customHeight="1"/>
    <row r="687" ht="0" hidden="1" customHeight="1"/>
    <row r="688" ht="0" hidden="1" customHeight="1"/>
    <row r="689" ht="0" hidden="1" customHeight="1"/>
    <row r="690" ht="0" hidden="1" customHeight="1"/>
    <row r="691" ht="0" hidden="1" customHeight="1"/>
    <row r="692" ht="0" hidden="1" customHeight="1"/>
    <row r="693" ht="0" hidden="1" customHeight="1"/>
    <row r="694" ht="0" hidden="1" customHeight="1"/>
    <row r="695" ht="0" hidden="1" customHeight="1"/>
    <row r="696" ht="0" hidden="1" customHeight="1"/>
    <row r="697" ht="0" hidden="1" customHeight="1"/>
    <row r="698" ht="0" hidden="1" customHeight="1"/>
    <row r="699" ht="0" hidden="1" customHeight="1"/>
    <row r="700" ht="0" hidden="1" customHeight="1"/>
    <row r="701" ht="0" hidden="1" customHeight="1"/>
    <row r="702" ht="0" hidden="1" customHeight="1"/>
    <row r="703" ht="0" hidden="1" customHeight="1"/>
    <row r="704" ht="0" hidden="1" customHeight="1"/>
    <row r="705" ht="0" hidden="1" customHeight="1"/>
    <row r="706" ht="0" hidden="1" customHeight="1"/>
    <row r="707" ht="0" hidden="1" customHeight="1"/>
    <row r="708" ht="0" hidden="1" customHeight="1"/>
    <row r="709" ht="0" hidden="1" customHeight="1"/>
    <row r="710" ht="0" hidden="1" customHeight="1"/>
    <row r="711" ht="0" hidden="1" customHeight="1"/>
    <row r="712" ht="0" hidden="1" customHeight="1"/>
    <row r="713" ht="0" hidden="1" customHeight="1"/>
    <row r="714" ht="0" hidden="1" customHeight="1"/>
    <row r="715" ht="0" hidden="1" customHeight="1"/>
    <row r="716" ht="0" hidden="1" customHeight="1"/>
    <row r="717" ht="0" hidden="1" customHeight="1"/>
    <row r="718" ht="0" hidden="1" customHeight="1"/>
    <row r="719" ht="0" hidden="1" customHeight="1"/>
    <row r="720" ht="0" hidden="1" customHeight="1"/>
    <row r="721" ht="0" hidden="1" customHeight="1"/>
    <row r="722" ht="0" hidden="1" customHeight="1"/>
    <row r="723" ht="0" hidden="1" customHeight="1"/>
    <row r="724" ht="0" hidden="1" customHeight="1"/>
    <row r="725" ht="0" hidden="1" customHeight="1"/>
    <row r="726" ht="0" hidden="1" customHeight="1"/>
    <row r="727" ht="0" hidden="1" customHeight="1"/>
    <row r="728" ht="0" hidden="1" customHeight="1"/>
    <row r="729" ht="0" hidden="1" customHeight="1"/>
    <row r="730" ht="0" hidden="1" customHeight="1"/>
    <row r="731" ht="0" hidden="1" customHeight="1"/>
    <row r="732" ht="0" hidden="1" customHeight="1"/>
    <row r="733" ht="0" hidden="1" customHeight="1"/>
    <row r="734" ht="0" hidden="1" customHeight="1"/>
    <row r="735" ht="0" hidden="1" customHeight="1"/>
    <row r="736" ht="0" hidden="1" customHeight="1"/>
    <row r="737" ht="0" hidden="1" customHeight="1"/>
    <row r="738" ht="0" hidden="1" customHeight="1"/>
    <row r="739" ht="0" hidden="1" customHeight="1"/>
    <row r="740" ht="0" hidden="1" customHeight="1"/>
    <row r="741" ht="0" hidden="1" customHeight="1"/>
    <row r="742" ht="0" hidden="1" customHeight="1"/>
    <row r="743" ht="0" hidden="1" customHeight="1"/>
    <row r="744" ht="0" hidden="1" customHeight="1"/>
    <row r="745" ht="0" hidden="1" customHeight="1"/>
    <row r="746" ht="0" hidden="1" customHeight="1"/>
    <row r="747" ht="0" hidden="1" customHeight="1"/>
    <row r="748" ht="0" hidden="1" customHeight="1"/>
    <row r="749" ht="0" hidden="1" customHeight="1"/>
    <row r="750" ht="0" hidden="1" customHeight="1"/>
    <row r="751" ht="0" hidden="1" customHeight="1"/>
    <row r="752" ht="0" hidden="1" customHeight="1"/>
    <row r="753" ht="0" hidden="1" customHeight="1"/>
    <row r="754" ht="0" hidden="1" customHeight="1"/>
    <row r="755" ht="0" hidden="1" customHeight="1"/>
    <row r="756" ht="0" hidden="1" customHeight="1"/>
    <row r="757" ht="0" hidden="1" customHeight="1"/>
    <row r="758" ht="0" hidden="1" customHeight="1"/>
    <row r="759" ht="0" hidden="1" customHeight="1"/>
    <row r="760" ht="0" hidden="1" customHeight="1"/>
    <row r="761" ht="0" hidden="1" customHeight="1"/>
    <row r="762" ht="0" hidden="1" customHeight="1"/>
    <row r="763" ht="0" hidden="1" customHeight="1"/>
    <row r="764" ht="0" hidden="1" customHeight="1"/>
    <row r="765" ht="0" hidden="1" customHeight="1"/>
    <row r="766" ht="0" hidden="1" customHeight="1"/>
    <row r="767" ht="0" hidden="1" customHeight="1"/>
    <row r="768" ht="0" hidden="1" customHeight="1"/>
    <row r="769" ht="0" hidden="1" customHeight="1"/>
    <row r="770" ht="0" hidden="1" customHeight="1"/>
    <row r="771" ht="0" hidden="1" customHeight="1"/>
    <row r="772" ht="0" hidden="1" customHeight="1"/>
    <row r="773" ht="0" hidden="1" customHeight="1"/>
    <row r="774" ht="0" hidden="1" customHeight="1"/>
    <row r="775" ht="0" hidden="1" customHeight="1"/>
    <row r="776" ht="0" hidden="1" customHeight="1"/>
    <row r="777" ht="0" hidden="1" customHeight="1"/>
    <row r="778" ht="0" hidden="1" customHeight="1"/>
    <row r="779" ht="0" hidden="1" customHeight="1"/>
    <row r="780" ht="0" hidden="1" customHeight="1"/>
    <row r="781" ht="0" hidden="1" customHeight="1"/>
    <row r="782" ht="0" hidden="1" customHeight="1"/>
    <row r="783" ht="0" hidden="1" customHeight="1"/>
    <row r="784" ht="0" hidden="1" customHeight="1"/>
    <row r="785" ht="0" hidden="1" customHeight="1"/>
    <row r="786" ht="0" hidden="1" customHeight="1"/>
    <row r="787" ht="0" hidden="1" customHeight="1"/>
    <row r="788" ht="0" hidden="1" customHeight="1"/>
    <row r="789" ht="0" hidden="1" customHeight="1"/>
    <row r="790" ht="0" hidden="1" customHeight="1"/>
    <row r="791" ht="0" hidden="1" customHeight="1"/>
    <row r="792" ht="0" hidden="1" customHeight="1"/>
    <row r="793" ht="0" hidden="1" customHeight="1"/>
    <row r="794" ht="0" hidden="1" customHeight="1"/>
    <row r="795" ht="0" hidden="1" customHeight="1"/>
    <row r="796" ht="0" hidden="1" customHeight="1"/>
    <row r="797" ht="0" hidden="1" customHeight="1"/>
    <row r="798" ht="0" hidden="1" customHeight="1"/>
    <row r="799" ht="0" hidden="1" customHeight="1"/>
    <row r="800" ht="0" hidden="1" customHeight="1"/>
    <row r="801" ht="0" hidden="1" customHeight="1"/>
    <row r="802" ht="0" hidden="1" customHeight="1"/>
    <row r="803" ht="0" hidden="1" customHeight="1"/>
    <row r="804" ht="0" hidden="1" customHeight="1"/>
    <row r="805" ht="0" hidden="1" customHeight="1"/>
    <row r="806" ht="0" hidden="1" customHeight="1"/>
    <row r="807" ht="0" hidden="1" customHeight="1"/>
    <row r="808" ht="0" hidden="1" customHeight="1"/>
    <row r="809" ht="0" hidden="1" customHeight="1"/>
    <row r="810" ht="0" hidden="1" customHeight="1"/>
    <row r="811" ht="0" hidden="1" customHeight="1"/>
    <row r="812" ht="0" hidden="1" customHeight="1"/>
    <row r="813" ht="0" hidden="1" customHeight="1"/>
    <row r="814" ht="0" hidden="1" customHeight="1"/>
    <row r="815" ht="0" hidden="1" customHeight="1"/>
    <row r="816" ht="0" hidden="1" customHeight="1"/>
    <row r="817" ht="0" hidden="1" customHeight="1"/>
    <row r="818" ht="0" hidden="1" customHeight="1"/>
    <row r="819" ht="0" hidden="1" customHeight="1"/>
    <row r="820" ht="0" hidden="1" customHeight="1"/>
    <row r="821" ht="0" hidden="1" customHeight="1"/>
    <row r="822" ht="0" hidden="1" customHeight="1"/>
    <row r="823" ht="0" hidden="1" customHeight="1"/>
    <row r="824" ht="0" hidden="1" customHeight="1"/>
    <row r="825" ht="0" hidden="1" customHeight="1"/>
    <row r="826" ht="0" hidden="1" customHeight="1"/>
    <row r="827" ht="0" hidden="1" customHeight="1"/>
    <row r="828" ht="0" hidden="1" customHeight="1"/>
    <row r="829" ht="0" hidden="1" customHeight="1"/>
    <row r="830" ht="0" hidden="1" customHeight="1"/>
    <row r="831" ht="0" hidden="1" customHeight="1"/>
    <row r="832" ht="0" hidden="1" customHeight="1"/>
    <row r="833" ht="0" hidden="1" customHeight="1"/>
    <row r="834" ht="0" hidden="1" customHeight="1"/>
    <row r="835" ht="0" hidden="1" customHeight="1"/>
    <row r="836" ht="0" hidden="1" customHeight="1"/>
    <row r="837" ht="0" hidden="1" customHeight="1"/>
    <row r="838" ht="0" hidden="1" customHeight="1"/>
    <row r="839" ht="0" hidden="1" customHeight="1"/>
    <row r="840" ht="0" hidden="1" customHeight="1"/>
    <row r="841" ht="0" hidden="1" customHeight="1"/>
    <row r="842" ht="0" hidden="1" customHeight="1"/>
    <row r="843" ht="0" hidden="1" customHeight="1"/>
    <row r="844" ht="0" hidden="1" customHeight="1"/>
    <row r="845" ht="0" hidden="1" customHeight="1"/>
    <row r="846" ht="0" hidden="1" customHeight="1"/>
    <row r="847" ht="0" hidden="1" customHeight="1"/>
    <row r="848" ht="0" hidden="1" customHeight="1"/>
    <row r="849" ht="0" hidden="1" customHeight="1"/>
    <row r="850" ht="0" hidden="1" customHeight="1"/>
    <row r="851" ht="0" hidden="1" customHeight="1"/>
    <row r="852" ht="0" hidden="1" customHeight="1"/>
    <row r="853" ht="0" hidden="1" customHeight="1"/>
    <row r="854" ht="0" hidden="1" customHeight="1"/>
    <row r="855" ht="0" hidden="1" customHeight="1"/>
    <row r="856" ht="0" hidden="1" customHeight="1"/>
    <row r="857" ht="0" hidden="1" customHeight="1"/>
    <row r="858" ht="0" hidden="1" customHeight="1"/>
    <row r="859" ht="0" hidden="1" customHeight="1"/>
    <row r="860" ht="0" hidden="1" customHeight="1"/>
    <row r="861" ht="0" hidden="1" customHeight="1"/>
    <row r="862" ht="0" hidden="1" customHeight="1"/>
    <row r="863" ht="0" hidden="1" customHeight="1"/>
    <row r="864" ht="0" hidden="1" customHeight="1"/>
    <row r="865" ht="0" hidden="1" customHeight="1"/>
    <row r="866" ht="0" hidden="1" customHeight="1"/>
    <row r="867" ht="0" hidden="1" customHeight="1"/>
    <row r="868" ht="0" hidden="1" customHeight="1"/>
    <row r="869" ht="0" hidden="1" customHeight="1"/>
    <row r="870" ht="0" hidden="1" customHeight="1"/>
    <row r="871" ht="0" hidden="1" customHeight="1"/>
    <row r="872" ht="0" hidden="1" customHeight="1"/>
    <row r="873" ht="0" hidden="1" customHeight="1"/>
    <row r="874" ht="0" hidden="1" customHeight="1"/>
    <row r="875" ht="0" hidden="1" customHeight="1"/>
    <row r="876" ht="0" hidden="1" customHeight="1"/>
    <row r="877" ht="0" hidden="1" customHeight="1"/>
    <row r="878" ht="0" hidden="1" customHeight="1"/>
    <row r="879" ht="0" hidden="1" customHeight="1"/>
    <row r="880" ht="0" hidden="1" customHeight="1"/>
    <row r="881" ht="0" hidden="1" customHeight="1"/>
    <row r="882" ht="0" hidden="1" customHeight="1"/>
    <row r="883" ht="0" hidden="1" customHeight="1"/>
    <row r="884" ht="0" hidden="1" customHeight="1"/>
    <row r="885" ht="0" hidden="1" customHeight="1"/>
    <row r="886" ht="0" hidden="1" customHeight="1"/>
    <row r="887" ht="0" hidden="1" customHeight="1"/>
    <row r="888" ht="0" hidden="1" customHeight="1"/>
    <row r="889" ht="0" hidden="1" customHeight="1"/>
    <row r="890" ht="0" hidden="1" customHeight="1"/>
    <row r="891" ht="0" hidden="1" customHeight="1"/>
    <row r="892" ht="0" hidden="1" customHeight="1"/>
    <row r="893" ht="0" hidden="1" customHeight="1"/>
    <row r="894" ht="0" hidden="1" customHeight="1"/>
    <row r="895" ht="0" hidden="1" customHeight="1"/>
    <row r="896" ht="0" hidden="1" customHeight="1"/>
    <row r="897" ht="0" hidden="1" customHeight="1"/>
    <row r="898" ht="0" hidden="1" customHeight="1"/>
    <row r="899" ht="0" hidden="1" customHeight="1"/>
    <row r="900" ht="0" hidden="1" customHeight="1"/>
    <row r="901" ht="0" hidden="1" customHeight="1"/>
    <row r="902" ht="0" hidden="1" customHeight="1"/>
    <row r="903" ht="0" hidden="1" customHeight="1"/>
    <row r="904" ht="0" hidden="1" customHeight="1"/>
    <row r="905" ht="0" hidden="1" customHeight="1"/>
    <row r="906" ht="0" hidden="1" customHeight="1"/>
    <row r="907" ht="0" hidden="1" customHeight="1"/>
    <row r="908" ht="0" hidden="1" customHeight="1"/>
    <row r="909" ht="0" hidden="1" customHeight="1"/>
    <row r="910" ht="0" hidden="1" customHeight="1"/>
    <row r="911" ht="0" hidden="1" customHeight="1"/>
    <row r="912" ht="0" hidden="1" customHeight="1"/>
    <row r="913" ht="0" hidden="1" customHeight="1"/>
    <row r="914" ht="0" hidden="1" customHeight="1"/>
    <row r="915" ht="0" hidden="1" customHeight="1"/>
    <row r="916" ht="0" hidden="1" customHeight="1"/>
    <row r="917" ht="0" hidden="1" customHeight="1"/>
    <row r="918" ht="0" hidden="1" customHeight="1"/>
    <row r="919" ht="0" hidden="1" customHeight="1"/>
    <row r="920" ht="0" hidden="1" customHeight="1"/>
    <row r="921" ht="0" hidden="1" customHeight="1"/>
    <row r="922" ht="0" hidden="1" customHeight="1"/>
    <row r="923" ht="0" hidden="1" customHeight="1"/>
    <row r="924" ht="0" hidden="1" customHeight="1"/>
    <row r="925" ht="0" hidden="1" customHeight="1"/>
    <row r="926" ht="0" hidden="1" customHeight="1"/>
  </sheetData>
  <mergeCells count="123">
    <mergeCell ref="G8:G9"/>
    <mergeCell ref="J8:J9"/>
    <mergeCell ref="L8:L9"/>
    <mergeCell ref="E28:E29"/>
    <mergeCell ref="F28:F29"/>
    <mergeCell ref="H28:L29"/>
    <mergeCell ref="O28:V29"/>
    <mergeCell ref="W28:X29"/>
    <mergeCell ref="Z28:Z29"/>
    <mergeCell ref="AC29:AC32"/>
    <mergeCell ref="E30:E31"/>
    <mergeCell ref="F30:F31"/>
    <mergeCell ref="H30:J31"/>
    <mergeCell ref="O30:Q31"/>
    <mergeCell ref="V30:V31"/>
    <mergeCell ref="W30:X31"/>
    <mergeCell ref="O160:Y160"/>
    <mergeCell ref="O161:Y161"/>
    <mergeCell ref="O162:Y162"/>
    <mergeCell ref="O163:Y163"/>
    <mergeCell ref="O164:Y164"/>
    <mergeCell ref="O165:Z165"/>
    <mergeCell ref="Z30:Z31"/>
    <mergeCell ref="E32:E33"/>
    <mergeCell ref="F32:F33"/>
    <mergeCell ref="H32:J33"/>
    <mergeCell ref="O158:Z158"/>
    <mergeCell ref="O159:Z159"/>
    <mergeCell ref="O172:Z172"/>
    <mergeCell ref="O173:Z173"/>
    <mergeCell ref="O174:Z174"/>
    <mergeCell ref="O175:Z175"/>
    <mergeCell ref="O176:Z176"/>
    <mergeCell ref="O177:Z177"/>
    <mergeCell ref="O166:Z166"/>
    <mergeCell ref="O167:Z167"/>
    <mergeCell ref="O168:Z168"/>
    <mergeCell ref="O169:Z169"/>
    <mergeCell ref="O170:Z170"/>
    <mergeCell ref="O171:Z171"/>
    <mergeCell ref="O184:Z184"/>
    <mergeCell ref="O185:Z185"/>
    <mergeCell ref="O186:Z186"/>
    <mergeCell ref="O187:Z187"/>
    <mergeCell ref="O188:Z188"/>
    <mergeCell ref="O189:Z189"/>
    <mergeCell ref="O178:Z178"/>
    <mergeCell ref="O179:Z179"/>
    <mergeCell ref="O180:Z180"/>
    <mergeCell ref="O181:Z181"/>
    <mergeCell ref="O182:Z182"/>
    <mergeCell ref="O183:Z183"/>
    <mergeCell ref="O196:Z196"/>
    <mergeCell ref="O197:Z197"/>
    <mergeCell ref="O198:Z198"/>
    <mergeCell ref="O199:Z199"/>
    <mergeCell ref="O200:Z200"/>
    <mergeCell ref="O201:Z201"/>
    <mergeCell ref="O190:Z190"/>
    <mergeCell ref="O191:Z191"/>
    <mergeCell ref="O192:Z192"/>
    <mergeCell ref="O193:Z193"/>
    <mergeCell ref="O194:Z194"/>
    <mergeCell ref="O195:Z195"/>
    <mergeCell ref="O208:Z208"/>
    <mergeCell ref="O209:Z209"/>
    <mergeCell ref="O210:Z210"/>
    <mergeCell ref="O211:Z211"/>
    <mergeCell ref="O212:Z212"/>
    <mergeCell ref="O213:Z213"/>
    <mergeCell ref="O202:Z202"/>
    <mergeCell ref="O203:Z203"/>
    <mergeCell ref="O204:Z204"/>
    <mergeCell ref="O205:Z205"/>
    <mergeCell ref="O206:Z206"/>
    <mergeCell ref="O207:Z207"/>
    <mergeCell ref="O220:Z220"/>
    <mergeCell ref="O221:Z221"/>
    <mergeCell ref="O222:Z222"/>
    <mergeCell ref="O223:Z223"/>
    <mergeCell ref="O224:Z224"/>
    <mergeCell ref="O225:Z225"/>
    <mergeCell ref="O214:Z214"/>
    <mergeCell ref="O215:Z215"/>
    <mergeCell ref="O216:Z216"/>
    <mergeCell ref="O217:Z217"/>
    <mergeCell ref="O218:Z218"/>
    <mergeCell ref="O219:Z219"/>
    <mergeCell ref="O232:Z232"/>
    <mergeCell ref="O233:Z233"/>
    <mergeCell ref="O234:Z234"/>
    <mergeCell ref="O235:Z235"/>
    <mergeCell ref="O236:Z236"/>
    <mergeCell ref="O237:Z237"/>
    <mergeCell ref="O226:Z226"/>
    <mergeCell ref="O227:Z227"/>
    <mergeCell ref="O228:Z228"/>
    <mergeCell ref="O229:Z229"/>
    <mergeCell ref="O230:Z230"/>
    <mergeCell ref="O231:Z231"/>
    <mergeCell ref="O244:Z244"/>
    <mergeCell ref="O245:Z245"/>
    <mergeCell ref="O246:Z246"/>
    <mergeCell ref="O247:Z247"/>
    <mergeCell ref="O248:Z248"/>
    <mergeCell ref="O249:Z249"/>
    <mergeCell ref="O238:Z238"/>
    <mergeCell ref="O239:Z239"/>
    <mergeCell ref="O240:Z240"/>
    <mergeCell ref="O241:Z241"/>
    <mergeCell ref="O242:Z242"/>
    <mergeCell ref="O243:Z243"/>
    <mergeCell ref="O256:Z256"/>
    <mergeCell ref="O257:Z257"/>
    <mergeCell ref="O258:Z258"/>
    <mergeCell ref="O259:Z259"/>
    <mergeCell ref="O260:Z260"/>
    <mergeCell ref="O250:Z250"/>
    <mergeCell ref="O251:Z251"/>
    <mergeCell ref="O252:Z252"/>
    <mergeCell ref="O253:Z253"/>
    <mergeCell ref="O254:Z254"/>
    <mergeCell ref="O255:Z255"/>
  </mergeCells>
  <pageMargins left="0.25" right="0.25" top="0.75" bottom="0.75" header="0.3" footer="0.3"/>
  <pageSetup paperSize="8" scale="4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W780"/>
  <sheetViews>
    <sheetView showGridLines="0" zoomScale="40" zoomScaleNormal="40" workbookViewId="0">
      <selection activeCell="Z25" sqref="Z25"/>
    </sheetView>
  </sheetViews>
  <sheetFormatPr defaultColWidth="0" defaultRowHeight="0" customHeight="1" zeroHeight="1"/>
  <cols>
    <col min="1" max="1" width="2.109375" customWidth="1"/>
    <col min="2" max="2" width="4" customWidth="1"/>
    <col min="3" max="3" width="1.44140625" customWidth="1"/>
    <col min="4" max="4" width="3.109375" customWidth="1"/>
    <col min="5" max="5" width="48.44140625" bestFit="1" customWidth="1"/>
    <col min="6" max="6" width="19" customWidth="1"/>
    <col min="7" max="7" width="32.44140625" customWidth="1"/>
    <col min="8" max="8" width="28.33203125" customWidth="1"/>
    <col min="9" max="9" width="22.109375" customWidth="1"/>
    <col min="10" max="10" width="8.109375" customWidth="1"/>
    <col min="11" max="11" width="7.6640625" style="1" customWidth="1"/>
    <col min="12" max="12" width="14.5546875" customWidth="1"/>
    <col min="13" max="13" width="19" customWidth="1"/>
    <col min="14" max="14" width="3.44140625" customWidth="1"/>
    <col min="15" max="15" width="19" customWidth="1"/>
    <col min="16" max="16" width="3.44140625" customWidth="1"/>
    <col min="17" max="17" width="19" customWidth="1"/>
    <col min="18" max="18" width="21.33203125" hidden="1" customWidth="1"/>
    <col min="19" max="21" width="17.33203125" hidden="1" customWidth="1"/>
    <col min="22" max="22" width="19.77734375" style="2" customWidth="1"/>
    <col min="23" max="23" width="7.109375" style="2" customWidth="1"/>
    <col min="24" max="24" width="3.44140625" style="2" customWidth="1"/>
    <col min="25" max="26" width="16.5546875" style="2" customWidth="1"/>
    <col min="27" max="27" width="22.88671875" style="2" customWidth="1"/>
    <col min="28" max="30" width="16.5546875" style="2" customWidth="1"/>
    <col min="31" max="31" width="16" style="2" customWidth="1"/>
    <col min="32" max="32" width="12.6640625" hidden="1" customWidth="1"/>
    <col min="33" max="33" width="37.44140625" hidden="1" customWidth="1"/>
    <col min="34" max="34" width="12.6640625" style="2" hidden="1" customWidth="1"/>
    <col min="35" max="35" width="22.109375" hidden="1" customWidth="1"/>
    <col min="36" max="36" width="25.6640625" hidden="1" customWidth="1"/>
    <col min="37" max="37" width="10.109375" hidden="1" customWidth="1"/>
    <col min="38" max="38" width="13.6640625" hidden="1" customWidth="1"/>
    <col min="39" max="39" width="65.5546875" hidden="1" customWidth="1"/>
    <col min="40" max="40" width="69.44140625" hidden="1" customWidth="1"/>
    <col min="41" max="45" width="12.6640625" hidden="1" customWidth="1"/>
    <col min="46" max="46" width="13.33203125" hidden="1" customWidth="1"/>
    <col min="47" max="49" width="12.6640625" hidden="1" customWidth="1"/>
    <col min="50" max="16384" width="10" hidden="1"/>
  </cols>
  <sheetData>
    <row r="1" spans="1:34" ht="16.2" customHeight="1"/>
    <row r="2" spans="1:34" ht="14.4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4.4">
      <c r="A3" s="6"/>
      <c r="B3" s="6"/>
      <c r="C3" s="6"/>
      <c r="D3" s="6"/>
      <c r="E3" s="7"/>
      <c r="F3" s="7"/>
      <c r="G3" s="7"/>
      <c r="H3" s="7"/>
      <c r="I3" s="7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4.4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3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6" customHeight="1">
      <c r="A6" s="2"/>
      <c r="B6" s="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4" hidden="1">
      <c r="A7" s="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24" customHeight="1">
      <c r="A8" s="2"/>
      <c r="B8" s="14"/>
      <c r="C8" s="15"/>
      <c r="D8" s="14" t="s">
        <v>417</v>
      </c>
      <c r="E8" s="15"/>
      <c r="F8" s="12"/>
      <c r="G8" s="306"/>
      <c r="H8" s="16"/>
      <c r="I8" s="16"/>
      <c r="J8" s="306"/>
      <c r="K8" s="16"/>
      <c r="L8" s="306"/>
      <c r="M8" s="15"/>
      <c r="N8" s="15"/>
      <c r="O8" s="15"/>
      <c r="P8" s="15"/>
      <c r="Q8" s="15"/>
      <c r="R8" s="15"/>
      <c r="S8" s="15"/>
      <c r="T8" s="15"/>
      <c r="U8" s="15"/>
      <c r="V8" s="12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33.6" hidden="1">
      <c r="A9" s="14"/>
      <c r="B9" s="15"/>
      <c r="C9" s="15"/>
      <c r="D9" s="15"/>
      <c r="E9" s="15"/>
      <c r="F9" s="17"/>
      <c r="G9" s="306"/>
      <c r="H9" s="16"/>
      <c r="I9" s="16"/>
      <c r="J9" s="306"/>
      <c r="K9" s="16"/>
      <c r="L9" s="306"/>
      <c r="M9" s="15"/>
      <c r="N9" s="15"/>
      <c r="O9" s="15"/>
      <c r="P9" s="15"/>
      <c r="Q9" s="15"/>
      <c r="R9" s="15"/>
      <c r="S9" s="15"/>
      <c r="T9" s="15"/>
      <c r="U9" s="15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26.4" hidden="1">
      <c r="A10" s="14"/>
      <c r="B10" s="15"/>
      <c r="C10" s="15"/>
      <c r="D10" s="15"/>
      <c r="E10" s="15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  <c r="S10" s="15"/>
      <c r="T10" s="15"/>
      <c r="U10" s="15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7.5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2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23.4" customHeight="1">
      <c r="A12" s="14"/>
      <c r="B12" s="15"/>
      <c r="C12" s="15"/>
      <c r="D12" s="15"/>
      <c r="E12" s="15"/>
      <c r="F12" s="15"/>
      <c r="G12" s="19"/>
      <c r="H12" s="19"/>
      <c r="I12" s="15"/>
      <c r="J12" s="15"/>
      <c r="K12" s="15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20"/>
      <c r="W12" s="13"/>
      <c r="X12" s="19"/>
      <c r="Y12" s="19"/>
      <c r="Z12" s="19"/>
      <c r="AA12" s="19"/>
      <c r="AB12" s="19"/>
      <c r="AC12" s="19"/>
      <c r="AD12" s="19"/>
      <c r="AE12" s="13"/>
      <c r="AF12" s="13"/>
      <c r="AG12" s="13"/>
      <c r="AH12" s="13"/>
    </row>
    <row r="13" spans="1:34" ht="26.4">
      <c r="A13" s="14"/>
      <c r="B13" s="21"/>
      <c r="C13" s="22"/>
      <c r="D13" s="23"/>
      <c r="E13" s="23"/>
      <c r="F13" s="23"/>
      <c r="G13" s="24"/>
      <c r="H13" s="24"/>
      <c r="I13" s="223"/>
      <c r="J13" s="25"/>
      <c r="K13" s="26"/>
      <c r="L13" s="24"/>
      <c r="M13" s="24"/>
      <c r="N13" s="24"/>
      <c r="O13" s="24"/>
      <c r="P13" s="24"/>
      <c r="Q13" s="24"/>
      <c r="R13" s="27"/>
      <c r="S13" s="27"/>
      <c r="T13" s="27"/>
      <c r="U13" s="27"/>
      <c r="V13" s="28"/>
      <c r="W13" s="29"/>
      <c r="X13" s="27"/>
      <c r="Y13" s="30"/>
      <c r="Z13" s="30"/>
      <c r="AA13" s="30"/>
      <c r="AB13" s="30"/>
      <c r="AC13" s="30"/>
      <c r="AD13" s="25"/>
      <c r="AE13" s="13"/>
      <c r="AF13" s="13"/>
      <c r="AG13" s="13"/>
      <c r="AH13" s="13"/>
    </row>
    <row r="14" spans="1:34" ht="27" thickBot="1">
      <c r="A14" s="14"/>
      <c r="B14" s="21"/>
      <c r="C14" s="27"/>
      <c r="D14" s="27"/>
      <c r="E14" s="27"/>
      <c r="F14" s="27"/>
      <c r="G14" s="24"/>
      <c r="H14" s="24"/>
      <c r="I14" s="24"/>
      <c r="J14" s="31"/>
      <c r="K14" s="26"/>
      <c r="L14" s="24"/>
      <c r="M14" s="24"/>
      <c r="N14" s="24"/>
      <c r="O14" s="24"/>
      <c r="P14" s="24"/>
      <c r="Q14" s="24"/>
      <c r="R14" s="27"/>
      <c r="S14" s="27"/>
      <c r="T14" s="27"/>
      <c r="U14" s="27"/>
      <c r="V14" s="32"/>
      <c r="W14" s="29"/>
      <c r="X14" s="30"/>
      <c r="Y14" s="33"/>
      <c r="Z14" s="33"/>
      <c r="AA14" s="33"/>
      <c r="AB14" s="33"/>
      <c r="AC14" s="33"/>
      <c r="AD14" s="31"/>
      <c r="AE14" s="13"/>
      <c r="AF14" s="13"/>
      <c r="AG14" s="13"/>
      <c r="AH14" s="13"/>
    </row>
    <row r="15" spans="1:34" ht="27" thickBot="1">
      <c r="A15" s="14"/>
      <c r="B15" s="21"/>
      <c r="C15" s="27"/>
      <c r="D15" s="27"/>
      <c r="E15" s="27"/>
      <c r="F15" s="27"/>
      <c r="G15" s="24"/>
      <c r="H15" s="24"/>
      <c r="I15" s="24"/>
      <c r="J15" s="31"/>
      <c r="K15" s="26"/>
      <c r="L15" s="24"/>
      <c r="M15" s="24"/>
      <c r="N15" s="24"/>
      <c r="O15" s="24"/>
      <c r="P15" s="24"/>
      <c r="Q15" s="24"/>
      <c r="R15" s="15"/>
      <c r="S15" s="15"/>
      <c r="T15" s="15"/>
      <c r="U15" s="15"/>
      <c r="V15" s="34"/>
      <c r="W15" s="29"/>
      <c r="X15"/>
      <c r="Y15" s="35"/>
      <c r="Z15" s="36"/>
      <c r="AA15" s="36"/>
      <c r="AB15" s="36"/>
      <c r="AC15" s="36"/>
      <c r="AD15" s="37"/>
      <c r="AE15" s="13"/>
      <c r="AF15" s="13"/>
      <c r="AG15" s="13"/>
      <c r="AH15" s="13"/>
    </row>
    <row r="16" spans="1:34" ht="33" thickTop="1">
      <c r="A16" s="14"/>
      <c r="B16" s="21"/>
      <c r="C16" s="27"/>
      <c r="D16" s="27"/>
      <c r="E16" s="27"/>
      <c r="F16" s="27"/>
      <c r="G16" s="24"/>
      <c r="H16" s="24"/>
      <c r="I16" s="24"/>
      <c r="J16" s="31"/>
      <c r="K16" s="26"/>
      <c r="L16" s="38"/>
      <c r="M16" s="39">
        <f>COUNTA(F42:F42)</f>
        <v>0</v>
      </c>
      <c r="O16" s="40">
        <f>COUNTA(F49:F197)</f>
        <v>149</v>
      </c>
      <c r="Q16" s="41">
        <f>COUNTA(F204:F215)</f>
        <v>12</v>
      </c>
      <c r="R16" s="15"/>
      <c r="S16" s="15"/>
      <c r="T16" s="15"/>
      <c r="U16" s="15"/>
      <c r="V16" s="34"/>
      <c r="W16" s="29"/>
      <c r="X16"/>
      <c r="Y16" s="42"/>
      <c r="Z16" s="42"/>
      <c r="AA16" s="42"/>
      <c r="AB16" s="42"/>
      <c r="AC16" s="42"/>
      <c r="AD16" s="37"/>
      <c r="AE16" s="13"/>
      <c r="AF16" s="13"/>
      <c r="AG16" s="13"/>
      <c r="AH16" s="13"/>
    </row>
    <row r="17" spans="1:34" ht="27" thickBot="1">
      <c r="A17" s="14"/>
      <c r="B17" s="21"/>
      <c r="C17" s="27"/>
      <c r="D17" s="27"/>
      <c r="E17" s="27"/>
      <c r="F17" s="27"/>
      <c r="G17" s="24"/>
      <c r="H17" s="24"/>
      <c r="I17" s="24"/>
      <c r="J17" s="31"/>
      <c r="K17" s="26"/>
      <c r="L17" s="38"/>
      <c r="M17" s="43" t="s">
        <v>1</v>
      </c>
      <c r="N17" s="44"/>
      <c r="O17" s="45" t="s">
        <v>2</v>
      </c>
      <c r="P17" s="44"/>
      <c r="Q17" s="46" t="s">
        <v>3</v>
      </c>
      <c r="R17" s="2"/>
      <c r="S17" s="2"/>
      <c r="T17" s="2"/>
      <c r="U17" s="2"/>
      <c r="V17" s="34"/>
      <c r="W17" s="29"/>
      <c r="X17"/>
      <c r="Y17" s="47"/>
      <c r="Z17" s="47"/>
      <c r="AA17" s="47"/>
      <c r="AB17" s="47"/>
      <c r="AC17" s="47"/>
      <c r="AD17" s="48"/>
      <c r="AE17" s="13"/>
      <c r="AF17" s="13"/>
      <c r="AG17" s="13"/>
      <c r="AH17" s="13"/>
    </row>
    <row r="18" spans="1:34" ht="27.6" thickTop="1" thickBot="1">
      <c r="A18" s="14"/>
      <c r="B18" s="21"/>
      <c r="C18" s="27"/>
      <c r="D18" s="27"/>
      <c r="E18" s="27"/>
      <c r="F18" s="27"/>
      <c r="G18" s="24"/>
      <c r="H18" s="24"/>
      <c r="I18" s="24"/>
      <c r="J18" s="31"/>
      <c r="K18" s="26"/>
      <c r="L18" s="49"/>
      <c r="M18" s="50"/>
      <c r="O18" s="51"/>
      <c r="Q18" s="52"/>
      <c r="R18" s="2"/>
      <c r="S18" s="2"/>
      <c r="T18" s="2"/>
      <c r="U18" s="2"/>
      <c r="V18" s="34"/>
      <c r="W18" s="29"/>
      <c r="X18"/>
      <c r="Y18" s="53"/>
      <c r="Z18" s="53"/>
      <c r="AA18" s="54"/>
      <c r="AB18" s="53"/>
      <c r="AC18" s="53"/>
      <c r="AD18" s="34"/>
      <c r="AE18" s="13"/>
      <c r="AF18" s="13"/>
      <c r="AG18" s="13"/>
      <c r="AH18" s="13"/>
    </row>
    <row r="19" spans="1:34" ht="27.6" thickTop="1" thickBot="1">
      <c r="A19" s="14"/>
      <c r="B19" s="21"/>
      <c r="C19" s="27"/>
      <c r="D19" s="27"/>
      <c r="E19" s="55"/>
      <c r="F19" s="27"/>
      <c r="G19" s="24"/>
      <c r="H19" s="24"/>
      <c r="I19" s="24"/>
      <c r="J19" s="31"/>
      <c r="K19" s="26"/>
      <c r="L19" s="56" t="s">
        <v>4</v>
      </c>
      <c r="M19" s="57">
        <f>M16-M20</f>
        <v>0</v>
      </c>
      <c r="N19" s="58"/>
      <c r="O19" s="59">
        <f>O16-O20</f>
        <v>0</v>
      </c>
      <c r="P19" s="58"/>
      <c r="Q19" s="60">
        <f>Q16-Q20</f>
        <v>0</v>
      </c>
      <c r="R19" s="2"/>
      <c r="S19" s="2"/>
      <c r="T19" s="2"/>
      <c r="U19" s="2"/>
      <c r="V19" s="61"/>
      <c r="W19" s="29"/>
      <c r="X19"/>
      <c r="Y19" s="62"/>
      <c r="Z19" s="62"/>
      <c r="AA19" s="62"/>
      <c r="AB19" s="62"/>
      <c r="AC19" s="62"/>
      <c r="AD19" s="34"/>
      <c r="AE19" s="13"/>
      <c r="AF19" s="13"/>
      <c r="AG19" s="13"/>
      <c r="AH19" s="13"/>
    </row>
    <row r="20" spans="1:34" ht="27" thickTop="1">
      <c r="A20" s="14"/>
      <c r="B20" s="21"/>
      <c r="C20" s="63"/>
      <c r="D20" s="27"/>
      <c r="E20" s="27"/>
      <c r="F20" s="27"/>
      <c r="G20" s="24"/>
      <c r="H20" s="24"/>
      <c r="I20" s="24"/>
      <c r="J20" s="31"/>
      <c r="K20" s="26"/>
      <c r="L20" s="24"/>
      <c r="M20" s="64">
        <v>0</v>
      </c>
      <c r="N20" s="65"/>
      <c r="O20" s="66">
        <v>149</v>
      </c>
      <c r="P20" s="67"/>
      <c r="Q20" s="68">
        <v>12</v>
      </c>
      <c r="R20" s="2"/>
      <c r="S20" s="2"/>
      <c r="T20" s="2"/>
      <c r="U20" s="2"/>
      <c r="V20" s="34"/>
      <c r="W20" s="29"/>
      <c r="X20" s="30"/>
      <c r="Y20" s="33"/>
      <c r="Z20" s="33"/>
      <c r="AA20" s="33"/>
      <c r="AB20" s="33"/>
      <c r="AC20" s="33"/>
      <c r="AD20" s="31"/>
      <c r="AE20" s="13"/>
      <c r="AF20" s="13"/>
      <c r="AG20" s="13"/>
      <c r="AH20" s="13"/>
    </row>
    <row r="21" spans="1:34" ht="26.4">
      <c r="A21" s="14"/>
      <c r="B21" s="15"/>
      <c r="C21" s="63"/>
      <c r="D21" s="27"/>
      <c r="E21" s="27"/>
      <c r="F21" s="27"/>
      <c r="G21" s="24"/>
      <c r="H21" s="24"/>
      <c r="I21" s="24"/>
      <c r="J21" s="31"/>
      <c r="K21" s="26"/>
      <c r="L21" s="24"/>
      <c r="M21" s="24" t="s">
        <v>418</v>
      </c>
      <c r="N21" s="24"/>
      <c r="O21" s="24"/>
      <c r="P21" s="24"/>
      <c r="Q21" s="24"/>
      <c r="R21" s="27"/>
      <c r="S21" s="27"/>
      <c r="T21" s="27"/>
      <c r="U21" s="27"/>
      <c r="V21" s="32"/>
      <c r="W21" s="29"/>
      <c r="X21" s="30"/>
      <c r="Y21" s="33"/>
      <c r="Z21" s="33"/>
      <c r="AA21"/>
      <c r="AB21" s="33"/>
      <c r="AC21" s="33"/>
      <c r="AD21" s="31"/>
      <c r="AE21" s="13"/>
      <c r="AF21" s="13"/>
      <c r="AG21" s="13"/>
      <c r="AH21" s="13"/>
    </row>
    <row r="22" spans="1:34" ht="26.4">
      <c r="A22" s="14"/>
      <c r="B22" s="15"/>
      <c r="C22" s="69"/>
      <c r="D22" s="24"/>
      <c r="E22" s="24"/>
      <c r="F22" s="24"/>
      <c r="G22" s="24"/>
      <c r="H22" s="24"/>
      <c r="I22" s="24"/>
      <c r="J22" s="31"/>
      <c r="K22" s="26"/>
      <c r="L22" s="24"/>
      <c r="M22" s="24"/>
      <c r="N22" s="24"/>
      <c r="O22" s="24"/>
      <c r="P22" s="24"/>
      <c r="Q22" s="24"/>
      <c r="R22" s="15"/>
      <c r="S22" s="15"/>
      <c r="T22" s="15"/>
      <c r="U22" s="15"/>
      <c r="V22" s="34"/>
      <c r="W22" s="29"/>
      <c r="X22" s="30"/>
      <c r="Y22" s="30"/>
      <c r="Z22" s="30"/>
      <c r="AA22" s="30"/>
      <c r="AB22" s="30"/>
      <c r="AC22" s="30"/>
      <c r="AD22" s="70"/>
      <c r="AE22" s="13"/>
      <c r="AF22" s="13"/>
      <c r="AG22" s="13"/>
      <c r="AH22" s="13"/>
    </row>
    <row r="23" spans="1:34" ht="19.2" customHeight="1">
      <c r="A23" s="14"/>
      <c r="B23" s="26"/>
      <c r="C23" s="24"/>
      <c r="D23" s="71"/>
      <c r="E23" s="71"/>
      <c r="F23" s="71"/>
      <c r="G23" s="71"/>
      <c r="H23" s="71"/>
      <c r="I23" s="71"/>
      <c r="J23" s="72"/>
      <c r="K23" s="26"/>
      <c r="L23" s="71"/>
      <c r="M23" s="71"/>
      <c r="N23" s="71"/>
      <c r="O23" s="71"/>
      <c r="P23" s="71"/>
      <c r="Q23" s="71"/>
      <c r="R23" s="15"/>
      <c r="S23" s="15"/>
      <c r="T23" s="15"/>
      <c r="U23" s="15"/>
      <c r="V23" s="73"/>
      <c r="W23" s="29"/>
      <c r="X23" s="74"/>
      <c r="Y23" s="75"/>
      <c r="Z23" s="75"/>
      <c r="AA23" s="75"/>
      <c r="AB23" s="75"/>
      <c r="AC23" s="75"/>
      <c r="AD23" s="75"/>
      <c r="AE23" s="76"/>
      <c r="AF23" s="13"/>
      <c r="AG23" s="13"/>
      <c r="AH23" s="13"/>
    </row>
    <row r="24" spans="1:34" ht="10.8" customHeight="1">
      <c r="A24" s="14"/>
      <c r="B24" s="15"/>
      <c r="C24" s="77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ht="26.4">
      <c r="A25" s="14"/>
      <c r="B25" s="15"/>
      <c r="C25" s="1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5"/>
      <c r="S25" s="15"/>
      <c r="T25" s="15"/>
      <c r="U25" s="15"/>
      <c r="V25" s="19"/>
      <c r="W25" s="19"/>
      <c r="X25" s="19"/>
      <c r="Y25" s="19"/>
      <c r="Z25" s="19"/>
      <c r="AA25" s="19"/>
      <c r="AB25" s="19"/>
      <c r="AC25" s="19"/>
      <c r="AD25" s="19"/>
      <c r="AE25" s="13"/>
      <c r="AF25" s="13"/>
      <c r="AG25" s="13"/>
      <c r="AH25" s="13"/>
    </row>
    <row r="26" spans="1:34" ht="26.4">
      <c r="A26" s="14"/>
      <c r="B26" s="26"/>
      <c r="C26" s="78"/>
      <c r="D26" s="24"/>
      <c r="E26" s="24"/>
      <c r="F26" s="24"/>
      <c r="G26" s="24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30"/>
      <c r="Y26" s="30"/>
      <c r="Z26" s="30"/>
      <c r="AA26" s="30"/>
      <c r="AB26" s="30"/>
      <c r="AC26" s="30"/>
      <c r="AD26" s="80"/>
      <c r="AE26" s="13"/>
      <c r="AF26" s="13"/>
      <c r="AG26" s="13"/>
      <c r="AH26" s="13"/>
    </row>
    <row r="27" spans="1:34" ht="26.4">
      <c r="A27" s="14"/>
      <c r="B27" s="26"/>
      <c r="C27" s="24"/>
      <c r="D27" s="24"/>
      <c r="E27" s="81" t="s">
        <v>411</v>
      </c>
      <c r="F27" s="82" t="s">
        <v>7</v>
      </c>
      <c r="G27" s="82"/>
      <c r="H27" s="82" t="s">
        <v>8</v>
      </c>
      <c r="I27" s="79"/>
      <c r="J27" s="79"/>
      <c r="K27" s="79"/>
      <c r="L27" s="79"/>
      <c r="M27" s="79"/>
      <c r="N27" s="79"/>
      <c r="O27" s="81" t="s">
        <v>411</v>
      </c>
      <c r="P27" s="79"/>
      <c r="Q27" s="79"/>
      <c r="R27" s="79"/>
      <c r="S27" s="79"/>
      <c r="T27" s="79"/>
      <c r="U27" s="79"/>
      <c r="V27" s="81" t="s">
        <v>7</v>
      </c>
      <c r="W27" s="79"/>
      <c r="X27" s="30"/>
      <c r="Y27" s="81"/>
      <c r="Z27" s="225" t="s">
        <v>8</v>
      </c>
      <c r="AA27" s="224"/>
      <c r="AB27" s="284"/>
      <c r="AC27" s="225"/>
      <c r="AD27" s="83"/>
      <c r="AE27" s="13"/>
      <c r="AF27" s="13"/>
      <c r="AG27" s="13"/>
      <c r="AH27" s="13"/>
    </row>
    <row r="28" spans="1:34" ht="28.8" customHeight="1">
      <c r="A28" s="14"/>
      <c r="B28" s="26"/>
      <c r="C28" s="24"/>
      <c r="D28" s="24"/>
      <c r="E28" s="167"/>
      <c r="F28" s="167"/>
      <c r="G28" s="167"/>
      <c r="H28" s="319"/>
      <c r="I28" s="319"/>
      <c r="J28" s="319"/>
      <c r="K28" s="319"/>
      <c r="L28" s="319"/>
      <c r="M28" s="79"/>
      <c r="N28" s="79"/>
      <c r="O28" s="305" t="s">
        <v>27</v>
      </c>
      <c r="P28" s="305"/>
      <c r="Q28" s="305"/>
      <c r="R28" s="167"/>
      <c r="S28" s="124"/>
      <c r="T28" s="124"/>
      <c r="U28" s="124"/>
      <c r="V28" s="320" t="s">
        <v>28</v>
      </c>
      <c r="W28" s="124"/>
      <c r="X28" s="297"/>
      <c r="Y28" s="124"/>
      <c r="Z28" s="124"/>
      <c r="AA28" s="79"/>
      <c r="AB28" s="285"/>
      <c r="AC28" s="33"/>
      <c r="AD28" s="70"/>
      <c r="AE28" s="13"/>
      <c r="AF28" s="13"/>
      <c r="AG28" s="13"/>
      <c r="AH28" s="13"/>
    </row>
    <row r="29" spans="1:34" ht="19.8">
      <c r="A29" s="13"/>
      <c r="B29" s="26"/>
      <c r="C29" s="24"/>
      <c r="D29" s="87"/>
      <c r="E29" s="87"/>
      <c r="F29" s="87"/>
      <c r="G29" s="87"/>
      <c r="H29" s="300"/>
      <c r="I29" s="300"/>
      <c r="J29" s="303"/>
      <c r="K29" s="87"/>
      <c r="L29" s="79"/>
      <c r="M29" s="79"/>
      <c r="N29" s="79"/>
      <c r="O29" s="305"/>
      <c r="P29" s="305"/>
      <c r="Q29" s="305"/>
      <c r="R29" s="167"/>
      <c r="S29" s="124"/>
      <c r="T29" s="124"/>
      <c r="U29" s="124"/>
      <c r="V29" s="320"/>
      <c r="W29" s="124"/>
      <c r="X29" s="298"/>
      <c r="Y29" s="124"/>
      <c r="Z29" s="87"/>
      <c r="AA29" s="79"/>
      <c r="AB29" s="286"/>
      <c r="AC29" s="317"/>
      <c r="AD29" s="32"/>
      <c r="AE29" s="13"/>
      <c r="AF29" s="13"/>
      <c r="AG29" s="13"/>
      <c r="AH29" s="13"/>
    </row>
    <row r="30" spans="1:34" ht="44.4" customHeight="1">
      <c r="A30" s="2"/>
      <c r="B30" s="90"/>
      <c r="C30" s="91"/>
      <c r="D30" s="62"/>
      <c r="E30" s="87"/>
      <c r="F30" s="87"/>
      <c r="G30" s="87"/>
      <c r="H30" s="300"/>
      <c r="I30" s="300"/>
      <c r="J30" s="303"/>
      <c r="K30" s="87"/>
      <c r="L30" s="79"/>
      <c r="M30" s="79"/>
      <c r="N30" s="79"/>
      <c r="O30" s="303" t="s">
        <v>30</v>
      </c>
      <c r="P30" s="303"/>
      <c r="Q30" s="87"/>
      <c r="R30" s="87"/>
      <c r="S30" s="79"/>
      <c r="T30" s="79"/>
      <c r="U30" s="79"/>
      <c r="V30" s="320" t="s">
        <v>31</v>
      </c>
      <c r="W30" s="79"/>
      <c r="X30"/>
      <c r="Y30" s="79"/>
      <c r="Z30" s="87" t="s">
        <v>419</v>
      </c>
      <c r="AA30" s="79"/>
      <c r="AB30" s="79"/>
      <c r="AC30" s="317"/>
      <c r="AD30" s="32"/>
      <c r="AF30" s="2"/>
      <c r="AG30" s="2"/>
    </row>
    <row r="31" spans="1:34" ht="42" customHeight="1">
      <c r="A31" s="2"/>
      <c r="B31" s="90"/>
      <c r="C31" s="62"/>
      <c r="D31" s="62"/>
      <c r="E31" s="87"/>
      <c r="F31" s="87"/>
      <c r="G31" s="87"/>
      <c r="H31" s="308"/>
      <c r="I31" s="308"/>
      <c r="J31" s="235"/>
      <c r="K31" s="87"/>
      <c r="L31" s="79"/>
      <c r="M31" s="79"/>
      <c r="N31" s="79"/>
      <c r="O31" s="303"/>
      <c r="P31" s="303"/>
      <c r="Q31" s="87"/>
      <c r="R31" s="87"/>
      <c r="S31" s="79"/>
      <c r="T31" s="79"/>
      <c r="U31" s="79"/>
      <c r="V31" s="320"/>
      <c r="W31" s="79"/>
      <c r="X31"/>
      <c r="Y31" s="79"/>
      <c r="Z31" s="87"/>
      <c r="AA31" s="79"/>
      <c r="AB31" s="79"/>
      <c r="AC31" s="317"/>
      <c r="AD31" s="32"/>
      <c r="AF31" s="2"/>
      <c r="AG31" s="2"/>
    </row>
    <row r="32" spans="1:34" ht="28.8" customHeight="1">
      <c r="A32" s="2"/>
      <c r="B32" s="90"/>
      <c r="C32" s="62"/>
      <c r="D32" s="62"/>
      <c r="E32" s="87"/>
      <c r="F32" s="87"/>
      <c r="G32" s="87"/>
      <c r="H32" s="311"/>
      <c r="I32" s="311"/>
      <c r="J32" s="305"/>
      <c r="K32" s="87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/>
      <c r="Y32" s="79" t="str">
        <f>UPPER(X32)</f>
        <v/>
      </c>
      <c r="Z32" s="79" t="str">
        <f>UPPER(Y32)</f>
        <v/>
      </c>
      <c r="AA32" s="79"/>
      <c r="AB32" s="79"/>
      <c r="AC32" s="317"/>
      <c r="AD32" s="32"/>
      <c r="AF32" s="2"/>
      <c r="AG32" s="2"/>
    </row>
    <row r="33" spans="1:33" ht="38.4" customHeight="1">
      <c r="A33" s="2"/>
      <c r="B33" s="90"/>
      <c r="C33" s="62"/>
      <c r="D33" s="62"/>
      <c r="E33" s="168"/>
      <c r="F33" s="168"/>
      <c r="G33" s="24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/>
      <c r="Y33" s="95"/>
      <c r="Z33" s="95"/>
      <c r="AA33" s="233"/>
      <c r="AB33" s="97"/>
      <c r="AC33" s="92"/>
      <c r="AD33" s="32"/>
      <c r="AF33" s="2"/>
      <c r="AG33" s="2"/>
    </row>
    <row r="34" spans="1:33" ht="28.8" customHeight="1">
      <c r="A34" s="2"/>
      <c r="B34" s="90"/>
      <c r="C34" s="62"/>
      <c r="D34" s="62"/>
      <c r="E34" s="87"/>
      <c r="F34" s="87"/>
      <c r="G34" s="24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/>
      <c r="Y34" s="95"/>
      <c r="Z34" s="95"/>
      <c r="AA34" s="233"/>
      <c r="AB34" s="97"/>
      <c r="AC34"/>
      <c r="AD34" s="32"/>
      <c r="AF34" s="2"/>
      <c r="AG34" s="2"/>
    </row>
    <row r="35" spans="1:33" ht="28.8" customHeight="1">
      <c r="A35" s="2"/>
      <c r="B35" s="90"/>
      <c r="C35" s="62"/>
      <c r="D35" s="62"/>
      <c r="E35" s="98"/>
      <c r="F35" s="44"/>
      <c r="G35" s="24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/>
      <c r="Y35" s="95"/>
      <c r="Z35" s="95"/>
      <c r="AA35" s="233"/>
      <c r="AB35" s="97"/>
      <c r="AC35"/>
      <c r="AD35" s="32"/>
      <c r="AF35" s="2"/>
      <c r="AG35" s="2"/>
    </row>
    <row r="36" spans="1:33" s="2" customFormat="1" ht="14.4" customHeight="1">
      <c r="B36" s="90"/>
      <c r="C36" s="99"/>
      <c r="D36" s="100"/>
      <c r="E36" s="101"/>
      <c r="F36" s="101"/>
      <c r="G36" s="102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/>
      <c r="Y36" s="103"/>
      <c r="Z36" s="103"/>
      <c r="AA36" s="104"/>
      <c r="AB36" s="105"/>
      <c r="AC36" s="104"/>
      <c r="AD36" s="106"/>
    </row>
    <row r="37" spans="1:33" s="2" customFormat="1" ht="11.4" customHeight="1"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5"/>
      <c r="S37" s="15"/>
      <c r="T37" s="15"/>
      <c r="U37" s="15"/>
      <c r="V37" s="107"/>
      <c r="W37" s="107"/>
      <c r="X37" s="107"/>
      <c r="Y37" s="108"/>
      <c r="Z37" s="107"/>
      <c r="AB37" s="107"/>
    </row>
    <row r="38" spans="1:33" s="2" customFormat="1" ht="21.6" customHeight="1">
      <c r="D38" s="109"/>
      <c r="K38" s="12"/>
      <c r="V38" s="20"/>
      <c r="W38" s="12"/>
      <c r="X38" s="20"/>
      <c r="Y38" s="110"/>
      <c r="Z38" s="110"/>
      <c r="AA38" s="20"/>
      <c r="AB38" s="20"/>
      <c r="AC38" s="20"/>
      <c r="AD38" s="20"/>
    </row>
    <row r="39" spans="1:33" s="2" customFormat="1" ht="19.2" customHeight="1">
      <c r="C39" s="111"/>
      <c r="D39" s="112"/>
      <c r="E39" s="113"/>
      <c r="F39" s="113"/>
      <c r="G39" s="114"/>
      <c r="H39" s="112"/>
      <c r="I39" s="112"/>
      <c r="J39" s="113"/>
      <c r="K39" s="112"/>
      <c r="L39" s="112"/>
      <c r="M39" s="112"/>
      <c r="N39" s="112"/>
      <c r="O39" s="112"/>
      <c r="P39" s="112"/>
      <c r="Q39" s="115"/>
      <c r="R39" s="112"/>
      <c r="S39" s="112"/>
      <c r="T39" s="112"/>
      <c r="U39" s="112"/>
      <c r="V39" s="1"/>
      <c r="W39" s="116"/>
      <c r="X39"/>
      <c r="Y39" s="115"/>
      <c r="Z39" s="115"/>
      <c r="AA39"/>
      <c r="AB39"/>
      <c r="AC39"/>
      <c r="AD39" s="28"/>
    </row>
    <row r="40" spans="1:33" s="2" customFormat="1" ht="17.399999999999999" customHeight="1">
      <c r="C40" s="117"/>
      <c r="D40" s="1"/>
      <c r="E40" s="119" t="s">
        <v>415</v>
      </c>
      <c r="F40" s="119" t="s">
        <v>36</v>
      </c>
      <c r="G40" s="119"/>
      <c r="H40" s="119" t="s">
        <v>37</v>
      </c>
      <c r="I40" s="119"/>
      <c r="J4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91"/>
      <c r="X40"/>
      <c r="Y40"/>
      <c r="Z40"/>
      <c r="AA40"/>
      <c r="AB40"/>
      <c r="AC40"/>
      <c r="AD40" s="32"/>
    </row>
    <row r="41" spans="1:33" s="2" customFormat="1" ht="15" customHeight="1">
      <c r="C41" s="117"/>
      <c r="D41" s="1"/>
      <c r="E41" s="1"/>
      <c r="F41" s="1"/>
      <c r="G41" s="1"/>
      <c r="H41" s="1"/>
      <c r="I41" s="1"/>
      <c r="J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91"/>
      <c r="X41"/>
      <c r="Y41"/>
      <c r="Z41"/>
      <c r="AA41"/>
      <c r="AB41"/>
      <c r="AC41"/>
      <c r="AD41" s="32"/>
    </row>
    <row r="42" spans="1:33" s="2" customFormat="1" ht="15" customHeight="1">
      <c r="C42" s="130"/>
      <c r="D42" s="131"/>
      <c r="E42" s="132"/>
      <c r="F42" s="133"/>
      <c r="G42" s="133"/>
      <c r="H42" s="133"/>
      <c r="I42" s="133"/>
      <c r="J42" s="133"/>
      <c r="K42" s="101"/>
      <c r="L42" s="134"/>
      <c r="M42" s="133"/>
      <c r="N42" s="133"/>
      <c r="O42" s="133"/>
      <c r="P42" s="133"/>
      <c r="Q42" s="133"/>
      <c r="R42" s="133"/>
      <c r="S42" s="133"/>
      <c r="T42" s="133"/>
      <c r="U42" s="133"/>
      <c r="V42" s="1"/>
      <c r="W42" s="100"/>
      <c r="X42" s="104"/>
      <c r="Y42" s="104"/>
      <c r="Z42" s="104"/>
      <c r="AA42" s="104"/>
      <c r="AB42" s="104"/>
      <c r="AC42" s="104"/>
      <c r="AD42" s="106"/>
    </row>
    <row r="43" spans="1:33" s="2" customFormat="1" ht="7.2" customHeight="1">
      <c r="K43" s="12"/>
      <c r="V43" s="107"/>
      <c r="W43" s="12"/>
    </row>
    <row r="44" spans="1:33" s="2" customFormat="1" ht="15" customHeight="1">
      <c r="K44" s="12"/>
      <c r="V44" s="12"/>
      <c r="W44" s="12"/>
    </row>
    <row r="45" spans="1:33" s="2" customFormat="1" ht="15" customHeight="1">
      <c r="D45" s="109"/>
      <c r="K45" s="12"/>
      <c r="V45" s="20"/>
      <c r="W45" s="20"/>
      <c r="X45" s="20"/>
      <c r="Y45" s="20"/>
      <c r="Z45" s="20"/>
      <c r="AA45" s="20"/>
      <c r="AB45" s="20"/>
      <c r="AC45" s="20"/>
      <c r="AD45" s="20"/>
    </row>
    <row r="46" spans="1:33" s="2" customFormat="1" ht="16.8" customHeight="1">
      <c r="C46" s="135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5"/>
      <c r="R46" s="1"/>
      <c r="S46" s="1"/>
      <c r="T46" s="1"/>
      <c r="U46" s="1"/>
      <c r="V46" s="1"/>
      <c r="W46" s="1"/>
      <c r="X46"/>
      <c r="Y46"/>
      <c r="Z46"/>
      <c r="AA46"/>
      <c r="AB46"/>
      <c r="AC46"/>
      <c r="AD46" s="28"/>
    </row>
    <row r="47" spans="1:33" s="2" customFormat="1" ht="15" customHeight="1">
      <c r="C47" s="136"/>
      <c r="D47" s="137"/>
      <c r="E47" s="138" t="s">
        <v>415</v>
      </c>
      <c r="F47" s="138" t="s">
        <v>36</v>
      </c>
      <c r="G47" s="138"/>
      <c r="H47" s="138" t="s">
        <v>37</v>
      </c>
      <c r="I47" s="119" t="s">
        <v>79</v>
      </c>
      <c r="J47" s="140"/>
      <c r="K47" s="138" t="s">
        <v>80</v>
      </c>
      <c r="L47" s="62"/>
      <c r="M47" s="119"/>
      <c r="N47" s="119"/>
      <c r="O47" s="138"/>
      <c r="P47" s="91"/>
      <c r="Q47" s="91"/>
      <c r="R47" s="91"/>
      <c r="S47" s="91"/>
      <c r="T47" s="91"/>
      <c r="U47" s="1"/>
      <c r="V47" s="1"/>
      <c r="W47" s="1"/>
      <c r="X47"/>
      <c r="Y47"/>
      <c r="Z47"/>
      <c r="AA47"/>
      <c r="AB47"/>
      <c r="AC47"/>
      <c r="AD47" s="32"/>
    </row>
    <row r="48" spans="1:33" s="2" customFormat="1" ht="15" customHeight="1">
      <c r="C48" s="136"/>
      <c r="D48" s="137"/>
      <c r="E48" s="138"/>
      <c r="F48" s="138"/>
      <c r="G48" s="138"/>
      <c r="H48" s="138"/>
      <c r="I48" s="138"/>
      <c r="J48" s="140"/>
      <c r="K48" s="138"/>
      <c r="L48" s="138"/>
      <c r="M48" s="138"/>
      <c r="N48" s="119"/>
      <c r="O48" s="91"/>
      <c r="P48" s="91"/>
      <c r="Q48" s="91"/>
      <c r="R48" s="91"/>
      <c r="S48" s="91"/>
      <c r="T48" s="91"/>
      <c r="U48" s="1"/>
      <c r="V48" s="1"/>
      <c r="W48" s="1"/>
      <c r="X48"/>
      <c r="Y48"/>
      <c r="Z48"/>
      <c r="AA48"/>
      <c r="AB48"/>
      <c r="AC48"/>
      <c r="AD48" s="32"/>
    </row>
    <row r="49" spans="3:30" s="2" customFormat="1" ht="15" customHeight="1">
      <c r="C49" s="136"/>
      <c r="D49" s="137"/>
      <c r="E49" s="178" t="s">
        <v>250</v>
      </c>
      <c r="F49" s="178" t="s">
        <v>69</v>
      </c>
      <c r="G49" s="169"/>
      <c r="H49" s="299" t="str">
        <f>VLOOKUP(E49&amp;F49,'[1]MV+BI'!$E$8:$K$375,3,FALSE)</f>
        <v>Em Teste - Alteração EF</v>
      </c>
      <c r="I49" s="172">
        <f>VLOOKUP(E49&amp;F49,'[1]MV+BI'!$E$8:$K$375,7,FALSE)</f>
        <v>45443</v>
      </c>
      <c r="J49" s="62"/>
      <c r="K49" s="79" t="s">
        <v>420</v>
      </c>
      <c r="L49" s="62"/>
      <c r="M49" s="62"/>
      <c r="N49" s="172"/>
      <c r="O49" s="79"/>
      <c r="P49" s="79"/>
      <c r="Q49" s="62"/>
      <c r="R49" s="87"/>
      <c r="S49" s="87"/>
      <c r="T49" s="87"/>
      <c r="U49" s="87"/>
      <c r="V49" s="87"/>
      <c r="W49" s="91"/>
      <c r="X49" s="62"/>
      <c r="Y49" s="62"/>
      <c r="Z49" s="62"/>
      <c r="AA49"/>
      <c r="AB49"/>
      <c r="AC49"/>
      <c r="AD49" s="32"/>
    </row>
    <row r="50" spans="3:30" s="2" customFormat="1" ht="15" customHeight="1">
      <c r="C50" s="136"/>
      <c r="D50" s="137"/>
      <c r="E50" s="178" t="s">
        <v>250</v>
      </c>
      <c r="F50" s="178" t="s">
        <v>70</v>
      </c>
      <c r="G50" s="169"/>
      <c r="H50" s="299" t="str">
        <f>VLOOKUP(E50&amp;F50,'[1]MV+BI'!$E$8:$K$375,3,FALSE)</f>
        <v>Em Teste - Alteração EF</v>
      </c>
      <c r="I50" s="172">
        <f>VLOOKUP(E50&amp;F50,'[1]MV+BI'!$E$8:$K$375,7,FALSE)</f>
        <v>45443</v>
      </c>
      <c r="J50" s="62"/>
      <c r="K50" s="79" t="s">
        <v>420</v>
      </c>
      <c r="L50" s="62"/>
      <c r="M50" s="62"/>
      <c r="N50" s="172"/>
      <c r="O50" s="79"/>
      <c r="P50" s="79"/>
      <c r="Q50" s="62"/>
      <c r="R50" s="87"/>
      <c r="S50" s="87"/>
      <c r="T50" s="87"/>
      <c r="U50" s="87"/>
      <c r="V50" s="87"/>
      <c r="W50" s="91"/>
      <c r="X50" s="62"/>
      <c r="Y50" s="62"/>
      <c r="Z50" s="62"/>
      <c r="AA50"/>
      <c r="AB50"/>
      <c r="AC50"/>
      <c r="AD50" s="32"/>
    </row>
    <row r="51" spans="3:30" s="2" customFormat="1" ht="15" customHeight="1">
      <c r="C51" s="136"/>
      <c r="D51" s="137"/>
      <c r="E51" s="178" t="s">
        <v>250</v>
      </c>
      <c r="F51" s="178" t="s">
        <v>71</v>
      </c>
      <c r="G51" s="169"/>
      <c r="H51" s="299" t="str">
        <f>VLOOKUP(E51&amp;F51,'[1]MV+BI'!$E$8:$K$375,3,FALSE)</f>
        <v>Em Teste - Alteração EF</v>
      </c>
      <c r="I51" s="172">
        <f>VLOOKUP(E51&amp;F51,'[1]MV+BI'!$E$8:$K$375,7,FALSE)</f>
        <v>45443</v>
      </c>
      <c r="J51" s="62"/>
      <c r="K51" s="79" t="s">
        <v>420</v>
      </c>
      <c r="L51" s="62"/>
      <c r="M51" s="62"/>
      <c r="N51" s="172"/>
      <c r="O51" s="79"/>
      <c r="P51" s="79"/>
      <c r="Q51" s="62"/>
      <c r="R51" s="87"/>
      <c r="S51" s="87"/>
      <c r="T51" s="87"/>
      <c r="U51" s="87"/>
      <c r="V51" s="87"/>
      <c r="W51" s="91"/>
      <c r="X51" s="62"/>
      <c r="Y51" s="62"/>
      <c r="Z51" s="62"/>
      <c r="AA51"/>
      <c r="AB51"/>
      <c r="AC51"/>
      <c r="AD51" s="32"/>
    </row>
    <row r="52" spans="3:30" s="2" customFormat="1" ht="15" customHeight="1">
      <c r="C52" s="136"/>
      <c r="D52" s="137"/>
      <c r="E52" s="178" t="s">
        <v>250</v>
      </c>
      <c r="F52" s="178" t="s">
        <v>72</v>
      </c>
      <c r="G52" s="169"/>
      <c r="H52" s="299" t="str">
        <f>VLOOKUP(E52&amp;F52,'[1]MV+BI'!$E$8:$K$375,3,FALSE)</f>
        <v>Em Teste - Alteração EF</v>
      </c>
      <c r="I52" s="172">
        <f>VLOOKUP(E52&amp;F52,'[1]MV+BI'!$E$8:$K$375,7,FALSE)</f>
        <v>45443</v>
      </c>
      <c r="J52" s="62"/>
      <c r="K52" s="79" t="s">
        <v>420</v>
      </c>
      <c r="L52" s="62"/>
      <c r="M52" s="62"/>
      <c r="N52" s="172"/>
      <c r="O52" s="79"/>
      <c r="P52" s="79"/>
      <c r="Q52" s="62"/>
      <c r="R52" s="87"/>
      <c r="S52" s="87"/>
      <c r="T52" s="87"/>
      <c r="U52" s="87"/>
      <c r="V52" s="87"/>
      <c r="W52" s="91"/>
      <c r="X52" s="62"/>
      <c r="Y52" s="62"/>
      <c r="Z52" s="62"/>
      <c r="AA52"/>
      <c r="AB52"/>
      <c r="AC52"/>
      <c r="AD52" s="32"/>
    </row>
    <row r="53" spans="3:30" s="2" customFormat="1" ht="15" customHeight="1">
      <c r="C53" s="136"/>
      <c r="D53" s="137"/>
      <c r="E53" s="178" t="s">
        <v>250</v>
      </c>
      <c r="F53" s="178" t="s">
        <v>252</v>
      </c>
      <c r="G53" s="169"/>
      <c r="H53" s="299" t="str">
        <f>VLOOKUP(E53&amp;F53,'[1]MV+BI'!$E$8:$K$375,3,FALSE)</f>
        <v>Em Teste - Alteração EF</v>
      </c>
      <c r="I53" s="172">
        <f>VLOOKUP(E53&amp;F53,'[1]MV+BI'!$E$8:$K$375,7,FALSE)</f>
        <v>45443</v>
      </c>
      <c r="J53" s="62"/>
      <c r="K53" s="79" t="s">
        <v>420</v>
      </c>
      <c r="L53" s="62"/>
      <c r="M53" s="62"/>
      <c r="N53" s="172"/>
      <c r="O53" s="79"/>
      <c r="P53" s="79"/>
      <c r="Q53" s="62"/>
      <c r="R53" s="87"/>
      <c r="S53" s="87"/>
      <c r="T53" s="87"/>
      <c r="U53" s="87"/>
      <c r="V53" s="87"/>
      <c r="W53" s="91"/>
      <c r="X53" s="62"/>
      <c r="Y53" s="62"/>
      <c r="Z53" s="62"/>
      <c r="AA53"/>
      <c r="AB53"/>
      <c r="AC53"/>
      <c r="AD53" s="32"/>
    </row>
    <row r="54" spans="3:30" s="2" customFormat="1" ht="15" customHeight="1">
      <c r="C54" s="136"/>
      <c r="D54" s="137"/>
      <c r="E54" s="178" t="s">
        <v>250</v>
      </c>
      <c r="F54" s="178" t="s">
        <v>253</v>
      </c>
      <c r="G54" s="169"/>
      <c r="H54" s="299" t="str">
        <f>VLOOKUP(E54&amp;F54,'[1]MV+BI'!$E$8:$K$375,3,FALSE)</f>
        <v>Em Teste - Alteração EF</v>
      </c>
      <c r="I54" s="172">
        <f>VLOOKUP(E54&amp;F54,'[1]MV+BI'!$E$8:$K$375,7,FALSE)</f>
        <v>45443</v>
      </c>
      <c r="J54" s="62"/>
      <c r="K54" s="79" t="s">
        <v>420</v>
      </c>
      <c r="L54" s="62"/>
      <c r="M54" s="62"/>
      <c r="N54" s="172"/>
      <c r="O54" s="79"/>
      <c r="P54" s="79"/>
      <c r="Q54" s="62"/>
      <c r="R54" s="87"/>
      <c r="S54" s="87"/>
      <c r="T54" s="87"/>
      <c r="U54" s="87"/>
      <c r="V54" s="87"/>
      <c r="W54" s="91"/>
      <c r="X54" s="62"/>
      <c r="Y54" s="62"/>
      <c r="Z54" s="62"/>
      <c r="AA54"/>
      <c r="AB54"/>
      <c r="AC54"/>
      <c r="AD54" s="32"/>
    </row>
    <row r="55" spans="3:30" s="2" customFormat="1" ht="15" customHeight="1">
      <c r="C55" s="136"/>
      <c r="D55" s="137"/>
      <c r="E55" s="178" t="s">
        <v>250</v>
      </c>
      <c r="F55" s="178" t="s">
        <v>254</v>
      </c>
      <c r="G55" s="169"/>
      <c r="H55" s="299" t="str">
        <f>VLOOKUP(E55&amp;F55,'[1]MV+BI'!$E$8:$K$375,3,FALSE)</f>
        <v>Em Teste - Alteração EF</v>
      </c>
      <c r="I55" s="172">
        <f>VLOOKUP(E55&amp;F55,'[1]MV+BI'!$E$8:$K$375,7,FALSE)</f>
        <v>45443</v>
      </c>
      <c r="J55" s="62"/>
      <c r="K55" s="79" t="s">
        <v>420</v>
      </c>
      <c r="L55" s="62"/>
      <c r="M55" s="62"/>
      <c r="N55" s="172"/>
      <c r="O55" s="79"/>
      <c r="P55" s="79"/>
      <c r="Q55" s="62"/>
      <c r="R55" s="87"/>
      <c r="S55" s="87"/>
      <c r="T55" s="87"/>
      <c r="U55" s="87"/>
      <c r="V55" s="87"/>
      <c r="W55" s="91"/>
      <c r="X55" s="62"/>
      <c r="Y55" s="62"/>
      <c r="Z55" s="62"/>
      <c r="AA55"/>
      <c r="AB55"/>
      <c r="AC55"/>
      <c r="AD55" s="32"/>
    </row>
    <row r="56" spans="3:30" s="2" customFormat="1" ht="15" customHeight="1">
      <c r="C56" s="136"/>
      <c r="D56" s="137"/>
      <c r="E56" s="178" t="s">
        <v>250</v>
      </c>
      <c r="F56" s="178" t="s">
        <v>255</v>
      </c>
      <c r="G56" s="169"/>
      <c r="H56" s="299" t="str">
        <f>VLOOKUP(E56&amp;F56,'[1]MV+BI'!$E$8:$K$375,3,FALSE)</f>
        <v>Em Teste - Alteração EF</v>
      </c>
      <c r="I56" s="172">
        <f>VLOOKUP(E56&amp;F56,'[1]MV+BI'!$E$8:$K$375,7,FALSE)</f>
        <v>45443</v>
      </c>
      <c r="J56" s="62"/>
      <c r="K56" s="79" t="s">
        <v>420</v>
      </c>
      <c r="L56" s="62"/>
      <c r="M56" s="62"/>
      <c r="N56" s="172"/>
      <c r="O56" s="79"/>
      <c r="P56" s="79"/>
      <c r="Q56" s="62"/>
      <c r="R56" s="87"/>
      <c r="S56" s="87"/>
      <c r="T56" s="87"/>
      <c r="U56" s="87"/>
      <c r="V56" s="87"/>
      <c r="W56" s="91"/>
      <c r="X56" s="62"/>
      <c r="Y56" s="62"/>
      <c r="Z56" s="62"/>
      <c r="AA56"/>
      <c r="AB56"/>
      <c r="AC56"/>
      <c r="AD56" s="32"/>
    </row>
    <row r="57" spans="3:30" s="2" customFormat="1" ht="15" customHeight="1">
      <c r="C57" s="136"/>
      <c r="D57" s="137"/>
      <c r="E57" s="178" t="s">
        <v>250</v>
      </c>
      <c r="F57" s="178" t="s">
        <v>256</v>
      </c>
      <c r="G57" s="169"/>
      <c r="H57" s="299" t="str">
        <f>VLOOKUP(E57&amp;F57,'[1]MV+BI'!$E$8:$K$375,3,FALSE)</f>
        <v>Em Teste - Alteração EF</v>
      </c>
      <c r="I57" s="172">
        <f>VLOOKUP(E57&amp;F57,'[1]MV+BI'!$E$8:$K$375,7,FALSE)</f>
        <v>45443</v>
      </c>
      <c r="J57" s="62"/>
      <c r="K57" s="79" t="s">
        <v>420</v>
      </c>
      <c r="L57" s="62"/>
      <c r="M57" s="62"/>
      <c r="N57" s="172"/>
      <c r="O57" s="79"/>
      <c r="P57" s="79"/>
      <c r="Q57" s="62"/>
      <c r="R57" s="87"/>
      <c r="S57" s="87"/>
      <c r="T57" s="87"/>
      <c r="U57" s="87"/>
      <c r="V57" s="87"/>
      <c r="W57" s="91"/>
      <c r="X57" s="62"/>
      <c r="Y57" s="62"/>
      <c r="Z57" s="62"/>
      <c r="AA57"/>
      <c r="AB57"/>
      <c r="AC57"/>
      <c r="AD57" s="32"/>
    </row>
    <row r="58" spans="3:30" s="2" customFormat="1" ht="15" customHeight="1">
      <c r="C58" s="136"/>
      <c r="D58" s="137"/>
      <c r="E58" s="178" t="s">
        <v>250</v>
      </c>
      <c r="F58" s="178" t="s">
        <v>257</v>
      </c>
      <c r="G58" s="169"/>
      <c r="H58" s="299" t="str">
        <f>VLOOKUP(E58&amp;F58,'[1]MV+BI'!$E$8:$K$375,3,FALSE)</f>
        <v>Em Teste - Alteração EF</v>
      </c>
      <c r="I58" s="172">
        <f>VLOOKUP(E58&amp;F58,'[1]MV+BI'!$E$8:$K$375,7,FALSE)</f>
        <v>45443</v>
      </c>
      <c r="J58" s="62"/>
      <c r="K58" s="79" t="s">
        <v>420</v>
      </c>
      <c r="L58" s="62"/>
      <c r="M58" s="62"/>
      <c r="N58" s="172"/>
      <c r="O58" s="79"/>
      <c r="P58" s="79"/>
      <c r="Q58" s="62"/>
      <c r="R58" s="87"/>
      <c r="S58" s="87"/>
      <c r="T58" s="87"/>
      <c r="U58" s="87"/>
      <c r="V58" s="87"/>
      <c r="W58" s="91"/>
      <c r="X58" s="62"/>
      <c r="Y58" s="62"/>
      <c r="Z58" s="62"/>
      <c r="AA58"/>
      <c r="AB58"/>
      <c r="AC58"/>
      <c r="AD58" s="32"/>
    </row>
    <row r="59" spans="3:30" s="2" customFormat="1" ht="15" customHeight="1">
      <c r="C59" s="136"/>
      <c r="D59" s="137"/>
      <c r="E59" s="178" t="s">
        <v>250</v>
      </c>
      <c r="F59" s="178" t="s">
        <v>258</v>
      </c>
      <c r="G59" s="169"/>
      <c r="H59" s="299" t="str">
        <f>VLOOKUP(E59&amp;F59,'[1]MV+BI'!$E$8:$K$375,3,FALSE)</f>
        <v>Em Teste - Alteração EF</v>
      </c>
      <c r="I59" s="172">
        <f>VLOOKUP(E59&amp;F59,'[1]MV+BI'!$E$8:$K$375,7,FALSE)</f>
        <v>45443</v>
      </c>
      <c r="J59" s="62"/>
      <c r="K59" s="79" t="s">
        <v>420</v>
      </c>
      <c r="L59" s="62"/>
      <c r="M59" s="62"/>
      <c r="N59" s="172"/>
      <c r="O59" s="79"/>
      <c r="P59" s="79"/>
      <c r="Q59" s="62"/>
      <c r="R59" s="87"/>
      <c r="S59" s="87"/>
      <c r="T59" s="87"/>
      <c r="U59" s="87"/>
      <c r="V59" s="87"/>
      <c r="W59" s="91"/>
      <c r="X59" s="62"/>
      <c r="Y59" s="62"/>
      <c r="Z59" s="62"/>
      <c r="AA59"/>
      <c r="AB59"/>
      <c r="AC59"/>
      <c r="AD59" s="32"/>
    </row>
    <row r="60" spans="3:30" s="2" customFormat="1" ht="15" customHeight="1">
      <c r="C60" s="136"/>
      <c r="D60" s="137"/>
      <c r="E60" s="178" t="s">
        <v>250</v>
      </c>
      <c r="F60" s="178" t="s">
        <v>259</v>
      </c>
      <c r="G60" s="169"/>
      <c r="H60" s="299" t="str">
        <f>VLOOKUP(E60&amp;F60,'[1]MV+BI'!$E$8:$K$375,3,FALSE)</f>
        <v>Em Teste - Alteração EF</v>
      </c>
      <c r="I60" s="172">
        <f>VLOOKUP(E60&amp;F60,'[1]MV+BI'!$E$8:$K$375,7,FALSE)</f>
        <v>45443</v>
      </c>
      <c r="J60" s="62"/>
      <c r="K60" s="79" t="s">
        <v>420</v>
      </c>
      <c r="L60" s="62"/>
      <c r="M60" s="62"/>
      <c r="N60" s="172"/>
      <c r="O60" s="79"/>
      <c r="P60" s="79"/>
      <c r="Q60" s="62"/>
      <c r="R60" s="87"/>
      <c r="S60" s="87"/>
      <c r="T60" s="87"/>
      <c r="U60" s="87"/>
      <c r="V60" s="87"/>
      <c r="W60" s="91"/>
      <c r="X60" s="62"/>
      <c r="Y60" s="62"/>
      <c r="Z60" s="62"/>
      <c r="AA60"/>
      <c r="AB60"/>
      <c r="AC60"/>
      <c r="AD60" s="32"/>
    </row>
    <row r="61" spans="3:30" s="2" customFormat="1" ht="15" customHeight="1">
      <c r="C61" s="136"/>
      <c r="D61" s="137"/>
      <c r="E61" s="178" t="s">
        <v>250</v>
      </c>
      <c r="F61" s="178" t="s">
        <v>260</v>
      </c>
      <c r="G61" s="169"/>
      <c r="H61" s="299" t="str">
        <f>VLOOKUP(E61&amp;F61,'[1]MV+BI'!$E$8:$K$375,3,FALSE)</f>
        <v>Em Teste - Alteração EF</v>
      </c>
      <c r="I61" s="172">
        <f>VLOOKUP(E61&amp;F61,'[1]MV+BI'!$E$8:$K$375,7,FALSE)</f>
        <v>45443</v>
      </c>
      <c r="J61" s="62"/>
      <c r="K61" s="79" t="s">
        <v>420</v>
      </c>
      <c r="L61" s="62"/>
      <c r="M61" s="62"/>
      <c r="N61" s="172"/>
      <c r="O61" s="79"/>
      <c r="P61" s="79"/>
      <c r="Q61" s="62"/>
      <c r="R61" s="87"/>
      <c r="S61" s="87"/>
      <c r="T61" s="87"/>
      <c r="U61" s="87"/>
      <c r="V61" s="87"/>
      <c r="W61" s="91"/>
      <c r="X61" s="62"/>
      <c r="Y61" s="62"/>
      <c r="Z61" s="62"/>
      <c r="AA61"/>
      <c r="AB61"/>
      <c r="AC61"/>
      <c r="AD61" s="32"/>
    </row>
    <row r="62" spans="3:30" s="2" customFormat="1" ht="15" customHeight="1">
      <c r="C62" s="136"/>
      <c r="D62" s="137"/>
      <c r="E62" s="178" t="s">
        <v>250</v>
      </c>
      <c r="F62" s="178" t="s">
        <v>261</v>
      </c>
      <c r="G62" s="169"/>
      <c r="H62" s="299" t="str">
        <f>VLOOKUP(E62&amp;F62,'[1]MV+BI'!$E$8:$K$375,3,FALSE)</f>
        <v>Em Teste - Alteração EF</v>
      </c>
      <c r="I62" s="172">
        <f>VLOOKUP(E62&amp;F62,'[1]MV+BI'!$E$8:$K$375,7,FALSE)</f>
        <v>45443</v>
      </c>
      <c r="J62" s="62"/>
      <c r="K62" s="79" t="s">
        <v>420</v>
      </c>
      <c r="L62" s="62"/>
      <c r="M62" s="62"/>
      <c r="N62" s="172"/>
      <c r="O62" s="79"/>
      <c r="P62" s="79"/>
      <c r="Q62" s="62"/>
      <c r="R62" s="87"/>
      <c r="S62" s="87"/>
      <c r="T62" s="87"/>
      <c r="U62" s="87"/>
      <c r="V62" s="87"/>
      <c r="W62" s="91"/>
      <c r="X62" s="62"/>
      <c r="Y62" s="62"/>
      <c r="Z62" s="62"/>
      <c r="AA62"/>
      <c r="AB62"/>
      <c r="AC62"/>
      <c r="AD62" s="32"/>
    </row>
    <row r="63" spans="3:30" s="2" customFormat="1" ht="15" customHeight="1">
      <c r="C63" s="136"/>
      <c r="D63" s="137"/>
      <c r="E63" s="178" t="s">
        <v>250</v>
      </c>
      <c r="F63" s="178" t="s">
        <v>222</v>
      </c>
      <c r="G63" s="169"/>
      <c r="H63" s="299" t="str">
        <f>VLOOKUP(E63&amp;F63,'[1]MV+BI'!$E$8:$K$375,3,FALSE)</f>
        <v>Em Teste - Alteração EF</v>
      </c>
      <c r="I63" s="172">
        <f>VLOOKUP(E63&amp;F63,'[1]MV+BI'!$E$8:$K$375,7,FALSE)</f>
        <v>45443</v>
      </c>
      <c r="J63" s="62"/>
      <c r="K63" s="79" t="s">
        <v>420</v>
      </c>
      <c r="L63" s="62"/>
      <c r="M63" s="62"/>
      <c r="N63" s="172"/>
      <c r="O63" s="79"/>
      <c r="P63" s="79"/>
      <c r="Q63" s="62"/>
      <c r="R63" s="87"/>
      <c r="S63" s="87"/>
      <c r="T63" s="87"/>
      <c r="U63" s="87"/>
      <c r="V63" s="87"/>
      <c r="W63" s="91"/>
      <c r="X63" s="62"/>
      <c r="Y63" s="62"/>
      <c r="Z63" s="62"/>
      <c r="AA63"/>
      <c r="AB63"/>
      <c r="AC63"/>
      <c r="AD63" s="32"/>
    </row>
    <row r="64" spans="3:30" s="2" customFormat="1" ht="15" customHeight="1">
      <c r="C64" s="136"/>
      <c r="D64" s="137"/>
      <c r="E64" s="178" t="s">
        <v>250</v>
      </c>
      <c r="F64" s="178" t="s">
        <v>262</v>
      </c>
      <c r="G64" s="169"/>
      <c r="H64" s="299" t="str">
        <f>VLOOKUP(E64&amp;F64,'[1]MV+BI'!$E$8:$K$375,3,FALSE)</f>
        <v>Em Teste - Alteração EF</v>
      </c>
      <c r="I64" s="172">
        <f>VLOOKUP(E64&amp;F64,'[1]MV+BI'!$E$8:$K$375,7,FALSE)</f>
        <v>45443</v>
      </c>
      <c r="J64" s="62"/>
      <c r="K64" s="79" t="s">
        <v>420</v>
      </c>
      <c r="L64" s="62"/>
      <c r="M64" s="62"/>
      <c r="N64" s="172"/>
      <c r="O64" s="79"/>
      <c r="P64" s="79"/>
      <c r="Q64" s="62"/>
      <c r="R64" s="87"/>
      <c r="S64" s="87"/>
      <c r="T64" s="87"/>
      <c r="U64" s="87"/>
      <c r="V64" s="87"/>
      <c r="W64" s="91"/>
      <c r="X64" s="62"/>
      <c r="Y64" s="62"/>
      <c r="Z64" s="62"/>
      <c r="AA64"/>
      <c r="AB64"/>
      <c r="AC64"/>
      <c r="AD64" s="32"/>
    </row>
    <row r="65" spans="3:30" s="2" customFormat="1" ht="15" customHeight="1">
      <c r="C65" s="136"/>
      <c r="D65" s="137"/>
      <c r="E65" s="178" t="s">
        <v>250</v>
      </c>
      <c r="F65" s="178" t="s">
        <v>263</v>
      </c>
      <c r="G65" s="169"/>
      <c r="H65" s="299" t="str">
        <f>VLOOKUP(E65&amp;F65,'[1]MV+BI'!$E$8:$K$375,3,FALSE)</f>
        <v>Em Teste - Alteração EF</v>
      </c>
      <c r="I65" s="172">
        <f>VLOOKUP(E65&amp;F65,'[1]MV+BI'!$E$8:$K$375,7,FALSE)</f>
        <v>45443</v>
      </c>
      <c r="J65" s="62"/>
      <c r="K65" s="79" t="s">
        <v>420</v>
      </c>
      <c r="L65" s="62"/>
      <c r="M65" s="62"/>
      <c r="N65" s="172"/>
      <c r="O65" s="79"/>
      <c r="P65" s="79"/>
      <c r="Q65" s="62"/>
      <c r="R65" s="87"/>
      <c r="S65" s="87"/>
      <c r="T65" s="87"/>
      <c r="U65" s="87"/>
      <c r="V65" s="87"/>
      <c r="W65" s="91"/>
      <c r="X65" s="62"/>
      <c r="Y65" s="62"/>
      <c r="Z65" s="62"/>
      <c r="AA65"/>
      <c r="AB65"/>
      <c r="AC65"/>
      <c r="AD65" s="32"/>
    </row>
    <row r="66" spans="3:30" s="2" customFormat="1" ht="15" customHeight="1">
      <c r="C66" s="136"/>
      <c r="D66" s="137"/>
      <c r="E66" s="178" t="s">
        <v>250</v>
      </c>
      <c r="F66" s="178" t="s">
        <v>264</v>
      </c>
      <c r="G66" s="169"/>
      <c r="H66" s="299" t="str">
        <f>VLOOKUP(E66&amp;F66,'[1]MV+BI'!$E$8:$K$375,3,FALSE)</f>
        <v>Em Teste - Alteração EF</v>
      </c>
      <c r="I66" s="172">
        <f>VLOOKUP(E66&amp;F66,'[1]MV+BI'!$E$8:$K$375,7,FALSE)</f>
        <v>45443</v>
      </c>
      <c r="J66" s="62"/>
      <c r="K66" s="79" t="s">
        <v>420</v>
      </c>
      <c r="L66" s="62"/>
      <c r="M66" s="62"/>
      <c r="N66" s="172"/>
      <c r="O66" s="79"/>
      <c r="P66" s="79"/>
      <c r="Q66" s="62"/>
      <c r="R66" s="87"/>
      <c r="S66" s="87"/>
      <c r="T66" s="87"/>
      <c r="U66" s="87"/>
      <c r="V66" s="87"/>
      <c r="W66" s="91"/>
      <c r="X66" s="62"/>
      <c r="Y66" s="62"/>
      <c r="Z66" s="62"/>
      <c r="AA66"/>
      <c r="AB66"/>
      <c r="AC66"/>
      <c r="AD66" s="32"/>
    </row>
    <row r="67" spans="3:30" s="2" customFormat="1" ht="15" customHeight="1">
      <c r="C67" s="136"/>
      <c r="D67" s="137"/>
      <c r="E67" s="178" t="s">
        <v>250</v>
      </c>
      <c r="F67" s="178" t="s">
        <v>265</v>
      </c>
      <c r="G67" s="169"/>
      <c r="H67" s="299" t="str">
        <f>VLOOKUP(E67&amp;F67,'[1]MV+BI'!$E$8:$K$375,3,FALSE)</f>
        <v>Em Teste - Alteração EF</v>
      </c>
      <c r="I67" s="172">
        <f>VLOOKUP(E67&amp;F67,'[1]MV+BI'!$E$8:$K$375,7,FALSE)</f>
        <v>45443</v>
      </c>
      <c r="J67" s="62"/>
      <c r="K67" s="79" t="s">
        <v>420</v>
      </c>
      <c r="L67" s="62"/>
      <c r="M67" s="62"/>
      <c r="N67" s="172"/>
      <c r="O67" s="79"/>
      <c r="P67" s="79"/>
      <c r="Q67" s="62"/>
      <c r="R67" s="87"/>
      <c r="S67" s="87"/>
      <c r="T67" s="87"/>
      <c r="U67" s="87"/>
      <c r="V67" s="87"/>
      <c r="W67" s="91"/>
      <c r="X67" s="62"/>
      <c r="Y67" s="62"/>
      <c r="Z67" s="62"/>
      <c r="AA67"/>
      <c r="AB67"/>
      <c r="AC67"/>
      <c r="AD67" s="32"/>
    </row>
    <row r="68" spans="3:30" s="2" customFormat="1" ht="15" customHeight="1">
      <c r="C68" s="136"/>
      <c r="D68" s="137"/>
      <c r="E68" s="178" t="s">
        <v>250</v>
      </c>
      <c r="F68" s="178" t="s">
        <v>266</v>
      </c>
      <c r="G68" s="169"/>
      <c r="H68" s="299" t="str">
        <f>VLOOKUP(E68&amp;F68,'[1]MV+BI'!$E$8:$K$375,3,FALSE)</f>
        <v>Em Teste - Alteração EF</v>
      </c>
      <c r="I68" s="172">
        <f>VLOOKUP(E68&amp;F68,'[1]MV+BI'!$E$8:$K$375,7,FALSE)</f>
        <v>45443</v>
      </c>
      <c r="J68" s="62"/>
      <c r="K68" s="79" t="s">
        <v>420</v>
      </c>
      <c r="L68" s="62"/>
      <c r="M68" s="62"/>
      <c r="N68" s="172"/>
      <c r="O68" s="79"/>
      <c r="P68" s="79"/>
      <c r="Q68" s="62"/>
      <c r="R68" s="87"/>
      <c r="S68" s="87"/>
      <c r="T68" s="87"/>
      <c r="U68" s="87"/>
      <c r="V68" s="87"/>
      <c r="W68" s="91"/>
      <c r="X68" s="62"/>
      <c r="Y68" s="62"/>
      <c r="Z68" s="62"/>
      <c r="AA68"/>
      <c r="AB68"/>
      <c r="AC68"/>
      <c r="AD68" s="32"/>
    </row>
    <row r="69" spans="3:30" s="2" customFormat="1" ht="15" customHeight="1">
      <c r="C69" s="136"/>
      <c r="D69" s="137"/>
      <c r="E69" s="178" t="s">
        <v>250</v>
      </c>
      <c r="F69" s="178" t="s">
        <v>267</v>
      </c>
      <c r="G69" s="169"/>
      <c r="H69" s="299" t="str">
        <f>VLOOKUP(E69&amp;F69,'[1]MV+BI'!$E$8:$K$375,3,FALSE)</f>
        <v>Em Teste - Alteração EF</v>
      </c>
      <c r="I69" s="172">
        <f>VLOOKUP(E69&amp;F69,'[1]MV+BI'!$E$8:$K$375,7,FALSE)</f>
        <v>45443</v>
      </c>
      <c r="J69" s="62"/>
      <c r="K69" s="79" t="s">
        <v>420</v>
      </c>
      <c r="L69" s="62"/>
      <c r="M69" s="62"/>
      <c r="N69" s="172"/>
      <c r="O69" s="79"/>
      <c r="P69" s="79"/>
      <c r="Q69" s="62"/>
      <c r="R69" s="87"/>
      <c r="S69" s="87"/>
      <c r="T69" s="87"/>
      <c r="U69" s="87"/>
      <c r="V69" s="87"/>
      <c r="W69" s="91"/>
      <c r="X69" s="62"/>
      <c r="Y69" s="62"/>
      <c r="Z69" s="62"/>
      <c r="AA69"/>
      <c r="AB69"/>
      <c r="AC69"/>
      <c r="AD69" s="32"/>
    </row>
    <row r="70" spans="3:30" s="2" customFormat="1" ht="15" customHeight="1">
      <c r="C70" s="136"/>
      <c r="D70" s="137"/>
      <c r="E70" s="178" t="s">
        <v>250</v>
      </c>
      <c r="F70" s="178" t="s">
        <v>268</v>
      </c>
      <c r="G70" s="169"/>
      <c r="H70" s="299" t="str">
        <f>VLOOKUP(E70&amp;F70,'[1]MV+BI'!$E$8:$K$375,3,FALSE)</f>
        <v>Em Teste - Alteração EF</v>
      </c>
      <c r="I70" s="172">
        <f>VLOOKUP(E70&amp;F70,'[1]MV+BI'!$E$8:$K$375,7,FALSE)</f>
        <v>45443</v>
      </c>
      <c r="J70" s="62"/>
      <c r="K70" s="79" t="s">
        <v>420</v>
      </c>
      <c r="L70" s="62"/>
      <c r="M70" s="62"/>
      <c r="N70" s="172"/>
      <c r="O70" s="79"/>
      <c r="P70" s="79"/>
      <c r="Q70" s="62"/>
      <c r="R70" s="87"/>
      <c r="S70" s="87"/>
      <c r="T70" s="87"/>
      <c r="U70" s="87"/>
      <c r="V70" s="87"/>
      <c r="W70" s="91"/>
      <c r="X70" s="62"/>
      <c r="Y70" s="62"/>
      <c r="Z70" s="62"/>
      <c r="AA70"/>
      <c r="AB70"/>
      <c r="AC70"/>
      <c r="AD70" s="32"/>
    </row>
    <row r="71" spans="3:30" s="2" customFormat="1" ht="15" customHeight="1">
      <c r="C71" s="136"/>
      <c r="D71" s="137"/>
      <c r="E71" s="178" t="s">
        <v>250</v>
      </c>
      <c r="F71" s="178" t="s">
        <v>269</v>
      </c>
      <c r="G71" s="169"/>
      <c r="H71" s="299" t="str">
        <f>VLOOKUP(E71&amp;F71,'[1]MV+BI'!$E$8:$K$375,3,FALSE)</f>
        <v>Em Teste - Alteração EF</v>
      </c>
      <c r="I71" s="172">
        <f>VLOOKUP(E71&amp;F71,'[1]MV+BI'!$E$8:$K$375,7,FALSE)</f>
        <v>45443</v>
      </c>
      <c r="J71" s="62"/>
      <c r="K71" s="79" t="s">
        <v>420</v>
      </c>
      <c r="L71" s="62"/>
      <c r="M71" s="62"/>
      <c r="N71" s="172"/>
      <c r="O71" s="79"/>
      <c r="P71" s="79"/>
      <c r="Q71" s="62"/>
      <c r="R71" s="87"/>
      <c r="S71" s="87"/>
      <c r="T71" s="87"/>
      <c r="U71" s="87"/>
      <c r="V71" s="87"/>
      <c r="W71" s="91"/>
      <c r="X71" s="62"/>
      <c r="Y71" s="62"/>
      <c r="Z71" s="62"/>
      <c r="AA71"/>
      <c r="AB71"/>
      <c r="AC71"/>
      <c r="AD71" s="32"/>
    </row>
    <row r="72" spans="3:30" s="2" customFormat="1" ht="15" customHeight="1">
      <c r="C72" s="136"/>
      <c r="D72" s="137"/>
      <c r="E72" s="178" t="s">
        <v>250</v>
      </c>
      <c r="F72" s="178" t="s">
        <v>270</v>
      </c>
      <c r="G72" s="169"/>
      <c r="H72" s="299" t="str">
        <f>VLOOKUP(E72&amp;F72,'[1]MV+BI'!$E$8:$K$375,3,FALSE)</f>
        <v>Em Teste - Alteração EF</v>
      </c>
      <c r="I72" s="172">
        <f>VLOOKUP(E72&amp;F72,'[1]MV+BI'!$E$8:$K$375,7,FALSE)</f>
        <v>45443</v>
      </c>
      <c r="J72" s="62"/>
      <c r="K72" s="79" t="s">
        <v>420</v>
      </c>
      <c r="L72" s="62"/>
      <c r="M72" s="62"/>
      <c r="N72" s="172"/>
      <c r="O72" s="79"/>
      <c r="P72" s="79"/>
      <c r="Q72" s="62"/>
      <c r="R72" s="87"/>
      <c r="S72" s="87"/>
      <c r="T72" s="87"/>
      <c r="U72" s="87"/>
      <c r="V72" s="87"/>
      <c r="W72" s="91"/>
      <c r="X72" s="62"/>
      <c r="Y72" s="62"/>
      <c r="Z72" s="62"/>
      <c r="AA72"/>
      <c r="AB72"/>
      <c r="AC72"/>
      <c r="AD72" s="32"/>
    </row>
    <row r="73" spans="3:30" s="2" customFormat="1" ht="15" customHeight="1">
      <c r="C73" s="136"/>
      <c r="D73" s="137"/>
      <c r="E73" s="178" t="s">
        <v>250</v>
      </c>
      <c r="F73" s="178" t="s">
        <v>271</v>
      </c>
      <c r="G73" s="169"/>
      <c r="H73" s="299" t="str">
        <f>VLOOKUP(E73&amp;F73,'[1]MV+BI'!$E$8:$K$375,3,FALSE)</f>
        <v>Em Teste - Alteração EF</v>
      </c>
      <c r="I73" s="172">
        <f>VLOOKUP(E73&amp;F73,'[1]MV+BI'!$E$8:$K$375,7,FALSE)</f>
        <v>45443</v>
      </c>
      <c r="J73" s="62"/>
      <c r="K73" s="79" t="s">
        <v>420</v>
      </c>
      <c r="L73" s="62"/>
      <c r="M73" s="62"/>
      <c r="N73" s="172"/>
      <c r="O73" s="79"/>
      <c r="P73" s="79"/>
      <c r="Q73" s="62"/>
      <c r="R73" s="87"/>
      <c r="S73" s="87"/>
      <c r="T73" s="87"/>
      <c r="U73" s="87"/>
      <c r="V73" s="87"/>
      <c r="W73" s="91"/>
      <c r="X73" s="62"/>
      <c r="Y73" s="62"/>
      <c r="Z73" s="62"/>
      <c r="AA73"/>
      <c r="AB73"/>
      <c r="AC73"/>
      <c r="AD73" s="32"/>
    </row>
    <row r="74" spans="3:30" s="2" customFormat="1" ht="15" customHeight="1">
      <c r="C74" s="136"/>
      <c r="D74" s="137"/>
      <c r="E74" s="178" t="s">
        <v>250</v>
      </c>
      <c r="F74" s="179" t="s">
        <v>272</v>
      </c>
      <c r="G74" s="169"/>
      <c r="H74" s="299" t="str">
        <f>VLOOKUP(E74&amp;F74,'[1]MV+BI'!$E$8:$K$375,3,FALSE)</f>
        <v>Em Teste - Alteração EF</v>
      </c>
      <c r="I74" s="172">
        <f>VLOOKUP(E74&amp;F74,'[1]MV+BI'!$E$8:$K$375,7,FALSE)</f>
        <v>45443</v>
      </c>
      <c r="J74" s="62"/>
      <c r="K74" s="79" t="s">
        <v>420</v>
      </c>
      <c r="L74" s="62"/>
      <c r="M74" s="62"/>
      <c r="N74" s="172"/>
      <c r="O74" s="79"/>
      <c r="P74" s="79"/>
      <c r="Q74" s="62"/>
      <c r="R74" s="87"/>
      <c r="S74" s="87"/>
      <c r="T74" s="87"/>
      <c r="U74" s="87"/>
      <c r="V74" s="87"/>
      <c r="W74" s="91"/>
      <c r="X74" s="62"/>
      <c r="Y74" s="62"/>
      <c r="Z74" s="62"/>
      <c r="AA74"/>
      <c r="AB74"/>
      <c r="AC74"/>
      <c r="AD74" s="32"/>
    </row>
    <row r="75" spans="3:30" s="2" customFormat="1" ht="15" customHeight="1">
      <c r="C75" s="136"/>
      <c r="D75" s="137"/>
      <c r="E75" s="178" t="s">
        <v>250</v>
      </c>
      <c r="F75" s="180" t="s">
        <v>273</v>
      </c>
      <c r="G75" s="169"/>
      <c r="H75" s="299" t="str">
        <f>VLOOKUP(E75&amp;F75,'[1]MV+BI'!$E$8:$K$375,3,FALSE)</f>
        <v>Em Teste - Alteração EF</v>
      </c>
      <c r="I75" s="172">
        <f>VLOOKUP(E75&amp;F75,'[1]MV+BI'!$E$8:$K$375,7,FALSE)</f>
        <v>45443</v>
      </c>
      <c r="J75" s="62"/>
      <c r="K75" s="79" t="s">
        <v>420</v>
      </c>
      <c r="L75" s="62"/>
      <c r="M75" s="62"/>
      <c r="N75" s="172"/>
      <c r="O75" s="79"/>
      <c r="P75" s="79"/>
      <c r="Q75" s="62"/>
      <c r="R75" s="87"/>
      <c r="S75" s="87"/>
      <c r="T75" s="87"/>
      <c r="U75" s="87"/>
      <c r="V75" s="87"/>
      <c r="W75" s="91"/>
      <c r="X75" s="62"/>
      <c r="Y75" s="62"/>
      <c r="Z75" s="62"/>
      <c r="AA75"/>
      <c r="AB75"/>
      <c r="AC75"/>
      <c r="AD75" s="32"/>
    </row>
    <row r="76" spans="3:30" s="2" customFormat="1" ht="15" customHeight="1">
      <c r="C76" s="136"/>
      <c r="D76" s="137"/>
      <c r="E76" s="178" t="s">
        <v>250</v>
      </c>
      <c r="F76" s="180" t="s">
        <v>274</v>
      </c>
      <c r="G76" s="169"/>
      <c r="H76" s="299" t="str">
        <f>VLOOKUP(E76&amp;F76,'[1]MV+BI'!$E$8:$K$375,3,FALSE)</f>
        <v>Em Teste - Alteração EF</v>
      </c>
      <c r="I76" s="172">
        <f>VLOOKUP(E76&amp;F76,'[1]MV+BI'!$E$8:$K$375,7,FALSE)</f>
        <v>45443</v>
      </c>
      <c r="J76" s="62"/>
      <c r="K76" s="79" t="s">
        <v>420</v>
      </c>
      <c r="L76" s="62"/>
      <c r="M76" s="62"/>
      <c r="N76" s="172"/>
      <c r="O76" s="79"/>
      <c r="P76" s="79"/>
      <c r="Q76" s="62"/>
      <c r="R76" s="87"/>
      <c r="S76" s="87"/>
      <c r="T76" s="87"/>
      <c r="U76" s="87"/>
      <c r="V76" s="87"/>
      <c r="W76" s="91"/>
      <c r="X76" s="62"/>
      <c r="Y76" s="62"/>
      <c r="Z76" s="62"/>
      <c r="AA76"/>
      <c r="AB76"/>
      <c r="AC76"/>
      <c r="AD76" s="32"/>
    </row>
    <row r="77" spans="3:30" s="2" customFormat="1" ht="15" customHeight="1">
      <c r="C77" s="136"/>
      <c r="D77" s="137"/>
      <c r="E77" s="178" t="s">
        <v>250</v>
      </c>
      <c r="F77" s="180" t="s">
        <v>275</v>
      </c>
      <c r="G77" s="169"/>
      <c r="H77" s="299" t="str">
        <f>VLOOKUP(E77&amp;F77,'[1]MV+BI'!$E$8:$K$375,3,FALSE)</f>
        <v>Em Teste - Alteração EF</v>
      </c>
      <c r="I77" s="172">
        <f>VLOOKUP(E77&amp;F77,'[1]MV+BI'!$E$8:$K$375,7,FALSE)</f>
        <v>45443</v>
      </c>
      <c r="J77" s="62"/>
      <c r="K77" s="79" t="s">
        <v>420</v>
      </c>
      <c r="L77" s="62"/>
      <c r="M77" s="62"/>
      <c r="N77" s="172"/>
      <c r="O77" s="79"/>
      <c r="P77" s="79"/>
      <c r="Q77" s="62"/>
      <c r="R77" s="87"/>
      <c r="S77" s="87"/>
      <c r="T77" s="87"/>
      <c r="U77" s="87"/>
      <c r="V77" s="87"/>
      <c r="W77" s="91"/>
      <c r="X77" s="62"/>
      <c r="Y77" s="62"/>
      <c r="Z77" s="62"/>
      <c r="AA77"/>
      <c r="AB77"/>
      <c r="AC77"/>
      <c r="AD77" s="32"/>
    </row>
    <row r="78" spans="3:30" s="2" customFormat="1" ht="15" customHeight="1">
      <c r="C78" s="136"/>
      <c r="D78" s="137"/>
      <c r="E78" s="178" t="s">
        <v>250</v>
      </c>
      <c r="F78" s="180" t="s">
        <v>276</v>
      </c>
      <c r="G78" s="169"/>
      <c r="H78" s="299" t="str">
        <f>VLOOKUP(E78&amp;F78,'[1]MV+BI'!$E$8:$K$375,3,FALSE)</f>
        <v>Em Teste - Alteração EF</v>
      </c>
      <c r="I78" s="172">
        <f>VLOOKUP(E78&amp;F78,'[1]MV+BI'!$E$8:$K$375,7,FALSE)</f>
        <v>45443</v>
      </c>
      <c r="J78" s="62"/>
      <c r="K78" s="79" t="s">
        <v>420</v>
      </c>
      <c r="L78" s="62"/>
      <c r="M78" s="62"/>
      <c r="N78" s="172"/>
      <c r="O78" s="79"/>
      <c r="P78" s="79"/>
      <c r="Q78" s="62"/>
      <c r="R78" s="87"/>
      <c r="S78" s="87"/>
      <c r="T78" s="87"/>
      <c r="U78" s="87"/>
      <c r="V78" s="87"/>
      <c r="W78" s="91"/>
      <c r="X78" s="62"/>
      <c r="Y78" s="62"/>
      <c r="Z78" s="62"/>
      <c r="AA78"/>
      <c r="AB78"/>
      <c r="AC78"/>
      <c r="AD78" s="32"/>
    </row>
    <row r="79" spans="3:30" s="2" customFormat="1" ht="15" customHeight="1">
      <c r="C79" s="136"/>
      <c r="D79" s="137"/>
      <c r="E79" s="178" t="s">
        <v>250</v>
      </c>
      <c r="F79" s="180" t="s">
        <v>67</v>
      </c>
      <c r="G79" s="169"/>
      <c r="H79" s="299" t="str">
        <f>VLOOKUP(E79&amp;F79,'[1]MV+BI'!$E$8:$K$375,3,FALSE)</f>
        <v>Em Teste - Alteração EF</v>
      </c>
      <c r="I79" s="172">
        <f>VLOOKUP(E79&amp;F79,'[1]MV+BI'!$E$8:$K$375,7,FALSE)</f>
        <v>45443</v>
      </c>
      <c r="J79" s="62"/>
      <c r="K79" s="79" t="s">
        <v>420</v>
      </c>
      <c r="L79" s="62"/>
      <c r="M79" s="62"/>
      <c r="N79" s="172"/>
      <c r="O79" s="79"/>
      <c r="P79" s="79"/>
      <c r="Q79" s="62"/>
      <c r="R79" s="87"/>
      <c r="S79" s="87"/>
      <c r="T79" s="87"/>
      <c r="U79" s="87"/>
      <c r="V79" s="87"/>
      <c r="W79" s="91"/>
      <c r="X79" s="62"/>
      <c r="Y79" s="62"/>
      <c r="Z79" s="62"/>
      <c r="AA79"/>
      <c r="AB79"/>
      <c r="AC79"/>
      <c r="AD79" s="32"/>
    </row>
    <row r="80" spans="3:30" s="2" customFormat="1" ht="15" customHeight="1">
      <c r="C80" s="136"/>
      <c r="D80" s="137"/>
      <c r="E80" s="178" t="s">
        <v>250</v>
      </c>
      <c r="F80" s="180" t="s">
        <v>6</v>
      </c>
      <c r="G80" s="169"/>
      <c r="H80" s="299" t="str">
        <f>VLOOKUP(E80&amp;F80,'[1]MV+BI'!$E$8:$K$375,3,FALSE)</f>
        <v>Em Teste - Alteração EF</v>
      </c>
      <c r="I80" s="172">
        <f>VLOOKUP(E80&amp;F80,'[1]MV+BI'!$E$8:$K$375,7,FALSE)</f>
        <v>45443</v>
      </c>
      <c r="J80" s="62"/>
      <c r="K80" s="79" t="s">
        <v>420</v>
      </c>
      <c r="L80" s="62"/>
      <c r="M80" s="62"/>
      <c r="N80" s="172"/>
      <c r="O80" s="79"/>
      <c r="P80" s="79"/>
      <c r="Q80" s="62"/>
      <c r="R80" s="87"/>
      <c r="S80" s="87"/>
      <c r="T80" s="87"/>
      <c r="U80" s="87"/>
      <c r="V80" s="87"/>
      <c r="W80" s="91"/>
      <c r="X80" s="62"/>
      <c r="Y80" s="62"/>
      <c r="Z80" s="62"/>
      <c r="AA80"/>
      <c r="AB80"/>
      <c r="AC80"/>
      <c r="AD80" s="32"/>
    </row>
    <row r="81" spans="3:30" s="2" customFormat="1" ht="15" customHeight="1">
      <c r="C81" s="136"/>
      <c r="D81" s="137"/>
      <c r="E81" s="178" t="s">
        <v>277</v>
      </c>
      <c r="F81" s="180" t="s">
        <v>278</v>
      </c>
      <c r="G81" s="169"/>
      <c r="H81" s="299" t="str">
        <f>VLOOKUP(E81&amp;F81,'[1]MV+BI'!$E$8:$K$375,3,FALSE)</f>
        <v>Em Teste - Alteração EF</v>
      </c>
      <c r="I81" s="172">
        <f>VLOOKUP(E81&amp;F81,'[1]MV+BI'!$E$8:$K$375,7,FALSE)</f>
        <v>45513</v>
      </c>
      <c r="J81" s="62"/>
      <c r="K81" s="79" t="s">
        <v>420</v>
      </c>
      <c r="L81" s="62"/>
      <c r="M81" s="62"/>
      <c r="N81" s="172"/>
      <c r="O81" s="79"/>
      <c r="P81" s="79"/>
      <c r="Q81" s="62"/>
      <c r="R81" s="87"/>
      <c r="S81" s="87"/>
      <c r="T81" s="87"/>
      <c r="U81" s="87"/>
      <c r="V81" s="87"/>
      <c r="W81" s="91"/>
      <c r="X81" s="62"/>
      <c r="Y81" s="62"/>
      <c r="Z81" s="62"/>
      <c r="AA81"/>
      <c r="AB81"/>
      <c r="AC81"/>
      <c r="AD81" s="32"/>
    </row>
    <row r="82" spans="3:30" s="2" customFormat="1" ht="15" customHeight="1">
      <c r="C82" s="136"/>
      <c r="D82" s="137"/>
      <c r="E82" s="178" t="s">
        <v>277</v>
      </c>
      <c r="F82" s="180" t="s">
        <v>279</v>
      </c>
      <c r="G82" s="169"/>
      <c r="H82" s="299" t="str">
        <f>VLOOKUP(E82&amp;F82,'[1]MV+BI'!$E$8:$K$375,3,FALSE)</f>
        <v>Em Teste - Alteração EF</v>
      </c>
      <c r="I82" s="172">
        <f>VLOOKUP(E82&amp;F82,'[1]MV+BI'!$E$8:$K$375,7,FALSE)</f>
        <v>45513</v>
      </c>
      <c r="J82" s="62"/>
      <c r="K82" s="79" t="s">
        <v>420</v>
      </c>
      <c r="L82" s="62"/>
      <c r="M82" s="62"/>
      <c r="N82" s="172"/>
      <c r="O82" s="79"/>
      <c r="P82" s="79"/>
      <c r="Q82" s="62"/>
      <c r="R82" s="87"/>
      <c r="S82" s="87"/>
      <c r="T82" s="87"/>
      <c r="U82" s="87"/>
      <c r="V82" s="87"/>
      <c r="W82" s="91"/>
      <c r="X82" s="62"/>
      <c r="Y82" s="62"/>
      <c r="Z82" s="62"/>
      <c r="AA82"/>
      <c r="AB82"/>
      <c r="AC82"/>
      <c r="AD82" s="32"/>
    </row>
    <row r="83" spans="3:30" s="2" customFormat="1" ht="15" customHeight="1">
      <c r="C83" s="136"/>
      <c r="D83" s="137"/>
      <c r="E83" s="178" t="s">
        <v>277</v>
      </c>
      <c r="F83" s="180" t="s">
        <v>280</v>
      </c>
      <c r="G83" s="169"/>
      <c r="H83" s="299" t="str">
        <f>VLOOKUP(E83&amp;F83,'[1]MV+BI'!$E$8:$K$375,3,FALSE)</f>
        <v>Em Teste - Alteração EF</v>
      </c>
      <c r="I83" s="172">
        <f>VLOOKUP(E83&amp;F83,'[1]MV+BI'!$E$8:$K$375,7,FALSE)</f>
        <v>45513</v>
      </c>
      <c r="J83" s="62"/>
      <c r="K83" s="79" t="s">
        <v>420</v>
      </c>
      <c r="L83" s="62"/>
      <c r="M83" s="62"/>
      <c r="N83" s="172"/>
      <c r="O83" s="79"/>
      <c r="P83" s="79"/>
      <c r="Q83" s="62"/>
      <c r="R83" s="87"/>
      <c r="S83" s="87"/>
      <c r="T83" s="87"/>
      <c r="U83" s="87"/>
      <c r="V83" s="87"/>
      <c r="W83" s="91"/>
      <c r="X83" s="62"/>
      <c r="Y83" s="62"/>
      <c r="Z83" s="62"/>
      <c r="AA83"/>
      <c r="AB83"/>
      <c r="AC83"/>
      <c r="AD83" s="32"/>
    </row>
    <row r="84" spans="3:30" s="2" customFormat="1" ht="15" customHeight="1">
      <c r="C84" s="136"/>
      <c r="D84" s="137"/>
      <c r="E84" s="178" t="s">
        <v>277</v>
      </c>
      <c r="F84" s="180" t="s">
        <v>281</v>
      </c>
      <c r="G84" s="169"/>
      <c r="H84" s="299" t="str">
        <f>VLOOKUP(E84&amp;F84,'[1]MV+BI'!$E$8:$K$375,3,FALSE)</f>
        <v>Em Teste - Alteração EF</v>
      </c>
      <c r="I84" s="172">
        <f>VLOOKUP(E84&amp;F84,'[1]MV+BI'!$E$8:$K$375,7,FALSE)</f>
        <v>45513</v>
      </c>
      <c r="J84" s="62"/>
      <c r="K84" s="79" t="s">
        <v>420</v>
      </c>
      <c r="L84" s="62"/>
      <c r="M84" s="62"/>
      <c r="N84" s="172"/>
      <c r="O84" s="79"/>
      <c r="P84" s="79"/>
      <c r="Q84" s="62"/>
      <c r="R84" s="87"/>
      <c r="S84" s="87"/>
      <c r="T84" s="87"/>
      <c r="U84" s="87"/>
      <c r="V84" s="87"/>
      <c r="W84" s="91"/>
      <c r="X84" s="62"/>
      <c r="Y84" s="62"/>
      <c r="Z84" s="62"/>
      <c r="AA84"/>
      <c r="AB84"/>
      <c r="AC84"/>
      <c r="AD84" s="32"/>
    </row>
    <row r="85" spans="3:30" s="2" customFormat="1" ht="15" customHeight="1">
      <c r="C85" s="136"/>
      <c r="D85" s="137"/>
      <c r="E85" s="178" t="s">
        <v>277</v>
      </c>
      <c r="F85" s="180" t="s">
        <v>84</v>
      </c>
      <c r="G85" s="169"/>
      <c r="H85" s="299" t="str">
        <f>VLOOKUP(E85&amp;F85,'[1]MV+BI'!$E$8:$K$375,3,FALSE)</f>
        <v>Em Teste - Alteração EF</v>
      </c>
      <c r="I85" s="172">
        <f>VLOOKUP(E85&amp;F85,'[1]MV+BI'!$E$8:$K$375,7,FALSE)</f>
        <v>45513</v>
      </c>
      <c r="J85" s="62"/>
      <c r="K85" s="79" t="s">
        <v>420</v>
      </c>
      <c r="L85" s="62"/>
      <c r="M85" s="62"/>
      <c r="N85" s="172"/>
      <c r="O85" s="79"/>
      <c r="P85" s="79"/>
      <c r="Q85" s="62"/>
      <c r="R85" s="87"/>
      <c r="S85" s="87"/>
      <c r="T85" s="87"/>
      <c r="U85" s="87"/>
      <c r="V85" s="87"/>
      <c r="W85" s="91"/>
      <c r="X85" s="62"/>
      <c r="Y85" s="62"/>
      <c r="Z85" s="62"/>
      <c r="AA85"/>
      <c r="AB85"/>
      <c r="AC85"/>
      <c r="AD85" s="32"/>
    </row>
    <row r="86" spans="3:30" s="2" customFormat="1" ht="15" customHeight="1">
      <c r="C86" s="136"/>
      <c r="D86" s="137"/>
      <c r="E86" s="178" t="s">
        <v>277</v>
      </c>
      <c r="F86" s="180" t="s">
        <v>282</v>
      </c>
      <c r="G86" s="169"/>
      <c r="H86" s="299" t="str">
        <f>VLOOKUP(E86&amp;F86,'[1]MV+BI'!$E$8:$K$375,3,FALSE)</f>
        <v>Em Teste - Alteração EF</v>
      </c>
      <c r="I86" s="172">
        <f>VLOOKUP(E86&amp;F86,'[1]MV+BI'!$E$8:$K$375,7,FALSE)</f>
        <v>45513</v>
      </c>
      <c r="J86" s="62"/>
      <c r="K86" s="79" t="s">
        <v>420</v>
      </c>
      <c r="L86" s="62"/>
      <c r="M86" s="62"/>
      <c r="N86" s="172"/>
      <c r="O86" s="79"/>
      <c r="P86" s="79"/>
      <c r="Q86" s="62"/>
      <c r="R86" s="87"/>
      <c r="S86" s="87"/>
      <c r="T86" s="87"/>
      <c r="U86" s="87"/>
      <c r="V86" s="87"/>
      <c r="W86" s="91"/>
      <c r="X86" s="62"/>
      <c r="Y86" s="62"/>
      <c r="Z86" s="62"/>
      <c r="AA86"/>
      <c r="AB86"/>
      <c r="AC86"/>
      <c r="AD86" s="32"/>
    </row>
    <row r="87" spans="3:30" s="2" customFormat="1" ht="15" customHeight="1">
      <c r="C87" s="136"/>
      <c r="D87" s="137"/>
      <c r="E87" s="178" t="s">
        <v>277</v>
      </c>
      <c r="F87" s="180" t="s">
        <v>283</v>
      </c>
      <c r="G87" s="169"/>
      <c r="H87" s="299" t="str">
        <f>VLOOKUP(E87&amp;F87,'[1]MV+BI'!$E$8:$K$375,3,FALSE)</f>
        <v>Em Teste - Alteração EF</v>
      </c>
      <c r="I87" s="172">
        <f>VLOOKUP(E87&amp;F87,'[1]MV+BI'!$E$8:$K$375,7,FALSE)</f>
        <v>45513</v>
      </c>
      <c r="J87" s="62"/>
      <c r="K87" s="79" t="s">
        <v>420</v>
      </c>
      <c r="L87" s="62"/>
      <c r="M87" s="62"/>
      <c r="N87" s="172"/>
      <c r="O87" s="79"/>
      <c r="P87" s="79"/>
      <c r="Q87" s="62"/>
      <c r="R87" s="87"/>
      <c r="S87" s="87"/>
      <c r="T87" s="87"/>
      <c r="U87" s="87"/>
      <c r="V87" s="87"/>
      <c r="W87" s="91"/>
      <c r="X87" s="62"/>
      <c r="Y87" s="62"/>
      <c r="Z87" s="62"/>
      <c r="AA87"/>
      <c r="AB87"/>
      <c r="AC87"/>
      <c r="AD87" s="32"/>
    </row>
    <row r="88" spans="3:30" s="2" customFormat="1" ht="15" customHeight="1">
      <c r="C88" s="136"/>
      <c r="D88" s="137"/>
      <c r="E88" s="178" t="s">
        <v>277</v>
      </c>
      <c r="F88" s="180" t="s">
        <v>284</v>
      </c>
      <c r="G88" s="169"/>
      <c r="H88" s="299" t="str">
        <f>VLOOKUP(E88&amp;F88,'[1]MV+BI'!$E$8:$K$375,3,FALSE)</f>
        <v>Em Teste - Alteração EF</v>
      </c>
      <c r="I88" s="172">
        <f>VLOOKUP(E88&amp;F88,'[1]MV+BI'!$E$8:$K$375,7,FALSE)</f>
        <v>45513</v>
      </c>
      <c r="J88" s="62"/>
      <c r="K88" s="79" t="s">
        <v>420</v>
      </c>
      <c r="L88" s="62"/>
      <c r="M88" s="62"/>
      <c r="N88" s="172"/>
      <c r="O88" s="79"/>
      <c r="P88" s="79"/>
      <c r="Q88" s="62"/>
      <c r="R88" s="87"/>
      <c r="S88" s="87"/>
      <c r="T88" s="87"/>
      <c r="U88" s="87"/>
      <c r="V88" s="87"/>
      <c r="W88" s="91"/>
      <c r="X88" s="62"/>
      <c r="Y88" s="62"/>
      <c r="Z88" s="62"/>
      <c r="AA88"/>
      <c r="AB88"/>
      <c r="AC88"/>
      <c r="AD88" s="32"/>
    </row>
    <row r="89" spans="3:30" s="2" customFormat="1" ht="15" customHeight="1">
      <c r="C89" s="136"/>
      <c r="D89" s="137"/>
      <c r="E89" s="178" t="s">
        <v>277</v>
      </c>
      <c r="F89" s="180" t="s">
        <v>285</v>
      </c>
      <c r="G89" s="169"/>
      <c r="H89" s="299" t="str">
        <f>VLOOKUP(E89&amp;F89,'[1]MV+BI'!$E$8:$K$375,3,FALSE)</f>
        <v>Em Teste - Alteração EF</v>
      </c>
      <c r="I89" s="172">
        <f>VLOOKUP(E89&amp;F89,'[1]MV+BI'!$E$8:$K$375,7,FALSE)</f>
        <v>45513</v>
      </c>
      <c r="J89" s="62"/>
      <c r="K89" s="79" t="s">
        <v>420</v>
      </c>
      <c r="L89" s="62"/>
      <c r="M89" s="62"/>
      <c r="N89" s="172"/>
      <c r="O89" s="79"/>
      <c r="P89" s="79"/>
      <c r="Q89" s="62"/>
      <c r="R89" s="87"/>
      <c r="S89" s="87"/>
      <c r="T89" s="87"/>
      <c r="U89" s="87"/>
      <c r="V89" s="87"/>
      <c r="W89" s="91"/>
      <c r="X89" s="62"/>
      <c r="Y89" s="62"/>
      <c r="Z89" s="62"/>
      <c r="AA89"/>
      <c r="AB89"/>
      <c r="AC89"/>
      <c r="AD89" s="32"/>
    </row>
    <row r="90" spans="3:30" s="2" customFormat="1" ht="15" customHeight="1">
      <c r="C90" s="136"/>
      <c r="D90" s="137"/>
      <c r="E90" s="178" t="s">
        <v>277</v>
      </c>
      <c r="F90" s="180" t="s">
        <v>286</v>
      </c>
      <c r="G90" s="169"/>
      <c r="H90" s="299" t="str">
        <f>VLOOKUP(E90&amp;F90,'[1]MV+BI'!$E$8:$K$375,3,FALSE)</f>
        <v>Em Teste - Alteração EF</v>
      </c>
      <c r="I90" s="172">
        <f>VLOOKUP(E90&amp;F90,'[1]MV+BI'!$E$8:$K$375,7,FALSE)</f>
        <v>45513</v>
      </c>
      <c r="J90" s="62"/>
      <c r="K90" s="79" t="s">
        <v>420</v>
      </c>
      <c r="L90" s="62"/>
      <c r="M90" s="62"/>
      <c r="N90" s="172"/>
      <c r="O90" s="79"/>
      <c r="P90" s="79"/>
      <c r="Q90" s="62"/>
      <c r="R90" s="87"/>
      <c r="S90" s="87"/>
      <c r="T90" s="87"/>
      <c r="U90" s="87"/>
      <c r="V90" s="87"/>
      <c r="W90" s="91"/>
      <c r="X90" s="62"/>
      <c r="Y90" s="62"/>
      <c r="Z90" s="62"/>
      <c r="AA90"/>
      <c r="AB90"/>
      <c r="AC90"/>
      <c r="AD90" s="32"/>
    </row>
    <row r="91" spans="3:30" s="2" customFormat="1" ht="15" customHeight="1">
      <c r="C91" s="136"/>
      <c r="D91" s="137"/>
      <c r="E91" s="178" t="s">
        <v>277</v>
      </c>
      <c r="F91" s="180" t="s">
        <v>287</v>
      </c>
      <c r="G91" s="169"/>
      <c r="H91" s="299" t="str">
        <f>VLOOKUP(E91&amp;F91,'[1]MV+BI'!$E$8:$K$375,3,FALSE)</f>
        <v>Em Teste - Alteração EF</v>
      </c>
      <c r="I91" s="172">
        <f>VLOOKUP(E91&amp;F91,'[1]MV+BI'!$E$8:$K$375,7,FALSE)</f>
        <v>45513</v>
      </c>
      <c r="J91" s="62"/>
      <c r="K91" s="79" t="s">
        <v>420</v>
      </c>
      <c r="L91" s="62"/>
      <c r="M91" s="62"/>
      <c r="N91" s="172"/>
      <c r="O91" s="79"/>
      <c r="P91" s="79"/>
      <c r="Q91" s="62"/>
      <c r="R91" s="87"/>
      <c r="S91" s="87"/>
      <c r="T91" s="87"/>
      <c r="U91" s="87"/>
      <c r="V91" s="87"/>
      <c r="W91" s="91"/>
      <c r="X91" s="62"/>
      <c r="Y91" s="62"/>
      <c r="Z91" s="62"/>
      <c r="AA91"/>
      <c r="AB91"/>
      <c r="AC91"/>
      <c r="AD91" s="32"/>
    </row>
    <row r="92" spans="3:30" s="2" customFormat="1" ht="15" customHeight="1">
      <c r="C92" s="136"/>
      <c r="D92" s="137"/>
      <c r="E92" s="178" t="s">
        <v>277</v>
      </c>
      <c r="F92" s="180" t="s">
        <v>288</v>
      </c>
      <c r="G92" s="169"/>
      <c r="H92" s="299" t="str">
        <f>VLOOKUP(E92&amp;F92,'[1]MV+BI'!$E$8:$K$375,3,FALSE)</f>
        <v>Em Teste - Alteração EF</v>
      </c>
      <c r="I92" s="172">
        <f>VLOOKUP(E92&amp;F92,'[1]MV+BI'!$E$8:$K$375,7,FALSE)</f>
        <v>45513</v>
      </c>
      <c r="J92" s="62"/>
      <c r="K92" s="79" t="s">
        <v>420</v>
      </c>
      <c r="L92" s="62"/>
      <c r="M92" s="62"/>
      <c r="N92" s="172"/>
      <c r="O92" s="79"/>
      <c r="P92" s="79"/>
      <c r="Q92" s="62"/>
      <c r="R92" s="87"/>
      <c r="S92" s="87"/>
      <c r="T92" s="87"/>
      <c r="U92" s="87"/>
      <c r="V92" s="87"/>
      <c r="W92" s="91"/>
      <c r="X92" s="62"/>
      <c r="Y92" s="62"/>
      <c r="Z92" s="62"/>
      <c r="AA92"/>
      <c r="AB92"/>
      <c r="AC92"/>
      <c r="AD92" s="32"/>
    </row>
    <row r="93" spans="3:30" s="2" customFormat="1" ht="15" customHeight="1">
      <c r="C93" s="136"/>
      <c r="D93" s="137"/>
      <c r="E93" s="178" t="s">
        <v>277</v>
      </c>
      <c r="F93" s="180" t="s">
        <v>289</v>
      </c>
      <c r="G93" s="169"/>
      <c r="H93" s="299" t="str">
        <f>VLOOKUP(E93&amp;F93,'[1]MV+BI'!$E$8:$K$375,3,FALSE)</f>
        <v>Em Teste - Alteração EF</v>
      </c>
      <c r="I93" s="172">
        <f>VLOOKUP(E93&amp;F93,'[1]MV+BI'!$E$8:$K$375,7,FALSE)</f>
        <v>45513</v>
      </c>
      <c r="J93" s="62"/>
      <c r="K93" s="79" t="s">
        <v>420</v>
      </c>
      <c r="L93" s="62"/>
      <c r="M93" s="62"/>
      <c r="N93" s="172"/>
      <c r="O93" s="79"/>
      <c r="P93" s="79"/>
      <c r="Q93" s="62"/>
      <c r="R93" s="87"/>
      <c r="S93" s="87"/>
      <c r="T93" s="87"/>
      <c r="U93" s="87"/>
      <c r="V93" s="87"/>
      <c r="W93" s="91"/>
      <c r="X93" s="62"/>
      <c r="Y93" s="62"/>
      <c r="Z93" s="62"/>
      <c r="AA93"/>
      <c r="AB93"/>
      <c r="AC93"/>
      <c r="AD93" s="32"/>
    </row>
    <row r="94" spans="3:30" s="2" customFormat="1" ht="15" customHeight="1">
      <c r="C94" s="136"/>
      <c r="D94" s="137"/>
      <c r="E94" s="178" t="s">
        <v>277</v>
      </c>
      <c r="F94" s="180" t="s">
        <v>290</v>
      </c>
      <c r="G94" s="169"/>
      <c r="H94" s="299" t="str">
        <f>VLOOKUP(E94&amp;F94,'[1]MV+BI'!$E$8:$K$375,3,FALSE)</f>
        <v>Em Teste - Alteração EF</v>
      </c>
      <c r="I94" s="172">
        <f>VLOOKUP(E94&amp;F94,'[1]MV+BI'!$E$8:$K$375,7,FALSE)</f>
        <v>45513</v>
      </c>
      <c r="J94" s="62"/>
      <c r="K94" s="79" t="s">
        <v>420</v>
      </c>
      <c r="L94" s="62"/>
      <c r="M94" s="62"/>
      <c r="N94" s="172"/>
      <c r="O94" s="79"/>
      <c r="P94" s="79"/>
      <c r="Q94" s="62"/>
      <c r="R94" s="87"/>
      <c r="S94" s="87"/>
      <c r="T94" s="87"/>
      <c r="U94" s="87"/>
      <c r="V94" s="87"/>
      <c r="W94" s="91"/>
      <c r="X94" s="62"/>
      <c r="Y94" s="62"/>
      <c r="Z94" s="62"/>
      <c r="AA94"/>
      <c r="AB94"/>
      <c r="AC94"/>
      <c r="AD94" s="32"/>
    </row>
    <row r="95" spans="3:30" s="2" customFormat="1" ht="15" customHeight="1">
      <c r="C95" s="136"/>
      <c r="D95" s="137"/>
      <c r="E95" s="178" t="s">
        <v>277</v>
      </c>
      <c r="F95" s="180" t="s">
        <v>291</v>
      </c>
      <c r="G95" s="169"/>
      <c r="H95" s="299" t="str">
        <f>VLOOKUP(E95&amp;F95,'[1]MV+BI'!$E$8:$K$375,3,FALSE)</f>
        <v>Em Teste - Alteração EF</v>
      </c>
      <c r="I95" s="172">
        <f>VLOOKUP(E95&amp;F95,'[1]MV+BI'!$E$8:$K$375,7,FALSE)</f>
        <v>45513</v>
      </c>
      <c r="J95" s="62"/>
      <c r="K95" s="79" t="s">
        <v>420</v>
      </c>
      <c r="L95" s="62"/>
      <c r="M95" s="62"/>
      <c r="N95" s="172"/>
      <c r="O95" s="79"/>
      <c r="P95" s="79"/>
      <c r="Q95" s="62"/>
      <c r="R95" s="87"/>
      <c r="S95" s="87"/>
      <c r="T95" s="87"/>
      <c r="U95" s="87"/>
      <c r="V95" s="87"/>
      <c r="W95" s="91"/>
      <c r="X95" s="62"/>
      <c r="Y95" s="62"/>
      <c r="Z95" s="62"/>
      <c r="AA95"/>
      <c r="AB95"/>
      <c r="AC95"/>
      <c r="AD95" s="32"/>
    </row>
    <row r="96" spans="3:30" s="2" customFormat="1" ht="15" customHeight="1">
      <c r="C96" s="136"/>
      <c r="D96" s="137"/>
      <c r="E96" s="178" t="s">
        <v>277</v>
      </c>
      <c r="F96" s="180" t="s">
        <v>292</v>
      </c>
      <c r="G96" s="169"/>
      <c r="H96" s="299" t="str">
        <f>VLOOKUP(E96&amp;F96,'[1]MV+BI'!$E$8:$K$375,3,FALSE)</f>
        <v>Em Teste - Alteração EF</v>
      </c>
      <c r="I96" s="172">
        <f>VLOOKUP(E96&amp;F96,'[1]MV+BI'!$E$8:$K$375,7,FALSE)</f>
        <v>45513</v>
      </c>
      <c r="J96" s="62"/>
      <c r="K96" s="79" t="s">
        <v>420</v>
      </c>
      <c r="L96" s="62"/>
      <c r="M96" s="62"/>
      <c r="N96" s="172"/>
      <c r="O96" s="79"/>
      <c r="P96" s="79"/>
      <c r="Q96" s="62"/>
      <c r="R96" s="87"/>
      <c r="S96" s="87"/>
      <c r="T96" s="87"/>
      <c r="U96" s="87"/>
      <c r="V96" s="87"/>
      <c r="W96" s="91"/>
      <c r="X96" s="62"/>
      <c r="Y96" s="62"/>
      <c r="Z96" s="62"/>
      <c r="AA96"/>
      <c r="AB96"/>
      <c r="AC96"/>
      <c r="AD96" s="32"/>
    </row>
    <row r="97" spans="3:30" s="2" customFormat="1" ht="15" customHeight="1">
      <c r="C97" s="136"/>
      <c r="D97" s="137"/>
      <c r="E97" s="178" t="s">
        <v>277</v>
      </c>
      <c r="F97" s="180" t="s">
        <v>293</v>
      </c>
      <c r="G97" s="169"/>
      <c r="H97" s="299" t="str">
        <f>VLOOKUP(E97&amp;F97,'[1]MV+BI'!$E$8:$K$375,3,FALSE)</f>
        <v>Em Teste - Alteração EF</v>
      </c>
      <c r="I97" s="172">
        <f>VLOOKUP(E97&amp;F97,'[1]MV+BI'!$E$8:$K$375,7,FALSE)</f>
        <v>45513</v>
      </c>
      <c r="J97" s="62"/>
      <c r="K97" s="79" t="s">
        <v>420</v>
      </c>
      <c r="L97" s="62"/>
      <c r="M97" s="62"/>
      <c r="N97" s="172"/>
      <c r="O97" s="79"/>
      <c r="P97" s="79"/>
      <c r="Q97" s="62"/>
      <c r="R97" s="87"/>
      <c r="S97" s="87"/>
      <c r="T97" s="87"/>
      <c r="U97" s="87"/>
      <c r="V97" s="87"/>
      <c r="W97" s="91"/>
      <c r="X97" s="62"/>
      <c r="Y97" s="62"/>
      <c r="Z97" s="62"/>
      <c r="AA97"/>
      <c r="AB97"/>
      <c r="AC97"/>
      <c r="AD97" s="32"/>
    </row>
    <row r="98" spans="3:30" s="2" customFormat="1" ht="15" customHeight="1">
      <c r="C98" s="136"/>
      <c r="D98" s="137"/>
      <c r="E98" s="178" t="s">
        <v>277</v>
      </c>
      <c r="F98" s="180" t="s">
        <v>294</v>
      </c>
      <c r="G98" s="169"/>
      <c r="H98" s="299" t="str">
        <f>VLOOKUP(E98&amp;F98,'[1]MV+BI'!$E$8:$K$375,3,FALSE)</f>
        <v>Em Teste - Alteração EF</v>
      </c>
      <c r="I98" s="172">
        <f>VLOOKUP(E98&amp;F98,'[1]MV+BI'!$E$8:$K$375,7,FALSE)</f>
        <v>45513</v>
      </c>
      <c r="J98" s="62"/>
      <c r="K98" s="79" t="s">
        <v>420</v>
      </c>
      <c r="L98" s="62"/>
      <c r="M98" s="62"/>
      <c r="N98" s="172"/>
      <c r="O98" s="79"/>
      <c r="P98" s="79"/>
      <c r="Q98" s="62"/>
      <c r="R98" s="87"/>
      <c r="S98" s="87"/>
      <c r="T98" s="87"/>
      <c r="U98" s="87"/>
      <c r="V98" s="87"/>
      <c r="W98" s="91"/>
      <c r="X98" s="62"/>
      <c r="Y98" s="62"/>
      <c r="Z98" s="62"/>
      <c r="AA98"/>
      <c r="AB98"/>
      <c r="AC98"/>
      <c r="AD98" s="32"/>
    </row>
    <row r="99" spans="3:30" s="2" customFormat="1" ht="15" customHeight="1">
      <c r="C99" s="136"/>
      <c r="D99" s="137"/>
      <c r="E99" s="178" t="s">
        <v>277</v>
      </c>
      <c r="F99" s="180" t="s">
        <v>67</v>
      </c>
      <c r="G99" s="169"/>
      <c r="H99" s="299" t="str">
        <f>VLOOKUP(E99&amp;F99,'[1]MV+BI'!$E$8:$K$375,3,FALSE)</f>
        <v>Em Teste - Alteração EF</v>
      </c>
      <c r="I99" s="172">
        <f>VLOOKUP(E99&amp;F99,'[1]MV+BI'!$E$8:$K$375,7,FALSE)</f>
        <v>45513</v>
      </c>
      <c r="J99" s="62"/>
      <c r="K99" s="79" t="s">
        <v>420</v>
      </c>
      <c r="L99" s="62"/>
      <c r="M99" s="62"/>
      <c r="N99" s="172"/>
      <c r="O99" s="79"/>
      <c r="P99" s="79"/>
      <c r="Q99" s="62"/>
      <c r="R99" s="87"/>
      <c r="S99" s="87"/>
      <c r="T99" s="87"/>
      <c r="U99" s="87"/>
      <c r="V99" s="87"/>
      <c r="W99" s="91"/>
      <c r="X99" s="62"/>
      <c r="Y99" s="62"/>
      <c r="Z99" s="62"/>
      <c r="AA99"/>
      <c r="AB99"/>
      <c r="AC99"/>
      <c r="AD99" s="32"/>
    </row>
    <row r="100" spans="3:30" s="2" customFormat="1" ht="15" customHeight="1">
      <c r="C100" s="136"/>
      <c r="D100" s="137"/>
      <c r="E100" s="178" t="s">
        <v>277</v>
      </c>
      <c r="F100" s="180" t="s">
        <v>6</v>
      </c>
      <c r="G100" s="169"/>
      <c r="H100" s="299" t="str">
        <f>VLOOKUP(E100&amp;F100,'[1]MV+BI'!$E$8:$K$375,3,FALSE)</f>
        <v>Em Teste - Alteração EF</v>
      </c>
      <c r="I100" s="172">
        <f>VLOOKUP(E100&amp;F100,'[1]MV+BI'!$E$8:$K$375,7,FALSE)</f>
        <v>45513</v>
      </c>
      <c r="J100" s="62"/>
      <c r="K100" s="79" t="s">
        <v>420</v>
      </c>
      <c r="L100" s="62"/>
      <c r="M100" s="62"/>
      <c r="N100" s="172"/>
      <c r="O100" s="79"/>
      <c r="P100" s="79"/>
      <c r="Q100" s="62"/>
      <c r="R100" s="87"/>
      <c r="S100" s="87"/>
      <c r="T100" s="87"/>
      <c r="U100" s="87"/>
      <c r="V100" s="87"/>
      <c r="W100" s="91"/>
      <c r="X100" s="62"/>
      <c r="Y100" s="62"/>
      <c r="Z100" s="62"/>
      <c r="AA100"/>
      <c r="AB100"/>
      <c r="AC100"/>
      <c r="AD100" s="32"/>
    </row>
    <row r="101" spans="3:30" s="2" customFormat="1" ht="15" customHeight="1">
      <c r="C101" s="136"/>
      <c r="D101" s="137"/>
      <c r="E101" s="178" t="s">
        <v>295</v>
      </c>
      <c r="F101" s="180" t="s">
        <v>84</v>
      </c>
      <c r="G101" s="169"/>
      <c r="H101" s="299" t="str">
        <f>VLOOKUP(E101&amp;F101,'[1]MV+BI'!$E$8:$K$375,3,FALSE)</f>
        <v>Em Teste - Alteração EF</v>
      </c>
      <c r="I101" s="172">
        <f>VLOOKUP(E101&amp;F101,'[1]MV+BI'!$E$8:$K$375,7,FALSE)</f>
        <v>45450</v>
      </c>
      <c r="J101" s="62"/>
      <c r="K101" s="79" t="s">
        <v>420</v>
      </c>
      <c r="L101" s="62"/>
      <c r="M101" s="62"/>
      <c r="N101" s="172"/>
      <c r="O101" s="79"/>
      <c r="P101" s="79"/>
      <c r="Q101" s="62"/>
      <c r="R101" s="87"/>
      <c r="S101" s="87"/>
      <c r="T101" s="87"/>
      <c r="U101" s="87"/>
      <c r="V101" s="87"/>
      <c r="W101" s="91"/>
      <c r="X101" s="62"/>
      <c r="Y101" s="62"/>
      <c r="Z101" s="62"/>
      <c r="AA101"/>
      <c r="AB101"/>
      <c r="AC101"/>
      <c r="AD101" s="32"/>
    </row>
    <row r="102" spans="3:30" s="2" customFormat="1" ht="15" customHeight="1">
      <c r="C102" s="136"/>
      <c r="D102" s="137"/>
      <c r="E102" s="178" t="s">
        <v>295</v>
      </c>
      <c r="F102" s="180" t="s">
        <v>282</v>
      </c>
      <c r="G102" s="169"/>
      <c r="H102" s="299" t="str">
        <f>VLOOKUP(E102&amp;F102,'[1]MV+BI'!$E$8:$K$375,3,FALSE)</f>
        <v>Em Teste - Alteração EF</v>
      </c>
      <c r="I102" s="172">
        <f>VLOOKUP(E102&amp;F102,'[1]MV+BI'!$E$8:$K$375,7,FALSE)</f>
        <v>45450</v>
      </c>
      <c r="J102" s="62"/>
      <c r="K102" s="79" t="s">
        <v>420</v>
      </c>
      <c r="L102" s="62"/>
      <c r="M102" s="62"/>
      <c r="N102" s="172"/>
      <c r="O102" s="79"/>
      <c r="P102" s="79"/>
      <c r="Q102" s="62"/>
      <c r="R102" s="87"/>
      <c r="S102" s="87"/>
      <c r="T102" s="87"/>
      <c r="U102" s="87"/>
      <c r="V102" s="87"/>
      <c r="W102" s="91"/>
      <c r="X102" s="62"/>
      <c r="Y102" s="62"/>
      <c r="Z102" s="62"/>
      <c r="AA102"/>
      <c r="AB102"/>
      <c r="AC102"/>
      <c r="AD102" s="32"/>
    </row>
    <row r="103" spans="3:30" s="2" customFormat="1" ht="15" customHeight="1">
      <c r="C103" s="136"/>
      <c r="D103" s="137"/>
      <c r="E103" s="178" t="s">
        <v>295</v>
      </c>
      <c r="F103" s="180" t="s">
        <v>283</v>
      </c>
      <c r="G103" s="169"/>
      <c r="H103" s="299" t="str">
        <f>VLOOKUP(E103&amp;F103,'[1]MV+BI'!$E$8:$K$375,3,FALSE)</f>
        <v>Em Teste - Alteração EF</v>
      </c>
      <c r="I103" s="172">
        <f>VLOOKUP(E103&amp;F103,'[1]MV+BI'!$E$8:$K$375,7,FALSE)</f>
        <v>45450</v>
      </c>
      <c r="J103" s="62"/>
      <c r="K103" s="79" t="s">
        <v>420</v>
      </c>
      <c r="L103" s="62"/>
      <c r="M103" s="62"/>
      <c r="N103" s="172"/>
      <c r="O103" s="79"/>
      <c r="P103" s="79"/>
      <c r="Q103" s="62"/>
      <c r="R103" s="87"/>
      <c r="S103" s="87"/>
      <c r="T103" s="87"/>
      <c r="U103" s="87"/>
      <c r="V103" s="87"/>
      <c r="W103" s="91"/>
      <c r="X103" s="62"/>
      <c r="Y103" s="62"/>
      <c r="Z103" s="62"/>
      <c r="AA103"/>
      <c r="AB103"/>
      <c r="AC103"/>
      <c r="AD103" s="32"/>
    </row>
    <row r="104" spans="3:30" s="2" customFormat="1" ht="15" customHeight="1">
      <c r="C104" s="136"/>
      <c r="D104" s="137"/>
      <c r="E104" s="178" t="s">
        <v>295</v>
      </c>
      <c r="F104" s="180" t="s">
        <v>284</v>
      </c>
      <c r="G104" s="169"/>
      <c r="H104" s="299" t="str">
        <f>VLOOKUP(E104&amp;F104,'[1]MV+BI'!$E$8:$K$375,3,FALSE)</f>
        <v>Em Teste - Alteração EF</v>
      </c>
      <c r="I104" s="172">
        <f>VLOOKUP(E104&amp;F104,'[1]MV+BI'!$E$8:$K$375,7,FALSE)</f>
        <v>45450</v>
      </c>
      <c r="J104" s="62"/>
      <c r="K104" s="79" t="s">
        <v>420</v>
      </c>
      <c r="L104" s="62"/>
      <c r="M104" s="62"/>
      <c r="N104" s="172"/>
      <c r="O104" s="79"/>
      <c r="P104" s="79"/>
      <c r="Q104" s="62"/>
      <c r="R104" s="87"/>
      <c r="S104" s="87"/>
      <c r="T104" s="87"/>
      <c r="U104" s="87"/>
      <c r="V104" s="87"/>
      <c r="W104" s="91"/>
      <c r="X104" s="62"/>
      <c r="Y104" s="62"/>
      <c r="Z104" s="62"/>
      <c r="AA104"/>
      <c r="AB104"/>
      <c r="AC104"/>
      <c r="AD104" s="32"/>
    </row>
    <row r="105" spans="3:30" s="2" customFormat="1" ht="15" customHeight="1">
      <c r="C105" s="136"/>
      <c r="D105" s="137"/>
      <c r="E105" s="178" t="s">
        <v>295</v>
      </c>
      <c r="F105" s="180" t="s">
        <v>69</v>
      </c>
      <c r="G105" s="169"/>
      <c r="H105" s="299" t="str">
        <f>VLOOKUP(E105&amp;F105,'[1]MV+BI'!$E$8:$K$375,3,FALSE)</f>
        <v>Em Teste - Alteração EF</v>
      </c>
      <c r="I105" s="172">
        <f>VLOOKUP(E105&amp;F105,'[1]MV+BI'!$E$8:$K$375,7,FALSE)</f>
        <v>45450</v>
      </c>
      <c r="J105" s="62"/>
      <c r="K105" s="79" t="s">
        <v>420</v>
      </c>
      <c r="L105" s="62"/>
      <c r="M105" s="62"/>
      <c r="N105" s="172"/>
      <c r="O105" s="79"/>
      <c r="P105" s="79"/>
      <c r="Q105" s="62"/>
      <c r="R105" s="87"/>
      <c r="S105" s="87"/>
      <c r="T105" s="87"/>
      <c r="U105" s="87"/>
      <c r="V105" s="87"/>
      <c r="W105" s="91"/>
      <c r="X105" s="62"/>
      <c r="Y105" s="62"/>
      <c r="Z105" s="62"/>
      <c r="AA105"/>
      <c r="AB105"/>
      <c r="AC105"/>
      <c r="AD105" s="32"/>
    </row>
    <row r="106" spans="3:30" s="2" customFormat="1" ht="15" customHeight="1">
      <c r="C106" s="136"/>
      <c r="D106" s="137"/>
      <c r="E106" s="178" t="s">
        <v>295</v>
      </c>
      <c r="F106" s="180" t="s">
        <v>70</v>
      </c>
      <c r="G106" s="169"/>
      <c r="H106" s="299" t="str">
        <f>VLOOKUP(E106&amp;F106,'[1]MV+BI'!$E$8:$K$375,3,FALSE)</f>
        <v>Em Teste - Alteração EF</v>
      </c>
      <c r="I106" s="172">
        <f>VLOOKUP(E106&amp;F106,'[1]MV+BI'!$E$8:$K$375,7,FALSE)</f>
        <v>45450</v>
      </c>
      <c r="J106" s="62"/>
      <c r="K106" s="79" t="s">
        <v>420</v>
      </c>
      <c r="L106" s="62"/>
      <c r="M106" s="62"/>
      <c r="N106" s="172"/>
      <c r="O106" s="79"/>
      <c r="P106" s="79"/>
      <c r="Q106" s="62"/>
      <c r="R106" s="87"/>
      <c r="S106" s="87"/>
      <c r="T106" s="87"/>
      <c r="U106" s="87"/>
      <c r="V106" s="87"/>
      <c r="W106" s="91"/>
      <c r="X106" s="62"/>
      <c r="Y106" s="62"/>
      <c r="Z106" s="62"/>
      <c r="AA106"/>
      <c r="AB106"/>
      <c r="AC106"/>
      <c r="AD106" s="32"/>
    </row>
    <row r="107" spans="3:30" s="2" customFormat="1" ht="15" customHeight="1">
      <c r="C107" s="136"/>
      <c r="D107" s="137"/>
      <c r="E107" s="178" t="s">
        <v>295</v>
      </c>
      <c r="F107" s="180" t="s">
        <v>71</v>
      </c>
      <c r="G107" s="169"/>
      <c r="H107" s="299" t="str">
        <f>VLOOKUP(E107&amp;F107,'[1]MV+BI'!$E$8:$K$375,3,FALSE)</f>
        <v>Em Teste - Alteração EF</v>
      </c>
      <c r="I107" s="172">
        <f>VLOOKUP(E107&amp;F107,'[1]MV+BI'!$E$8:$K$375,7,FALSE)</f>
        <v>45450</v>
      </c>
      <c r="J107" s="62"/>
      <c r="K107" s="79" t="s">
        <v>420</v>
      </c>
      <c r="L107" s="62"/>
      <c r="M107" s="62"/>
      <c r="N107" s="172"/>
      <c r="O107" s="79"/>
      <c r="P107" s="79"/>
      <c r="Q107" s="62"/>
      <c r="R107" s="87"/>
      <c r="S107" s="87"/>
      <c r="T107" s="87"/>
      <c r="U107" s="87"/>
      <c r="V107" s="87"/>
      <c r="W107" s="91"/>
      <c r="X107" s="62"/>
      <c r="Y107" s="62"/>
      <c r="Z107" s="62"/>
      <c r="AA107"/>
      <c r="AB107"/>
      <c r="AC107"/>
      <c r="AD107" s="32"/>
    </row>
    <row r="108" spans="3:30" s="2" customFormat="1" ht="15" customHeight="1">
      <c r="C108" s="136"/>
      <c r="D108" s="137"/>
      <c r="E108" s="178" t="s">
        <v>295</v>
      </c>
      <c r="F108" s="180" t="s">
        <v>72</v>
      </c>
      <c r="G108" s="169"/>
      <c r="H108" s="299" t="str">
        <f>VLOOKUP(E108&amp;F108,'[1]MV+BI'!$E$8:$K$375,3,FALSE)</f>
        <v>Em Teste - Alteração EF</v>
      </c>
      <c r="I108" s="172">
        <f>VLOOKUP(E108&amp;F108,'[1]MV+BI'!$E$8:$K$375,7,FALSE)</f>
        <v>45450</v>
      </c>
      <c r="J108" s="62"/>
      <c r="K108" s="79" t="s">
        <v>420</v>
      </c>
      <c r="L108" s="62"/>
      <c r="M108" s="62"/>
      <c r="N108" s="172"/>
      <c r="O108" s="79"/>
      <c r="P108" s="79"/>
      <c r="Q108" s="62"/>
      <c r="R108" s="87"/>
      <c r="S108" s="87"/>
      <c r="T108" s="87"/>
      <c r="U108" s="87"/>
      <c r="V108" s="87"/>
      <c r="W108" s="91"/>
      <c r="X108" s="62"/>
      <c r="Y108" s="62"/>
      <c r="Z108" s="62"/>
      <c r="AA108"/>
      <c r="AB108"/>
      <c r="AC108"/>
      <c r="AD108" s="32"/>
    </row>
    <row r="109" spans="3:30" s="2" customFormat="1" ht="15" customHeight="1">
      <c r="C109" s="136"/>
      <c r="D109" s="137"/>
      <c r="E109" s="178" t="s">
        <v>295</v>
      </c>
      <c r="F109" s="180" t="s">
        <v>296</v>
      </c>
      <c r="G109" s="169"/>
      <c r="H109" s="299" t="str">
        <f>VLOOKUP(E109&amp;F109,'[1]MV+BI'!$E$8:$K$375,3,FALSE)</f>
        <v>Em Teste - Alteração EF</v>
      </c>
      <c r="I109" s="172">
        <f>VLOOKUP(E109&amp;F109,'[1]MV+BI'!$E$8:$K$375,7,FALSE)</f>
        <v>45450</v>
      </c>
      <c r="J109" s="62"/>
      <c r="K109" s="79" t="s">
        <v>420</v>
      </c>
      <c r="L109" s="62"/>
      <c r="M109" s="62"/>
      <c r="N109" s="172"/>
      <c r="O109" s="79"/>
      <c r="P109" s="79"/>
      <c r="Q109" s="62"/>
      <c r="R109" s="87"/>
      <c r="S109" s="87"/>
      <c r="T109" s="87"/>
      <c r="U109" s="87"/>
      <c r="V109" s="87"/>
      <c r="W109" s="91"/>
      <c r="X109" s="62"/>
      <c r="Y109" s="62"/>
      <c r="Z109" s="62"/>
      <c r="AA109"/>
      <c r="AB109"/>
      <c r="AC109"/>
      <c r="AD109" s="32"/>
    </row>
    <row r="110" spans="3:30" s="2" customFormat="1" ht="15" customHeight="1">
      <c r="C110" s="136"/>
      <c r="D110" s="137"/>
      <c r="E110" s="178" t="s">
        <v>295</v>
      </c>
      <c r="F110" s="180" t="s">
        <v>297</v>
      </c>
      <c r="G110" s="169"/>
      <c r="H110" s="299" t="str">
        <f>VLOOKUP(E110&amp;F110,'[1]MV+BI'!$E$8:$K$375,3,FALSE)</f>
        <v>Em Teste - Alteração EF</v>
      </c>
      <c r="I110" s="172">
        <f>VLOOKUP(E110&amp;F110,'[1]MV+BI'!$E$8:$K$375,7,FALSE)</f>
        <v>45450</v>
      </c>
      <c r="J110" s="62"/>
      <c r="K110" s="79" t="s">
        <v>420</v>
      </c>
      <c r="L110" s="62"/>
      <c r="M110" s="62"/>
      <c r="N110" s="172"/>
      <c r="O110" s="79"/>
      <c r="P110" s="79"/>
      <c r="Q110" s="62"/>
      <c r="R110" s="87"/>
      <c r="S110" s="87"/>
      <c r="T110" s="87"/>
      <c r="U110" s="87"/>
      <c r="V110" s="87"/>
      <c r="W110" s="91"/>
      <c r="X110" s="62"/>
      <c r="Y110" s="62"/>
      <c r="Z110" s="62"/>
      <c r="AA110"/>
      <c r="AB110"/>
      <c r="AC110"/>
      <c r="AD110" s="32"/>
    </row>
    <row r="111" spans="3:30" s="2" customFormat="1" ht="15" customHeight="1">
      <c r="C111" s="136"/>
      <c r="D111" s="137"/>
      <c r="E111" s="178" t="s">
        <v>295</v>
      </c>
      <c r="F111" s="180" t="s">
        <v>298</v>
      </c>
      <c r="G111" s="169"/>
      <c r="H111" s="299" t="str">
        <f>VLOOKUP(E111&amp;F111,'[1]MV+BI'!$E$8:$K$375,3,FALSE)</f>
        <v>Em Teste - Alteração EF</v>
      </c>
      <c r="I111" s="172">
        <f>VLOOKUP(E111&amp;F111,'[1]MV+BI'!$E$8:$K$375,7,FALSE)</f>
        <v>45450</v>
      </c>
      <c r="J111" s="62"/>
      <c r="K111" s="79" t="s">
        <v>420</v>
      </c>
      <c r="L111" s="62"/>
      <c r="M111" s="62"/>
      <c r="N111" s="172"/>
      <c r="O111" s="79"/>
      <c r="P111" s="79"/>
      <c r="Q111" s="62"/>
      <c r="R111" s="87"/>
      <c r="S111" s="87"/>
      <c r="T111" s="87"/>
      <c r="U111" s="87"/>
      <c r="V111" s="87"/>
      <c r="W111" s="91"/>
      <c r="X111" s="62"/>
      <c r="Y111" s="62"/>
      <c r="Z111" s="62"/>
      <c r="AA111"/>
      <c r="AB111"/>
      <c r="AC111"/>
      <c r="AD111" s="32"/>
    </row>
    <row r="112" spans="3:30" s="2" customFormat="1" ht="15" customHeight="1">
      <c r="C112" s="136"/>
      <c r="D112" s="137"/>
      <c r="E112" s="178" t="s">
        <v>295</v>
      </c>
      <c r="F112" s="180" t="s">
        <v>299</v>
      </c>
      <c r="G112" s="169"/>
      <c r="H112" s="299" t="str">
        <f>VLOOKUP(E112&amp;F112,'[1]MV+BI'!$E$8:$K$375,3,FALSE)</f>
        <v>Em Teste - Alteração EF</v>
      </c>
      <c r="I112" s="172">
        <f>VLOOKUP(E112&amp;F112,'[1]MV+BI'!$E$8:$K$375,7,FALSE)</f>
        <v>45450</v>
      </c>
      <c r="J112" s="62"/>
      <c r="K112" s="79" t="s">
        <v>420</v>
      </c>
      <c r="L112" s="62"/>
      <c r="M112" s="62"/>
      <c r="N112" s="172"/>
      <c r="O112" s="79"/>
      <c r="P112" s="79"/>
      <c r="Q112" s="62"/>
      <c r="R112" s="87"/>
      <c r="S112" s="87"/>
      <c r="T112" s="87"/>
      <c r="U112" s="87"/>
      <c r="V112" s="87"/>
      <c r="W112" s="91"/>
      <c r="X112" s="62"/>
      <c r="Y112" s="62"/>
      <c r="Z112" s="62"/>
      <c r="AA112"/>
      <c r="AB112"/>
      <c r="AC112"/>
      <c r="AD112" s="32"/>
    </row>
    <row r="113" spans="3:30" s="2" customFormat="1" ht="15" customHeight="1">
      <c r="C113" s="136"/>
      <c r="D113" s="137"/>
      <c r="E113" s="178" t="s">
        <v>295</v>
      </c>
      <c r="F113" s="180" t="s">
        <v>300</v>
      </c>
      <c r="G113" s="169"/>
      <c r="H113" s="299" t="str">
        <f>VLOOKUP(E113&amp;F113,'[1]MV+BI'!$E$8:$K$375,3,FALSE)</f>
        <v>Em Teste - Alteração EF</v>
      </c>
      <c r="I113" s="172">
        <f>VLOOKUP(E113&amp;F113,'[1]MV+BI'!$E$8:$K$375,7,FALSE)</f>
        <v>45450</v>
      </c>
      <c r="J113" s="62"/>
      <c r="K113" s="79" t="s">
        <v>420</v>
      </c>
      <c r="L113" s="62"/>
      <c r="M113" s="62"/>
      <c r="N113" s="172"/>
      <c r="O113" s="79"/>
      <c r="P113" s="79"/>
      <c r="Q113" s="62"/>
      <c r="R113" s="87"/>
      <c r="S113" s="87"/>
      <c r="T113" s="87"/>
      <c r="U113" s="87"/>
      <c r="V113" s="87"/>
      <c r="W113" s="91"/>
      <c r="X113" s="62"/>
      <c r="Y113" s="62"/>
      <c r="Z113" s="62"/>
      <c r="AA113"/>
      <c r="AB113"/>
      <c r="AC113"/>
      <c r="AD113" s="32"/>
    </row>
    <row r="114" spans="3:30" s="2" customFormat="1" ht="15" customHeight="1">
      <c r="C114" s="136"/>
      <c r="D114" s="137"/>
      <c r="E114" s="178" t="s">
        <v>295</v>
      </c>
      <c r="F114" s="180" t="s">
        <v>67</v>
      </c>
      <c r="G114" s="169"/>
      <c r="H114" s="299" t="str">
        <f>VLOOKUP(E114&amp;F114,'[1]MV+BI'!$E$8:$K$375,3,FALSE)</f>
        <v>Em Teste - Alteração EF</v>
      </c>
      <c r="I114" s="172">
        <f>VLOOKUP(E114&amp;F114,'[1]MV+BI'!$E$8:$K$375,7,FALSE)</f>
        <v>45450</v>
      </c>
      <c r="J114" s="62"/>
      <c r="K114" s="79" t="s">
        <v>420</v>
      </c>
      <c r="L114" s="62"/>
      <c r="M114" s="62"/>
      <c r="N114" s="172"/>
      <c r="O114" s="79"/>
      <c r="P114" s="79"/>
      <c r="Q114" s="62"/>
      <c r="R114" s="87"/>
      <c r="S114" s="87"/>
      <c r="T114" s="87"/>
      <c r="U114" s="87"/>
      <c r="V114" s="87"/>
      <c r="W114" s="91"/>
      <c r="X114" s="62"/>
      <c r="Y114" s="62"/>
      <c r="Z114" s="62"/>
      <c r="AA114"/>
      <c r="AB114"/>
      <c r="AC114"/>
      <c r="AD114" s="32"/>
    </row>
    <row r="115" spans="3:30" s="2" customFormat="1" ht="15" customHeight="1">
      <c r="C115" s="136"/>
      <c r="D115" s="137"/>
      <c r="E115" s="178" t="s">
        <v>295</v>
      </c>
      <c r="F115" s="180" t="s">
        <v>6</v>
      </c>
      <c r="G115" s="169"/>
      <c r="H115" s="299" t="str">
        <f>VLOOKUP(E115&amp;F115,'[1]MV+BI'!$E$8:$K$375,3,FALSE)</f>
        <v>Em Teste - Alteração EF</v>
      </c>
      <c r="I115" s="172">
        <f>VLOOKUP(E115&amp;F115,'[1]MV+BI'!$E$8:$K$375,7,FALSE)</f>
        <v>45450</v>
      </c>
      <c r="J115" s="62"/>
      <c r="K115" s="79" t="s">
        <v>420</v>
      </c>
      <c r="L115" s="62"/>
      <c r="M115" s="62"/>
      <c r="N115" s="172"/>
      <c r="O115" s="79"/>
      <c r="P115" s="79"/>
      <c r="Q115" s="62"/>
      <c r="R115" s="87"/>
      <c r="S115" s="87"/>
      <c r="T115" s="87"/>
      <c r="U115" s="87"/>
      <c r="V115" s="87"/>
      <c r="W115" s="91"/>
      <c r="X115" s="62"/>
      <c r="Y115" s="62"/>
      <c r="Z115" s="62"/>
      <c r="AA115"/>
      <c r="AB115"/>
      <c r="AC115"/>
      <c r="AD115" s="32"/>
    </row>
    <row r="116" spans="3:30" s="2" customFormat="1" ht="15" customHeight="1">
      <c r="C116" s="136"/>
      <c r="D116" s="137"/>
      <c r="E116" s="178" t="s">
        <v>301</v>
      </c>
      <c r="F116" s="180" t="s">
        <v>84</v>
      </c>
      <c r="G116" s="169"/>
      <c r="H116" s="299" t="str">
        <f>VLOOKUP(E116&amp;F116,'[1]MV+BI'!$E$8:$K$375,3,FALSE)</f>
        <v>Em Teste - Alteração EF</v>
      </c>
      <c r="I116" s="172">
        <f>VLOOKUP(E116&amp;F116,'[1]MV+BI'!$E$8:$K$375,7,FALSE)</f>
        <v>45513</v>
      </c>
      <c r="J116" s="62"/>
      <c r="K116" s="79" t="s">
        <v>420</v>
      </c>
      <c r="L116" s="62"/>
      <c r="M116" s="62"/>
      <c r="N116" s="172"/>
      <c r="O116" s="79"/>
      <c r="P116" s="79"/>
      <c r="Q116" s="62"/>
      <c r="R116" s="87"/>
      <c r="S116" s="87"/>
      <c r="T116" s="87"/>
      <c r="U116" s="87"/>
      <c r="V116" s="87"/>
      <c r="W116" s="91"/>
      <c r="X116" s="62"/>
      <c r="Y116" s="62"/>
      <c r="Z116" s="62"/>
      <c r="AA116"/>
      <c r="AB116"/>
      <c r="AC116"/>
      <c r="AD116" s="32"/>
    </row>
    <row r="117" spans="3:30" s="2" customFormat="1" ht="15" customHeight="1">
      <c r="C117" s="136"/>
      <c r="D117" s="137"/>
      <c r="E117" s="178" t="s">
        <v>301</v>
      </c>
      <c r="F117" s="180" t="s">
        <v>282</v>
      </c>
      <c r="G117" s="169"/>
      <c r="H117" s="299" t="str">
        <f>VLOOKUP(E117&amp;F117,'[1]MV+BI'!$E$8:$K$375,3,FALSE)</f>
        <v>Em Teste - Alteração EF</v>
      </c>
      <c r="I117" s="172">
        <f>VLOOKUP(E117&amp;F117,'[1]MV+BI'!$E$8:$K$375,7,FALSE)</f>
        <v>45513</v>
      </c>
      <c r="J117" s="62"/>
      <c r="K117" s="79" t="s">
        <v>420</v>
      </c>
      <c r="L117" s="62"/>
      <c r="M117" s="62"/>
      <c r="N117" s="172"/>
      <c r="O117" s="79"/>
      <c r="P117" s="79"/>
      <c r="Q117" s="62"/>
      <c r="R117" s="87"/>
      <c r="S117" s="87"/>
      <c r="T117" s="87"/>
      <c r="U117" s="87"/>
      <c r="V117" s="87"/>
      <c r="W117" s="91"/>
      <c r="X117" s="62"/>
      <c r="Y117" s="62"/>
      <c r="Z117" s="62"/>
      <c r="AA117"/>
      <c r="AB117"/>
      <c r="AC117"/>
      <c r="AD117" s="32"/>
    </row>
    <row r="118" spans="3:30" s="2" customFormat="1" ht="15" customHeight="1">
      <c r="C118" s="136"/>
      <c r="D118" s="137"/>
      <c r="E118" s="178" t="s">
        <v>301</v>
      </c>
      <c r="F118" s="180" t="s">
        <v>283</v>
      </c>
      <c r="G118" s="169"/>
      <c r="H118" s="299" t="str">
        <f>VLOOKUP(E118&amp;F118,'[1]MV+BI'!$E$8:$K$375,3,FALSE)</f>
        <v>Em Teste - Alteração EF</v>
      </c>
      <c r="I118" s="172">
        <f>VLOOKUP(E118&amp;F118,'[1]MV+BI'!$E$8:$K$375,7,FALSE)</f>
        <v>45513</v>
      </c>
      <c r="J118" s="62"/>
      <c r="K118" s="79" t="s">
        <v>420</v>
      </c>
      <c r="L118" s="62"/>
      <c r="M118" s="62"/>
      <c r="N118" s="172"/>
      <c r="O118" s="79"/>
      <c r="P118" s="79"/>
      <c r="Q118" s="62"/>
      <c r="R118" s="87"/>
      <c r="S118" s="87"/>
      <c r="T118" s="87"/>
      <c r="U118" s="87"/>
      <c r="V118" s="87"/>
      <c r="W118" s="91"/>
      <c r="X118" s="62"/>
      <c r="Y118" s="62"/>
      <c r="Z118" s="62"/>
      <c r="AA118"/>
      <c r="AB118"/>
      <c r="AC118"/>
      <c r="AD118" s="32"/>
    </row>
    <row r="119" spans="3:30" s="2" customFormat="1" ht="15" customHeight="1">
      <c r="C119" s="136"/>
      <c r="D119" s="137"/>
      <c r="E119" s="178" t="s">
        <v>301</v>
      </c>
      <c r="F119" s="180" t="s">
        <v>284</v>
      </c>
      <c r="G119" s="169"/>
      <c r="H119" s="299" t="str">
        <f>VLOOKUP(E119&amp;F119,'[1]MV+BI'!$E$8:$K$375,3,FALSE)</f>
        <v>Em Teste - Alteração EF</v>
      </c>
      <c r="I119" s="172">
        <f>VLOOKUP(E119&amp;F119,'[1]MV+BI'!$E$8:$K$375,7,FALSE)</f>
        <v>45513</v>
      </c>
      <c r="J119" s="62"/>
      <c r="K119" s="79" t="s">
        <v>420</v>
      </c>
      <c r="L119" s="62"/>
      <c r="M119" s="62"/>
      <c r="N119" s="172"/>
      <c r="O119" s="79"/>
      <c r="P119" s="79"/>
      <c r="Q119" s="62"/>
      <c r="R119" s="87"/>
      <c r="S119" s="87"/>
      <c r="T119" s="87"/>
      <c r="U119" s="87"/>
      <c r="V119" s="87"/>
      <c r="W119" s="91"/>
      <c r="X119" s="62"/>
      <c r="Y119" s="62"/>
      <c r="Z119" s="62"/>
      <c r="AA119"/>
      <c r="AB119"/>
      <c r="AC119"/>
      <c r="AD119" s="32"/>
    </row>
    <row r="120" spans="3:30" s="2" customFormat="1" ht="15" customHeight="1">
      <c r="C120" s="136"/>
      <c r="D120" s="137"/>
      <c r="E120" s="178" t="s">
        <v>301</v>
      </c>
      <c r="F120" s="180" t="s">
        <v>302</v>
      </c>
      <c r="G120" s="169"/>
      <c r="H120" s="299" t="str">
        <f>VLOOKUP(E120&amp;F120,'[1]MV+BI'!$E$8:$K$375,3,FALSE)</f>
        <v>Em Teste - Alteração EF</v>
      </c>
      <c r="I120" s="172">
        <f>VLOOKUP(E120&amp;F120,'[1]MV+BI'!$E$8:$K$375,7,FALSE)</f>
        <v>45513</v>
      </c>
      <c r="J120" s="62"/>
      <c r="K120" s="79" t="s">
        <v>420</v>
      </c>
      <c r="L120" s="62"/>
      <c r="M120" s="62"/>
      <c r="N120" s="172"/>
      <c r="O120" s="79"/>
      <c r="P120" s="79"/>
      <c r="Q120" s="62"/>
      <c r="R120" s="87"/>
      <c r="S120" s="87"/>
      <c r="T120" s="87"/>
      <c r="U120" s="87"/>
      <c r="V120" s="87"/>
      <c r="W120" s="91"/>
      <c r="X120" s="62"/>
      <c r="Y120" s="62"/>
      <c r="Z120" s="62"/>
      <c r="AA120"/>
      <c r="AB120"/>
      <c r="AC120"/>
      <c r="AD120" s="32"/>
    </row>
    <row r="121" spans="3:30" s="2" customFormat="1" ht="15" customHeight="1">
      <c r="C121" s="136"/>
      <c r="D121" s="137"/>
      <c r="E121" s="178" t="s">
        <v>301</v>
      </c>
      <c r="F121" s="180" t="s">
        <v>303</v>
      </c>
      <c r="G121" s="169"/>
      <c r="H121" s="299" t="str">
        <f>VLOOKUP(E121&amp;F121,'[1]MV+BI'!$E$8:$K$375,3,FALSE)</f>
        <v>Em Teste - Alteração EF</v>
      </c>
      <c r="I121" s="172">
        <f>VLOOKUP(E121&amp;F121,'[1]MV+BI'!$E$8:$K$375,7,FALSE)</f>
        <v>45513</v>
      </c>
      <c r="J121" s="62"/>
      <c r="K121" s="79" t="s">
        <v>420</v>
      </c>
      <c r="L121" s="62"/>
      <c r="M121" s="62"/>
      <c r="N121" s="172"/>
      <c r="O121" s="79"/>
      <c r="P121" s="79"/>
      <c r="Q121" s="62"/>
      <c r="R121" s="87"/>
      <c r="S121" s="87"/>
      <c r="T121" s="87"/>
      <c r="U121" s="87"/>
      <c r="V121" s="87"/>
      <c r="W121" s="91"/>
      <c r="X121" s="62"/>
      <c r="Y121" s="62"/>
      <c r="Z121" s="62"/>
      <c r="AA121"/>
      <c r="AB121"/>
      <c r="AC121"/>
      <c r="AD121" s="32"/>
    </row>
    <row r="122" spans="3:30" s="2" customFormat="1" ht="15" customHeight="1">
      <c r="C122" s="136"/>
      <c r="D122" s="137"/>
      <c r="E122" s="178" t="s">
        <v>301</v>
      </c>
      <c r="F122" s="180" t="s">
        <v>286</v>
      </c>
      <c r="G122" s="169"/>
      <c r="H122" s="299" t="str">
        <f>VLOOKUP(E122&amp;F122,'[1]MV+BI'!$E$8:$K$375,3,FALSE)</f>
        <v>Em Teste - Alteração EF</v>
      </c>
      <c r="I122" s="172">
        <f>VLOOKUP(E122&amp;F122,'[1]MV+BI'!$E$8:$K$375,7,FALSE)</f>
        <v>45513</v>
      </c>
      <c r="J122" s="62"/>
      <c r="K122" s="79" t="s">
        <v>420</v>
      </c>
      <c r="L122" s="62"/>
      <c r="M122" s="62"/>
      <c r="N122" s="172"/>
      <c r="O122" s="79"/>
      <c r="P122" s="79"/>
      <c r="Q122" s="62"/>
      <c r="R122" s="87"/>
      <c r="S122" s="87"/>
      <c r="T122" s="87"/>
      <c r="U122" s="87"/>
      <c r="V122" s="87"/>
      <c r="W122" s="91"/>
      <c r="X122" s="62"/>
      <c r="Y122" s="62"/>
      <c r="Z122" s="62"/>
      <c r="AA122"/>
      <c r="AB122"/>
      <c r="AC122"/>
      <c r="AD122" s="32"/>
    </row>
    <row r="123" spans="3:30" s="2" customFormat="1" ht="15" customHeight="1">
      <c r="C123" s="136"/>
      <c r="D123" s="137"/>
      <c r="E123" s="178" t="s">
        <v>301</v>
      </c>
      <c r="F123" s="180" t="s">
        <v>288</v>
      </c>
      <c r="G123" s="169"/>
      <c r="H123" s="299" t="str">
        <f>VLOOKUP(E123&amp;F123,'[1]MV+BI'!$E$8:$K$375,3,FALSE)</f>
        <v>Em Teste - Alteração EF</v>
      </c>
      <c r="I123" s="172">
        <f>VLOOKUP(E123&amp;F123,'[1]MV+BI'!$E$8:$K$375,7,FALSE)</f>
        <v>45513</v>
      </c>
      <c r="J123" s="62"/>
      <c r="K123" s="79" t="s">
        <v>420</v>
      </c>
      <c r="L123" s="62"/>
      <c r="M123" s="62"/>
      <c r="N123" s="172"/>
      <c r="O123" s="79"/>
      <c r="P123" s="79"/>
      <c r="Q123" s="62"/>
      <c r="R123" s="87"/>
      <c r="S123" s="87"/>
      <c r="T123" s="87"/>
      <c r="U123" s="87"/>
      <c r="V123" s="87"/>
      <c r="W123" s="91"/>
      <c r="X123" s="62"/>
      <c r="Y123" s="62"/>
      <c r="Z123" s="62"/>
      <c r="AA123"/>
      <c r="AB123"/>
      <c r="AC123"/>
      <c r="AD123" s="32"/>
    </row>
    <row r="124" spans="3:30" s="2" customFormat="1" ht="15" customHeight="1">
      <c r="C124" s="136"/>
      <c r="D124" s="137"/>
      <c r="E124" s="178" t="s">
        <v>301</v>
      </c>
      <c r="F124" s="180" t="s">
        <v>304</v>
      </c>
      <c r="G124" s="169"/>
      <c r="H124" s="299" t="str">
        <f>VLOOKUP(E124&amp;F124,'[1]MV+BI'!$E$8:$K$375,3,FALSE)</f>
        <v>Em Teste - Alteração EF</v>
      </c>
      <c r="I124" s="172">
        <f>VLOOKUP(E124&amp;F124,'[1]MV+BI'!$E$8:$K$375,7,FALSE)</f>
        <v>45513</v>
      </c>
      <c r="J124" s="62"/>
      <c r="K124" s="79" t="s">
        <v>420</v>
      </c>
      <c r="L124" s="62"/>
      <c r="M124" s="62"/>
      <c r="N124" s="172"/>
      <c r="O124" s="79"/>
      <c r="P124" s="79"/>
      <c r="Q124" s="62"/>
      <c r="R124" s="87"/>
      <c r="S124" s="87"/>
      <c r="T124" s="87"/>
      <c r="U124" s="87"/>
      <c r="V124" s="87"/>
      <c r="W124" s="91"/>
      <c r="X124" s="62"/>
      <c r="Y124" s="62"/>
      <c r="Z124" s="62"/>
      <c r="AA124"/>
      <c r="AB124"/>
      <c r="AC124"/>
      <c r="AD124" s="32"/>
    </row>
    <row r="125" spans="3:30" s="2" customFormat="1" ht="15" customHeight="1">
      <c r="C125" s="136"/>
      <c r="D125" s="137"/>
      <c r="E125" s="178" t="s">
        <v>301</v>
      </c>
      <c r="F125" s="180" t="s">
        <v>305</v>
      </c>
      <c r="G125" s="169"/>
      <c r="H125" s="299" t="str">
        <f>VLOOKUP(E125&amp;F125,'[1]MV+BI'!$E$8:$K$375,3,FALSE)</f>
        <v>Em Teste - Alteração EF</v>
      </c>
      <c r="I125" s="172">
        <f>VLOOKUP(E125&amp;F125,'[1]MV+BI'!$E$8:$K$375,7,FALSE)</f>
        <v>45513</v>
      </c>
      <c r="J125" s="62"/>
      <c r="K125" s="79" t="s">
        <v>420</v>
      </c>
      <c r="L125" s="62"/>
      <c r="M125" s="62"/>
      <c r="N125" s="172"/>
      <c r="O125" s="79"/>
      <c r="P125" s="79"/>
      <c r="Q125" s="62"/>
      <c r="R125" s="87"/>
      <c r="S125" s="87"/>
      <c r="T125" s="87"/>
      <c r="U125" s="87"/>
      <c r="V125" s="87"/>
      <c r="W125" s="91"/>
      <c r="X125" s="62"/>
      <c r="Y125" s="62"/>
      <c r="Z125" s="62"/>
      <c r="AA125"/>
      <c r="AB125"/>
      <c r="AC125"/>
      <c r="AD125" s="32"/>
    </row>
    <row r="126" spans="3:30" s="2" customFormat="1" ht="15" customHeight="1">
      <c r="C126" s="136"/>
      <c r="D126" s="137"/>
      <c r="E126" s="178" t="s">
        <v>301</v>
      </c>
      <c r="F126" s="180" t="s">
        <v>306</v>
      </c>
      <c r="G126" s="169"/>
      <c r="H126" s="299" t="str">
        <f>VLOOKUP(E126&amp;F126,'[1]MV+BI'!$E$8:$K$375,3,FALSE)</f>
        <v>Em Teste - Alteração EF</v>
      </c>
      <c r="I126" s="172">
        <f>VLOOKUP(E126&amp;F126,'[1]MV+BI'!$E$8:$K$375,7,FALSE)</f>
        <v>45513</v>
      </c>
      <c r="J126" s="62"/>
      <c r="K126" s="79" t="s">
        <v>420</v>
      </c>
      <c r="L126" s="62"/>
      <c r="M126" s="62"/>
      <c r="N126" s="172"/>
      <c r="O126" s="79"/>
      <c r="P126" s="79"/>
      <c r="Q126" s="62"/>
      <c r="R126" s="87"/>
      <c r="S126" s="87"/>
      <c r="T126" s="87"/>
      <c r="U126" s="87"/>
      <c r="V126" s="87"/>
      <c r="W126" s="91"/>
      <c r="X126" s="62"/>
      <c r="Y126" s="62"/>
      <c r="Z126" s="62"/>
      <c r="AA126"/>
      <c r="AB126"/>
      <c r="AC126"/>
      <c r="AD126" s="32"/>
    </row>
    <row r="127" spans="3:30" s="2" customFormat="1" ht="15" customHeight="1">
      <c r="C127" s="136"/>
      <c r="D127" s="137"/>
      <c r="E127" s="178" t="s">
        <v>301</v>
      </c>
      <c r="F127" s="180" t="s">
        <v>307</v>
      </c>
      <c r="G127" s="169"/>
      <c r="H127" s="299" t="str">
        <f>VLOOKUP(E127&amp;F127,'[1]MV+BI'!$E$8:$K$375,3,FALSE)</f>
        <v>Em Teste - Alteração EF</v>
      </c>
      <c r="I127" s="172">
        <f>VLOOKUP(E127&amp;F127,'[1]MV+BI'!$E$8:$K$375,7,FALSE)</f>
        <v>45513</v>
      </c>
      <c r="J127" s="62"/>
      <c r="K127" s="79" t="s">
        <v>420</v>
      </c>
      <c r="L127" s="62"/>
      <c r="M127" s="62"/>
      <c r="N127" s="172"/>
      <c r="O127" s="79"/>
      <c r="P127" s="79"/>
      <c r="Q127" s="62"/>
      <c r="R127" s="87"/>
      <c r="S127" s="87"/>
      <c r="T127" s="87"/>
      <c r="U127" s="87"/>
      <c r="V127" s="87"/>
      <c r="W127" s="91"/>
      <c r="X127" s="62"/>
      <c r="Y127" s="62"/>
      <c r="Z127" s="62"/>
      <c r="AA127"/>
      <c r="AB127"/>
      <c r="AC127"/>
      <c r="AD127" s="32"/>
    </row>
    <row r="128" spans="3:30" s="2" customFormat="1" ht="15" customHeight="1">
      <c r="C128" s="136"/>
      <c r="D128" s="137"/>
      <c r="E128" s="178" t="s">
        <v>301</v>
      </c>
      <c r="F128" s="180" t="s">
        <v>308</v>
      </c>
      <c r="G128" s="169"/>
      <c r="H128" s="299" t="str">
        <f>VLOOKUP(E128&amp;F128,'[1]MV+BI'!$E$8:$K$375,3,FALSE)</f>
        <v>Em Teste - Alteração EF</v>
      </c>
      <c r="I128" s="172">
        <f>VLOOKUP(E128&amp;F128,'[1]MV+BI'!$E$8:$K$375,7,FALSE)</f>
        <v>45513</v>
      </c>
      <c r="J128" s="62"/>
      <c r="K128" s="79" t="s">
        <v>420</v>
      </c>
      <c r="L128" s="62"/>
      <c r="M128" s="62"/>
      <c r="N128" s="172"/>
      <c r="O128" s="79"/>
      <c r="P128" s="79"/>
      <c r="Q128" s="62"/>
      <c r="R128" s="87"/>
      <c r="S128" s="87"/>
      <c r="T128" s="87"/>
      <c r="U128" s="87"/>
      <c r="V128" s="87"/>
      <c r="W128" s="91"/>
      <c r="X128" s="62"/>
      <c r="Y128" s="62"/>
      <c r="Z128" s="62"/>
      <c r="AA128"/>
      <c r="AB128"/>
      <c r="AC128"/>
      <c r="AD128" s="32"/>
    </row>
    <row r="129" spans="3:30" s="2" customFormat="1" ht="15" customHeight="1">
      <c r="C129" s="136"/>
      <c r="D129" s="137"/>
      <c r="E129" s="178" t="s">
        <v>301</v>
      </c>
      <c r="F129" s="180" t="s">
        <v>309</v>
      </c>
      <c r="G129" s="169"/>
      <c r="H129" s="299" t="str">
        <f>VLOOKUP(E129&amp;F129,'[1]MV+BI'!$E$8:$K$375,3,FALSE)</f>
        <v>Em Teste - Alteração EF</v>
      </c>
      <c r="I129" s="172">
        <f>VLOOKUP(E129&amp;F129,'[1]MV+BI'!$E$8:$K$375,7,FALSE)</f>
        <v>45513</v>
      </c>
      <c r="J129" s="62"/>
      <c r="K129" s="79" t="s">
        <v>420</v>
      </c>
      <c r="L129" s="62"/>
      <c r="M129" s="62"/>
      <c r="N129" s="172"/>
      <c r="O129" s="79"/>
      <c r="P129" s="79"/>
      <c r="Q129" s="62"/>
      <c r="R129" s="87"/>
      <c r="S129" s="87"/>
      <c r="T129" s="87"/>
      <c r="U129" s="87"/>
      <c r="V129" s="87"/>
      <c r="W129" s="91"/>
      <c r="X129" s="62"/>
      <c r="Y129" s="62"/>
      <c r="Z129" s="62"/>
      <c r="AA129"/>
      <c r="AB129"/>
      <c r="AC129"/>
      <c r="AD129" s="32"/>
    </row>
    <row r="130" spans="3:30" s="2" customFormat="1" ht="15" customHeight="1">
      <c r="C130" s="136"/>
      <c r="D130" s="137"/>
      <c r="E130" s="178" t="s">
        <v>301</v>
      </c>
      <c r="F130" s="180" t="s">
        <v>310</v>
      </c>
      <c r="G130" s="169"/>
      <c r="H130" s="299" t="str">
        <f>VLOOKUP(E130&amp;F130,'[1]MV+BI'!$E$8:$K$375,3,FALSE)</f>
        <v>Em Teste - Alteração EF</v>
      </c>
      <c r="I130" s="172">
        <f>VLOOKUP(E130&amp;F130,'[1]MV+BI'!$E$8:$K$375,7,FALSE)</f>
        <v>45513</v>
      </c>
      <c r="J130" s="62"/>
      <c r="K130" s="79" t="s">
        <v>420</v>
      </c>
      <c r="L130" s="62"/>
      <c r="M130" s="62"/>
      <c r="N130" s="172"/>
      <c r="O130" s="79"/>
      <c r="P130" s="79"/>
      <c r="Q130" s="62"/>
      <c r="R130" s="87"/>
      <c r="S130" s="87"/>
      <c r="T130" s="87"/>
      <c r="U130" s="87"/>
      <c r="V130" s="87"/>
      <c r="W130" s="91"/>
      <c r="X130" s="62"/>
      <c r="Y130" s="62"/>
      <c r="Z130" s="62"/>
      <c r="AA130"/>
      <c r="AB130"/>
      <c r="AC130"/>
      <c r="AD130" s="32"/>
    </row>
    <row r="131" spans="3:30" s="2" customFormat="1" ht="15" customHeight="1">
      <c r="C131" s="136"/>
      <c r="D131" s="137"/>
      <c r="E131" s="178" t="s">
        <v>301</v>
      </c>
      <c r="F131" s="180" t="s">
        <v>67</v>
      </c>
      <c r="G131" s="169"/>
      <c r="H131" s="299" t="str">
        <f>VLOOKUP(E131&amp;F131,'[1]MV+BI'!$E$8:$K$375,3,FALSE)</f>
        <v>Em Teste - Alteração EF</v>
      </c>
      <c r="I131" s="172">
        <f>VLOOKUP(E131&amp;F131,'[1]MV+BI'!$E$8:$K$375,7,FALSE)</f>
        <v>45513</v>
      </c>
      <c r="J131" s="62"/>
      <c r="K131" s="79" t="s">
        <v>420</v>
      </c>
      <c r="L131" s="62"/>
      <c r="M131" s="62"/>
      <c r="N131" s="172"/>
      <c r="O131" s="79"/>
      <c r="P131" s="79"/>
      <c r="Q131" s="62"/>
      <c r="R131" s="87"/>
      <c r="S131" s="87"/>
      <c r="T131" s="87"/>
      <c r="U131" s="87"/>
      <c r="V131" s="87"/>
      <c r="W131" s="91"/>
      <c r="X131" s="62"/>
      <c r="Y131" s="62"/>
      <c r="Z131" s="62"/>
      <c r="AA131"/>
      <c r="AB131"/>
      <c r="AC131"/>
      <c r="AD131" s="32"/>
    </row>
    <row r="132" spans="3:30" s="2" customFormat="1" ht="15" customHeight="1">
      <c r="C132" s="136"/>
      <c r="D132" s="137"/>
      <c r="E132" s="178" t="s">
        <v>301</v>
      </c>
      <c r="F132" s="180" t="s">
        <v>6</v>
      </c>
      <c r="G132" s="169"/>
      <c r="H132" s="299" t="str">
        <f>VLOOKUP(E132&amp;F132,'[1]MV+BI'!$E$8:$K$375,3,FALSE)</f>
        <v>Em Teste - Alteração EF</v>
      </c>
      <c r="I132" s="172">
        <f>VLOOKUP(E132&amp;F132,'[1]MV+BI'!$E$8:$K$375,7,FALSE)</f>
        <v>45513</v>
      </c>
      <c r="J132" s="62"/>
      <c r="K132" s="79" t="s">
        <v>420</v>
      </c>
      <c r="L132" s="62"/>
      <c r="M132" s="62"/>
      <c r="N132" s="172"/>
      <c r="O132" s="79"/>
      <c r="P132" s="79"/>
      <c r="Q132" s="62"/>
      <c r="R132" s="87"/>
      <c r="S132" s="87"/>
      <c r="T132" s="87"/>
      <c r="U132" s="87"/>
      <c r="V132" s="87"/>
      <c r="W132" s="91"/>
      <c r="X132" s="62"/>
      <c r="Y132" s="62"/>
      <c r="Z132" s="62"/>
      <c r="AA132"/>
      <c r="AB132"/>
      <c r="AC132"/>
      <c r="AD132" s="32"/>
    </row>
    <row r="133" spans="3:30" s="2" customFormat="1" ht="15" customHeight="1">
      <c r="C133" s="136"/>
      <c r="D133" s="137"/>
      <c r="E133" s="178" t="s">
        <v>311</v>
      </c>
      <c r="F133" s="178" t="s">
        <v>69</v>
      </c>
      <c r="G133" s="169"/>
      <c r="H133" s="299" t="str">
        <f>VLOOKUP(E133&amp;F133,'[1]MV+BI'!$E$8:$K$375,3,FALSE)</f>
        <v>Em Teste - Alteração EF</v>
      </c>
      <c r="I133" s="172">
        <f>VLOOKUP(E133&amp;F133,'[1]MV+BI'!$E$8:$K$375,7,FALSE)</f>
        <v>45520</v>
      </c>
      <c r="J133" s="62"/>
      <c r="K133" s="79" t="s">
        <v>420</v>
      </c>
      <c r="L133" s="62"/>
      <c r="M133" s="62"/>
      <c r="N133" s="172"/>
      <c r="O133" s="79"/>
      <c r="P133" s="79"/>
      <c r="Q133" s="62"/>
      <c r="R133" s="87"/>
      <c r="S133" s="87"/>
      <c r="T133" s="87"/>
      <c r="U133" s="87"/>
      <c r="V133" s="87"/>
      <c r="W133" s="91"/>
      <c r="X133" s="62"/>
      <c r="Y133" s="62"/>
      <c r="Z133" s="62"/>
      <c r="AA133"/>
      <c r="AB133"/>
      <c r="AC133"/>
      <c r="AD133" s="32"/>
    </row>
    <row r="134" spans="3:30" s="2" customFormat="1" ht="15" customHeight="1">
      <c r="C134" s="136"/>
      <c r="D134" s="137"/>
      <c r="E134" s="178" t="s">
        <v>311</v>
      </c>
      <c r="F134" s="178" t="s">
        <v>70</v>
      </c>
      <c r="G134" s="169"/>
      <c r="H134" s="299" t="str">
        <f>VLOOKUP(E134&amp;F134,'[1]MV+BI'!$E$8:$K$375,3,FALSE)</f>
        <v>Em Teste - Alteração EF</v>
      </c>
      <c r="I134" s="172">
        <f>VLOOKUP(E134&amp;F134,'[1]MV+BI'!$E$8:$K$375,7,FALSE)</f>
        <v>45520</v>
      </c>
      <c r="J134" s="62"/>
      <c r="K134" s="79" t="s">
        <v>420</v>
      </c>
      <c r="L134" s="62"/>
      <c r="M134" s="62"/>
      <c r="N134" s="172"/>
      <c r="O134" s="79"/>
      <c r="P134" s="79"/>
      <c r="Q134" s="62"/>
      <c r="R134" s="87"/>
      <c r="S134" s="87"/>
      <c r="T134" s="87"/>
      <c r="U134" s="87"/>
      <c r="V134" s="87"/>
      <c r="W134" s="91"/>
      <c r="X134" s="62"/>
      <c r="Y134" s="62"/>
      <c r="Z134" s="62"/>
      <c r="AA134"/>
      <c r="AB134"/>
      <c r="AC134"/>
      <c r="AD134" s="32"/>
    </row>
    <row r="135" spans="3:30" s="2" customFormat="1" ht="15" customHeight="1">
      <c r="C135" s="136"/>
      <c r="D135" s="137"/>
      <c r="E135" s="178" t="s">
        <v>311</v>
      </c>
      <c r="F135" s="178" t="s">
        <v>71</v>
      </c>
      <c r="G135" s="169"/>
      <c r="H135" s="299" t="str">
        <f>VLOOKUP(E135&amp;F135,'[1]MV+BI'!$E$8:$K$375,3,FALSE)</f>
        <v>Em Teste - Alteração EF</v>
      </c>
      <c r="I135" s="172">
        <f>VLOOKUP(E135&amp;F135,'[1]MV+BI'!$E$8:$K$375,7,FALSE)</f>
        <v>45520</v>
      </c>
      <c r="J135" s="62"/>
      <c r="K135" s="79" t="s">
        <v>420</v>
      </c>
      <c r="L135" s="62"/>
      <c r="M135" s="62"/>
      <c r="N135" s="172"/>
      <c r="O135" s="79"/>
      <c r="P135" s="79"/>
      <c r="Q135" s="62"/>
      <c r="R135" s="87"/>
      <c r="S135" s="87"/>
      <c r="T135" s="87"/>
      <c r="U135" s="87"/>
      <c r="V135" s="87"/>
      <c r="W135" s="91"/>
      <c r="X135" s="62"/>
      <c r="Y135" s="62"/>
      <c r="Z135" s="62"/>
      <c r="AA135"/>
      <c r="AB135"/>
      <c r="AC135"/>
      <c r="AD135" s="32"/>
    </row>
    <row r="136" spans="3:30" s="2" customFormat="1" ht="15" customHeight="1">
      <c r="C136" s="136"/>
      <c r="D136" s="137"/>
      <c r="E136" s="178" t="s">
        <v>311</v>
      </c>
      <c r="F136" s="180" t="s">
        <v>72</v>
      </c>
      <c r="G136" s="169"/>
      <c r="H136" s="299" t="str">
        <f>VLOOKUP(E136&amp;F136,'[1]MV+BI'!$E$8:$K$375,3,FALSE)</f>
        <v>Em Teste - Alteração EF</v>
      </c>
      <c r="I136" s="172">
        <f>VLOOKUP(E136&amp;F136,'[1]MV+BI'!$E$8:$K$375,7,FALSE)</f>
        <v>45520</v>
      </c>
      <c r="J136" s="62"/>
      <c r="K136" s="79" t="s">
        <v>420</v>
      </c>
      <c r="L136" s="62"/>
      <c r="M136" s="62"/>
      <c r="N136" s="172"/>
      <c r="O136" s="79"/>
      <c r="P136" s="79"/>
      <c r="Q136" s="62"/>
      <c r="R136" s="87"/>
      <c r="S136" s="87"/>
      <c r="T136" s="87"/>
      <c r="U136" s="87"/>
      <c r="V136" s="87"/>
      <c r="W136" s="91"/>
      <c r="X136" s="62"/>
      <c r="Y136" s="62"/>
      <c r="Z136" s="62"/>
      <c r="AA136"/>
      <c r="AB136"/>
      <c r="AC136"/>
      <c r="AD136" s="32"/>
    </row>
    <row r="137" spans="3:30" s="2" customFormat="1" ht="15" customHeight="1">
      <c r="C137" s="136"/>
      <c r="D137" s="137"/>
      <c r="E137" s="178" t="s">
        <v>311</v>
      </c>
      <c r="F137" s="180" t="s">
        <v>67</v>
      </c>
      <c r="G137" s="169"/>
      <c r="H137" s="299" t="str">
        <f>VLOOKUP(E137&amp;F137,'[1]MV+BI'!$E$8:$K$375,3,FALSE)</f>
        <v>Em Teste - Alteração EF</v>
      </c>
      <c r="I137" s="172">
        <f>VLOOKUP(E137&amp;F137,'[1]MV+BI'!$E$8:$K$375,7,FALSE)</f>
        <v>45520</v>
      </c>
      <c r="J137" s="62"/>
      <c r="K137" s="79" t="s">
        <v>420</v>
      </c>
      <c r="L137" s="62"/>
      <c r="M137" s="62"/>
      <c r="N137" s="172"/>
      <c r="O137" s="79"/>
      <c r="P137" s="79"/>
      <c r="Q137" s="62"/>
      <c r="R137" s="87"/>
      <c r="S137" s="87"/>
      <c r="T137" s="87"/>
      <c r="U137" s="87"/>
      <c r="V137" s="87"/>
      <c r="W137" s="91"/>
      <c r="X137" s="62"/>
      <c r="Y137" s="62"/>
      <c r="Z137" s="62"/>
      <c r="AA137"/>
      <c r="AB137"/>
      <c r="AC137"/>
      <c r="AD137" s="32"/>
    </row>
    <row r="138" spans="3:30" s="2" customFormat="1" ht="15" customHeight="1">
      <c r="C138" s="136"/>
      <c r="D138" s="137"/>
      <c r="E138" s="178" t="s">
        <v>311</v>
      </c>
      <c r="F138" s="180" t="s">
        <v>312</v>
      </c>
      <c r="G138" s="169"/>
      <c r="H138" s="299" t="str">
        <f>VLOOKUP(E138&amp;F138,'[1]MV+BI'!$E$8:$K$375,3,FALSE)</f>
        <v>Em Teste - Alteração EF</v>
      </c>
      <c r="I138" s="172">
        <f>VLOOKUP(E138&amp;F138,'[1]MV+BI'!$E$8:$K$375,7,FALSE)</f>
        <v>45520</v>
      </c>
      <c r="J138" s="62"/>
      <c r="K138" s="79" t="s">
        <v>420</v>
      </c>
      <c r="L138" s="62"/>
      <c r="M138" s="62"/>
      <c r="N138" s="172"/>
      <c r="O138" s="79"/>
      <c r="P138" s="79"/>
      <c r="Q138" s="62"/>
      <c r="R138" s="87"/>
      <c r="S138" s="87"/>
      <c r="T138" s="87"/>
      <c r="U138" s="87"/>
      <c r="V138" s="87"/>
      <c r="W138" s="91"/>
      <c r="X138" s="62"/>
      <c r="Y138" s="62"/>
      <c r="Z138" s="62"/>
      <c r="AA138"/>
      <c r="AB138"/>
      <c r="AC138"/>
      <c r="AD138" s="32"/>
    </row>
    <row r="139" spans="3:30" s="2" customFormat="1" ht="15" customHeight="1">
      <c r="C139" s="136"/>
      <c r="D139" s="137"/>
      <c r="E139" s="178" t="s">
        <v>311</v>
      </c>
      <c r="F139" s="180" t="s">
        <v>105</v>
      </c>
      <c r="G139" s="169"/>
      <c r="H139" s="299" t="str">
        <f>VLOOKUP(E139&amp;F139,'[1]MV+BI'!$E$8:$K$375,3,FALSE)</f>
        <v>Em Teste - Alteração EF</v>
      </c>
      <c r="I139" s="172">
        <f>VLOOKUP(E139&amp;F139,'[1]MV+BI'!$E$8:$K$375,7,FALSE)</f>
        <v>45520</v>
      </c>
      <c r="J139" s="62"/>
      <c r="K139" s="79" t="s">
        <v>420</v>
      </c>
      <c r="L139" s="62"/>
      <c r="M139" s="62"/>
      <c r="N139" s="172"/>
      <c r="O139" s="79"/>
      <c r="P139" s="79"/>
      <c r="Q139" s="62"/>
      <c r="R139" s="87"/>
      <c r="S139" s="87"/>
      <c r="T139" s="87"/>
      <c r="U139" s="87"/>
      <c r="V139" s="87"/>
      <c r="W139" s="91"/>
      <c r="X139" s="62"/>
      <c r="Y139" s="62"/>
      <c r="Z139" s="62"/>
      <c r="AA139"/>
      <c r="AB139"/>
      <c r="AC139"/>
      <c r="AD139" s="32"/>
    </row>
    <row r="140" spans="3:30" s="2" customFormat="1" ht="15" customHeight="1">
      <c r="C140" s="136"/>
      <c r="D140" s="137"/>
      <c r="E140" s="178" t="s">
        <v>311</v>
      </c>
      <c r="F140" s="180" t="s">
        <v>313</v>
      </c>
      <c r="G140" s="169"/>
      <c r="H140" s="299" t="str">
        <f>VLOOKUP(E140&amp;F140,'[1]MV+BI'!$E$8:$K$375,3,FALSE)</f>
        <v>Em Teste - Alteração EF</v>
      </c>
      <c r="I140" s="172">
        <f>VLOOKUP(E140&amp;F140,'[1]MV+BI'!$E$8:$K$375,7,FALSE)</f>
        <v>45520</v>
      </c>
      <c r="J140" s="62"/>
      <c r="K140" s="79" t="s">
        <v>420</v>
      </c>
      <c r="L140" s="62"/>
      <c r="M140" s="62"/>
      <c r="N140" s="172"/>
      <c r="O140" s="79"/>
      <c r="P140" s="79"/>
      <c r="Q140" s="62"/>
      <c r="R140" s="87"/>
      <c r="S140" s="87"/>
      <c r="T140" s="87"/>
      <c r="U140" s="87"/>
      <c r="V140" s="87"/>
      <c r="W140" s="91"/>
      <c r="X140" s="62"/>
      <c r="Y140" s="62"/>
      <c r="Z140" s="62"/>
      <c r="AA140"/>
      <c r="AB140"/>
      <c r="AC140"/>
      <c r="AD140" s="32"/>
    </row>
    <row r="141" spans="3:30" s="2" customFormat="1" ht="15" customHeight="1">
      <c r="C141" s="136"/>
      <c r="D141" s="137"/>
      <c r="E141" s="178" t="s">
        <v>311</v>
      </c>
      <c r="F141" s="180" t="s">
        <v>314</v>
      </c>
      <c r="G141" s="169"/>
      <c r="H141" s="299" t="str">
        <f>VLOOKUP(E141&amp;F141,'[1]MV+BI'!$E$8:$K$375,3,FALSE)</f>
        <v>Em Teste - Alteração EF</v>
      </c>
      <c r="I141" s="172">
        <f>VLOOKUP(E141&amp;F141,'[1]MV+BI'!$E$8:$K$375,7,FALSE)</f>
        <v>45520</v>
      </c>
      <c r="J141" s="62"/>
      <c r="K141" s="79" t="s">
        <v>420</v>
      </c>
      <c r="L141" s="62"/>
      <c r="M141" s="62"/>
      <c r="N141" s="172"/>
      <c r="O141" s="79"/>
      <c r="P141" s="79"/>
      <c r="Q141" s="62"/>
      <c r="R141" s="87"/>
      <c r="S141" s="87"/>
      <c r="T141" s="87"/>
      <c r="U141" s="87"/>
      <c r="V141" s="87"/>
      <c r="W141" s="91"/>
      <c r="X141" s="62"/>
      <c r="Y141" s="62"/>
      <c r="Z141" s="62"/>
      <c r="AA141"/>
      <c r="AB141"/>
      <c r="AC141"/>
      <c r="AD141" s="32"/>
    </row>
    <row r="142" spans="3:30" s="2" customFormat="1" ht="15" customHeight="1">
      <c r="C142" s="136"/>
      <c r="D142" s="137"/>
      <c r="E142" s="178" t="s">
        <v>311</v>
      </c>
      <c r="F142" s="180" t="s">
        <v>247</v>
      </c>
      <c r="G142" s="169"/>
      <c r="H142" s="299" t="str">
        <f>VLOOKUP(E142&amp;F142,'[1]MV+BI'!$E$8:$K$375,3,FALSE)</f>
        <v>Em Teste - Alteração EF</v>
      </c>
      <c r="I142" s="172">
        <f>VLOOKUP(E142&amp;F142,'[1]MV+BI'!$E$8:$K$375,7,FALSE)</f>
        <v>45520</v>
      </c>
      <c r="J142" s="62"/>
      <c r="K142" s="79" t="s">
        <v>420</v>
      </c>
      <c r="L142" s="62"/>
      <c r="M142" s="62"/>
      <c r="N142" s="172"/>
      <c r="O142" s="79"/>
      <c r="P142" s="79"/>
      <c r="Q142" s="62"/>
      <c r="R142" s="87"/>
      <c r="S142" s="87"/>
      <c r="T142" s="87"/>
      <c r="U142" s="87"/>
      <c r="V142" s="87"/>
      <c r="W142" s="91"/>
      <c r="X142" s="62"/>
      <c r="Y142" s="62"/>
      <c r="Z142" s="62"/>
      <c r="AA142"/>
      <c r="AB142"/>
      <c r="AC142"/>
      <c r="AD142" s="32"/>
    </row>
    <row r="143" spans="3:30" s="2" customFormat="1" ht="15" customHeight="1">
      <c r="C143" s="136"/>
      <c r="D143" s="137"/>
      <c r="E143" s="178" t="s">
        <v>311</v>
      </c>
      <c r="F143" s="180" t="s">
        <v>315</v>
      </c>
      <c r="G143" s="169"/>
      <c r="H143" s="299" t="str">
        <f>VLOOKUP(E143&amp;F143,'[1]MV+BI'!$E$8:$K$375,3,FALSE)</f>
        <v>Em Teste - Alteração EF</v>
      </c>
      <c r="I143" s="172">
        <f>VLOOKUP(E143&amp;F143,'[1]MV+BI'!$E$8:$K$375,7,FALSE)</f>
        <v>45520</v>
      </c>
      <c r="J143" s="62"/>
      <c r="K143" s="79" t="s">
        <v>420</v>
      </c>
      <c r="L143" s="62"/>
      <c r="M143" s="62"/>
      <c r="N143" s="172"/>
      <c r="O143" s="79"/>
      <c r="P143" s="79"/>
      <c r="Q143" s="62"/>
      <c r="R143" s="87"/>
      <c r="S143" s="87"/>
      <c r="T143" s="87"/>
      <c r="U143" s="87"/>
      <c r="V143" s="87"/>
      <c r="W143" s="91"/>
      <c r="X143" s="62"/>
      <c r="Y143" s="62"/>
      <c r="Z143" s="62"/>
      <c r="AA143"/>
      <c r="AB143"/>
      <c r="AC143"/>
      <c r="AD143" s="32"/>
    </row>
    <row r="144" spans="3:30" s="2" customFormat="1" ht="15" customHeight="1">
      <c r="C144" s="136"/>
      <c r="D144" s="137"/>
      <c r="E144" s="178" t="s">
        <v>311</v>
      </c>
      <c r="F144" s="180" t="s">
        <v>316</v>
      </c>
      <c r="G144" s="169"/>
      <c r="H144" s="299" t="str">
        <f>VLOOKUP(E144&amp;F144,'[1]MV+BI'!$E$8:$K$375,3,FALSE)</f>
        <v>Em Teste - Alteração EF</v>
      </c>
      <c r="I144" s="172">
        <f>VLOOKUP(E144&amp;F144,'[1]MV+BI'!$E$8:$K$375,7,FALSE)</f>
        <v>45520</v>
      </c>
      <c r="J144" s="62"/>
      <c r="K144" s="79" t="s">
        <v>420</v>
      </c>
      <c r="L144" s="62"/>
      <c r="M144" s="62"/>
      <c r="N144" s="172"/>
      <c r="O144" s="79"/>
      <c r="P144" s="79"/>
      <c r="Q144" s="62"/>
      <c r="R144" s="87"/>
      <c r="S144" s="87"/>
      <c r="T144" s="87"/>
      <c r="U144" s="87"/>
      <c r="V144" s="87"/>
      <c r="W144" s="91"/>
      <c r="X144" s="62"/>
      <c r="Y144" s="62"/>
      <c r="Z144" s="62"/>
      <c r="AA144"/>
      <c r="AB144"/>
      <c r="AC144"/>
      <c r="AD144" s="32"/>
    </row>
    <row r="145" spans="3:30" s="2" customFormat="1" ht="15" customHeight="1">
      <c r="C145" s="136"/>
      <c r="D145" s="137"/>
      <c r="E145" s="178" t="s">
        <v>311</v>
      </c>
      <c r="F145" s="180" t="s">
        <v>248</v>
      </c>
      <c r="G145" s="169"/>
      <c r="H145" s="299" t="str">
        <f>VLOOKUP(E145&amp;F145,'[1]MV+BI'!$E$8:$K$375,3,FALSE)</f>
        <v>Em Teste - Alteração EF</v>
      </c>
      <c r="I145" s="172">
        <f>VLOOKUP(E145&amp;F145,'[1]MV+BI'!$E$8:$K$375,7,FALSE)</f>
        <v>45520</v>
      </c>
      <c r="J145" s="62"/>
      <c r="K145" s="79" t="s">
        <v>420</v>
      </c>
      <c r="L145" s="62"/>
      <c r="M145" s="62"/>
      <c r="N145" s="172"/>
      <c r="O145" s="79"/>
      <c r="P145" s="79"/>
      <c r="Q145" s="62"/>
      <c r="R145" s="87"/>
      <c r="S145" s="87"/>
      <c r="T145" s="87"/>
      <c r="U145" s="87"/>
      <c r="V145" s="87"/>
      <c r="W145" s="91"/>
      <c r="X145" s="62"/>
      <c r="Y145" s="62"/>
      <c r="Z145" s="62"/>
      <c r="AA145"/>
      <c r="AB145"/>
      <c r="AC145"/>
      <c r="AD145" s="32"/>
    </row>
    <row r="146" spans="3:30" s="2" customFormat="1" ht="15" customHeight="1">
      <c r="C146" s="136"/>
      <c r="D146" s="137"/>
      <c r="E146" s="178" t="s">
        <v>311</v>
      </c>
      <c r="F146" s="180" t="s">
        <v>317</v>
      </c>
      <c r="G146" s="169"/>
      <c r="H146" s="299" t="str">
        <f>VLOOKUP(E146&amp;F146,'[1]MV+BI'!$E$8:$K$375,3,FALSE)</f>
        <v>Em Teste - Alteração EF</v>
      </c>
      <c r="I146" s="172">
        <f>VLOOKUP(E146&amp;F146,'[1]MV+BI'!$E$8:$K$375,7,FALSE)</f>
        <v>45520</v>
      </c>
      <c r="J146" s="62"/>
      <c r="K146" s="79" t="s">
        <v>420</v>
      </c>
      <c r="L146" s="62"/>
      <c r="M146" s="62"/>
      <c r="N146" s="172"/>
      <c r="O146" s="79"/>
      <c r="P146" s="79"/>
      <c r="Q146" s="62"/>
      <c r="R146" s="87"/>
      <c r="S146" s="87"/>
      <c r="T146" s="87"/>
      <c r="U146" s="87"/>
      <c r="V146" s="87"/>
      <c r="W146" s="91"/>
      <c r="X146" s="62"/>
      <c r="Y146" s="62"/>
      <c r="Z146" s="62"/>
      <c r="AA146"/>
      <c r="AB146"/>
      <c r="AC146"/>
      <c r="AD146" s="32"/>
    </row>
    <row r="147" spans="3:30" s="2" customFormat="1" ht="15" customHeight="1">
      <c r="C147" s="136"/>
      <c r="D147" s="137"/>
      <c r="E147" s="178" t="s">
        <v>311</v>
      </c>
      <c r="F147" s="180" t="s">
        <v>318</v>
      </c>
      <c r="G147" s="169"/>
      <c r="H147" s="299" t="str">
        <f>VLOOKUP(E147&amp;F147,'[1]MV+BI'!$E$8:$K$375,3,FALSE)</f>
        <v>Em Teste - Alteração EF</v>
      </c>
      <c r="I147" s="172">
        <f>VLOOKUP(E147&amp;F147,'[1]MV+BI'!$E$8:$K$375,7,FALSE)</f>
        <v>45520</v>
      </c>
      <c r="J147" s="62"/>
      <c r="K147" s="79" t="s">
        <v>420</v>
      </c>
      <c r="L147" s="62"/>
      <c r="M147" s="62"/>
      <c r="N147" s="172"/>
      <c r="O147" s="79"/>
      <c r="P147" s="79"/>
      <c r="Q147" s="62"/>
      <c r="R147" s="87"/>
      <c r="S147" s="87"/>
      <c r="T147" s="87"/>
      <c r="U147" s="87"/>
      <c r="V147" s="87"/>
      <c r="W147" s="91"/>
      <c r="X147" s="62"/>
      <c r="Y147" s="62"/>
      <c r="Z147" s="62"/>
      <c r="AA147"/>
      <c r="AB147"/>
      <c r="AC147"/>
      <c r="AD147" s="32"/>
    </row>
    <row r="148" spans="3:30" s="2" customFormat="1" ht="15" customHeight="1">
      <c r="C148" s="136"/>
      <c r="D148" s="137"/>
      <c r="E148" s="178" t="s">
        <v>311</v>
      </c>
      <c r="F148" s="180" t="s">
        <v>319</v>
      </c>
      <c r="G148" s="169"/>
      <c r="H148" s="299" t="str">
        <f>VLOOKUP(E148&amp;F148,'[1]MV+BI'!$E$8:$K$375,3,FALSE)</f>
        <v>Em Teste - Alteração EF</v>
      </c>
      <c r="I148" s="172">
        <f>VLOOKUP(E148&amp;F148,'[1]MV+BI'!$E$8:$K$375,7,FALSE)</f>
        <v>45520</v>
      </c>
      <c r="J148" s="62"/>
      <c r="K148" s="79" t="s">
        <v>420</v>
      </c>
      <c r="L148" s="62"/>
      <c r="M148" s="62"/>
      <c r="N148" s="172"/>
      <c r="O148" s="79"/>
      <c r="P148" s="79"/>
      <c r="Q148" s="62"/>
      <c r="R148" s="87"/>
      <c r="S148" s="87"/>
      <c r="T148" s="87"/>
      <c r="U148" s="87"/>
      <c r="V148" s="87"/>
      <c r="W148" s="91"/>
      <c r="X148" s="62"/>
      <c r="Y148" s="62"/>
      <c r="Z148" s="62"/>
      <c r="AA148"/>
      <c r="AB148"/>
      <c r="AC148"/>
      <c r="AD148" s="32"/>
    </row>
    <row r="149" spans="3:30" s="2" customFormat="1" ht="15" customHeight="1">
      <c r="C149" s="136"/>
      <c r="D149" s="137"/>
      <c r="E149" s="178" t="s">
        <v>311</v>
      </c>
      <c r="F149" s="180" t="s">
        <v>320</v>
      </c>
      <c r="G149" s="169"/>
      <c r="H149" s="299" t="str">
        <f>VLOOKUP(E149&amp;F149,'[1]MV+BI'!$E$8:$K$375,3,FALSE)</f>
        <v>Em Teste - Alteração EF</v>
      </c>
      <c r="I149" s="172">
        <f>VLOOKUP(E149&amp;F149,'[1]MV+BI'!$E$8:$K$375,7,FALSE)</f>
        <v>45520</v>
      </c>
      <c r="J149" s="62"/>
      <c r="K149" s="79" t="s">
        <v>420</v>
      </c>
      <c r="L149" s="62"/>
      <c r="M149" s="62"/>
      <c r="N149" s="172"/>
      <c r="O149" s="79"/>
      <c r="P149" s="79"/>
      <c r="Q149" s="62"/>
      <c r="R149" s="87"/>
      <c r="S149" s="87"/>
      <c r="T149" s="87"/>
      <c r="U149" s="87"/>
      <c r="V149" s="87"/>
      <c r="W149" s="91"/>
      <c r="X149" s="62"/>
      <c r="Y149" s="62"/>
      <c r="Z149" s="62"/>
      <c r="AA149"/>
      <c r="AB149"/>
      <c r="AC149"/>
      <c r="AD149" s="32"/>
    </row>
    <row r="150" spans="3:30" s="2" customFormat="1" ht="15" customHeight="1">
      <c r="C150" s="136"/>
      <c r="D150" s="137"/>
      <c r="E150" s="178" t="s">
        <v>311</v>
      </c>
      <c r="F150" s="180" t="s">
        <v>321</v>
      </c>
      <c r="G150" s="169"/>
      <c r="H150" s="299" t="str">
        <f>VLOOKUP(E150&amp;F150,'[1]MV+BI'!$E$8:$K$375,3,FALSE)</f>
        <v>Em Teste - Alteração EF</v>
      </c>
      <c r="I150" s="172">
        <f>VLOOKUP(E150&amp;F150,'[1]MV+BI'!$E$8:$K$375,7,FALSE)</f>
        <v>45520</v>
      </c>
      <c r="J150" s="62"/>
      <c r="K150" s="79" t="s">
        <v>420</v>
      </c>
      <c r="L150" s="62"/>
      <c r="M150" s="62"/>
      <c r="N150" s="172"/>
      <c r="O150" s="79"/>
      <c r="P150" s="79"/>
      <c r="Q150" s="62"/>
      <c r="R150" s="87"/>
      <c r="S150" s="87"/>
      <c r="T150" s="87"/>
      <c r="U150" s="87"/>
      <c r="V150" s="87"/>
      <c r="W150" s="91"/>
      <c r="X150" s="62"/>
      <c r="Y150" s="62"/>
      <c r="Z150" s="62"/>
      <c r="AA150"/>
      <c r="AB150"/>
      <c r="AC150"/>
      <c r="AD150" s="32"/>
    </row>
    <row r="151" spans="3:30" s="2" customFormat="1" ht="15" customHeight="1">
      <c r="C151" s="136"/>
      <c r="D151" s="137"/>
      <c r="E151" s="178" t="s">
        <v>311</v>
      </c>
      <c r="F151" s="180" t="s">
        <v>322</v>
      </c>
      <c r="G151" s="169"/>
      <c r="H151" s="299" t="str">
        <f>VLOOKUP(E151&amp;F151,'[1]MV+BI'!$E$8:$K$375,3,FALSE)</f>
        <v>Em Teste - Alteração EF</v>
      </c>
      <c r="I151" s="172">
        <f>VLOOKUP(E151&amp;F151,'[1]MV+BI'!$E$8:$K$375,7,FALSE)</f>
        <v>45520</v>
      </c>
      <c r="J151" s="62"/>
      <c r="K151" s="79" t="s">
        <v>420</v>
      </c>
      <c r="L151" s="62"/>
      <c r="M151" s="62"/>
      <c r="N151" s="172"/>
      <c r="O151" s="79"/>
      <c r="P151" s="79"/>
      <c r="Q151" s="62"/>
      <c r="R151" s="87"/>
      <c r="S151" s="87"/>
      <c r="T151" s="87"/>
      <c r="U151" s="87"/>
      <c r="V151" s="87"/>
      <c r="W151" s="91"/>
      <c r="X151" s="62"/>
      <c r="Y151" s="62"/>
      <c r="Z151" s="62"/>
      <c r="AA151"/>
      <c r="AB151"/>
      <c r="AC151"/>
      <c r="AD151" s="32"/>
    </row>
    <row r="152" spans="3:30" s="2" customFormat="1" ht="15" customHeight="1">
      <c r="C152" s="136"/>
      <c r="D152" s="137"/>
      <c r="E152" s="178" t="s">
        <v>311</v>
      </c>
      <c r="F152" s="180" t="s">
        <v>323</v>
      </c>
      <c r="G152" s="169"/>
      <c r="H152" s="299" t="str">
        <f>VLOOKUP(E152&amp;F152,'[1]MV+BI'!$E$8:$K$375,3,FALSE)</f>
        <v>Em Teste - Alteração EF</v>
      </c>
      <c r="I152" s="172">
        <f>VLOOKUP(E152&amp;F152,'[1]MV+BI'!$E$8:$K$375,7,FALSE)</f>
        <v>45520</v>
      </c>
      <c r="J152" s="62"/>
      <c r="K152" s="79" t="s">
        <v>420</v>
      </c>
      <c r="L152" s="62"/>
      <c r="M152" s="62"/>
      <c r="N152" s="172"/>
      <c r="O152" s="79"/>
      <c r="P152" s="79"/>
      <c r="Q152" s="62"/>
      <c r="R152" s="87"/>
      <c r="S152" s="87"/>
      <c r="T152" s="87"/>
      <c r="U152" s="87"/>
      <c r="V152" s="87"/>
      <c r="W152" s="91"/>
      <c r="X152" s="62"/>
      <c r="Y152" s="62"/>
      <c r="Z152" s="62"/>
      <c r="AA152"/>
      <c r="AB152"/>
      <c r="AC152"/>
      <c r="AD152" s="32"/>
    </row>
    <row r="153" spans="3:30" s="2" customFormat="1" ht="15" customHeight="1">
      <c r="C153" s="136"/>
      <c r="D153" s="137"/>
      <c r="E153" s="178" t="s">
        <v>311</v>
      </c>
      <c r="F153" s="180" t="s">
        <v>324</v>
      </c>
      <c r="G153" s="169"/>
      <c r="H153" s="299" t="str">
        <f>VLOOKUP(E153&amp;F153,'[1]MV+BI'!$E$8:$K$375,3,FALSE)</f>
        <v>Em Teste - Alteração EF</v>
      </c>
      <c r="I153" s="172">
        <f>VLOOKUP(E153&amp;F153,'[1]MV+BI'!$E$8:$K$375,7,FALSE)</f>
        <v>45520</v>
      </c>
      <c r="J153" s="62"/>
      <c r="K153" s="79" t="s">
        <v>420</v>
      </c>
      <c r="L153" s="62"/>
      <c r="M153" s="62"/>
      <c r="N153" s="172"/>
      <c r="O153" s="79"/>
      <c r="P153" s="79"/>
      <c r="Q153" s="62"/>
      <c r="R153" s="87"/>
      <c r="S153" s="87"/>
      <c r="T153" s="87"/>
      <c r="U153" s="87"/>
      <c r="V153" s="87"/>
      <c r="W153" s="91"/>
      <c r="X153" s="62"/>
      <c r="Y153" s="62"/>
      <c r="Z153" s="62"/>
      <c r="AA153"/>
      <c r="AB153"/>
      <c r="AC153"/>
      <c r="AD153" s="32"/>
    </row>
    <row r="154" spans="3:30" s="2" customFormat="1" ht="15" customHeight="1">
      <c r="C154" s="136"/>
      <c r="D154" s="137"/>
      <c r="E154" s="178" t="s">
        <v>311</v>
      </c>
      <c r="F154" s="180" t="s">
        <v>325</v>
      </c>
      <c r="G154" s="169"/>
      <c r="H154" s="299" t="str">
        <f>VLOOKUP(E154&amp;F154,'[1]MV+BI'!$E$8:$K$375,3,FALSE)</f>
        <v>Em Teste - Alteração EF</v>
      </c>
      <c r="I154" s="172">
        <f>VLOOKUP(E154&amp;F154,'[1]MV+BI'!$E$8:$K$375,7,FALSE)</f>
        <v>45520</v>
      </c>
      <c r="J154" s="62"/>
      <c r="K154" s="79" t="s">
        <v>420</v>
      </c>
      <c r="L154" s="62"/>
      <c r="M154" s="62"/>
      <c r="N154" s="172"/>
      <c r="O154" s="79"/>
      <c r="P154" s="79"/>
      <c r="Q154" s="62"/>
      <c r="R154" s="87"/>
      <c r="S154" s="87"/>
      <c r="T154" s="87"/>
      <c r="U154" s="87"/>
      <c r="V154" s="87"/>
      <c r="W154" s="91"/>
      <c r="X154" s="62"/>
      <c r="Y154" s="62"/>
      <c r="Z154" s="62"/>
      <c r="AA154"/>
      <c r="AB154"/>
      <c r="AC154"/>
      <c r="AD154" s="32"/>
    </row>
    <row r="155" spans="3:30" s="2" customFormat="1" ht="15" customHeight="1">
      <c r="C155" s="136"/>
      <c r="D155" s="137"/>
      <c r="E155" s="178" t="s">
        <v>311</v>
      </c>
      <c r="F155" s="180" t="s">
        <v>326</v>
      </c>
      <c r="G155" s="169"/>
      <c r="H155" s="299" t="str">
        <f>VLOOKUP(E155&amp;F155,'[1]MV+BI'!$E$8:$K$375,3,FALSE)</f>
        <v>Em Teste - Alteração EF</v>
      </c>
      <c r="I155" s="172">
        <f>VLOOKUP(E155&amp;F155,'[1]MV+BI'!$E$8:$K$375,7,FALSE)</f>
        <v>45520</v>
      </c>
      <c r="J155" s="62"/>
      <c r="K155" s="79" t="s">
        <v>420</v>
      </c>
      <c r="L155" s="62"/>
      <c r="M155" s="62"/>
      <c r="N155" s="172"/>
      <c r="O155" s="79"/>
      <c r="P155" s="79"/>
      <c r="Q155" s="62"/>
      <c r="R155" s="87"/>
      <c r="S155" s="87"/>
      <c r="T155" s="87"/>
      <c r="U155" s="87"/>
      <c r="V155" s="87"/>
      <c r="W155" s="91"/>
      <c r="X155" s="62"/>
      <c r="Y155" s="62"/>
      <c r="Z155" s="62"/>
      <c r="AA155"/>
      <c r="AB155"/>
      <c r="AC155"/>
      <c r="AD155" s="32"/>
    </row>
    <row r="156" spans="3:30" s="2" customFormat="1" ht="15" customHeight="1">
      <c r="C156" s="136"/>
      <c r="D156" s="137"/>
      <c r="E156" s="178" t="s">
        <v>311</v>
      </c>
      <c r="F156" s="180" t="s">
        <v>327</v>
      </c>
      <c r="G156" s="169"/>
      <c r="H156" s="299" t="str">
        <f>VLOOKUP(E156&amp;F156,'[1]MV+BI'!$E$8:$K$375,3,FALSE)</f>
        <v>Em Teste - Alteração EF</v>
      </c>
      <c r="I156" s="172">
        <f>VLOOKUP(E156&amp;F156,'[1]MV+BI'!$E$8:$K$375,7,FALSE)</f>
        <v>45520</v>
      </c>
      <c r="J156" s="62"/>
      <c r="K156" s="79" t="s">
        <v>420</v>
      </c>
      <c r="L156" s="62"/>
      <c r="M156" s="62"/>
      <c r="N156" s="172"/>
      <c r="O156" s="79"/>
      <c r="P156" s="79"/>
      <c r="Q156" s="62"/>
      <c r="R156" s="87"/>
      <c r="S156" s="87"/>
      <c r="T156" s="87"/>
      <c r="U156" s="87"/>
      <c r="V156" s="87"/>
      <c r="W156" s="91"/>
      <c r="X156" s="62"/>
      <c r="Y156" s="62"/>
      <c r="Z156" s="62"/>
      <c r="AA156"/>
      <c r="AB156"/>
      <c r="AC156"/>
      <c r="AD156" s="32"/>
    </row>
    <row r="157" spans="3:30" s="2" customFormat="1" ht="15" customHeight="1">
      <c r="C157" s="136"/>
      <c r="D157" s="137"/>
      <c r="E157" s="178" t="s">
        <v>311</v>
      </c>
      <c r="F157" s="180" t="s">
        <v>328</v>
      </c>
      <c r="G157" s="169"/>
      <c r="H157" s="299" t="str">
        <f>VLOOKUP(E157&amp;F157,'[1]MV+BI'!$E$8:$K$375,3,FALSE)</f>
        <v>Em Teste - Alteração EF</v>
      </c>
      <c r="I157" s="172">
        <f>VLOOKUP(E157&amp;F157,'[1]MV+BI'!$E$8:$K$375,7,FALSE)</f>
        <v>45520</v>
      </c>
      <c r="J157" s="62"/>
      <c r="K157" s="79" t="s">
        <v>420</v>
      </c>
      <c r="L157" s="62"/>
      <c r="M157" s="62"/>
      <c r="N157" s="172"/>
      <c r="O157" s="79"/>
      <c r="P157" s="79"/>
      <c r="Q157" s="62"/>
      <c r="R157" s="87"/>
      <c r="S157" s="87"/>
      <c r="T157" s="87"/>
      <c r="U157" s="87"/>
      <c r="V157" s="87"/>
      <c r="W157" s="91"/>
      <c r="X157" s="62"/>
      <c r="Y157" s="62"/>
      <c r="Z157" s="62"/>
      <c r="AA157"/>
      <c r="AB157"/>
      <c r="AC157"/>
      <c r="AD157" s="32"/>
    </row>
    <row r="158" spans="3:30" s="2" customFormat="1" ht="15" customHeight="1">
      <c r="C158" s="136"/>
      <c r="D158" s="137"/>
      <c r="E158" s="178" t="s">
        <v>311</v>
      </c>
      <c r="F158" s="180" t="s">
        <v>329</v>
      </c>
      <c r="G158" s="169"/>
      <c r="H158" s="299" t="str">
        <f>VLOOKUP(E158&amp;F158,'[1]MV+BI'!$E$8:$K$375,3,FALSE)</f>
        <v>Em Teste - Alteração EF</v>
      </c>
      <c r="I158" s="172">
        <f>VLOOKUP(E158&amp;F158,'[1]MV+BI'!$E$8:$K$375,7,FALSE)</f>
        <v>45520</v>
      </c>
      <c r="J158" s="62"/>
      <c r="K158" s="79" t="s">
        <v>420</v>
      </c>
      <c r="L158" s="62"/>
      <c r="M158" s="62"/>
      <c r="N158" s="172"/>
      <c r="O158" s="79"/>
      <c r="P158" s="79"/>
      <c r="Q158" s="62"/>
      <c r="R158" s="87"/>
      <c r="S158" s="87"/>
      <c r="T158" s="87"/>
      <c r="U158" s="87"/>
      <c r="V158" s="87"/>
      <c r="W158" s="91"/>
      <c r="X158" s="62"/>
      <c r="Y158" s="62"/>
      <c r="Z158" s="62"/>
      <c r="AA158"/>
      <c r="AB158"/>
      <c r="AC158"/>
      <c r="AD158" s="32"/>
    </row>
    <row r="159" spans="3:30" s="2" customFormat="1" ht="15" customHeight="1">
      <c r="C159" s="136"/>
      <c r="D159" s="137"/>
      <c r="E159" s="178" t="s">
        <v>311</v>
      </c>
      <c r="F159" s="180" t="s">
        <v>330</v>
      </c>
      <c r="G159" s="169"/>
      <c r="H159" s="299" t="str">
        <f>VLOOKUP(E159&amp;F159,'[1]MV+BI'!$E$8:$K$375,3,FALSE)</f>
        <v>Em Teste - Alteração EF</v>
      </c>
      <c r="I159" s="172">
        <f>VLOOKUP(E159&amp;F159,'[1]MV+BI'!$E$8:$K$375,7,FALSE)</f>
        <v>45520</v>
      </c>
      <c r="J159" s="62"/>
      <c r="K159" s="79" t="s">
        <v>420</v>
      </c>
      <c r="L159" s="62"/>
      <c r="M159" s="62"/>
      <c r="N159" s="172"/>
      <c r="O159" s="79"/>
      <c r="P159" s="79"/>
      <c r="Q159" s="62"/>
      <c r="R159" s="87"/>
      <c r="S159" s="87"/>
      <c r="T159" s="87"/>
      <c r="U159" s="87"/>
      <c r="V159" s="87"/>
      <c r="W159" s="91"/>
      <c r="X159" s="62"/>
      <c r="Y159" s="62"/>
      <c r="Z159" s="62"/>
      <c r="AA159"/>
      <c r="AB159"/>
      <c r="AC159"/>
      <c r="AD159" s="32"/>
    </row>
    <row r="160" spans="3:30" s="2" customFormat="1" ht="15" customHeight="1">
      <c r="C160" s="136"/>
      <c r="D160" s="137"/>
      <c r="E160" s="178" t="s">
        <v>311</v>
      </c>
      <c r="F160" s="180" t="s">
        <v>331</v>
      </c>
      <c r="G160" s="169"/>
      <c r="H160" s="299" t="str">
        <f>VLOOKUP(E160&amp;F160,'[1]MV+BI'!$E$8:$K$375,3,FALSE)</f>
        <v>Em Teste - Alteração EF</v>
      </c>
      <c r="I160" s="172">
        <f>VLOOKUP(E160&amp;F160,'[1]MV+BI'!$E$8:$K$375,7,FALSE)</f>
        <v>45520</v>
      </c>
      <c r="J160" s="62"/>
      <c r="K160" s="79" t="s">
        <v>420</v>
      </c>
      <c r="L160" s="62"/>
      <c r="M160" s="62"/>
      <c r="N160" s="172"/>
      <c r="O160" s="79"/>
      <c r="P160" s="79"/>
      <c r="Q160" s="62"/>
      <c r="R160" s="87"/>
      <c r="S160" s="87"/>
      <c r="T160" s="87"/>
      <c r="U160" s="87"/>
      <c r="V160" s="87"/>
      <c r="W160" s="91"/>
      <c r="X160" s="62"/>
      <c r="Y160" s="62"/>
      <c r="Z160" s="62"/>
      <c r="AA160"/>
      <c r="AB160"/>
      <c r="AC160"/>
      <c r="AD160" s="32"/>
    </row>
    <row r="161" spans="3:30" s="2" customFormat="1" ht="15" customHeight="1">
      <c r="C161" s="136"/>
      <c r="D161" s="137"/>
      <c r="E161" s="178" t="s">
        <v>311</v>
      </c>
      <c r="F161" s="180" t="s">
        <v>332</v>
      </c>
      <c r="G161" s="169"/>
      <c r="H161" s="299" t="str">
        <f>VLOOKUP(E161&amp;F161,'[1]MV+BI'!$E$8:$K$375,3,FALSE)</f>
        <v>Em Teste - Alteração EF</v>
      </c>
      <c r="I161" s="172">
        <f>VLOOKUP(E161&amp;F161,'[1]MV+BI'!$E$8:$K$375,7,FALSE)</f>
        <v>45520</v>
      </c>
      <c r="J161" s="62"/>
      <c r="K161" s="79" t="s">
        <v>420</v>
      </c>
      <c r="L161" s="62"/>
      <c r="M161" s="62"/>
      <c r="N161" s="172"/>
      <c r="O161" s="79"/>
      <c r="P161" s="79"/>
      <c r="Q161" s="62"/>
      <c r="R161" s="87"/>
      <c r="S161" s="87"/>
      <c r="T161" s="87"/>
      <c r="U161" s="87"/>
      <c r="V161" s="87"/>
      <c r="W161" s="91"/>
      <c r="X161" s="62"/>
      <c r="Y161" s="62"/>
      <c r="Z161" s="62"/>
      <c r="AA161"/>
      <c r="AB161"/>
      <c r="AC161"/>
      <c r="AD161" s="32"/>
    </row>
    <row r="162" spans="3:30" s="2" customFormat="1" ht="15" customHeight="1">
      <c r="C162" s="136"/>
      <c r="D162" s="137"/>
      <c r="E162" s="178" t="s">
        <v>311</v>
      </c>
      <c r="F162" s="180" t="s">
        <v>333</v>
      </c>
      <c r="G162" s="169"/>
      <c r="H162" s="299" t="str">
        <f>VLOOKUP(E162&amp;F162,'[1]MV+BI'!$E$8:$K$375,3,FALSE)</f>
        <v>Em Teste - Alteração EF</v>
      </c>
      <c r="I162" s="172">
        <f>VLOOKUP(E162&amp;F162,'[1]MV+BI'!$E$8:$K$375,7,FALSE)</f>
        <v>45520</v>
      </c>
      <c r="J162" s="62"/>
      <c r="K162" s="79" t="s">
        <v>420</v>
      </c>
      <c r="L162" s="62"/>
      <c r="M162" s="62"/>
      <c r="N162" s="172"/>
      <c r="O162" s="79"/>
      <c r="P162" s="79"/>
      <c r="Q162" s="62"/>
      <c r="R162" s="87"/>
      <c r="S162" s="87"/>
      <c r="T162" s="87"/>
      <c r="U162" s="87"/>
      <c r="V162" s="87"/>
      <c r="W162" s="91"/>
      <c r="X162" s="62"/>
      <c r="Y162" s="62"/>
      <c r="Z162" s="62"/>
      <c r="AA162"/>
      <c r="AB162"/>
      <c r="AC162"/>
      <c r="AD162" s="32"/>
    </row>
    <row r="163" spans="3:30" s="2" customFormat="1" ht="15" customHeight="1">
      <c r="C163" s="136"/>
      <c r="D163" s="137"/>
      <c r="E163" s="178" t="s">
        <v>311</v>
      </c>
      <c r="F163" s="180" t="s">
        <v>334</v>
      </c>
      <c r="G163" s="169"/>
      <c r="H163" s="299" t="str">
        <f>VLOOKUP(E163&amp;F163,'[1]MV+BI'!$E$8:$K$375,3,FALSE)</f>
        <v>Em Teste - Alteração EF</v>
      </c>
      <c r="I163" s="172">
        <f>VLOOKUP(E163&amp;F163,'[1]MV+BI'!$E$8:$K$375,7,FALSE)</f>
        <v>45520</v>
      </c>
      <c r="J163" s="62"/>
      <c r="K163" s="79" t="s">
        <v>420</v>
      </c>
      <c r="L163" s="62"/>
      <c r="M163" s="62"/>
      <c r="N163" s="172"/>
      <c r="O163" s="79"/>
      <c r="P163" s="79"/>
      <c r="Q163" s="62"/>
      <c r="R163" s="87"/>
      <c r="S163" s="87"/>
      <c r="T163" s="87"/>
      <c r="U163" s="87"/>
      <c r="V163" s="87"/>
      <c r="W163" s="91"/>
      <c r="X163" s="62"/>
      <c r="Y163" s="62"/>
      <c r="Z163" s="62"/>
      <c r="AA163"/>
      <c r="AB163"/>
      <c r="AC163"/>
      <c r="AD163" s="32"/>
    </row>
    <row r="164" spans="3:30" s="2" customFormat="1" ht="15" customHeight="1">
      <c r="C164" s="136"/>
      <c r="D164" s="137"/>
      <c r="E164" s="178" t="s">
        <v>311</v>
      </c>
      <c r="F164" s="180" t="s">
        <v>335</v>
      </c>
      <c r="G164" s="169"/>
      <c r="H164" s="299" t="str">
        <f>VLOOKUP(E164&amp;F164,'[1]MV+BI'!$E$8:$K$375,3,FALSE)</f>
        <v>Em Teste - Alteração EF</v>
      </c>
      <c r="I164" s="172">
        <f>VLOOKUP(E164&amp;F164,'[1]MV+BI'!$E$8:$K$375,7,FALSE)</f>
        <v>45520</v>
      </c>
      <c r="J164" s="62"/>
      <c r="K164" s="79" t="s">
        <v>420</v>
      </c>
      <c r="L164" s="62"/>
      <c r="M164" s="62"/>
      <c r="N164" s="172"/>
      <c r="O164" s="79"/>
      <c r="P164" s="79"/>
      <c r="Q164" s="62"/>
      <c r="R164" s="87"/>
      <c r="S164" s="87"/>
      <c r="T164" s="87"/>
      <c r="U164" s="87"/>
      <c r="V164" s="87"/>
      <c r="W164" s="91"/>
      <c r="X164" s="62"/>
      <c r="Y164" s="62"/>
      <c r="Z164" s="62"/>
      <c r="AA164"/>
      <c r="AB164"/>
      <c r="AC164"/>
      <c r="AD164" s="32"/>
    </row>
    <row r="165" spans="3:30" s="2" customFormat="1" ht="15" customHeight="1">
      <c r="C165" s="136"/>
      <c r="D165" s="137"/>
      <c r="E165" s="178" t="s">
        <v>311</v>
      </c>
      <c r="F165" s="180" t="s">
        <v>336</v>
      </c>
      <c r="G165" s="169"/>
      <c r="H165" s="299" t="str">
        <f>VLOOKUP(E165&amp;F165,'[1]MV+BI'!$E$8:$K$375,3,FALSE)</f>
        <v>Em Teste - Alteração EF</v>
      </c>
      <c r="I165" s="172">
        <f>VLOOKUP(E165&amp;F165,'[1]MV+BI'!$E$8:$K$375,7,FALSE)</f>
        <v>45520</v>
      </c>
      <c r="J165" s="62"/>
      <c r="K165" s="79" t="s">
        <v>420</v>
      </c>
      <c r="L165" s="62"/>
      <c r="M165" s="62"/>
      <c r="N165" s="172"/>
      <c r="O165" s="79"/>
      <c r="P165" s="79"/>
      <c r="Q165" s="62"/>
      <c r="R165" s="87"/>
      <c r="S165" s="87"/>
      <c r="T165" s="87"/>
      <c r="U165" s="87"/>
      <c r="V165" s="87"/>
      <c r="W165" s="91"/>
      <c r="X165" s="62"/>
      <c r="Y165" s="62"/>
      <c r="Z165" s="62"/>
      <c r="AA165"/>
      <c r="AB165"/>
      <c r="AC165"/>
      <c r="AD165" s="32"/>
    </row>
    <row r="166" spans="3:30" s="2" customFormat="1" ht="15" customHeight="1">
      <c r="C166" s="136"/>
      <c r="D166" s="137"/>
      <c r="E166" s="178" t="s">
        <v>311</v>
      </c>
      <c r="F166" s="180" t="s">
        <v>337</v>
      </c>
      <c r="G166" s="169"/>
      <c r="H166" s="299" t="str">
        <f>VLOOKUP(E166&amp;F166,'[1]MV+BI'!$E$8:$K$375,3,FALSE)</f>
        <v>Em Teste - Alteração EF</v>
      </c>
      <c r="I166" s="172">
        <f>VLOOKUP(E166&amp;F166,'[1]MV+BI'!$E$8:$K$375,7,FALSE)</f>
        <v>45520</v>
      </c>
      <c r="J166" s="62"/>
      <c r="K166" s="79" t="s">
        <v>420</v>
      </c>
      <c r="L166" s="62"/>
      <c r="M166" s="62"/>
      <c r="N166" s="172"/>
      <c r="O166" s="79"/>
      <c r="P166" s="79"/>
      <c r="Q166" s="62"/>
      <c r="R166" s="87"/>
      <c r="S166" s="87"/>
      <c r="T166" s="87"/>
      <c r="U166" s="87"/>
      <c r="V166" s="87"/>
      <c r="W166" s="91"/>
      <c r="X166" s="62"/>
      <c r="Y166" s="62"/>
      <c r="Z166" s="62"/>
      <c r="AA166"/>
      <c r="AB166"/>
      <c r="AC166"/>
      <c r="AD166" s="32"/>
    </row>
    <row r="167" spans="3:30" s="2" customFormat="1" ht="15" customHeight="1">
      <c r="C167" s="136"/>
      <c r="D167" s="137"/>
      <c r="E167" s="178" t="s">
        <v>311</v>
      </c>
      <c r="F167" s="180" t="s">
        <v>338</v>
      </c>
      <c r="G167" s="169"/>
      <c r="H167" s="299" t="str">
        <f>VLOOKUP(E167&amp;F167,'[1]MV+BI'!$E$8:$K$375,3,FALSE)</f>
        <v>Em Teste - Alteração EF</v>
      </c>
      <c r="I167" s="172">
        <f>VLOOKUP(E167&amp;F167,'[1]MV+BI'!$E$8:$K$375,7,FALSE)</f>
        <v>45520</v>
      </c>
      <c r="J167" s="62"/>
      <c r="K167" s="79" t="s">
        <v>420</v>
      </c>
      <c r="L167" s="62"/>
      <c r="M167" s="62"/>
      <c r="N167" s="172"/>
      <c r="O167" s="79"/>
      <c r="P167" s="79"/>
      <c r="Q167" s="62"/>
      <c r="R167" s="87"/>
      <c r="S167" s="87"/>
      <c r="T167" s="87"/>
      <c r="U167" s="87"/>
      <c r="V167" s="87"/>
      <c r="W167" s="91"/>
      <c r="X167" s="62"/>
      <c r="Y167" s="62"/>
      <c r="Z167" s="62"/>
      <c r="AA167"/>
      <c r="AB167"/>
      <c r="AC167"/>
      <c r="AD167" s="32"/>
    </row>
    <row r="168" spans="3:30" s="2" customFormat="1" ht="15" customHeight="1">
      <c r="C168" s="136"/>
      <c r="D168" s="137"/>
      <c r="E168" s="178" t="s">
        <v>311</v>
      </c>
      <c r="F168" s="180" t="s">
        <v>339</v>
      </c>
      <c r="G168" s="169"/>
      <c r="H168" s="299" t="str">
        <f>VLOOKUP(E168&amp;F168,'[1]MV+BI'!$E$8:$K$375,3,FALSE)</f>
        <v>Em Teste - Alteração EF</v>
      </c>
      <c r="I168" s="172">
        <f>VLOOKUP(E168&amp;F168,'[1]MV+BI'!$E$8:$K$375,7,FALSE)</f>
        <v>45520</v>
      </c>
      <c r="J168" s="62"/>
      <c r="K168" s="79" t="s">
        <v>420</v>
      </c>
      <c r="L168" s="62"/>
      <c r="M168" s="62"/>
      <c r="N168" s="172"/>
      <c r="O168" s="79"/>
      <c r="P168" s="79"/>
      <c r="Q168" s="62"/>
      <c r="R168" s="87"/>
      <c r="S168" s="87"/>
      <c r="T168" s="87"/>
      <c r="U168" s="87"/>
      <c r="V168" s="87"/>
      <c r="W168" s="91"/>
      <c r="X168" s="62"/>
      <c r="Y168" s="62"/>
      <c r="Z168" s="62"/>
      <c r="AA168"/>
      <c r="AB168"/>
      <c r="AC168"/>
      <c r="AD168" s="32"/>
    </row>
    <row r="169" spans="3:30" s="2" customFormat="1" ht="15" customHeight="1">
      <c r="C169" s="136"/>
      <c r="D169" s="137"/>
      <c r="E169" s="178" t="s">
        <v>311</v>
      </c>
      <c r="F169" s="180" t="s">
        <v>340</v>
      </c>
      <c r="G169" s="169"/>
      <c r="H169" s="299" t="str">
        <f>VLOOKUP(E169&amp;F169,'[1]MV+BI'!$E$8:$K$375,3,FALSE)</f>
        <v>Em Teste - Alteração EF</v>
      </c>
      <c r="I169" s="172">
        <f>VLOOKUP(E169&amp;F169,'[1]MV+BI'!$E$8:$K$375,7,FALSE)</f>
        <v>45520</v>
      </c>
      <c r="J169" s="62"/>
      <c r="K169" s="79" t="s">
        <v>420</v>
      </c>
      <c r="L169" s="62"/>
      <c r="M169" s="62"/>
      <c r="N169" s="172"/>
      <c r="O169" s="79"/>
      <c r="P169" s="79"/>
      <c r="Q169" s="62"/>
      <c r="R169" s="87"/>
      <c r="S169" s="87"/>
      <c r="T169" s="87"/>
      <c r="U169" s="87"/>
      <c r="V169" s="87"/>
      <c r="W169" s="91"/>
      <c r="X169" s="62"/>
      <c r="Y169" s="62"/>
      <c r="Z169" s="62"/>
      <c r="AA169"/>
      <c r="AB169"/>
      <c r="AC169"/>
      <c r="AD169" s="32"/>
    </row>
    <row r="170" spans="3:30" s="2" customFormat="1" ht="15" customHeight="1">
      <c r="C170" s="136"/>
      <c r="D170" s="137"/>
      <c r="E170" s="178" t="s">
        <v>311</v>
      </c>
      <c r="F170" s="180" t="s">
        <v>341</v>
      </c>
      <c r="G170" s="169"/>
      <c r="H170" s="299" t="str">
        <f>VLOOKUP(E170&amp;F170,'[1]MV+BI'!$E$8:$K$375,3,FALSE)</f>
        <v>Em Teste - Alteração EF</v>
      </c>
      <c r="I170" s="172">
        <f>VLOOKUP(E170&amp;F170,'[1]MV+BI'!$E$8:$K$375,7,FALSE)</f>
        <v>45520</v>
      </c>
      <c r="J170" s="62"/>
      <c r="K170" s="79" t="s">
        <v>420</v>
      </c>
      <c r="L170" s="62"/>
      <c r="M170" s="62"/>
      <c r="N170" s="172"/>
      <c r="O170" s="79"/>
      <c r="P170" s="79"/>
      <c r="Q170" s="62"/>
      <c r="R170" s="87"/>
      <c r="S170" s="87"/>
      <c r="T170" s="87"/>
      <c r="U170" s="87"/>
      <c r="V170" s="87"/>
      <c r="W170" s="91"/>
      <c r="X170" s="62"/>
      <c r="Y170" s="62"/>
      <c r="Z170" s="62"/>
      <c r="AA170"/>
      <c r="AB170"/>
      <c r="AC170"/>
      <c r="AD170" s="32"/>
    </row>
    <row r="171" spans="3:30" s="2" customFormat="1" ht="15" customHeight="1">
      <c r="C171" s="136"/>
      <c r="D171" s="137"/>
      <c r="E171" s="178" t="s">
        <v>311</v>
      </c>
      <c r="F171" s="180" t="s">
        <v>342</v>
      </c>
      <c r="G171" s="169"/>
      <c r="H171" s="299" t="str">
        <f>VLOOKUP(E171&amp;F171,'[1]MV+BI'!$E$8:$K$375,3,FALSE)</f>
        <v>Em Teste - Alteração EF</v>
      </c>
      <c r="I171" s="172">
        <f>VLOOKUP(E171&amp;F171,'[1]MV+BI'!$E$8:$K$375,7,FALSE)</f>
        <v>45520</v>
      </c>
      <c r="J171" s="62"/>
      <c r="K171" s="79" t="s">
        <v>420</v>
      </c>
      <c r="L171" s="62"/>
      <c r="M171" s="62"/>
      <c r="N171" s="172"/>
      <c r="O171" s="79"/>
      <c r="P171" s="79"/>
      <c r="Q171" s="62"/>
      <c r="R171" s="87"/>
      <c r="S171" s="87"/>
      <c r="T171" s="87"/>
      <c r="U171" s="87"/>
      <c r="V171" s="87"/>
      <c r="W171" s="91"/>
      <c r="X171" s="62"/>
      <c r="Y171" s="62"/>
      <c r="Z171" s="62"/>
      <c r="AA171"/>
      <c r="AB171"/>
      <c r="AC171"/>
      <c r="AD171" s="32"/>
    </row>
    <row r="172" spans="3:30" s="2" customFormat="1" ht="15" customHeight="1">
      <c r="C172" s="136"/>
      <c r="D172" s="137"/>
      <c r="E172" s="178" t="s">
        <v>311</v>
      </c>
      <c r="F172" s="180" t="s">
        <v>343</v>
      </c>
      <c r="G172" s="169"/>
      <c r="H172" s="299" t="str">
        <f>VLOOKUP(E172&amp;F172,'[1]MV+BI'!$E$8:$K$375,3,FALSE)</f>
        <v>Em Teste - Alteração EF</v>
      </c>
      <c r="I172" s="172">
        <f>VLOOKUP(E172&amp;F172,'[1]MV+BI'!$E$8:$K$375,7,FALSE)</f>
        <v>45520</v>
      </c>
      <c r="J172" s="62"/>
      <c r="K172" s="79" t="s">
        <v>420</v>
      </c>
      <c r="L172" s="62"/>
      <c r="M172" s="62"/>
      <c r="N172" s="172"/>
      <c r="O172" s="79"/>
      <c r="P172" s="79"/>
      <c r="Q172" s="62"/>
      <c r="R172" s="87"/>
      <c r="S172" s="87"/>
      <c r="T172" s="87"/>
      <c r="U172" s="87"/>
      <c r="V172" s="87"/>
      <c r="W172" s="91"/>
      <c r="X172" s="62"/>
      <c r="Y172" s="62"/>
      <c r="Z172" s="62"/>
      <c r="AA172"/>
      <c r="AB172"/>
      <c r="AC172"/>
      <c r="AD172" s="32"/>
    </row>
    <row r="173" spans="3:30" s="2" customFormat="1" ht="15" customHeight="1">
      <c r="C173" s="136"/>
      <c r="D173" s="137"/>
      <c r="E173" s="178" t="s">
        <v>311</v>
      </c>
      <c r="F173" s="180" t="s">
        <v>344</v>
      </c>
      <c r="G173" s="169"/>
      <c r="H173" s="299" t="str">
        <f>VLOOKUP(E173&amp;F173,'[1]MV+BI'!$E$8:$K$375,3,FALSE)</f>
        <v>Em Teste - Alteração EF</v>
      </c>
      <c r="I173" s="172">
        <f>VLOOKUP(E173&amp;F173,'[1]MV+BI'!$E$8:$K$375,7,FALSE)</f>
        <v>45520</v>
      </c>
      <c r="J173" s="62"/>
      <c r="K173" s="79" t="s">
        <v>420</v>
      </c>
      <c r="L173" s="62"/>
      <c r="M173" s="62"/>
      <c r="N173" s="172"/>
      <c r="O173" s="79"/>
      <c r="P173" s="79"/>
      <c r="Q173" s="62"/>
      <c r="R173" s="87"/>
      <c r="S173" s="87"/>
      <c r="T173" s="87"/>
      <c r="U173" s="87"/>
      <c r="V173" s="87"/>
      <c r="W173" s="91"/>
      <c r="X173" s="62"/>
      <c r="Y173" s="62"/>
      <c r="Z173" s="62"/>
      <c r="AA173"/>
      <c r="AB173"/>
      <c r="AC173"/>
      <c r="AD173" s="32"/>
    </row>
    <row r="174" spans="3:30" s="2" customFormat="1" ht="15" customHeight="1">
      <c r="C174" s="136"/>
      <c r="D174" s="137"/>
      <c r="E174" s="178" t="s">
        <v>311</v>
      </c>
      <c r="F174" s="180" t="s">
        <v>345</v>
      </c>
      <c r="G174" s="169"/>
      <c r="H174" s="299" t="str">
        <f>VLOOKUP(E174&amp;F174,'[1]MV+BI'!$E$8:$K$375,3,FALSE)</f>
        <v>Em Teste - Alteração EF</v>
      </c>
      <c r="I174" s="172">
        <f>VLOOKUP(E174&amp;F174,'[1]MV+BI'!$E$8:$K$375,7,FALSE)</f>
        <v>45520</v>
      </c>
      <c r="J174" s="62"/>
      <c r="K174" s="79" t="s">
        <v>420</v>
      </c>
      <c r="L174" s="62"/>
      <c r="M174" s="62"/>
      <c r="N174" s="172"/>
      <c r="O174" s="79"/>
      <c r="P174" s="79"/>
      <c r="Q174" s="62"/>
      <c r="R174" s="87"/>
      <c r="S174" s="87"/>
      <c r="T174" s="87"/>
      <c r="U174" s="87"/>
      <c r="V174" s="87"/>
      <c r="W174" s="91"/>
      <c r="X174" s="62"/>
      <c r="Y174" s="62"/>
      <c r="Z174" s="62"/>
      <c r="AA174"/>
      <c r="AB174"/>
      <c r="AC174"/>
      <c r="AD174" s="32"/>
    </row>
    <row r="175" spans="3:30" s="2" customFormat="1" ht="15" customHeight="1">
      <c r="C175" s="136"/>
      <c r="D175" s="137"/>
      <c r="E175" s="178" t="s">
        <v>311</v>
      </c>
      <c r="F175" s="180" t="s">
        <v>346</v>
      </c>
      <c r="G175" s="169"/>
      <c r="H175" s="299" t="str">
        <f>VLOOKUP(E175&amp;F175,'[1]MV+BI'!$E$8:$K$375,3,FALSE)</f>
        <v>Em Teste - Alteração EF</v>
      </c>
      <c r="I175" s="172">
        <f>VLOOKUP(E175&amp;F175,'[1]MV+BI'!$E$8:$K$375,7,FALSE)</f>
        <v>45520</v>
      </c>
      <c r="J175" s="62"/>
      <c r="K175" s="79" t="s">
        <v>420</v>
      </c>
      <c r="L175" s="62"/>
      <c r="M175" s="62"/>
      <c r="N175" s="172"/>
      <c r="O175" s="79"/>
      <c r="P175" s="79"/>
      <c r="Q175" s="62"/>
      <c r="R175" s="87"/>
      <c r="S175" s="87"/>
      <c r="T175" s="87"/>
      <c r="U175" s="87"/>
      <c r="V175" s="87"/>
      <c r="W175" s="91"/>
      <c r="X175" s="62"/>
      <c r="Y175" s="62"/>
      <c r="Z175" s="62"/>
      <c r="AA175"/>
      <c r="AB175"/>
      <c r="AC175"/>
      <c r="AD175" s="32"/>
    </row>
    <row r="176" spans="3:30" s="2" customFormat="1" ht="15" customHeight="1">
      <c r="C176" s="136"/>
      <c r="D176" s="137"/>
      <c r="E176" s="178" t="s">
        <v>311</v>
      </c>
      <c r="F176" s="180" t="s">
        <v>347</v>
      </c>
      <c r="G176" s="169"/>
      <c r="H176" s="299" t="str">
        <f>VLOOKUP(E176&amp;F176,'[1]MV+BI'!$E$8:$K$375,3,FALSE)</f>
        <v>Em Teste - Alteração EF</v>
      </c>
      <c r="I176" s="172">
        <f>VLOOKUP(E176&amp;F176,'[1]MV+BI'!$E$8:$K$375,7,FALSE)</f>
        <v>45520</v>
      </c>
      <c r="J176" s="62"/>
      <c r="K176" s="79" t="s">
        <v>420</v>
      </c>
      <c r="L176" s="62"/>
      <c r="M176" s="62"/>
      <c r="N176" s="172"/>
      <c r="O176" s="79"/>
      <c r="P176" s="79"/>
      <c r="Q176" s="62"/>
      <c r="R176" s="87"/>
      <c r="S176" s="87"/>
      <c r="T176" s="87"/>
      <c r="U176" s="87"/>
      <c r="V176" s="87"/>
      <c r="W176" s="91"/>
      <c r="X176" s="62"/>
      <c r="Y176" s="62"/>
      <c r="Z176" s="62"/>
      <c r="AA176"/>
      <c r="AB176"/>
      <c r="AC176"/>
      <c r="AD176" s="32"/>
    </row>
    <row r="177" spans="3:30" s="2" customFormat="1" ht="15" customHeight="1">
      <c r="C177" s="136"/>
      <c r="D177" s="137"/>
      <c r="E177" s="178" t="s">
        <v>311</v>
      </c>
      <c r="F177" s="180" t="s">
        <v>348</v>
      </c>
      <c r="G177" s="169"/>
      <c r="H177" s="299" t="str">
        <f>VLOOKUP(E177&amp;F177,'[1]MV+BI'!$E$8:$K$375,3,FALSE)</f>
        <v>Em Teste - Alteração EF</v>
      </c>
      <c r="I177" s="172">
        <f>VLOOKUP(E177&amp;F177,'[1]MV+BI'!$E$8:$K$375,7,FALSE)</f>
        <v>45520</v>
      </c>
      <c r="J177" s="62"/>
      <c r="K177" s="79" t="s">
        <v>420</v>
      </c>
      <c r="L177" s="62"/>
      <c r="M177" s="62"/>
      <c r="N177" s="172"/>
      <c r="O177" s="79"/>
      <c r="P177" s="79"/>
      <c r="Q177" s="62"/>
      <c r="R177" s="87"/>
      <c r="S177" s="87"/>
      <c r="T177" s="87"/>
      <c r="U177" s="87"/>
      <c r="V177" s="87"/>
      <c r="W177" s="91"/>
      <c r="X177" s="62"/>
      <c r="Y177" s="62"/>
      <c r="Z177" s="62"/>
      <c r="AA177"/>
      <c r="AB177"/>
      <c r="AC177"/>
      <c r="AD177" s="32"/>
    </row>
    <row r="178" spans="3:30" s="2" customFormat="1" ht="15" customHeight="1">
      <c r="C178" s="136"/>
      <c r="D178" s="137"/>
      <c r="E178" s="178" t="s">
        <v>311</v>
      </c>
      <c r="F178" s="180" t="s">
        <v>349</v>
      </c>
      <c r="G178" s="169"/>
      <c r="H178" s="299" t="str">
        <f>VLOOKUP(E178&amp;F178,'[1]MV+BI'!$E$8:$K$375,3,FALSE)</f>
        <v>Em Teste - Alteração EF</v>
      </c>
      <c r="I178" s="172">
        <f>VLOOKUP(E178&amp;F178,'[1]MV+BI'!$E$8:$K$375,7,FALSE)</f>
        <v>45520</v>
      </c>
      <c r="J178" s="62"/>
      <c r="K178" s="79" t="s">
        <v>420</v>
      </c>
      <c r="L178" s="62"/>
      <c r="M178" s="62"/>
      <c r="N178" s="172"/>
      <c r="O178" s="79"/>
      <c r="P178" s="79"/>
      <c r="Q178" s="62"/>
      <c r="R178" s="87"/>
      <c r="S178" s="87"/>
      <c r="T178" s="87"/>
      <c r="U178" s="87"/>
      <c r="V178" s="87"/>
      <c r="W178" s="91"/>
      <c r="X178" s="62"/>
      <c r="Y178" s="62"/>
      <c r="Z178" s="62"/>
      <c r="AA178"/>
      <c r="AB178"/>
      <c r="AC178"/>
      <c r="AD178" s="32"/>
    </row>
    <row r="179" spans="3:30" s="2" customFormat="1" ht="15" customHeight="1">
      <c r="C179" s="136"/>
      <c r="D179" s="137"/>
      <c r="E179" s="178" t="s">
        <v>311</v>
      </c>
      <c r="F179" s="180" t="s">
        <v>350</v>
      </c>
      <c r="G179" s="169"/>
      <c r="H179" s="299" t="str">
        <f>VLOOKUP(E179&amp;F179,'[1]MV+BI'!$E$8:$K$375,3,FALSE)</f>
        <v>Em Teste - Alteração EF</v>
      </c>
      <c r="I179" s="172">
        <f>VLOOKUP(E179&amp;F179,'[1]MV+BI'!$E$8:$K$375,7,FALSE)</f>
        <v>45520</v>
      </c>
      <c r="J179" s="62"/>
      <c r="K179" s="79" t="s">
        <v>420</v>
      </c>
      <c r="L179" s="62"/>
      <c r="M179" s="62"/>
      <c r="N179" s="172"/>
      <c r="O179" s="79"/>
      <c r="P179" s="79"/>
      <c r="Q179" s="62"/>
      <c r="R179" s="87"/>
      <c r="S179" s="87"/>
      <c r="T179" s="87"/>
      <c r="U179" s="87"/>
      <c r="V179" s="87"/>
      <c r="W179" s="91"/>
      <c r="X179" s="62"/>
      <c r="Y179" s="62"/>
      <c r="Z179" s="62"/>
      <c r="AA179"/>
      <c r="AB179"/>
      <c r="AC179"/>
      <c r="AD179" s="32"/>
    </row>
    <row r="180" spans="3:30" s="2" customFormat="1" ht="15" customHeight="1">
      <c r="C180" s="136"/>
      <c r="D180" s="137"/>
      <c r="E180" s="178" t="s">
        <v>311</v>
      </c>
      <c r="F180" s="180" t="s">
        <v>351</v>
      </c>
      <c r="G180" s="169"/>
      <c r="H180" s="299" t="str">
        <f>VLOOKUP(E180&amp;F180,'[1]MV+BI'!$E$8:$K$375,3,FALSE)</f>
        <v>Em Teste - Alteração EF</v>
      </c>
      <c r="I180" s="172">
        <f>VLOOKUP(E180&amp;F180,'[1]MV+BI'!$E$8:$K$375,7,FALSE)</f>
        <v>45520</v>
      </c>
      <c r="J180" s="62"/>
      <c r="K180" s="79" t="s">
        <v>420</v>
      </c>
      <c r="L180" s="62"/>
      <c r="M180" s="62"/>
      <c r="N180" s="172"/>
      <c r="O180" s="79"/>
      <c r="P180" s="79"/>
      <c r="Q180" s="62"/>
      <c r="R180" s="87"/>
      <c r="S180" s="87"/>
      <c r="T180" s="87"/>
      <c r="U180" s="87"/>
      <c r="V180" s="87"/>
      <c r="W180" s="91"/>
      <c r="X180" s="62"/>
      <c r="Y180" s="62"/>
      <c r="Z180" s="62"/>
      <c r="AA180"/>
      <c r="AB180"/>
      <c r="AC180"/>
      <c r="AD180" s="32"/>
    </row>
    <row r="181" spans="3:30" s="2" customFormat="1" ht="15" customHeight="1">
      <c r="C181" s="136"/>
      <c r="D181" s="137"/>
      <c r="E181" s="178" t="s">
        <v>311</v>
      </c>
      <c r="F181" s="180" t="s">
        <v>352</v>
      </c>
      <c r="G181" s="169"/>
      <c r="H181" s="299" t="str">
        <f>VLOOKUP(E181&amp;F181,'[1]MV+BI'!$E$8:$K$375,3,FALSE)</f>
        <v>Em Teste - Alteração EF</v>
      </c>
      <c r="I181" s="172">
        <f>VLOOKUP(E181&amp;F181,'[1]MV+BI'!$E$8:$K$375,7,FALSE)</f>
        <v>45520</v>
      </c>
      <c r="J181" s="62"/>
      <c r="K181" s="79" t="s">
        <v>420</v>
      </c>
      <c r="L181" s="62"/>
      <c r="M181" s="62"/>
      <c r="N181" s="172"/>
      <c r="O181" s="79"/>
      <c r="P181" s="79"/>
      <c r="Q181" s="62"/>
      <c r="R181" s="87"/>
      <c r="S181" s="87"/>
      <c r="T181" s="87"/>
      <c r="U181" s="87"/>
      <c r="V181" s="87"/>
      <c r="W181" s="91"/>
      <c r="X181" s="62"/>
      <c r="Y181" s="62"/>
      <c r="Z181" s="62"/>
      <c r="AA181"/>
      <c r="AB181"/>
      <c r="AC181"/>
      <c r="AD181" s="32"/>
    </row>
    <row r="182" spans="3:30" s="2" customFormat="1" ht="15" customHeight="1">
      <c r="C182" s="136"/>
      <c r="D182" s="137"/>
      <c r="E182" s="178" t="s">
        <v>311</v>
      </c>
      <c r="F182" s="180" t="s">
        <v>353</v>
      </c>
      <c r="G182" s="169"/>
      <c r="H182" s="299" t="str">
        <f>VLOOKUP(E182&amp;F182,'[1]MV+BI'!$E$8:$K$375,3,FALSE)</f>
        <v>Em Teste - Alteração EF</v>
      </c>
      <c r="I182" s="172">
        <f>VLOOKUP(E182&amp;F182,'[1]MV+BI'!$E$8:$K$375,7,FALSE)</f>
        <v>45520</v>
      </c>
      <c r="J182" s="62"/>
      <c r="K182" s="79" t="s">
        <v>420</v>
      </c>
      <c r="L182" s="62"/>
      <c r="M182" s="62"/>
      <c r="N182" s="172"/>
      <c r="O182" s="79"/>
      <c r="P182" s="79"/>
      <c r="Q182" s="62"/>
      <c r="R182" s="87"/>
      <c r="S182" s="87"/>
      <c r="T182" s="87"/>
      <c r="U182" s="87"/>
      <c r="V182" s="87"/>
      <c r="W182" s="91"/>
      <c r="X182" s="62"/>
      <c r="Y182" s="62"/>
      <c r="Z182" s="62"/>
      <c r="AA182"/>
      <c r="AB182"/>
      <c r="AC182"/>
      <c r="AD182" s="32"/>
    </row>
    <row r="183" spans="3:30" s="2" customFormat="1" ht="15" customHeight="1">
      <c r="C183" s="136"/>
      <c r="D183" s="137"/>
      <c r="E183" s="178" t="s">
        <v>311</v>
      </c>
      <c r="F183" s="180" t="s">
        <v>354</v>
      </c>
      <c r="G183" s="169"/>
      <c r="H183" s="299" t="str">
        <f>VLOOKUP(E183&amp;F183,'[1]MV+BI'!$E$8:$K$375,3,FALSE)</f>
        <v>Em Teste - Alteração EF</v>
      </c>
      <c r="I183" s="172">
        <f>VLOOKUP(E183&amp;F183,'[1]MV+BI'!$E$8:$K$375,7,FALSE)</f>
        <v>45520</v>
      </c>
      <c r="J183" s="62"/>
      <c r="K183" s="79" t="s">
        <v>420</v>
      </c>
      <c r="L183" s="62"/>
      <c r="M183" s="62"/>
      <c r="N183" s="172"/>
      <c r="O183" s="79"/>
      <c r="P183" s="79"/>
      <c r="Q183" s="62"/>
      <c r="R183" s="87"/>
      <c r="S183" s="87"/>
      <c r="T183" s="87"/>
      <c r="U183" s="87"/>
      <c r="V183" s="87"/>
      <c r="W183" s="91"/>
      <c r="X183" s="62"/>
      <c r="Y183" s="62"/>
      <c r="Z183" s="62"/>
      <c r="AA183"/>
      <c r="AB183"/>
      <c r="AC183"/>
      <c r="AD183" s="32"/>
    </row>
    <row r="184" spans="3:30" s="2" customFormat="1" ht="15" customHeight="1">
      <c r="C184" s="136"/>
      <c r="D184" s="137"/>
      <c r="E184" s="178" t="s">
        <v>311</v>
      </c>
      <c r="F184" s="180" t="s">
        <v>355</v>
      </c>
      <c r="G184" s="169"/>
      <c r="H184" s="299" t="str">
        <f>VLOOKUP(E184&amp;F184,'[1]MV+BI'!$E$8:$K$375,3,FALSE)</f>
        <v>Em Teste - Alteração EF</v>
      </c>
      <c r="I184" s="172">
        <f>VLOOKUP(E184&amp;F184,'[1]MV+BI'!$E$8:$K$375,7,FALSE)</f>
        <v>45520</v>
      </c>
      <c r="J184" s="62"/>
      <c r="K184" s="79" t="s">
        <v>420</v>
      </c>
      <c r="L184" s="62"/>
      <c r="M184" s="62"/>
      <c r="N184" s="172"/>
      <c r="O184" s="79"/>
      <c r="P184" s="79"/>
      <c r="Q184" s="62"/>
      <c r="R184" s="87"/>
      <c r="S184" s="87"/>
      <c r="T184" s="87"/>
      <c r="U184" s="87"/>
      <c r="V184" s="87"/>
      <c r="W184" s="91"/>
      <c r="X184" s="62"/>
      <c r="Y184" s="62"/>
      <c r="Z184" s="62"/>
      <c r="AA184"/>
      <c r="AB184"/>
      <c r="AC184"/>
      <c r="AD184" s="32"/>
    </row>
    <row r="185" spans="3:30" s="2" customFormat="1" ht="15" customHeight="1">
      <c r="C185" s="136"/>
      <c r="D185" s="137"/>
      <c r="E185" s="178" t="s">
        <v>311</v>
      </c>
      <c r="F185" s="180" t="s">
        <v>356</v>
      </c>
      <c r="G185" s="169"/>
      <c r="H185" s="299" t="str">
        <f>VLOOKUP(E185&amp;F185,'[1]MV+BI'!$E$8:$K$375,3,FALSE)</f>
        <v>Em Teste - Alteração EF</v>
      </c>
      <c r="I185" s="172">
        <f>VLOOKUP(E185&amp;F185,'[1]MV+BI'!$E$8:$K$375,7,FALSE)</f>
        <v>45520</v>
      </c>
      <c r="J185" s="62"/>
      <c r="K185" s="79" t="s">
        <v>420</v>
      </c>
      <c r="L185" s="62"/>
      <c r="M185" s="62"/>
      <c r="N185" s="172"/>
      <c r="O185" s="79"/>
      <c r="P185" s="79"/>
      <c r="Q185" s="62"/>
      <c r="R185" s="87"/>
      <c r="S185" s="87"/>
      <c r="T185" s="87"/>
      <c r="U185" s="87"/>
      <c r="V185" s="87"/>
      <c r="W185" s="91"/>
      <c r="X185" s="62"/>
      <c r="Y185" s="62"/>
      <c r="Z185" s="62"/>
      <c r="AA185"/>
      <c r="AB185"/>
      <c r="AC185"/>
      <c r="AD185" s="32"/>
    </row>
    <row r="186" spans="3:30" s="2" customFormat="1" ht="15" customHeight="1">
      <c r="C186" s="136"/>
      <c r="D186" s="137"/>
      <c r="E186" s="178" t="s">
        <v>311</v>
      </c>
      <c r="F186" s="180" t="s">
        <v>357</v>
      </c>
      <c r="G186" s="169"/>
      <c r="H186" s="299" t="str">
        <f>VLOOKUP(E186&amp;F186,'[1]MV+BI'!$E$8:$K$375,3,FALSE)</f>
        <v>Em Teste - Alteração EF</v>
      </c>
      <c r="I186" s="172">
        <f>VLOOKUP(E186&amp;F186,'[1]MV+BI'!$E$8:$K$375,7,FALSE)</f>
        <v>45520</v>
      </c>
      <c r="J186" s="62"/>
      <c r="K186" s="79" t="s">
        <v>420</v>
      </c>
      <c r="L186" s="62"/>
      <c r="M186" s="62"/>
      <c r="N186" s="172"/>
      <c r="O186" s="79"/>
      <c r="P186" s="79"/>
      <c r="Q186" s="62"/>
      <c r="R186" s="87"/>
      <c r="S186" s="87"/>
      <c r="T186" s="87"/>
      <c r="U186" s="87"/>
      <c r="V186" s="87"/>
      <c r="W186" s="91"/>
      <c r="X186" s="62"/>
      <c r="Y186" s="62"/>
      <c r="Z186" s="62"/>
      <c r="AA186"/>
      <c r="AB186"/>
      <c r="AC186"/>
      <c r="AD186" s="32"/>
    </row>
    <row r="187" spans="3:30" s="2" customFormat="1" ht="15" customHeight="1">
      <c r="C187" s="136"/>
      <c r="D187" s="137"/>
      <c r="E187" s="178" t="s">
        <v>311</v>
      </c>
      <c r="F187" s="180" t="s">
        <v>358</v>
      </c>
      <c r="G187" s="169"/>
      <c r="H187" s="299" t="str">
        <f>VLOOKUP(E187&amp;F187,'[1]MV+BI'!$E$8:$K$375,3,FALSE)</f>
        <v>Em Teste - Alteração EF</v>
      </c>
      <c r="I187" s="172">
        <f>VLOOKUP(E187&amp;F187,'[1]MV+BI'!$E$8:$K$375,7,FALSE)</f>
        <v>45520</v>
      </c>
      <c r="J187" s="62"/>
      <c r="K187" s="79" t="s">
        <v>420</v>
      </c>
      <c r="L187" s="62"/>
      <c r="M187" s="62"/>
      <c r="N187" s="172"/>
      <c r="O187" s="79"/>
      <c r="P187" s="79"/>
      <c r="Q187" s="62"/>
      <c r="R187" s="87"/>
      <c r="S187" s="87"/>
      <c r="T187" s="87"/>
      <c r="U187" s="87"/>
      <c r="V187" s="87"/>
      <c r="W187" s="91"/>
      <c r="X187" s="62"/>
      <c r="Y187" s="62"/>
      <c r="Z187" s="62"/>
      <c r="AA187"/>
      <c r="AB187"/>
      <c r="AC187"/>
      <c r="AD187" s="32"/>
    </row>
    <row r="188" spans="3:30" s="2" customFormat="1" ht="15" customHeight="1">
      <c r="C188" s="136"/>
      <c r="D188" s="137"/>
      <c r="E188" s="178" t="s">
        <v>311</v>
      </c>
      <c r="F188" s="180" t="s">
        <v>359</v>
      </c>
      <c r="G188" s="169"/>
      <c r="H188" s="299" t="str">
        <f>VLOOKUP(E188&amp;F188,'[1]MV+BI'!$E$8:$K$375,3,FALSE)</f>
        <v>Em Teste - Alteração EF</v>
      </c>
      <c r="I188" s="172">
        <f>VLOOKUP(E188&amp;F188,'[1]MV+BI'!$E$8:$K$375,7,FALSE)</f>
        <v>45520</v>
      </c>
      <c r="J188" s="62"/>
      <c r="K188" s="79" t="s">
        <v>420</v>
      </c>
      <c r="L188" s="62"/>
      <c r="M188" s="62"/>
      <c r="N188" s="172"/>
      <c r="O188" s="79"/>
      <c r="P188" s="79"/>
      <c r="Q188" s="62"/>
      <c r="R188" s="87"/>
      <c r="S188" s="87"/>
      <c r="T188" s="87"/>
      <c r="U188" s="87"/>
      <c r="V188" s="87"/>
      <c r="W188" s="91"/>
      <c r="X188" s="62"/>
      <c r="Y188" s="62"/>
      <c r="Z188" s="62"/>
      <c r="AA188"/>
      <c r="AB188"/>
      <c r="AC188"/>
      <c r="AD188" s="32"/>
    </row>
    <row r="189" spans="3:30" s="2" customFormat="1" ht="15" customHeight="1">
      <c r="C189" s="136"/>
      <c r="D189" s="137"/>
      <c r="E189" s="178" t="s">
        <v>311</v>
      </c>
      <c r="F189" s="180" t="s">
        <v>360</v>
      </c>
      <c r="G189" s="169"/>
      <c r="H189" s="299" t="str">
        <f>VLOOKUP(E189&amp;F189,'[1]MV+BI'!$E$8:$K$375,3,FALSE)</f>
        <v>Em Teste - Alteração EF</v>
      </c>
      <c r="I189" s="172">
        <f>VLOOKUP(E189&amp;F189,'[1]MV+BI'!$E$8:$K$375,7,FALSE)</f>
        <v>45520</v>
      </c>
      <c r="J189" s="62"/>
      <c r="K189" s="79" t="s">
        <v>420</v>
      </c>
      <c r="L189" s="62"/>
      <c r="M189" s="62"/>
      <c r="N189" s="172"/>
      <c r="O189" s="79"/>
      <c r="P189" s="79"/>
      <c r="Q189" s="62"/>
      <c r="R189" s="87"/>
      <c r="S189" s="87"/>
      <c r="T189" s="87"/>
      <c r="U189" s="87"/>
      <c r="V189" s="87"/>
      <c r="W189" s="91"/>
      <c r="X189" s="62"/>
      <c r="Y189" s="62"/>
      <c r="Z189" s="62"/>
      <c r="AA189"/>
      <c r="AB189"/>
      <c r="AC189"/>
      <c r="AD189" s="32"/>
    </row>
    <row r="190" spans="3:30" s="2" customFormat="1" ht="15" customHeight="1">
      <c r="C190" s="136"/>
      <c r="D190" s="137"/>
      <c r="E190" s="178" t="s">
        <v>311</v>
      </c>
      <c r="F190" s="180" t="s">
        <v>361</v>
      </c>
      <c r="G190" s="169"/>
      <c r="H190" s="299" t="str">
        <f>VLOOKUP(E190&amp;F190,'[1]MV+BI'!$E$8:$K$375,3,FALSE)</f>
        <v>Em Teste - Alteração EF</v>
      </c>
      <c r="I190" s="172">
        <f>VLOOKUP(E190&amp;F190,'[1]MV+BI'!$E$8:$K$375,7,FALSE)</f>
        <v>45520</v>
      </c>
      <c r="J190" s="62"/>
      <c r="K190" s="79" t="s">
        <v>420</v>
      </c>
      <c r="L190" s="62"/>
      <c r="M190" s="62"/>
      <c r="N190" s="172"/>
      <c r="O190" s="79"/>
      <c r="P190" s="79"/>
      <c r="Q190" s="62"/>
      <c r="R190" s="87"/>
      <c r="S190" s="87"/>
      <c r="T190" s="87"/>
      <c r="U190" s="87"/>
      <c r="V190" s="87"/>
      <c r="W190" s="91"/>
      <c r="X190" s="62"/>
      <c r="Y190" s="62"/>
      <c r="Z190" s="62"/>
      <c r="AA190"/>
      <c r="AB190"/>
      <c r="AC190"/>
      <c r="AD190" s="32"/>
    </row>
    <row r="191" spans="3:30" s="2" customFormat="1" ht="15" customHeight="1">
      <c r="C191" s="136"/>
      <c r="D191" s="137"/>
      <c r="E191" s="178" t="s">
        <v>311</v>
      </c>
      <c r="F191" s="180" t="s">
        <v>362</v>
      </c>
      <c r="G191" s="169"/>
      <c r="H191" s="299" t="str">
        <f>VLOOKUP(E191&amp;F191,'[1]MV+BI'!$E$8:$K$375,3,FALSE)</f>
        <v>Em Teste - Alteração EF</v>
      </c>
      <c r="I191" s="172">
        <f>VLOOKUP(E191&amp;F191,'[1]MV+BI'!$E$8:$K$375,7,FALSE)</f>
        <v>45520</v>
      </c>
      <c r="J191" s="62"/>
      <c r="K191" s="79" t="s">
        <v>420</v>
      </c>
      <c r="L191" s="62"/>
      <c r="M191" s="62"/>
      <c r="N191" s="172"/>
      <c r="O191" s="79"/>
      <c r="P191" s="79"/>
      <c r="Q191" s="62"/>
      <c r="R191" s="87"/>
      <c r="S191" s="87"/>
      <c r="T191" s="87"/>
      <c r="U191" s="87"/>
      <c r="V191" s="87"/>
      <c r="W191" s="91"/>
      <c r="X191" s="62"/>
      <c r="Y191" s="62"/>
      <c r="Z191" s="62"/>
      <c r="AA191"/>
      <c r="AB191"/>
      <c r="AC191"/>
      <c r="AD191" s="32"/>
    </row>
    <row r="192" spans="3:30" s="2" customFormat="1" ht="15" customHeight="1">
      <c r="C192" s="136"/>
      <c r="D192" s="137"/>
      <c r="E192" s="178" t="s">
        <v>311</v>
      </c>
      <c r="F192" s="180" t="s">
        <v>363</v>
      </c>
      <c r="G192" s="169"/>
      <c r="H192" s="299" t="str">
        <f>VLOOKUP(E192&amp;F192,'[1]MV+BI'!$E$8:$K$375,3,FALSE)</f>
        <v>Em Teste - Alteração EF</v>
      </c>
      <c r="I192" s="172">
        <f>VLOOKUP(E192&amp;F192,'[1]MV+BI'!$E$8:$K$375,7,FALSE)</f>
        <v>45520</v>
      </c>
      <c r="J192" s="62"/>
      <c r="K192" s="79" t="s">
        <v>420</v>
      </c>
      <c r="L192" s="62"/>
      <c r="M192" s="62"/>
      <c r="N192" s="172"/>
      <c r="O192" s="79"/>
      <c r="P192" s="79"/>
      <c r="Q192" s="62"/>
      <c r="R192" s="87"/>
      <c r="S192" s="87"/>
      <c r="T192" s="87"/>
      <c r="U192" s="87"/>
      <c r="V192" s="87"/>
      <c r="W192" s="91"/>
      <c r="X192" s="62"/>
      <c r="Y192" s="62"/>
      <c r="Z192" s="62"/>
      <c r="AA192"/>
      <c r="AB192"/>
      <c r="AC192"/>
      <c r="AD192" s="32"/>
    </row>
    <row r="193" spans="3:30" s="2" customFormat="1" ht="15" customHeight="1">
      <c r="C193" s="136"/>
      <c r="D193" s="137"/>
      <c r="E193" s="178" t="s">
        <v>311</v>
      </c>
      <c r="F193" s="180" t="s">
        <v>364</v>
      </c>
      <c r="G193" s="169"/>
      <c r="H193" s="299" t="str">
        <f>VLOOKUP(E193&amp;F193,'[1]MV+BI'!$E$8:$K$375,3,FALSE)</f>
        <v>Em Teste - Alteração EF</v>
      </c>
      <c r="I193" s="172">
        <f>VLOOKUP(E193&amp;F193,'[1]MV+BI'!$E$8:$K$375,7,FALSE)</f>
        <v>45520</v>
      </c>
      <c r="J193" s="62"/>
      <c r="K193" s="79" t="s">
        <v>420</v>
      </c>
      <c r="L193" s="62"/>
      <c r="M193" s="62"/>
      <c r="N193" s="172"/>
      <c r="O193" s="79"/>
      <c r="P193" s="79"/>
      <c r="Q193" s="62"/>
      <c r="R193" s="87"/>
      <c r="S193" s="87"/>
      <c r="T193" s="87"/>
      <c r="U193" s="87"/>
      <c r="V193" s="87"/>
      <c r="W193" s="91"/>
      <c r="X193" s="62"/>
      <c r="Y193" s="62"/>
      <c r="Z193" s="62"/>
      <c r="AA193"/>
      <c r="AB193"/>
      <c r="AC193"/>
      <c r="AD193" s="32"/>
    </row>
    <row r="194" spans="3:30" s="2" customFormat="1" ht="15" customHeight="1">
      <c r="C194" s="136"/>
      <c r="D194" s="137"/>
      <c r="E194" s="178" t="s">
        <v>311</v>
      </c>
      <c r="F194" s="180" t="s">
        <v>365</v>
      </c>
      <c r="G194" s="169"/>
      <c r="H194" s="299" t="str">
        <f>VLOOKUP(E194&amp;F194,'[1]MV+BI'!$E$8:$K$375,3,FALSE)</f>
        <v>Em Teste - Alteração EF</v>
      </c>
      <c r="I194" s="172">
        <f>VLOOKUP(E194&amp;F194,'[1]MV+BI'!$E$8:$K$375,7,FALSE)</f>
        <v>45520</v>
      </c>
      <c r="J194" s="62"/>
      <c r="K194" s="79" t="s">
        <v>420</v>
      </c>
      <c r="L194" s="62"/>
      <c r="M194" s="62"/>
      <c r="N194" s="172"/>
      <c r="O194" s="79"/>
      <c r="P194" s="79"/>
      <c r="Q194" s="62"/>
      <c r="R194" s="87"/>
      <c r="S194" s="87"/>
      <c r="T194" s="87"/>
      <c r="U194" s="87"/>
      <c r="V194" s="87"/>
      <c r="W194" s="91"/>
      <c r="X194" s="62"/>
      <c r="Y194" s="62"/>
      <c r="Z194" s="62"/>
      <c r="AA194"/>
      <c r="AB194"/>
      <c r="AC194"/>
      <c r="AD194" s="32"/>
    </row>
    <row r="195" spans="3:30" s="2" customFormat="1" ht="15" customHeight="1">
      <c r="C195" s="136"/>
      <c r="D195" s="137"/>
      <c r="E195" s="178" t="s">
        <v>311</v>
      </c>
      <c r="F195" s="180" t="s">
        <v>366</v>
      </c>
      <c r="G195" s="169"/>
      <c r="H195" s="299" t="str">
        <f>VLOOKUP(E195&amp;F195,'[1]MV+BI'!$E$8:$K$375,3,FALSE)</f>
        <v>Em Teste - Alteração EF</v>
      </c>
      <c r="I195" s="172">
        <f>VLOOKUP(E195&amp;F195,'[1]MV+BI'!$E$8:$K$375,7,FALSE)</f>
        <v>45520</v>
      </c>
      <c r="J195" s="62"/>
      <c r="K195" s="79" t="s">
        <v>420</v>
      </c>
      <c r="L195" s="62"/>
      <c r="M195" s="62"/>
      <c r="N195" s="172"/>
      <c r="O195" s="79"/>
      <c r="P195" s="79"/>
      <c r="Q195" s="62"/>
      <c r="R195" s="87"/>
      <c r="S195" s="87"/>
      <c r="T195" s="87"/>
      <c r="U195" s="87"/>
      <c r="V195" s="87"/>
      <c r="W195" s="91"/>
      <c r="X195" s="62"/>
      <c r="Y195" s="62"/>
      <c r="Z195" s="62"/>
      <c r="AA195"/>
      <c r="AB195"/>
      <c r="AC195"/>
      <c r="AD195" s="32"/>
    </row>
    <row r="196" spans="3:30" s="2" customFormat="1" ht="15" customHeight="1">
      <c r="C196" s="136"/>
      <c r="D196" s="137"/>
      <c r="E196" s="178" t="s">
        <v>311</v>
      </c>
      <c r="F196" s="180" t="s">
        <v>6</v>
      </c>
      <c r="G196" s="169"/>
      <c r="H196" s="299" t="str">
        <f>VLOOKUP(E196&amp;F196,'[1]MV+BI'!$E$8:$K$375,3,FALSE)</f>
        <v>Em Teste - Alteração EF</v>
      </c>
      <c r="I196" s="172">
        <f>VLOOKUP(E196&amp;F196,'[1]MV+BI'!$E$8:$K$375,7,FALSE)</f>
        <v>45520</v>
      </c>
      <c r="J196" s="62"/>
      <c r="K196" s="79" t="s">
        <v>420</v>
      </c>
      <c r="L196" s="62"/>
      <c r="M196" s="62"/>
      <c r="N196" s="172"/>
      <c r="O196" s="79"/>
      <c r="P196" s="79"/>
      <c r="Q196" s="62"/>
      <c r="R196" s="87"/>
      <c r="S196" s="87"/>
      <c r="T196" s="87"/>
      <c r="U196" s="87"/>
      <c r="V196" s="87"/>
      <c r="W196" s="91"/>
      <c r="X196" s="62"/>
      <c r="Y196" s="62"/>
      <c r="Z196" s="62"/>
      <c r="AA196"/>
      <c r="AB196"/>
      <c r="AC196"/>
      <c r="AD196" s="32"/>
    </row>
    <row r="197" spans="3:30" s="2" customFormat="1" ht="15" customHeight="1">
      <c r="C197" s="136"/>
      <c r="D197" s="137"/>
      <c r="E197" s="178" t="s">
        <v>311</v>
      </c>
      <c r="F197" s="180" t="s">
        <v>249</v>
      </c>
      <c r="G197" s="169"/>
      <c r="H197" s="299" t="str">
        <f>VLOOKUP(E197&amp;F197,'[1]MV+BI'!$E$8:$K$375,3,FALSE)</f>
        <v>Em Teste - Alteração EF</v>
      </c>
      <c r="I197" s="172">
        <f>VLOOKUP(E197&amp;F197,'[1]MV+BI'!$E$8:$K$375,7,FALSE)</f>
        <v>45520</v>
      </c>
      <c r="J197" s="62"/>
      <c r="K197" s="79" t="s">
        <v>420</v>
      </c>
      <c r="L197" s="62"/>
      <c r="M197" s="62"/>
      <c r="N197" s="172"/>
      <c r="O197" s="79"/>
      <c r="P197" s="79"/>
      <c r="Q197" s="62"/>
      <c r="R197" s="87"/>
      <c r="S197" s="87"/>
      <c r="T197" s="87"/>
      <c r="U197" s="87"/>
      <c r="V197" s="87"/>
      <c r="W197" s="91"/>
      <c r="X197" s="62"/>
      <c r="Y197" s="62"/>
      <c r="Z197" s="62"/>
      <c r="AA197"/>
      <c r="AB197"/>
      <c r="AC197"/>
      <c r="AD197" s="32"/>
    </row>
    <row r="198" spans="3:30" s="2" customFormat="1" ht="15" customHeight="1">
      <c r="C198" s="146"/>
      <c r="D198" s="104"/>
      <c r="E198" s="147"/>
      <c r="F198" s="147"/>
      <c r="G198" s="147"/>
      <c r="H198" s="147"/>
      <c r="I198" s="147"/>
      <c r="J198" s="149"/>
      <c r="K198" s="148"/>
      <c r="L198" s="150"/>
      <c r="M198" s="151"/>
      <c r="N198" s="152"/>
      <c r="O198" s="152"/>
      <c r="P198" s="152"/>
      <c r="Q198" s="104"/>
      <c r="R198" s="1"/>
      <c r="S198" s="1"/>
      <c r="T198" s="1"/>
      <c r="U198" s="1"/>
      <c r="V198" s="104"/>
      <c r="W198" s="104"/>
      <c r="X198" s="104"/>
      <c r="Y198" s="104"/>
      <c r="Z198" s="104"/>
      <c r="AA198" s="104"/>
      <c r="AB198" s="104"/>
      <c r="AC198" s="104"/>
      <c r="AD198" s="106"/>
    </row>
    <row r="199" spans="3:30" s="2" customFormat="1" ht="15" customHeight="1">
      <c r="E199" s="153"/>
      <c r="F199" s="154"/>
      <c r="G199" s="154"/>
      <c r="H199" s="153"/>
      <c r="I199" s="153"/>
      <c r="J199" s="153"/>
      <c r="K199" s="153"/>
      <c r="L199" s="107"/>
      <c r="M199" s="107"/>
      <c r="Q199" s="12"/>
      <c r="R199" s="12"/>
      <c r="S199" s="12"/>
      <c r="T199" s="12"/>
      <c r="U199" s="12"/>
      <c r="V199" s="12"/>
      <c r="W199" s="12"/>
    </row>
    <row r="200" spans="3:30" s="2" customFormat="1" ht="15" customHeight="1">
      <c r="K200" s="12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3:30" s="2" customFormat="1" ht="22.8" customHeight="1">
      <c r="C201" s="155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"/>
      <c r="R201" s="1"/>
      <c r="S201" s="1"/>
      <c r="T201" s="1"/>
      <c r="U201" s="1"/>
      <c r="V201" s="1"/>
      <c r="W201" s="1"/>
      <c r="X201"/>
      <c r="Y201"/>
      <c r="Z201"/>
      <c r="AA201"/>
      <c r="AB201"/>
      <c r="AC201"/>
      <c r="AD201" s="28"/>
    </row>
    <row r="202" spans="3:30" s="2" customFormat="1" ht="15" customHeight="1">
      <c r="C202" s="157"/>
      <c r="D202" s="1"/>
      <c r="E202" s="119" t="s">
        <v>415</v>
      </c>
      <c r="F202" s="119" t="s">
        <v>36</v>
      </c>
      <c r="G202" s="119"/>
      <c r="H202" s="119" t="s">
        <v>37</v>
      </c>
      <c r="I202" s="119" t="s">
        <v>108</v>
      </c>
      <c r="J202" s="119"/>
      <c r="K202" s="119" t="s">
        <v>109</v>
      </c>
      <c r="L202" s="62"/>
      <c r="M202" s="119" t="s">
        <v>79</v>
      </c>
      <c r="N202" s="119"/>
      <c r="O202" s="119" t="s">
        <v>80</v>
      </c>
      <c r="P202"/>
      <c r="Q202" s="62"/>
      <c r="R202" s="1"/>
      <c r="S202" s="1"/>
      <c r="T202" s="1"/>
      <c r="U202" s="1"/>
      <c r="V202" s="1"/>
      <c r="W202" s="1"/>
      <c r="X202"/>
      <c r="Y202"/>
      <c r="Z202"/>
      <c r="AA202"/>
      <c r="AB202"/>
      <c r="AC202"/>
      <c r="AD202" s="32"/>
    </row>
    <row r="203" spans="3:30" s="2" customFormat="1" ht="15" customHeight="1">
      <c r="C203" s="157"/>
      <c r="D203" s="1"/>
      <c r="E203" s="1"/>
      <c r="F203" s="1"/>
      <c r="G203" s="1"/>
      <c r="H203" s="158"/>
      <c r="I203" s="159"/>
      <c r="J203"/>
      <c r="K203"/>
      <c r="L203" s="62"/>
      <c r="M203"/>
      <c r="N203"/>
      <c r="O203" s="1"/>
      <c r="P203"/>
      <c r="Q203" s="62"/>
      <c r="R203" s="1"/>
      <c r="S203" s="1"/>
      <c r="T203" s="1"/>
      <c r="U203" s="1"/>
      <c r="V203" s="1"/>
      <c r="W203" s="1"/>
      <c r="X203"/>
      <c r="Y203"/>
      <c r="Z203"/>
      <c r="AA203"/>
      <c r="AB203"/>
      <c r="AC203"/>
      <c r="AD203" s="32"/>
    </row>
    <row r="204" spans="3:30" s="2" customFormat="1" ht="15" customHeight="1">
      <c r="C204" s="157"/>
      <c r="D204" s="1"/>
      <c r="E204" s="79" t="s">
        <v>243</v>
      </c>
      <c r="F204" s="79" t="s">
        <v>244</v>
      </c>
      <c r="G204" s="175"/>
      <c r="H204" s="176" t="str">
        <f>VLOOKUP(E204&amp;F204,'[1]MV+BI'!$E$8:$K$375,3,FALSE)</f>
        <v>Em Implementação</v>
      </c>
      <c r="I204" s="170" t="str">
        <f>VLOOKUP(E204&amp;F204,'[1]MV+BI'!$E$8:$K$375,6,FALSE)</f>
        <v>IT</v>
      </c>
      <c r="J204" s="62"/>
      <c r="K204" s="172">
        <f>VLOOKUP(E204&amp;F204,'[1]MV+BI'!$E$8:$K$375,5,FALSE)</f>
        <v>45432</v>
      </c>
      <c r="L204" s="62"/>
      <c r="M204" s="172">
        <f>VLOOKUP(E204&amp;F204,'[1]MV+BI'!$E$8:$K$375,7,FALSE)</f>
        <v>45436</v>
      </c>
      <c r="N204" s="172"/>
      <c r="O204" s="300" t="s">
        <v>187</v>
      </c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62"/>
      <c r="AB204"/>
      <c r="AC204"/>
      <c r="AD204" s="32"/>
    </row>
    <row r="205" spans="3:30" s="2" customFormat="1" ht="15" customHeight="1">
      <c r="C205" s="157"/>
      <c r="D205" s="1"/>
      <c r="E205" s="79" t="s">
        <v>243</v>
      </c>
      <c r="F205" s="79" t="s">
        <v>69</v>
      </c>
      <c r="G205" s="175"/>
      <c r="H205" s="176" t="str">
        <f>VLOOKUP(E205&amp;F205,'[1]MV+BI'!$E$8:$K$375,3,FALSE)</f>
        <v>Em Implementação</v>
      </c>
      <c r="I205" s="170" t="str">
        <f>VLOOKUP(E205&amp;F205,'[1]MV+BI'!$E$8:$K$375,6,FALSE)</f>
        <v>IT</v>
      </c>
      <c r="J205" s="62"/>
      <c r="K205" s="172">
        <f>VLOOKUP(E205&amp;F205,'[1]MV+BI'!$E$8:$K$375,5,FALSE)</f>
        <v>45432</v>
      </c>
      <c r="L205" s="62"/>
      <c r="M205" s="172">
        <f>VLOOKUP(E205&amp;F205,'[1]MV+BI'!$E$8:$K$375,7,FALSE)</f>
        <v>45436</v>
      </c>
      <c r="N205" s="172"/>
      <c r="O205" s="300" t="s">
        <v>187</v>
      </c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300"/>
      <c r="AA205" s="62"/>
      <c r="AB205"/>
      <c r="AC205"/>
      <c r="AD205" s="32"/>
    </row>
    <row r="206" spans="3:30" s="2" customFormat="1" ht="15" customHeight="1">
      <c r="C206" s="157"/>
      <c r="D206" s="1"/>
      <c r="E206" s="79" t="s">
        <v>243</v>
      </c>
      <c r="F206" s="79" t="s">
        <v>70</v>
      </c>
      <c r="G206" s="175"/>
      <c r="H206" s="176" t="str">
        <f>VLOOKUP(E206&amp;F206,'[1]MV+BI'!$E$8:$K$375,3,FALSE)</f>
        <v>Em Implementação</v>
      </c>
      <c r="I206" s="170" t="str">
        <f>VLOOKUP(E206&amp;F206,'[1]MV+BI'!$E$8:$K$375,6,FALSE)</f>
        <v>IT</v>
      </c>
      <c r="J206" s="62"/>
      <c r="K206" s="172">
        <f>VLOOKUP(E206&amp;F206,'[1]MV+BI'!$E$8:$K$375,5,FALSE)</f>
        <v>45432</v>
      </c>
      <c r="L206" s="62"/>
      <c r="M206" s="172">
        <f>VLOOKUP(E206&amp;F206,'[1]MV+BI'!$E$8:$K$375,7,FALSE)</f>
        <v>45436</v>
      </c>
      <c r="N206" s="172"/>
      <c r="O206" s="300" t="s">
        <v>187</v>
      </c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300"/>
      <c r="AA206" s="62"/>
      <c r="AB206"/>
      <c r="AC206"/>
      <c r="AD206" s="32"/>
    </row>
    <row r="207" spans="3:30" s="2" customFormat="1" ht="15" customHeight="1">
      <c r="C207" s="157"/>
      <c r="D207" s="1"/>
      <c r="E207" s="79" t="s">
        <v>243</v>
      </c>
      <c r="F207" s="79" t="s">
        <v>71</v>
      </c>
      <c r="G207" s="175"/>
      <c r="H207" s="176" t="str">
        <f>VLOOKUP(E207&amp;F207,'[1]MV+BI'!$E$8:$K$375,3,FALSE)</f>
        <v>Em Implementação</v>
      </c>
      <c r="I207" s="170" t="str">
        <f>VLOOKUP(E207&amp;F207,'[1]MV+BI'!$E$8:$K$375,6,FALSE)</f>
        <v>IT</v>
      </c>
      <c r="J207" s="62"/>
      <c r="K207" s="172">
        <f>VLOOKUP(E207&amp;F207,'[1]MV+BI'!$E$8:$K$375,5,FALSE)</f>
        <v>45432</v>
      </c>
      <c r="L207" s="62"/>
      <c r="M207" s="172">
        <f>VLOOKUP(E207&amp;F207,'[1]MV+BI'!$E$8:$K$375,7,FALSE)</f>
        <v>45436</v>
      </c>
      <c r="N207" s="172"/>
      <c r="O207" s="300" t="s">
        <v>187</v>
      </c>
      <c r="P207" s="300"/>
      <c r="Q207" s="300"/>
      <c r="R207" s="300"/>
      <c r="S207" s="300"/>
      <c r="T207" s="300"/>
      <c r="U207" s="300"/>
      <c r="V207" s="300"/>
      <c r="W207" s="300"/>
      <c r="X207" s="300"/>
      <c r="Y207" s="300"/>
      <c r="Z207" s="300"/>
      <c r="AA207" s="62"/>
      <c r="AB207"/>
      <c r="AC207"/>
      <c r="AD207" s="32"/>
    </row>
    <row r="208" spans="3:30" s="2" customFormat="1" ht="15" customHeight="1">
      <c r="C208" s="157"/>
      <c r="D208" s="1"/>
      <c r="E208" s="79" t="s">
        <v>243</v>
      </c>
      <c r="F208" s="79" t="s">
        <v>72</v>
      </c>
      <c r="G208" s="175"/>
      <c r="H208" s="176" t="str">
        <f>VLOOKUP(E208&amp;F208,'[1]MV+BI'!$E$8:$K$375,3,FALSE)</f>
        <v>Em Implementação</v>
      </c>
      <c r="I208" s="170" t="str">
        <f>VLOOKUP(E208&amp;F208,'[1]MV+BI'!$E$8:$K$375,6,FALSE)</f>
        <v>IT</v>
      </c>
      <c r="J208" s="62"/>
      <c r="K208" s="172">
        <f>VLOOKUP(E208&amp;F208,'[1]MV+BI'!$E$8:$K$375,5,FALSE)</f>
        <v>45432</v>
      </c>
      <c r="L208" s="62"/>
      <c r="M208" s="172">
        <f>VLOOKUP(E208&amp;F208,'[1]MV+BI'!$E$8:$K$375,7,FALSE)</f>
        <v>45436</v>
      </c>
      <c r="N208" s="172"/>
      <c r="O208" s="300" t="s">
        <v>187</v>
      </c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2"/>
      <c r="AB208"/>
      <c r="AC208"/>
      <c r="AD208" s="32"/>
    </row>
    <row r="209" spans="3:30" s="2" customFormat="1" ht="15" customHeight="1">
      <c r="C209" s="157"/>
      <c r="D209" s="1"/>
      <c r="E209" s="79" t="s">
        <v>243</v>
      </c>
      <c r="F209" s="79" t="s">
        <v>245</v>
      </c>
      <c r="G209" s="175"/>
      <c r="H209" s="176" t="str">
        <f>VLOOKUP(E209&amp;F209,'[1]MV+BI'!$E$8:$K$375,3,FALSE)</f>
        <v>Em Implementação</v>
      </c>
      <c r="I209" s="170" t="str">
        <f>VLOOKUP(E209&amp;F209,'[1]MV+BI'!$E$8:$K$375,6,FALSE)</f>
        <v>IT</v>
      </c>
      <c r="J209" s="62"/>
      <c r="K209" s="172">
        <f>VLOOKUP(E209&amp;F209,'[1]MV+BI'!$E$8:$K$375,5,FALSE)</f>
        <v>45432</v>
      </c>
      <c r="L209" s="62"/>
      <c r="M209" s="172">
        <f>VLOOKUP(E209&amp;F209,'[1]MV+BI'!$E$8:$K$375,7,FALSE)</f>
        <v>45436</v>
      </c>
      <c r="N209" s="172"/>
      <c r="O209" s="300" t="s">
        <v>187</v>
      </c>
      <c r="P209" s="300"/>
      <c r="Q209" s="300"/>
      <c r="R209" s="300"/>
      <c r="S209" s="300"/>
      <c r="T209" s="300"/>
      <c r="U209" s="300"/>
      <c r="V209" s="300"/>
      <c r="W209" s="300"/>
      <c r="X209" s="300"/>
      <c r="Y209" s="300"/>
      <c r="Z209" s="300"/>
      <c r="AA209" s="62"/>
      <c r="AB209"/>
      <c r="AC209"/>
      <c r="AD209" s="32"/>
    </row>
    <row r="210" spans="3:30" s="2" customFormat="1" ht="15" customHeight="1">
      <c r="C210" s="157"/>
      <c r="D210" s="1"/>
      <c r="E210" s="79" t="s">
        <v>243</v>
      </c>
      <c r="F210" s="79" t="s">
        <v>246</v>
      </c>
      <c r="G210" s="175"/>
      <c r="H210" s="176" t="str">
        <f>VLOOKUP(E210&amp;F210,'[1]MV+BI'!$E$8:$K$375,3,FALSE)</f>
        <v>Em Implementação</v>
      </c>
      <c r="I210" s="170" t="str">
        <f>VLOOKUP(E210&amp;F210,'[1]MV+BI'!$E$8:$K$375,6,FALSE)</f>
        <v>IT</v>
      </c>
      <c r="J210" s="62"/>
      <c r="K210" s="172">
        <f>VLOOKUP(E210&amp;F210,'[1]MV+BI'!$E$8:$K$375,5,FALSE)</f>
        <v>45432</v>
      </c>
      <c r="L210" s="62"/>
      <c r="M210" s="172">
        <f>VLOOKUP(E210&amp;F210,'[1]MV+BI'!$E$8:$K$375,7,FALSE)</f>
        <v>45436</v>
      </c>
      <c r="N210" s="172"/>
      <c r="O210" s="300" t="s">
        <v>187</v>
      </c>
      <c r="P210" s="300"/>
      <c r="Q210" s="300"/>
      <c r="R210" s="300"/>
      <c r="S210" s="300"/>
      <c r="T210" s="300"/>
      <c r="U210" s="300"/>
      <c r="V210" s="300"/>
      <c r="W210" s="300"/>
      <c r="X210" s="300"/>
      <c r="Y210" s="300"/>
      <c r="Z210" s="300"/>
      <c r="AA210" s="62"/>
      <c r="AB210"/>
      <c r="AC210"/>
      <c r="AD210" s="32"/>
    </row>
    <row r="211" spans="3:30" s="2" customFormat="1" ht="15" customHeight="1">
      <c r="C211" s="157"/>
      <c r="D211" s="1"/>
      <c r="E211" s="79" t="s">
        <v>243</v>
      </c>
      <c r="F211" s="79" t="s">
        <v>105</v>
      </c>
      <c r="G211" s="175"/>
      <c r="H211" s="176" t="str">
        <f>VLOOKUP(E211&amp;F211,'[1]MV+BI'!$E$8:$K$375,3,FALSE)</f>
        <v>Em Implementação</v>
      </c>
      <c r="I211" s="170" t="str">
        <f>VLOOKUP(E211&amp;F211,'[1]MV+BI'!$E$8:$K$375,6,FALSE)</f>
        <v>IT</v>
      </c>
      <c r="J211" s="62"/>
      <c r="K211" s="172">
        <f>VLOOKUP(E211&amp;F211,'[1]MV+BI'!$E$8:$K$375,5,FALSE)</f>
        <v>45432</v>
      </c>
      <c r="L211" s="62"/>
      <c r="M211" s="172">
        <f>VLOOKUP(E211&amp;F211,'[1]MV+BI'!$E$8:$K$375,7,FALSE)</f>
        <v>45436</v>
      </c>
      <c r="N211" s="172"/>
      <c r="O211" s="300" t="s">
        <v>187</v>
      </c>
      <c r="P211" s="300"/>
      <c r="Q211" s="300"/>
      <c r="R211" s="300"/>
      <c r="S211" s="300"/>
      <c r="T211" s="300"/>
      <c r="U211" s="300"/>
      <c r="V211" s="300"/>
      <c r="W211" s="300"/>
      <c r="X211" s="300"/>
      <c r="Y211" s="300"/>
      <c r="Z211" s="300"/>
      <c r="AA211" s="62"/>
      <c r="AB211"/>
      <c r="AC211"/>
      <c r="AD211" s="32"/>
    </row>
    <row r="212" spans="3:30" s="2" customFormat="1" ht="15" customHeight="1">
      <c r="C212" s="157"/>
      <c r="D212" s="1"/>
      <c r="E212" s="79" t="s">
        <v>243</v>
      </c>
      <c r="F212" s="79" t="s">
        <v>247</v>
      </c>
      <c r="G212" s="175"/>
      <c r="H212" s="176" t="str">
        <f>VLOOKUP(E212&amp;F212,'[1]MV+BI'!$E$8:$K$375,3,FALSE)</f>
        <v>Em Implementação</v>
      </c>
      <c r="I212" s="170" t="str">
        <f>VLOOKUP(E212&amp;F212,'[1]MV+BI'!$E$8:$K$375,6,FALSE)</f>
        <v>IT</v>
      </c>
      <c r="J212" s="62"/>
      <c r="K212" s="172">
        <f>VLOOKUP(E212&amp;F212,'[1]MV+BI'!$E$8:$K$375,5,FALSE)</f>
        <v>45432</v>
      </c>
      <c r="L212" s="62"/>
      <c r="M212" s="172">
        <f>VLOOKUP(E212&amp;F212,'[1]MV+BI'!$E$8:$K$375,7,FALSE)</f>
        <v>45436</v>
      </c>
      <c r="N212" s="172"/>
      <c r="O212" s="300" t="s">
        <v>187</v>
      </c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  <c r="AA212" s="62"/>
      <c r="AB212"/>
      <c r="AC212"/>
      <c r="AD212" s="32"/>
    </row>
    <row r="213" spans="3:30" s="2" customFormat="1" ht="15" customHeight="1">
      <c r="C213" s="157"/>
      <c r="D213" s="1"/>
      <c r="E213" s="79" t="s">
        <v>243</v>
      </c>
      <c r="F213" s="79" t="s">
        <v>248</v>
      </c>
      <c r="G213" s="175"/>
      <c r="H213" s="176" t="str">
        <f>VLOOKUP(E213&amp;F213,'[1]MV+BI'!$E$8:$K$375,3,FALSE)</f>
        <v>Em Implementação</v>
      </c>
      <c r="I213" s="170" t="str">
        <f>VLOOKUP(E213&amp;F213,'[1]MV+BI'!$E$8:$K$375,6,FALSE)</f>
        <v>IT</v>
      </c>
      <c r="J213" s="62"/>
      <c r="K213" s="172">
        <f>VLOOKUP(E213&amp;F213,'[1]MV+BI'!$E$8:$K$375,5,FALSE)</f>
        <v>45432</v>
      </c>
      <c r="L213" s="62"/>
      <c r="M213" s="172">
        <f>VLOOKUP(E213&amp;F213,'[1]MV+BI'!$E$8:$K$375,7,FALSE)</f>
        <v>45436</v>
      </c>
      <c r="N213" s="172"/>
      <c r="O213" s="300" t="s">
        <v>187</v>
      </c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62"/>
      <c r="AB213"/>
      <c r="AC213"/>
      <c r="AD213" s="32"/>
    </row>
    <row r="214" spans="3:30" s="2" customFormat="1" ht="15" customHeight="1">
      <c r="C214" s="157"/>
      <c r="D214" s="1"/>
      <c r="E214" s="79" t="s">
        <v>243</v>
      </c>
      <c r="F214" s="79" t="s">
        <v>249</v>
      </c>
      <c r="G214" s="175"/>
      <c r="H214" s="176" t="str">
        <f>VLOOKUP(E214&amp;F214,'[1]MV+BI'!$E$8:$K$375,3,FALSE)</f>
        <v>Em Implementação</v>
      </c>
      <c r="I214" s="170" t="str">
        <f>VLOOKUP(E214&amp;F214,'[1]MV+BI'!$E$8:$K$375,6,FALSE)</f>
        <v>IT</v>
      </c>
      <c r="J214" s="62"/>
      <c r="K214" s="172">
        <f>VLOOKUP(E214&amp;F214,'[1]MV+BI'!$E$8:$K$375,5,FALSE)</f>
        <v>45432</v>
      </c>
      <c r="L214" s="62"/>
      <c r="M214" s="172">
        <f>VLOOKUP(E214&amp;F214,'[1]MV+BI'!$E$8:$K$375,7,FALSE)</f>
        <v>45436</v>
      </c>
      <c r="N214" s="172"/>
      <c r="O214" s="300" t="s">
        <v>187</v>
      </c>
      <c r="P214" s="300"/>
      <c r="Q214" s="300"/>
      <c r="R214" s="300"/>
      <c r="S214" s="300"/>
      <c r="T214" s="300"/>
      <c r="U214" s="300"/>
      <c r="V214" s="300"/>
      <c r="W214" s="300"/>
      <c r="X214" s="300"/>
      <c r="Y214" s="300"/>
      <c r="Z214" s="300"/>
      <c r="AA214" s="62"/>
      <c r="AB214"/>
      <c r="AC214"/>
      <c r="AD214" s="32"/>
    </row>
    <row r="215" spans="3:30" s="2" customFormat="1" ht="15" customHeight="1">
      <c r="C215" s="157"/>
      <c r="D215" s="1"/>
      <c r="E215" s="79" t="s">
        <v>243</v>
      </c>
      <c r="F215" s="79" t="s">
        <v>207</v>
      </c>
      <c r="G215" s="175"/>
      <c r="H215" s="176" t="str">
        <f>VLOOKUP(E215&amp;F215,'[1]MV+BI'!$E$8:$K$375,3,FALSE)</f>
        <v>Em Implementação</v>
      </c>
      <c r="I215" s="170" t="str">
        <f>VLOOKUP(E215&amp;F215,'[1]MV+BI'!$E$8:$K$375,6,FALSE)</f>
        <v>IT</v>
      </c>
      <c r="J215" s="62"/>
      <c r="K215" s="172">
        <f>VLOOKUP(E215&amp;F215,'[1]MV+BI'!$E$8:$K$375,5,FALSE)</f>
        <v>45432</v>
      </c>
      <c r="L215" s="62"/>
      <c r="M215" s="172">
        <f>VLOOKUP(E215&amp;F215,'[1]MV+BI'!$E$8:$K$375,7,FALSE)</f>
        <v>45436</v>
      </c>
      <c r="N215" s="172"/>
      <c r="O215" s="300" t="s">
        <v>187</v>
      </c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  <c r="AA215" s="62"/>
      <c r="AB215"/>
      <c r="AC215"/>
      <c r="AD215" s="32"/>
    </row>
    <row r="216" spans="3:30" s="2" customFormat="1" ht="15" customHeight="1">
      <c r="C216" s="157"/>
      <c r="D216" s="104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00"/>
      <c r="X216" s="100"/>
      <c r="Y216" s="100"/>
      <c r="Z216" s="100"/>
      <c r="AA216" s="100"/>
      <c r="AB216" s="104"/>
      <c r="AC216" s="104"/>
      <c r="AD216" s="106"/>
    </row>
    <row r="217" spans="3:30" s="2" customFormat="1" ht="17.399999999999999" hidden="1">
      <c r="E217" s="178" t="s">
        <v>311</v>
      </c>
      <c r="F217" s="180" t="s">
        <v>350</v>
      </c>
      <c r="G217" s="169"/>
      <c r="H217" s="181" t="str">
        <f>VLOOKUP(E217&amp;F217,'[1]MV+BI'!$E$8:$K$375,3,FALSE)</f>
        <v>Em Teste - Alteração EF</v>
      </c>
      <c r="I217" s="182" t="str">
        <f>VLOOKUP(E217&amp;F217,'[1]MV+BI'!$E$8:$K$375,4,FALSE)</f>
        <v>-</v>
      </c>
      <c r="J217" s="93"/>
      <c r="K217" s="172">
        <f>VLOOKUP(E217&amp;F217,'[1]MV+BI'!$E$8:$K$375,7,FALSE)</f>
        <v>45520</v>
      </c>
      <c r="Q217" s="12"/>
      <c r="R217" s="12"/>
      <c r="S217" s="12"/>
      <c r="T217" s="12"/>
      <c r="U217" s="12"/>
      <c r="V217" s="12"/>
      <c r="W217" s="1"/>
      <c r="X217"/>
      <c r="Y217"/>
      <c r="Z217"/>
      <c r="AA217"/>
      <c r="AB217"/>
      <c r="AC217"/>
      <c r="AD217" s="32"/>
    </row>
    <row r="218" spans="3:30" s="2" customFormat="1" ht="17.399999999999999" hidden="1">
      <c r="E218" s="178" t="s">
        <v>311</v>
      </c>
      <c r="F218" s="180" t="s">
        <v>351</v>
      </c>
      <c r="G218" s="169"/>
      <c r="H218" s="181" t="str">
        <f>VLOOKUP(E218&amp;F218,'[1]MV+BI'!$E$8:$K$375,3,FALSE)</f>
        <v>Em Teste - Alteração EF</v>
      </c>
      <c r="I218" s="182" t="str">
        <f>VLOOKUP(E218&amp;F218,'[1]MV+BI'!$E$8:$K$375,4,FALSE)</f>
        <v>-</v>
      </c>
      <c r="J218" s="93"/>
      <c r="K218" s="172">
        <f>VLOOKUP(E218&amp;F218,'[1]MV+BI'!$E$8:$K$375,7,FALSE)</f>
        <v>45520</v>
      </c>
      <c r="Q218" s="12"/>
      <c r="R218" s="12"/>
      <c r="S218" s="12"/>
      <c r="T218" s="12"/>
      <c r="U218" s="12"/>
      <c r="V218" s="12"/>
      <c r="W218" s="1"/>
      <c r="X218"/>
      <c r="Y218"/>
      <c r="Z218"/>
      <c r="AA218"/>
      <c r="AB218"/>
      <c r="AC218"/>
      <c r="AD218" s="32"/>
    </row>
    <row r="219" spans="3:30" s="2" customFormat="1" ht="17.399999999999999" hidden="1">
      <c r="E219" s="178" t="s">
        <v>311</v>
      </c>
      <c r="F219" s="180" t="s">
        <v>352</v>
      </c>
      <c r="G219" s="169"/>
      <c r="H219" s="181" t="str">
        <f>VLOOKUP(E219&amp;F219,'[1]MV+BI'!$E$8:$K$375,3,FALSE)</f>
        <v>Em Teste - Alteração EF</v>
      </c>
      <c r="I219" s="182" t="str">
        <f>VLOOKUP(E219&amp;F219,'[1]MV+BI'!$E$8:$K$375,4,FALSE)</f>
        <v>-</v>
      </c>
      <c r="J219" s="93"/>
      <c r="K219" s="172">
        <f>VLOOKUP(E219&amp;F219,'[1]MV+BI'!$E$8:$K$375,7,FALSE)</f>
        <v>45520</v>
      </c>
      <c r="Q219" s="12"/>
      <c r="R219" s="12"/>
      <c r="S219" s="12"/>
      <c r="T219" s="12"/>
      <c r="U219" s="12"/>
      <c r="V219" s="12"/>
      <c r="W219" s="1"/>
      <c r="X219"/>
      <c r="Y219"/>
      <c r="Z219"/>
      <c r="AA219"/>
      <c r="AB219"/>
      <c r="AC219"/>
      <c r="AD219" s="32"/>
    </row>
    <row r="220" spans="3:30" s="2" customFormat="1" ht="17.399999999999999" hidden="1">
      <c r="E220" s="178" t="s">
        <v>311</v>
      </c>
      <c r="F220" s="180" t="s">
        <v>353</v>
      </c>
      <c r="G220" s="169"/>
      <c r="H220" s="181" t="str">
        <f>VLOOKUP(E220&amp;F220,'[1]MV+BI'!$E$8:$K$375,3,FALSE)</f>
        <v>Em Teste - Alteração EF</v>
      </c>
      <c r="I220" s="182" t="str">
        <f>VLOOKUP(E220&amp;F220,'[1]MV+BI'!$E$8:$K$375,4,FALSE)</f>
        <v>-</v>
      </c>
      <c r="J220" s="93"/>
      <c r="K220" s="172">
        <f>VLOOKUP(E220&amp;F220,'[1]MV+BI'!$E$8:$K$375,7,FALSE)</f>
        <v>45520</v>
      </c>
      <c r="Q220" s="12"/>
      <c r="R220" s="12"/>
      <c r="S220" s="12"/>
      <c r="T220" s="12"/>
      <c r="U220" s="12"/>
      <c r="V220" s="12"/>
      <c r="W220" s="1"/>
      <c r="X220"/>
      <c r="Y220"/>
      <c r="Z220"/>
      <c r="AA220"/>
      <c r="AB220"/>
      <c r="AC220"/>
      <c r="AD220" s="32"/>
    </row>
    <row r="221" spans="3:30" s="2" customFormat="1" ht="17.399999999999999" hidden="1">
      <c r="C221" s="183"/>
      <c r="D221" s="156"/>
      <c r="E221" s="178" t="s">
        <v>311</v>
      </c>
      <c r="F221" s="180" t="s">
        <v>354</v>
      </c>
      <c r="G221" s="169"/>
      <c r="H221" s="181" t="str">
        <f>VLOOKUP(E221&amp;F221,'[1]MV+BI'!$E$8:$K$375,3,FALSE)</f>
        <v>Em Teste - Alteração EF</v>
      </c>
      <c r="I221" s="182" t="str">
        <f>VLOOKUP(E221&amp;F221,'[1]MV+BI'!$E$8:$K$375,4,FALSE)</f>
        <v>-</v>
      </c>
      <c r="J221" s="93"/>
      <c r="K221" s="172">
        <f>VLOOKUP(E221&amp;F221,'[1]MV+BI'!$E$8:$K$375,7,FALSE)</f>
        <v>45520</v>
      </c>
      <c r="L221" s="156"/>
      <c r="M221" s="184"/>
      <c r="O221" s="183"/>
      <c r="P221" s="156"/>
      <c r="Q221" s="1"/>
      <c r="R221" s="1"/>
      <c r="S221" s="1"/>
      <c r="T221" s="1"/>
      <c r="U221" s="1"/>
      <c r="V221" s="1"/>
      <c r="W221" s="1"/>
      <c r="X221"/>
      <c r="Y221"/>
      <c r="Z221"/>
      <c r="AA221"/>
      <c r="AB221"/>
      <c r="AC221"/>
      <c r="AD221" s="32"/>
    </row>
    <row r="222" spans="3:30" s="2" customFormat="1" ht="17.399999999999999" hidden="1">
      <c r="C222" s="185"/>
      <c r="D222"/>
      <c r="E222" s="178" t="s">
        <v>311</v>
      </c>
      <c r="F222" s="180" t="s">
        <v>355</v>
      </c>
      <c r="G222" s="169"/>
      <c r="H222" s="181" t="str">
        <f>VLOOKUP(E222&amp;F222,'[1]MV+BI'!$E$8:$K$375,3,FALSE)</f>
        <v>Em Teste - Alteração EF</v>
      </c>
      <c r="I222" s="182" t="str">
        <f>VLOOKUP(E222&amp;F222,'[1]MV+BI'!$E$8:$K$375,4,FALSE)</f>
        <v>-</v>
      </c>
      <c r="J222" s="93"/>
      <c r="K222" s="172">
        <f>VLOOKUP(E222&amp;F222,'[1]MV+BI'!$E$8:$K$375,7,FALSE)</f>
        <v>45520</v>
      </c>
      <c r="L222"/>
      <c r="M222" s="186"/>
      <c r="O222" s="185"/>
      <c r="P222"/>
      <c r="Q222" s="1"/>
      <c r="R222" s="1"/>
      <c r="S222" s="1"/>
      <c r="T222" s="1"/>
      <c r="U222" s="1"/>
      <c r="V222" s="1"/>
      <c r="W222" s="1"/>
      <c r="X222"/>
      <c r="Y222"/>
      <c r="Z222"/>
      <c r="AA222"/>
      <c r="AB222"/>
      <c r="AC222"/>
      <c r="AD222" s="32"/>
    </row>
    <row r="223" spans="3:30" s="2" customFormat="1" ht="17.399999999999999" hidden="1">
      <c r="C223" s="185"/>
      <c r="D223"/>
      <c r="E223" s="178" t="s">
        <v>311</v>
      </c>
      <c r="F223" s="180" t="s">
        <v>356</v>
      </c>
      <c r="G223" s="169"/>
      <c r="H223" s="181" t="str">
        <f>VLOOKUP(E223&amp;F223,'[1]MV+BI'!$E$8:$K$375,3,FALSE)</f>
        <v>Em Teste - Alteração EF</v>
      </c>
      <c r="I223" s="182" t="str">
        <f>VLOOKUP(E223&amp;F223,'[1]MV+BI'!$E$8:$K$375,4,FALSE)</f>
        <v>-</v>
      </c>
      <c r="J223" s="93"/>
      <c r="K223" s="172">
        <f>VLOOKUP(E223&amp;F223,'[1]MV+BI'!$E$8:$K$375,7,FALSE)</f>
        <v>45520</v>
      </c>
      <c r="L223"/>
      <c r="M223" s="186"/>
      <c r="O223" s="185"/>
      <c r="P223"/>
      <c r="Q223" s="187"/>
      <c r="R223" s="187"/>
      <c r="S223" s="1"/>
      <c r="T223" s="1"/>
      <c r="U223" s="1"/>
      <c r="V223" s="1"/>
      <c r="W223" s="1"/>
      <c r="X223"/>
      <c r="Y223"/>
      <c r="Z223"/>
      <c r="AA223"/>
      <c r="AB223"/>
      <c r="AC223"/>
      <c r="AD223" s="32"/>
    </row>
    <row r="224" spans="3:30" s="2" customFormat="1" ht="17.399999999999999" hidden="1">
      <c r="C224" s="185"/>
      <c r="D224" s="188" t="s">
        <v>367</v>
      </c>
      <c r="E224" s="178" t="s">
        <v>311</v>
      </c>
      <c r="F224" s="180" t="s">
        <v>357</v>
      </c>
      <c r="G224" s="169"/>
      <c r="H224" s="181" t="str">
        <f>VLOOKUP(E224&amp;F224,'[1]MV+BI'!$E$8:$K$375,3,FALSE)</f>
        <v>Em Teste - Alteração EF</v>
      </c>
      <c r="I224" s="182" t="str">
        <f>VLOOKUP(E224&amp;F224,'[1]MV+BI'!$E$8:$K$375,4,FALSE)</f>
        <v>-</v>
      </c>
      <c r="J224" s="93"/>
      <c r="K224" s="172">
        <f>VLOOKUP(E224&amp;F224,'[1]MV+BI'!$E$8:$K$375,7,FALSE)</f>
        <v>45520</v>
      </c>
      <c r="L224" s="189" t="s">
        <v>368</v>
      </c>
      <c r="M224" s="186"/>
      <c r="O224" s="185"/>
      <c r="P224" s="188" t="s">
        <v>367</v>
      </c>
      <c r="Q224" s="190" t="s">
        <v>369</v>
      </c>
      <c r="R224" s="190" t="s">
        <v>370</v>
      </c>
      <c r="S224" s="190" t="s">
        <v>371</v>
      </c>
      <c r="T224" s="191" t="s">
        <v>372</v>
      </c>
      <c r="U224" s="191" t="s">
        <v>368</v>
      </c>
      <c r="V224" s="1"/>
      <c r="W224" s="1"/>
      <c r="X224"/>
      <c r="Y224"/>
      <c r="Z224"/>
      <c r="AA224"/>
      <c r="AB224"/>
      <c r="AC224"/>
      <c r="AD224" s="32"/>
    </row>
    <row r="225" spans="1:49" s="2" customFormat="1" ht="17.399999999999999" hidden="1">
      <c r="C225" s="185"/>
      <c r="D225" s="192" t="s">
        <v>373</v>
      </c>
      <c r="E225" s="178" t="s">
        <v>311</v>
      </c>
      <c r="F225" s="180" t="s">
        <v>358</v>
      </c>
      <c r="G225" s="169"/>
      <c r="H225" s="181" t="str">
        <f>VLOOKUP(E225&amp;F225,'[1]MV+BI'!$E$8:$K$375,3,FALSE)</f>
        <v>Em Teste - Alteração EF</v>
      </c>
      <c r="I225" s="182" t="str">
        <f>VLOOKUP(E225&amp;F225,'[1]MV+BI'!$E$8:$K$375,4,FALSE)</f>
        <v>-</v>
      </c>
      <c r="J225" s="93"/>
      <c r="K225" s="172">
        <f>VLOOKUP(E225&amp;F225,'[1]MV+BI'!$E$8:$K$375,7,FALSE)</f>
        <v>45520</v>
      </c>
      <c r="L225" s="193">
        <v>0</v>
      </c>
      <c r="M225" s="186"/>
      <c r="O225" s="185"/>
      <c r="P225" s="192" t="s">
        <v>373</v>
      </c>
      <c r="Q225" s="194">
        <v>49</v>
      </c>
      <c r="R225" s="194">
        <v>11</v>
      </c>
      <c r="S225" s="194">
        <v>0</v>
      </c>
      <c r="T225" s="195">
        <v>0</v>
      </c>
      <c r="U225" s="196">
        <v>0</v>
      </c>
      <c r="V225" s="1"/>
      <c r="W225" s="1"/>
      <c r="X225"/>
      <c r="Y225"/>
      <c r="Z225"/>
      <c r="AA225"/>
      <c r="AB225"/>
      <c r="AC225"/>
      <c r="AD225" s="32"/>
    </row>
    <row r="226" spans="1:49" s="2" customFormat="1" ht="17.399999999999999" hidden="1">
      <c r="C226" s="185"/>
      <c r="D226" s="192" t="s">
        <v>374</v>
      </c>
      <c r="E226" s="178" t="s">
        <v>311</v>
      </c>
      <c r="F226" s="180" t="s">
        <v>359</v>
      </c>
      <c r="G226" s="169"/>
      <c r="H226" s="181" t="str">
        <f>VLOOKUP(E226&amp;F226,'[1]MV+BI'!$E$8:$K$375,3,FALSE)</f>
        <v>Em Teste - Alteração EF</v>
      </c>
      <c r="I226" s="182" t="str">
        <f>VLOOKUP(E226&amp;F226,'[1]MV+BI'!$E$8:$K$375,4,FALSE)</f>
        <v>-</v>
      </c>
      <c r="J226" s="93"/>
      <c r="K226" s="172">
        <f>VLOOKUP(E226&amp;F226,'[1]MV+BI'!$E$8:$K$375,7,FALSE)</f>
        <v>45520</v>
      </c>
      <c r="L226" s="193">
        <v>1</v>
      </c>
      <c r="M226" s="186"/>
      <c r="O226" s="185"/>
      <c r="P226" s="192" t="s">
        <v>374</v>
      </c>
      <c r="Q226" s="194">
        <v>161873</v>
      </c>
      <c r="R226" s="194">
        <v>8528</v>
      </c>
      <c r="S226" s="194">
        <v>1</v>
      </c>
      <c r="T226" s="195">
        <v>0</v>
      </c>
      <c r="U226" s="196">
        <v>1</v>
      </c>
      <c r="V226" s="1"/>
      <c r="W226" s="1"/>
      <c r="X226"/>
      <c r="Y226"/>
      <c r="Z226"/>
      <c r="AA226"/>
      <c r="AB226"/>
      <c r="AC226"/>
      <c r="AD226" s="32"/>
    </row>
    <row r="227" spans="1:49" ht="17.399999999999999" hidden="1">
      <c r="A227" s="2"/>
      <c r="B227" s="2"/>
      <c r="C227" s="185"/>
      <c r="D227" s="192" t="s">
        <v>375</v>
      </c>
      <c r="E227" s="178" t="s">
        <v>311</v>
      </c>
      <c r="F227" s="180" t="s">
        <v>360</v>
      </c>
      <c r="G227" s="169"/>
      <c r="H227" s="181" t="str">
        <f>VLOOKUP(E227&amp;F227,'[1]MV+BI'!$E$8:$K$375,3,FALSE)</f>
        <v>Em Teste - Alteração EF</v>
      </c>
      <c r="I227" s="182" t="str">
        <f>VLOOKUP(E227&amp;F227,'[1]MV+BI'!$E$8:$K$375,4,FALSE)</f>
        <v>-</v>
      </c>
      <c r="J227" s="93"/>
      <c r="K227" s="172">
        <f>VLOOKUP(E227&amp;F227,'[1]MV+BI'!$E$8:$K$375,7,FALSE)</f>
        <v>45520</v>
      </c>
      <c r="L227" s="193">
        <v>0</v>
      </c>
      <c r="M227" s="186"/>
      <c r="N227" s="2"/>
      <c r="O227" s="185"/>
      <c r="P227" s="192" t="s">
        <v>375</v>
      </c>
      <c r="Q227" s="194">
        <v>251605</v>
      </c>
      <c r="R227" s="194">
        <v>78</v>
      </c>
      <c r="S227" s="194">
        <v>2</v>
      </c>
      <c r="T227" s="195">
        <v>1</v>
      </c>
      <c r="U227" s="196">
        <v>1</v>
      </c>
      <c r="V227" s="1"/>
      <c r="W227" s="1"/>
      <c r="X227"/>
      <c r="Y227"/>
      <c r="Z227"/>
      <c r="AA227"/>
      <c r="AB227"/>
      <c r="AC227"/>
      <c r="AD227" s="32"/>
      <c r="AF227" s="2"/>
      <c r="AG227" s="2"/>
    </row>
    <row r="228" spans="1:49" ht="17.399999999999999" hidden="1">
      <c r="A228" s="2"/>
      <c r="B228" s="2"/>
      <c r="C228" s="185"/>
      <c r="D228" s="192" t="s">
        <v>376</v>
      </c>
      <c r="E228" s="178" t="s">
        <v>311</v>
      </c>
      <c r="F228" s="180" t="s">
        <v>361</v>
      </c>
      <c r="G228" s="169"/>
      <c r="H228" s="181" t="str">
        <f>VLOOKUP(E228&amp;F228,'[1]MV+BI'!$E$8:$K$375,3,FALSE)</f>
        <v>Em Teste - Alteração EF</v>
      </c>
      <c r="I228" s="182" t="str">
        <f>VLOOKUP(E228&amp;F228,'[1]MV+BI'!$E$8:$K$375,4,FALSE)</f>
        <v>-</v>
      </c>
      <c r="J228" s="93"/>
      <c r="K228" s="172">
        <f>VLOOKUP(E228&amp;F228,'[1]MV+BI'!$E$8:$K$375,7,FALSE)</f>
        <v>45520</v>
      </c>
      <c r="L228" s="193">
        <v>1</v>
      </c>
      <c r="M228" s="186"/>
      <c r="N228" s="2"/>
      <c r="O228" s="185"/>
      <c r="P228" s="192" t="s">
        <v>376</v>
      </c>
      <c r="Q228" s="194">
        <v>130224</v>
      </c>
      <c r="R228" s="194">
        <v>59577</v>
      </c>
      <c r="S228" s="194">
        <v>1</v>
      </c>
      <c r="T228" s="195">
        <v>0</v>
      </c>
      <c r="U228" s="196">
        <v>1</v>
      </c>
      <c r="V228" s="1"/>
      <c r="W228" s="1"/>
      <c r="X228"/>
      <c r="Y228"/>
      <c r="Z228"/>
      <c r="AA228"/>
      <c r="AB228"/>
      <c r="AC228"/>
      <c r="AD228" s="32"/>
      <c r="AF228" s="2"/>
      <c r="AG228" s="2"/>
    </row>
    <row r="229" spans="1:49" ht="17.399999999999999" hidden="1">
      <c r="A229" s="2"/>
      <c r="B229" s="2"/>
      <c r="C229" s="185"/>
      <c r="D229" s="192" t="s">
        <v>377</v>
      </c>
      <c r="E229" s="178" t="s">
        <v>311</v>
      </c>
      <c r="F229" s="180" t="s">
        <v>362</v>
      </c>
      <c r="G229" s="169"/>
      <c r="H229" s="181" t="str">
        <f>VLOOKUP(E229&amp;F229,'[1]MV+BI'!$E$8:$K$375,3,FALSE)</f>
        <v>Em Teste - Alteração EF</v>
      </c>
      <c r="I229" s="182" t="str">
        <f>VLOOKUP(E229&amp;F229,'[1]MV+BI'!$E$8:$K$375,4,FALSE)</f>
        <v>-</v>
      </c>
      <c r="J229" s="93"/>
      <c r="K229" s="172">
        <f>VLOOKUP(E229&amp;F229,'[1]MV+BI'!$E$8:$K$375,7,FALSE)</f>
        <v>45520</v>
      </c>
      <c r="L229" s="193">
        <f>13-5</f>
        <v>8</v>
      </c>
      <c r="M229" s="186"/>
      <c r="N229" s="2"/>
      <c r="O229" s="185"/>
      <c r="P229" s="192" t="s">
        <v>377</v>
      </c>
      <c r="Q229" s="194">
        <v>752210</v>
      </c>
      <c r="R229" s="194">
        <v>749866</v>
      </c>
      <c r="S229" s="194">
        <v>13</v>
      </c>
      <c r="T229" s="195">
        <v>5</v>
      </c>
      <c r="U229" s="196">
        <f>13-5</f>
        <v>8</v>
      </c>
      <c r="V229" s="1"/>
      <c r="W229" s="1"/>
      <c r="X229"/>
      <c r="Y229"/>
      <c r="Z229"/>
      <c r="AA229"/>
      <c r="AB229"/>
      <c r="AC229"/>
      <c r="AD229" s="32"/>
      <c r="AF229" s="2"/>
      <c r="AG229" s="2"/>
    </row>
    <row r="230" spans="1:49" ht="17.399999999999999" hidden="1">
      <c r="A230" s="2"/>
      <c r="B230" s="2"/>
      <c r="C230" s="185"/>
      <c r="D230" s="192" t="s">
        <v>378</v>
      </c>
      <c r="E230" s="178" t="s">
        <v>311</v>
      </c>
      <c r="F230" s="180" t="s">
        <v>363</v>
      </c>
      <c r="G230" s="169"/>
      <c r="H230" s="181" t="str">
        <f>VLOOKUP(E230&amp;F230,'[1]MV+BI'!$E$8:$K$375,3,FALSE)</f>
        <v>Em Teste - Alteração EF</v>
      </c>
      <c r="I230" s="182" t="str">
        <f>VLOOKUP(E230&amp;F230,'[1]MV+BI'!$E$8:$K$375,4,FALSE)</f>
        <v>-</v>
      </c>
      <c r="J230" s="93"/>
      <c r="K230" s="172">
        <f>VLOOKUP(E230&amp;F230,'[1]MV+BI'!$E$8:$K$375,7,FALSE)</f>
        <v>45520</v>
      </c>
      <c r="L230" s="193">
        <v>41</v>
      </c>
      <c r="M230" s="186"/>
      <c r="N230" s="2"/>
      <c r="O230" s="185"/>
      <c r="P230" s="192" t="s">
        <v>378</v>
      </c>
      <c r="Q230" s="194">
        <v>12565003</v>
      </c>
      <c r="R230" s="194">
        <v>10470985</v>
      </c>
      <c r="S230" s="194">
        <v>44</v>
      </c>
      <c r="T230" s="195">
        <v>0</v>
      </c>
      <c r="U230" s="196">
        <v>44</v>
      </c>
      <c r="V230" s="1"/>
      <c r="W230" s="1"/>
      <c r="X230"/>
      <c r="Y230"/>
      <c r="Z230"/>
      <c r="AA230"/>
      <c r="AB230"/>
      <c r="AC230"/>
      <c r="AD230" s="32"/>
      <c r="AF230" s="2"/>
      <c r="AG230" s="2"/>
    </row>
    <row r="231" spans="1:49" ht="17.399999999999999" hidden="1">
      <c r="A231" s="2"/>
      <c r="B231" s="2"/>
      <c r="C231" s="185"/>
      <c r="D231" s="197" t="s">
        <v>379</v>
      </c>
      <c r="E231" s="178" t="s">
        <v>311</v>
      </c>
      <c r="F231" s="180" t="s">
        <v>364</v>
      </c>
      <c r="G231" s="169"/>
      <c r="H231" s="181" t="str">
        <f>VLOOKUP(E231&amp;F231,'[1]MV+BI'!$E$8:$K$375,3,FALSE)</f>
        <v>Em Teste - Alteração EF</v>
      </c>
      <c r="I231" s="182" t="str">
        <f>VLOOKUP(E231&amp;F231,'[1]MV+BI'!$E$8:$K$375,4,FALSE)</f>
        <v>-</v>
      </c>
      <c r="J231" s="93"/>
      <c r="K231" s="172">
        <f>VLOOKUP(E231&amp;F231,'[1]MV+BI'!$E$8:$K$375,7,FALSE)</f>
        <v>45520</v>
      </c>
      <c r="L231" s="198">
        <v>0</v>
      </c>
      <c r="M231" s="186"/>
      <c r="N231" s="2"/>
      <c r="O231" s="185"/>
      <c r="P231" s="192" t="s">
        <v>379</v>
      </c>
      <c r="Q231" s="199" t="s">
        <v>380</v>
      </c>
      <c r="R231" s="199" t="s">
        <v>380</v>
      </c>
      <c r="S231" s="199" t="s">
        <v>381</v>
      </c>
      <c r="T231" s="200">
        <v>0</v>
      </c>
      <c r="U231" s="196" t="s">
        <v>382</v>
      </c>
      <c r="V231" s="1"/>
      <c r="W231" s="1"/>
      <c r="X231"/>
      <c r="Y231"/>
      <c r="Z231"/>
      <c r="AA231"/>
      <c r="AB231"/>
      <c r="AC231"/>
      <c r="AD231" s="32"/>
      <c r="AF231" s="2"/>
      <c r="AG231" s="2"/>
    </row>
    <row r="232" spans="1:49" ht="17.399999999999999" hidden="1">
      <c r="A232" s="2"/>
      <c r="B232" s="2"/>
      <c r="C232" s="185"/>
      <c r="D232" s="156"/>
      <c r="E232" s="178" t="s">
        <v>311</v>
      </c>
      <c r="F232" s="180" t="s">
        <v>365</v>
      </c>
      <c r="G232" s="169"/>
      <c r="H232" s="181" t="str">
        <f>VLOOKUP(E232&amp;F232,'[1]MV+BI'!$E$8:$K$375,3,FALSE)</f>
        <v>Em Teste - Alteração EF</v>
      </c>
      <c r="I232" s="182" t="str">
        <f>VLOOKUP(E232&amp;F232,'[1]MV+BI'!$E$8:$K$375,4,FALSE)</f>
        <v>-</v>
      </c>
      <c r="J232" s="93"/>
      <c r="K232" s="172">
        <f>VLOOKUP(E232&amp;F232,'[1]MV+BI'!$E$8:$K$375,7,FALSE)</f>
        <v>45520</v>
      </c>
      <c r="L232" s="201">
        <f>SUM(L225:L230)</f>
        <v>51</v>
      </c>
      <c r="M232" s="186"/>
      <c r="N232" s="2"/>
      <c r="O232" s="185"/>
      <c r="P232" s="156"/>
      <c r="Q232" s="1"/>
      <c r="R232" s="202" t="s">
        <v>383</v>
      </c>
      <c r="S232" s="203">
        <f>SUM(S225:S230)</f>
        <v>61</v>
      </c>
      <c r="T232" s="203">
        <f>SUM(T225:T230)</f>
        <v>6</v>
      </c>
      <c r="U232" s="203">
        <f>SUM(U225:U230)</f>
        <v>55</v>
      </c>
      <c r="V232" s="1"/>
      <c r="W232" s="1"/>
      <c r="X232"/>
      <c r="Y232"/>
      <c r="Z232"/>
      <c r="AA232"/>
      <c r="AB232"/>
      <c r="AC232"/>
      <c r="AD232" s="32"/>
      <c r="AF232" s="2"/>
      <c r="AG232" s="2"/>
    </row>
    <row r="233" spans="1:49" ht="17.399999999999999" hidden="1">
      <c r="A233" s="2"/>
      <c r="B233" s="2"/>
      <c r="C233" s="185"/>
      <c r="E233" s="178" t="s">
        <v>311</v>
      </c>
      <c r="F233" s="180" t="s">
        <v>366</v>
      </c>
      <c r="G233" s="169"/>
      <c r="H233" s="181" t="str">
        <f>VLOOKUP(E233&amp;F233,'[1]MV+BI'!$E$8:$K$375,3,FALSE)</f>
        <v>Em Teste - Alteração EF</v>
      </c>
      <c r="I233" s="182" t="str">
        <f>VLOOKUP(E233&amp;F233,'[1]MV+BI'!$E$8:$K$375,4,FALSE)</f>
        <v>-</v>
      </c>
      <c r="J233" s="93"/>
      <c r="K233" s="172">
        <f>VLOOKUP(E233&amp;F233,'[1]MV+BI'!$E$8:$K$375,7,FALSE)</f>
        <v>45520</v>
      </c>
      <c r="M233" s="186"/>
      <c r="N233" s="2"/>
      <c r="O233" s="185"/>
      <c r="Q233" s="1"/>
      <c r="R233" s="1"/>
      <c r="S233" s="1"/>
      <c r="T233" s="1"/>
      <c r="U233" s="1"/>
      <c r="V233" s="1"/>
      <c r="W233" s="1"/>
      <c r="X233"/>
      <c r="Y233"/>
      <c r="Z233"/>
      <c r="AA233"/>
      <c r="AB233"/>
      <c r="AC233"/>
      <c r="AD233" s="32"/>
      <c r="AF233" s="2"/>
      <c r="AG233" s="2"/>
    </row>
    <row r="234" spans="1:49" ht="17.399999999999999" hidden="1">
      <c r="A234" s="2"/>
      <c r="B234" s="2"/>
      <c r="C234" s="185"/>
      <c r="D234" s="189" t="s">
        <v>384</v>
      </c>
      <c r="E234" s="178" t="s">
        <v>311</v>
      </c>
      <c r="F234" s="180" t="s">
        <v>6</v>
      </c>
      <c r="G234" s="169"/>
      <c r="H234" s="181" t="str">
        <f>VLOOKUP(E234&amp;F234,'[1]MV+BI'!$E$8:$K$375,3,FALSE)</f>
        <v>Em Teste - Alteração EF</v>
      </c>
      <c r="I234" s="182" t="str">
        <f>VLOOKUP(E234&amp;F234,'[1]MV+BI'!$E$8:$K$375,4,FALSE)</f>
        <v>-</v>
      </c>
      <c r="J234" s="93"/>
      <c r="K234" s="172">
        <f>VLOOKUP(E234&amp;F234,'[1]MV+BI'!$E$8:$K$375,7,FALSE)</f>
        <v>45520</v>
      </c>
      <c r="L234" s="188"/>
      <c r="M234" s="186"/>
      <c r="N234" s="2"/>
      <c r="O234" s="185"/>
      <c r="P234" s="189" t="s">
        <v>384</v>
      </c>
      <c r="Q234" s="190" t="s">
        <v>385</v>
      </c>
      <c r="R234" s="190" t="s">
        <v>386</v>
      </c>
      <c r="S234" s="190" t="s">
        <v>387</v>
      </c>
      <c r="T234" s="204" t="s">
        <v>388</v>
      </c>
      <c r="U234" s="205"/>
      <c r="V234" s="1"/>
      <c r="W234" s="1"/>
      <c r="X234"/>
      <c r="Y234"/>
      <c r="Z234"/>
      <c r="AA234"/>
      <c r="AB234"/>
      <c r="AC234"/>
      <c r="AD234" s="32"/>
      <c r="AF234" s="2"/>
      <c r="AG234" s="2"/>
    </row>
    <row r="235" spans="1:49" ht="17.399999999999999" hidden="1">
      <c r="A235" s="2"/>
      <c r="B235" s="2"/>
      <c r="C235" s="185"/>
      <c r="D235" s="206" t="s">
        <v>389</v>
      </c>
      <c r="E235" s="178" t="s">
        <v>311</v>
      </c>
      <c r="F235" s="177" t="s">
        <v>249</v>
      </c>
      <c r="G235" s="169"/>
      <c r="H235" s="181" t="str">
        <f>VLOOKUP(E235&amp;F235,'[1]MV+BI'!$E$8:$K$375,3,FALSE)</f>
        <v>Em Teste - Alteração EF</v>
      </c>
      <c r="I235" s="182" t="str">
        <f>VLOOKUP(E235&amp;F235,'[1]MV+BI'!$E$8:$K$375,4,FALSE)</f>
        <v>-</v>
      </c>
      <c r="J235" s="93"/>
      <c r="K235" s="172">
        <f>VLOOKUP(E235&amp;F235,'[1]MV+BI'!$E$8:$K$375,7,FALSE)</f>
        <v>45520</v>
      </c>
      <c r="L235" s="207"/>
      <c r="M235" s="186"/>
      <c r="N235" s="2"/>
      <c r="O235" s="185"/>
      <c r="P235" s="206" t="s">
        <v>389</v>
      </c>
      <c r="Q235" s="194">
        <v>139</v>
      </c>
      <c r="R235" s="194">
        <v>37</v>
      </c>
      <c r="S235" s="194">
        <v>1</v>
      </c>
      <c r="T235" s="208" t="s">
        <v>390</v>
      </c>
      <c r="U235" s="194"/>
      <c r="V235" s="1"/>
      <c r="W235" s="1"/>
      <c r="X235"/>
      <c r="Y235"/>
      <c r="Z235"/>
      <c r="AA235"/>
      <c r="AB235"/>
      <c r="AC235"/>
      <c r="AD235" s="32"/>
      <c r="AF235" s="2"/>
      <c r="AG235" s="2"/>
    </row>
    <row r="236" spans="1:49" ht="17.399999999999999" hidden="1">
      <c r="A236" s="2"/>
      <c r="B236" s="2"/>
      <c r="C236" s="185"/>
      <c r="D236" s="206" t="s">
        <v>391</v>
      </c>
      <c r="E236" s="178" t="s">
        <v>301</v>
      </c>
      <c r="F236" s="178" t="s">
        <v>84</v>
      </c>
      <c r="G236" s="169"/>
      <c r="H236" s="181" t="str">
        <f>VLOOKUP(E236&amp;F236,'[1]MV+BI'!$E$8:$K$375,3,FALSE)</f>
        <v>Em Teste - Alteração EF</v>
      </c>
      <c r="I236" s="182" t="str">
        <f>VLOOKUP(E236&amp;F236,'[1]MV+BI'!$E$8:$K$375,4,FALSE)</f>
        <v>-</v>
      </c>
      <c r="J236" s="93"/>
      <c r="K236" s="172">
        <f>VLOOKUP(E236&amp;F236,'[1]MV+BI'!$E$8:$K$375,7,FALSE)</f>
        <v>45513</v>
      </c>
      <c r="L236" s="207"/>
      <c r="M236" s="209"/>
      <c r="N236" s="2"/>
      <c r="O236" s="185"/>
      <c r="P236" s="206" t="s">
        <v>391</v>
      </c>
      <c r="Q236" s="194">
        <v>144</v>
      </c>
      <c r="R236" s="194">
        <v>28</v>
      </c>
      <c r="S236" s="194">
        <v>11</v>
      </c>
      <c r="T236" s="208" t="s">
        <v>392</v>
      </c>
      <c r="U236" s="194"/>
      <c r="V236" s="1"/>
      <c r="W236" s="1"/>
      <c r="X236"/>
      <c r="Y236"/>
      <c r="Z236"/>
      <c r="AA236"/>
      <c r="AB236"/>
      <c r="AC236"/>
      <c r="AD236" s="32"/>
      <c r="AF236" s="2"/>
      <c r="AG236" s="2"/>
    </row>
    <row r="237" spans="1:49" ht="17.399999999999999" hidden="1">
      <c r="A237" s="2"/>
      <c r="B237" s="2"/>
      <c r="C237" s="185"/>
      <c r="D237" s="206" t="s">
        <v>393</v>
      </c>
      <c r="E237" s="178" t="s">
        <v>301</v>
      </c>
      <c r="F237" s="178" t="s">
        <v>282</v>
      </c>
      <c r="G237" s="169"/>
      <c r="H237" s="181" t="str">
        <f>VLOOKUP(E237&amp;F237,'[1]MV+BI'!$E$8:$K$375,3,FALSE)</f>
        <v>Em Teste - Alteração EF</v>
      </c>
      <c r="I237" s="182" t="str">
        <f>VLOOKUP(E237&amp;F237,'[1]MV+BI'!$E$8:$K$375,4,FALSE)</f>
        <v>-</v>
      </c>
      <c r="J237" s="93"/>
      <c r="K237" s="172">
        <f>VLOOKUP(E237&amp;F237,'[1]MV+BI'!$E$8:$K$375,7,FALSE)</f>
        <v>45513</v>
      </c>
      <c r="L237" s="207"/>
      <c r="M237" s="186"/>
      <c r="N237" s="2"/>
      <c r="O237" s="185"/>
      <c r="P237" s="206" t="s">
        <v>393</v>
      </c>
      <c r="Q237" s="194">
        <v>10</v>
      </c>
      <c r="R237" s="194">
        <v>2</v>
      </c>
      <c r="S237" s="210" t="s">
        <v>381</v>
      </c>
      <c r="T237" s="208"/>
      <c r="U237" s="194"/>
      <c r="V237" s="1"/>
      <c r="W237" s="1"/>
      <c r="X237"/>
      <c r="Y237"/>
      <c r="Z237"/>
      <c r="AA237"/>
      <c r="AB237"/>
      <c r="AC237"/>
      <c r="AD237" s="32"/>
      <c r="AF237" s="2"/>
      <c r="AG237" s="2"/>
    </row>
    <row r="238" spans="1:49" s="121" customFormat="1" ht="17.399999999999999" hidden="1">
      <c r="A238" s="2"/>
      <c r="B238" s="2"/>
      <c r="C238" s="185"/>
      <c r="D238" s="206" t="s">
        <v>394</v>
      </c>
      <c r="E238" s="178" t="s">
        <v>301</v>
      </c>
      <c r="F238" s="178" t="s">
        <v>283</v>
      </c>
      <c r="G238" s="169"/>
      <c r="H238" s="181" t="str">
        <f>VLOOKUP(E238&amp;F238,'[1]MV+BI'!$E$8:$K$375,3,FALSE)</f>
        <v>Em Teste - Alteração EF</v>
      </c>
      <c r="I238" s="182" t="str">
        <f>VLOOKUP(E238&amp;F238,'[1]MV+BI'!$E$8:$K$375,4,FALSE)</f>
        <v>-</v>
      </c>
      <c r="J238" s="93"/>
      <c r="K238" s="172">
        <f>VLOOKUP(E238&amp;F238,'[1]MV+BI'!$E$8:$K$375,7,FALSE)</f>
        <v>45513</v>
      </c>
      <c r="L238" s="207"/>
      <c r="M238" s="186"/>
      <c r="N238" s="2"/>
      <c r="O238" s="185"/>
      <c r="P238" s="206" t="s">
        <v>395</v>
      </c>
      <c r="Q238" s="194">
        <v>30</v>
      </c>
      <c r="R238" s="194">
        <v>6</v>
      </c>
      <c r="S238" s="194">
        <v>6</v>
      </c>
      <c r="T238" s="208" t="s">
        <v>396</v>
      </c>
      <c r="U238" s="194"/>
      <c r="V238" s="1"/>
      <c r="W238" s="182"/>
      <c r="AD238" s="211"/>
      <c r="AE238" s="212"/>
      <c r="AF238" s="212"/>
      <c r="AG238" s="212"/>
      <c r="AH238" s="212"/>
    </row>
    <row r="239" spans="1:49" s="121" customFormat="1" ht="17.399999999999999" hidden="1">
      <c r="A239" s="212"/>
      <c r="B239" s="2"/>
      <c r="C239" s="185"/>
      <c r="D239" s="213" t="s">
        <v>397</v>
      </c>
      <c r="E239" s="178" t="s">
        <v>301</v>
      </c>
      <c r="F239" s="178" t="s">
        <v>284</v>
      </c>
      <c r="G239" s="169"/>
      <c r="H239" s="181" t="str">
        <f>VLOOKUP(E239&amp;F239,'[1]MV+BI'!$E$8:$K$375,3,FALSE)</f>
        <v>Em Teste - Alteração EF</v>
      </c>
      <c r="I239" s="182" t="str">
        <f>VLOOKUP(E239&amp;F239,'[1]MV+BI'!$E$8:$K$375,4,FALSE)</f>
        <v>-</v>
      </c>
      <c r="J239" s="93"/>
      <c r="K239" s="172">
        <f>VLOOKUP(E239&amp;F239,'[1]MV+BI'!$E$8:$K$375,7,FALSE)</f>
        <v>45513</v>
      </c>
      <c r="L239" s="214"/>
      <c r="M239" s="186"/>
      <c r="N239" s="2"/>
      <c r="O239" s="185"/>
      <c r="P239" s="206" t="s">
        <v>397</v>
      </c>
      <c r="Q239" s="194">
        <v>7</v>
      </c>
      <c r="R239" s="194">
        <v>4</v>
      </c>
      <c r="S239" s="194">
        <v>4</v>
      </c>
      <c r="T239" s="208" t="s">
        <v>398</v>
      </c>
      <c r="U239" s="194"/>
      <c r="V239" s="1"/>
      <c r="W239" s="182"/>
      <c r="AD239" s="211"/>
      <c r="AE239" s="212"/>
      <c r="AF239" s="212"/>
      <c r="AG239" s="212"/>
      <c r="AH239" s="212"/>
    </row>
    <row r="240" spans="1:49" s="2" customFormat="1" ht="17.399999999999999" hidden="1">
      <c r="A240" s="212"/>
      <c r="B240" s="212"/>
      <c r="C240" s="215"/>
      <c r="D240" s="216" t="s">
        <v>399</v>
      </c>
      <c r="E240" s="178" t="s">
        <v>301</v>
      </c>
      <c r="F240" s="178" t="s">
        <v>302</v>
      </c>
      <c r="G240" s="169"/>
      <c r="H240" s="181" t="str">
        <f>VLOOKUP(E240&amp;F240,'[1]MV+BI'!$E$8:$K$375,3,FALSE)</f>
        <v>Em Teste - Alteração EF</v>
      </c>
      <c r="I240" s="182" t="str">
        <f>VLOOKUP(E240&amp;F240,'[1]MV+BI'!$E$8:$K$375,4,FALSE)</f>
        <v>-</v>
      </c>
      <c r="J240" s="93"/>
      <c r="K240" s="172">
        <f>VLOOKUP(E240&amp;F240,'[1]MV+BI'!$E$8:$K$375,7,FALSE)</f>
        <v>45513</v>
      </c>
      <c r="L240" s="217"/>
      <c r="M240" s="218"/>
      <c r="N240" s="212"/>
      <c r="O240" s="215"/>
      <c r="P240" s="216" t="s">
        <v>399</v>
      </c>
      <c r="Q240" s="203">
        <f>SUM(Q235:Q239)</f>
        <v>330</v>
      </c>
      <c r="R240" s="203">
        <f>SUM(R235:R239)</f>
        <v>77</v>
      </c>
      <c r="S240" s="203">
        <f>SUM(S235:S239)</f>
        <v>22</v>
      </c>
      <c r="T240" s="182"/>
      <c r="U240" s="182"/>
      <c r="V240" s="182"/>
      <c r="W240" s="1"/>
      <c r="X240"/>
      <c r="Y240"/>
      <c r="Z240"/>
      <c r="AA240"/>
      <c r="AB240"/>
      <c r="AC240"/>
      <c r="AD240" s="32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</row>
    <row r="241" spans="2:49" s="2" customFormat="1" ht="17.399999999999999" hidden="1">
      <c r="B241" s="212"/>
      <c r="C241" s="215"/>
      <c r="D241" s="219" t="s">
        <v>400</v>
      </c>
      <c r="E241" s="178" t="s">
        <v>301</v>
      </c>
      <c r="F241" s="178" t="s">
        <v>303</v>
      </c>
      <c r="G241" s="169"/>
      <c r="H241" s="181" t="str">
        <f>VLOOKUP(E241&amp;F241,'[1]MV+BI'!$E$8:$K$375,3,FALSE)</f>
        <v>Em Teste - Alteração EF</v>
      </c>
      <c r="I241" s="182" t="str">
        <f>VLOOKUP(E241&amp;F241,'[1]MV+BI'!$E$8:$K$375,4,FALSE)</f>
        <v>-</v>
      </c>
      <c r="J241" s="93"/>
      <c r="K241" s="172">
        <f>VLOOKUP(E241&amp;F241,'[1]MV+BI'!$E$8:$K$375,7,FALSE)</f>
        <v>45513</v>
      </c>
      <c r="L241" s="121"/>
      <c r="M241" s="218"/>
      <c r="N241" s="212"/>
      <c r="O241" s="215"/>
      <c r="P241" s="219" t="s">
        <v>400</v>
      </c>
      <c r="Q241" s="182"/>
      <c r="R241" s="182"/>
      <c r="S241" s="182"/>
      <c r="T241" s="182"/>
      <c r="U241" s="182"/>
      <c r="V241" s="182"/>
      <c r="W241" s="1"/>
      <c r="X241"/>
      <c r="Y241"/>
      <c r="Z241"/>
      <c r="AA241"/>
      <c r="AB241"/>
      <c r="AC241"/>
      <c r="AD241" s="32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</row>
    <row r="242" spans="2:49" s="2" customFormat="1" ht="14.4" hidden="1">
      <c r="C242" s="220"/>
      <c r="D242" s="221"/>
      <c r="L242" s="1"/>
      <c r="M242" s="222"/>
      <c r="O242" s="220"/>
      <c r="P242" s="221"/>
      <c r="Q242" s="1"/>
      <c r="R242" s="1"/>
      <c r="S242" s="1"/>
      <c r="T242" s="1"/>
      <c r="U242" s="1"/>
      <c r="V242" s="1"/>
      <c r="W242" s="1"/>
      <c r="X242"/>
      <c r="Y242"/>
      <c r="Z242"/>
      <c r="AA242"/>
      <c r="AB242"/>
      <c r="AC242"/>
      <c r="AD242" s="3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</row>
    <row r="243" spans="2:49" s="2" customFormat="1" ht="14.4">
      <c r="Q243" s="12"/>
      <c r="R243" s="12"/>
      <c r="S243" s="12"/>
      <c r="T243" s="12"/>
      <c r="U243" s="12"/>
      <c r="V243" s="12"/>
      <c r="W243" s="12"/>
    </row>
    <row r="244" spans="2:49" s="2" customFormat="1" ht="14.4">
      <c r="V244" s="12"/>
      <c r="W244" s="12"/>
    </row>
    <row r="245" spans="2:49" s="2" customFormat="1" ht="14.4"/>
    <row r="246" spans="2:49" s="2" customFormat="1" ht="14.4"/>
    <row r="247" spans="2:49" s="2" customFormat="1" ht="13.95" hidden="1" customHeight="1">
      <c r="E247" s="178" t="s">
        <v>301</v>
      </c>
      <c r="F247" s="178" t="s">
        <v>304</v>
      </c>
      <c r="G247" s="169"/>
      <c r="H247" s="181" t="str">
        <f>VLOOKUP(E247&amp;F247,'[1]MV+BI'!$E$8:$K$375,3,FALSE)</f>
        <v>Em Teste - Alteração EF</v>
      </c>
      <c r="I247" s="182" t="str">
        <f>VLOOKUP(E247&amp;F247,'[1]MV+BI'!$E$8:$K$375,4,FALSE)</f>
        <v>-</v>
      </c>
      <c r="J247" s="93"/>
      <c r="K247" s="172">
        <f>VLOOKUP(E247&amp;F247,'[1]MV+BI'!$E$8:$K$375,7,FALSE)</f>
        <v>45513</v>
      </c>
    </row>
    <row r="248" spans="2:49" s="2" customFormat="1" ht="13.95" hidden="1" customHeight="1">
      <c r="E248" s="178" t="s">
        <v>301</v>
      </c>
      <c r="F248" s="178" t="s">
        <v>305</v>
      </c>
      <c r="G248" s="169"/>
      <c r="H248" s="181" t="str">
        <f>VLOOKUP(E248&amp;F248,'[1]MV+BI'!$E$8:$K$375,3,FALSE)</f>
        <v>Em Teste - Alteração EF</v>
      </c>
      <c r="I248" s="182" t="str">
        <f>VLOOKUP(E248&amp;F248,'[1]MV+BI'!$E$8:$K$375,4,FALSE)</f>
        <v>-</v>
      </c>
      <c r="J248" s="93"/>
      <c r="K248" s="172">
        <f>VLOOKUP(E248&amp;F248,'[1]MV+BI'!$E$8:$K$375,7,FALSE)</f>
        <v>45513</v>
      </c>
    </row>
    <row r="249" spans="2:49" s="2" customFormat="1" ht="13.95" hidden="1" customHeight="1">
      <c r="E249" s="178" t="s">
        <v>301</v>
      </c>
      <c r="F249" s="178" t="s">
        <v>306</v>
      </c>
      <c r="G249" s="169"/>
      <c r="H249" s="181" t="str">
        <f>VLOOKUP(E249&amp;F249,'[1]MV+BI'!$E$8:$K$375,3,FALSE)</f>
        <v>Em Teste - Alteração EF</v>
      </c>
      <c r="I249" s="182" t="str">
        <f>VLOOKUP(E249&amp;F249,'[1]MV+BI'!$E$8:$K$375,4,FALSE)</f>
        <v>-</v>
      </c>
      <c r="J249" s="93"/>
      <c r="K249" s="172">
        <f>VLOOKUP(E249&amp;F249,'[1]MV+BI'!$E$8:$K$375,7,FALSE)</f>
        <v>45513</v>
      </c>
    </row>
    <row r="250" spans="2:49" s="2" customFormat="1" ht="13.95" hidden="1" customHeight="1">
      <c r="E250" s="178" t="s">
        <v>301</v>
      </c>
      <c r="F250" s="178" t="s">
        <v>307</v>
      </c>
      <c r="G250" s="169"/>
      <c r="H250" s="181" t="str">
        <f>VLOOKUP(E250&amp;F250,'[1]MV+BI'!$E$8:$K$375,3,FALSE)</f>
        <v>Em Teste - Alteração EF</v>
      </c>
      <c r="I250" s="182" t="str">
        <f>VLOOKUP(E250&amp;F250,'[1]MV+BI'!$E$8:$K$375,4,FALSE)</f>
        <v>-</v>
      </c>
      <c r="J250" s="93"/>
      <c r="K250" s="172">
        <f>VLOOKUP(E250&amp;F250,'[1]MV+BI'!$E$8:$K$375,7,FALSE)</f>
        <v>45513</v>
      </c>
    </row>
    <row r="251" spans="2:49" s="2" customFormat="1" ht="13.95" hidden="1" customHeight="1">
      <c r="E251" s="178" t="s">
        <v>301</v>
      </c>
      <c r="F251" s="178" t="s">
        <v>308</v>
      </c>
      <c r="G251" s="169"/>
      <c r="H251" s="181" t="str">
        <f>VLOOKUP(E251&amp;F251,'[1]MV+BI'!$E$8:$K$375,3,FALSE)</f>
        <v>Em Teste - Alteração EF</v>
      </c>
      <c r="I251" s="182" t="str">
        <f>VLOOKUP(E251&amp;F251,'[1]MV+BI'!$E$8:$K$375,4,FALSE)</f>
        <v>-</v>
      </c>
      <c r="J251" s="93"/>
      <c r="K251" s="172">
        <f>VLOOKUP(E251&amp;F251,'[1]MV+BI'!$E$8:$K$375,7,FALSE)</f>
        <v>45513</v>
      </c>
    </row>
    <row r="252" spans="2:49" s="2" customFormat="1" ht="13.95" hidden="1" customHeight="1">
      <c r="E252" s="178" t="s">
        <v>301</v>
      </c>
      <c r="F252" s="178" t="s">
        <v>309</v>
      </c>
      <c r="G252" s="169"/>
      <c r="H252" s="181" t="str">
        <f>VLOOKUP(E252&amp;F252,'[1]MV+BI'!$E$8:$K$375,3,FALSE)</f>
        <v>Em Teste - Alteração EF</v>
      </c>
      <c r="I252" s="182" t="str">
        <f>VLOOKUP(E252&amp;F252,'[1]MV+BI'!$E$8:$K$375,4,FALSE)</f>
        <v>-</v>
      </c>
      <c r="J252" s="93"/>
      <c r="K252" s="172">
        <f>VLOOKUP(E252&amp;F252,'[1]MV+BI'!$E$8:$K$375,7,FALSE)</f>
        <v>45513</v>
      </c>
    </row>
    <row r="253" spans="2:49" s="2" customFormat="1" ht="13.95" hidden="1" customHeight="1">
      <c r="E253" s="178" t="s">
        <v>301</v>
      </c>
      <c r="F253" s="178" t="s">
        <v>310</v>
      </c>
      <c r="G253" s="169"/>
      <c r="H253" s="181" t="str">
        <f>VLOOKUP(E253&amp;F253,'[1]MV+BI'!$E$8:$K$375,3,FALSE)</f>
        <v>Em Teste - Alteração EF</v>
      </c>
      <c r="I253" s="182" t="str">
        <f>VLOOKUP(E253&amp;F253,'[1]MV+BI'!$E$8:$K$375,4,FALSE)</f>
        <v>-</v>
      </c>
      <c r="J253" s="93"/>
      <c r="K253" s="172">
        <f>VLOOKUP(E253&amp;F253,'[1]MV+BI'!$E$8:$K$375,7,FALSE)</f>
        <v>45513</v>
      </c>
    </row>
    <row r="254" spans="2:49" s="2" customFormat="1" ht="13.95" hidden="1" customHeight="1">
      <c r="E254" s="178" t="s">
        <v>301</v>
      </c>
      <c r="F254" s="178" t="s">
        <v>67</v>
      </c>
      <c r="G254" s="169"/>
      <c r="H254" s="181" t="str">
        <f>VLOOKUP(E254&amp;F254,'[1]MV+BI'!$E$8:$K$375,3,FALSE)</f>
        <v>Em Teste - Alteração EF</v>
      </c>
      <c r="I254" s="182" t="str">
        <f>VLOOKUP(E254&amp;F254,'[1]MV+BI'!$E$8:$K$375,4,FALSE)</f>
        <v>-</v>
      </c>
      <c r="J254" s="93"/>
      <c r="K254" s="172">
        <f>VLOOKUP(E254&amp;F254,'[1]MV+BI'!$E$8:$K$375,7,FALSE)</f>
        <v>45513</v>
      </c>
    </row>
    <row r="255" spans="2:49" s="2" customFormat="1" ht="17.100000000000001" hidden="1" customHeight="1">
      <c r="E255" s="178" t="s">
        <v>301</v>
      </c>
      <c r="F255" s="178" t="s">
        <v>6</v>
      </c>
      <c r="G255" s="169"/>
      <c r="H255" s="181" t="str">
        <f>VLOOKUP(E255&amp;F255,'[1]MV+BI'!$E$8:$K$375,3,FALSE)</f>
        <v>Em Teste - Alteração EF</v>
      </c>
      <c r="I255" s="182" t="str">
        <f>VLOOKUP(E255&amp;F255,'[1]MV+BI'!$E$8:$K$375,4,FALSE)</f>
        <v>-</v>
      </c>
      <c r="J255" s="93"/>
      <c r="K255" s="172">
        <f>VLOOKUP(E255&amp;F255,'[1]MV+BI'!$E$8:$K$375,7,FALSE)</f>
        <v>45513</v>
      </c>
    </row>
    <row r="256" spans="2:49" s="2" customFormat="1" ht="13.95" hidden="1" customHeight="1">
      <c r="E256" s="178" t="s">
        <v>277</v>
      </c>
      <c r="F256" s="178" t="s">
        <v>278</v>
      </c>
      <c r="G256" s="169"/>
      <c r="H256" s="181" t="str">
        <f>VLOOKUP(E256&amp;F256,'[1]MV+BI'!$E$8:$K$375,3,FALSE)</f>
        <v>Em Teste - Alteração EF</v>
      </c>
      <c r="I256" s="182" t="str">
        <f>VLOOKUP(E256&amp;F256,'[1]MV+BI'!$E$8:$K$375,4,FALSE)</f>
        <v>-</v>
      </c>
      <c r="J256" s="93"/>
      <c r="K256" s="172">
        <f>VLOOKUP(E256&amp;F256,'[1]MV+BI'!$E$8:$K$375,7,FALSE)</f>
        <v>45513</v>
      </c>
    </row>
    <row r="257" spans="5:11" s="2" customFormat="1" ht="13.95" hidden="1" customHeight="1">
      <c r="E257" s="178" t="s">
        <v>277</v>
      </c>
      <c r="F257" s="178" t="s">
        <v>279</v>
      </c>
      <c r="G257" s="169"/>
      <c r="H257" s="181" t="str">
        <f>VLOOKUP(E257&amp;F257,'[1]MV+BI'!$E$8:$K$375,3,FALSE)</f>
        <v>Em Teste - Alteração EF</v>
      </c>
      <c r="I257" s="182" t="str">
        <f>VLOOKUP(E257&amp;F257,'[1]MV+BI'!$E$8:$K$375,4,FALSE)</f>
        <v>-</v>
      </c>
      <c r="J257" s="93"/>
      <c r="K257" s="172">
        <f>VLOOKUP(E257&amp;F257,'[1]MV+BI'!$E$8:$K$375,7,FALSE)</f>
        <v>45513</v>
      </c>
    </row>
    <row r="258" spans="5:11" s="2" customFormat="1" ht="13.95" hidden="1" customHeight="1">
      <c r="E258" s="178" t="s">
        <v>277</v>
      </c>
      <c r="F258" s="178" t="s">
        <v>280</v>
      </c>
      <c r="G258" s="169"/>
      <c r="H258" s="181" t="str">
        <f>VLOOKUP(E258&amp;F258,'[1]MV+BI'!$E$8:$K$375,3,FALSE)</f>
        <v>Em Teste - Alteração EF</v>
      </c>
      <c r="I258" s="182" t="str">
        <f>VLOOKUP(E258&amp;F258,'[1]MV+BI'!$E$8:$K$375,4,FALSE)</f>
        <v>-</v>
      </c>
      <c r="J258" s="93"/>
      <c r="K258" s="172">
        <f>VLOOKUP(E258&amp;F258,'[1]MV+BI'!$E$8:$K$375,7,FALSE)</f>
        <v>45513</v>
      </c>
    </row>
    <row r="259" spans="5:11" s="2" customFormat="1" ht="13.95" hidden="1" customHeight="1">
      <c r="E259" s="178" t="s">
        <v>277</v>
      </c>
      <c r="F259" s="178" t="s">
        <v>281</v>
      </c>
      <c r="G259" s="169"/>
      <c r="H259" s="181" t="str">
        <f>VLOOKUP(E259&amp;F259,'[1]MV+BI'!$E$8:$K$375,3,FALSE)</f>
        <v>Em Teste - Alteração EF</v>
      </c>
      <c r="I259" s="182" t="str">
        <f>VLOOKUP(E259&amp;F259,'[1]MV+BI'!$E$8:$K$375,4,FALSE)</f>
        <v>-</v>
      </c>
      <c r="J259" s="93"/>
      <c r="K259" s="172">
        <f>VLOOKUP(E259&amp;F259,'[1]MV+BI'!$E$8:$K$375,7,FALSE)</f>
        <v>45513</v>
      </c>
    </row>
    <row r="260" spans="5:11" s="2" customFormat="1" ht="13.95" hidden="1" customHeight="1">
      <c r="E260" s="178" t="s">
        <v>277</v>
      </c>
      <c r="F260" s="178" t="s">
        <v>84</v>
      </c>
      <c r="G260" s="169"/>
      <c r="H260" s="181" t="str">
        <f>VLOOKUP(E260&amp;F260,'[1]MV+BI'!$E$8:$K$375,3,FALSE)</f>
        <v>Em Teste - Alteração EF</v>
      </c>
      <c r="I260" s="182" t="str">
        <f>VLOOKUP(E260&amp;F260,'[1]MV+BI'!$E$8:$K$375,4,FALSE)</f>
        <v>-</v>
      </c>
      <c r="J260" s="93"/>
      <c r="K260" s="172">
        <f>VLOOKUP(E260&amp;F260,'[1]MV+BI'!$E$8:$K$375,7,FALSE)</f>
        <v>45513</v>
      </c>
    </row>
    <row r="261" spans="5:11" s="2" customFormat="1" ht="13.95" hidden="1" customHeight="1">
      <c r="E261" s="178" t="s">
        <v>277</v>
      </c>
      <c r="F261" s="178" t="s">
        <v>282</v>
      </c>
      <c r="G261" s="169"/>
      <c r="H261" s="181" t="str">
        <f>VLOOKUP(E261&amp;F261,'[1]MV+BI'!$E$8:$K$375,3,FALSE)</f>
        <v>Em Teste - Alteração EF</v>
      </c>
      <c r="I261" s="182" t="str">
        <f>VLOOKUP(E261&amp;F261,'[1]MV+BI'!$E$8:$K$375,4,FALSE)</f>
        <v>-</v>
      </c>
      <c r="J261" s="93"/>
      <c r="K261" s="172">
        <f>VLOOKUP(E261&amp;F261,'[1]MV+BI'!$E$8:$K$375,7,FALSE)</f>
        <v>45513</v>
      </c>
    </row>
    <row r="262" spans="5:11" s="2" customFormat="1" ht="13.95" hidden="1" customHeight="1">
      <c r="E262" s="178" t="s">
        <v>277</v>
      </c>
      <c r="F262" s="178" t="s">
        <v>283</v>
      </c>
      <c r="G262" s="169"/>
      <c r="H262" s="181" t="str">
        <f>VLOOKUP(E262&amp;F262,'[1]MV+BI'!$E$8:$K$375,3,FALSE)</f>
        <v>Em Teste - Alteração EF</v>
      </c>
      <c r="I262" s="182" t="str">
        <f>VLOOKUP(E262&amp;F262,'[1]MV+BI'!$E$8:$K$375,4,FALSE)</f>
        <v>-</v>
      </c>
      <c r="J262" s="93"/>
      <c r="K262" s="172">
        <f>VLOOKUP(E262&amp;F262,'[1]MV+BI'!$E$8:$K$375,7,FALSE)</f>
        <v>45513</v>
      </c>
    </row>
    <row r="263" spans="5:11" s="2" customFormat="1" ht="13.95" hidden="1" customHeight="1">
      <c r="E263" s="178" t="s">
        <v>277</v>
      </c>
      <c r="F263" s="178" t="s">
        <v>284</v>
      </c>
      <c r="G263" s="169"/>
      <c r="H263" s="181" t="str">
        <f>VLOOKUP(E263&amp;F263,'[1]MV+BI'!$E$8:$K$375,3,FALSE)</f>
        <v>Em Teste - Alteração EF</v>
      </c>
      <c r="I263" s="182" t="str">
        <f>VLOOKUP(E263&amp;F263,'[1]MV+BI'!$E$8:$K$375,4,FALSE)</f>
        <v>-</v>
      </c>
      <c r="J263" s="93"/>
      <c r="K263" s="172">
        <f>VLOOKUP(E263&amp;F263,'[1]MV+BI'!$E$8:$K$375,7,FALSE)</f>
        <v>45513</v>
      </c>
    </row>
    <row r="264" spans="5:11" s="2" customFormat="1" ht="13.95" hidden="1" customHeight="1">
      <c r="E264" s="178" t="s">
        <v>277</v>
      </c>
      <c r="F264" s="178" t="s">
        <v>285</v>
      </c>
      <c r="G264" s="169"/>
      <c r="H264" s="181" t="str">
        <f>VLOOKUP(E264&amp;F264,'[1]MV+BI'!$E$8:$K$375,3,FALSE)</f>
        <v>Em Teste - Alteração EF</v>
      </c>
      <c r="I264" s="182" t="str">
        <f>VLOOKUP(E264&amp;F264,'[1]MV+BI'!$E$8:$K$375,4,FALSE)</f>
        <v>-</v>
      </c>
      <c r="J264" s="93"/>
      <c r="K264" s="172">
        <f>VLOOKUP(E264&amp;F264,'[1]MV+BI'!$E$8:$K$375,7,FALSE)</f>
        <v>45513</v>
      </c>
    </row>
    <row r="265" spans="5:11" s="2" customFormat="1" ht="13.95" hidden="1" customHeight="1">
      <c r="E265" s="178" t="s">
        <v>277</v>
      </c>
      <c r="F265" s="178" t="s">
        <v>286</v>
      </c>
      <c r="G265" s="169"/>
      <c r="H265" s="181" t="str">
        <f>VLOOKUP(E265&amp;F265,'[1]MV+BI'!$E$8:$K$375,3,FALSE)</f>
        <v>Em Teste - Alteração EF</v>
      </c>
      <c r="I265" s="182" t="str">
        <f>VLOOKUP(E265&amp;F265,'[1]MV+BI'!$E$8:$K$375,4,FALSE)</f>
        <v>-</v>
      </c>
      <c r="J265" s="93"/>
      <c r="K265" s="172">
        <f>VLOOKUP(E265&amp;F265,'[1]MV+BI'!$E$8:$K$375,7,FALSE)</f>
        <v>45513</v>
      </c>
    </row>
    <row r="266" spans="5:11" s="2" customFormat="1" ht="13.95" hidden="1" customHeight="1">
      <c r="E266" s="178" t="s">
        <v>277</v>
      </c>
      <c r="F266" s="178" t="s">
        <v>287</v>
      </c>
      <c r="G266" s="169"/>
      <c r="H266" s="181" t="str">
        <f>VLOOKUP(E266&amp;F266,'[1]MV+BI'!$E$8:$K$375,3,FALSE)</f>
        <v>Em Teste - Alteração EF</v>
      </c>
      <c r="I266" s="182" t="str">
        <f>VLOOKUP(E266&amp;F266,'[1]MV+BI'!$E$8:$K$375,4,FALSE)</f>
        <v>-</v>
      </c>
      <c r="J266" s="93"/>
      <c r="K266" s="172">
        <f>VLOOKUP(E266&amp;F266,'[1]MV+BI'!$E$8:$K$375,7,FALSE)</f>
        <v>45513</v>
      </c>
    </row>
    <row r="267" spans="5:11" s="2" customFormat="1" ht="13.95" hidden="1" customHeight="1">
      <c r="E267" s="178" t="s">
        <v>277</v>
      </c>
      <c r="F267" s="178" t="s">
        <v>288</v>
      </c>
      <c r="G267" s="169"/>
      <c r="H267" s="181" t="str">
        <f>VLOOKUP(E267&amp;F267,'[1]MV+BI'!$E$8:$K$375,3,FALSE)</f>
        <v>Em Teste - Alteração EF</v>
      </c>
      <c r="I267" s="182" t="str">
        <f>VLOOKUP(E267&amp;F267,'[1]MV+BI'!$E$8:$K$375,4,FALSE)</f>
        <v>-</v>
      </c>
      <c r="J267" s="93"/>
      <c r="K267" s="172">
        <f>VLOOKUP(E267&amp;F267,'[1]MV+BI'!$E$8:$K$375,7,FALSE)</f>
        <v>45513</v>
      </c>
    </row>
    <row r="268" spans="5:11" s="2" customFormat="1" ht="13.95" hidden="1" customHeight="1">
      <c r="E268" s="178" t="s">
        <v>277</v>
      </c>
      <c r="F268" s="178" t="s">
        <v>289</v>
      </c>
      <c r="G268" s="169"/>
      <c r="H268" s="181" t="str">
        <f>VLOOKUP(E268&amp;F268,'[1]MV+BI'!$E$8:$K$375,3,FALSE)</f>
        <v>Em Teste - Alteração EF</v>
      </c>
      <c r="I268" s="182" t="str">
        <f>VLOOKUP(E268&amp;F268,'[1]MV+BI'!$E$8:$K$375,4,FALSE)</f>
        <v>-</v>
      </c>
      <c r="J268" s="93"/>
      <c r="K268" s="172">
        <f>VLOOKUP(E268&amp;F268,'[1]MV+BI'!$E$8:$K$375,7,FALSE)</f>
        <v>45513</v>
      </c>
    </row>
    <row r="269" spans="5:11" s="2" customFormat="1" ht="13.95" hidden="1" customHeight="1">
      <c r="E269" s="178" t="s">
        <v>277</v>
      </c>
      <c r="F269" s="178" t="s">
        <v>290</v>
      </c>
      <c r="G269" s="169"/>
      <c r="H269" s="181" t="str">
        <f>VLOOKUP(E269&amp;F269,'[1]MV+BI'!$E$8:$K$375,3,FALSE)</f>
        <v>Em Teste - Alteração EF</v>
      </c>
      <c r="I269" s="182" t="str">
        <f>VLOOKUP(E269&amp;F269,'[1]MV+BI'!$E$8:$K$375,4,FALSE)</f>
        <v>-</v>
      </c>
      <c r="J269" s="93"/>
      <c r="K269" s="172">
        <f>VLOOKUP(E269&amp;F269,'[1]MV+BI'!$E$8:$K$375,7,FALSE)</f>
        <v>45513</v>
      </c>
    </row>
    <row r="270" spans="5:11" s="2" customFormat="1" ht="13.95" hidden="1" customHeight="1">
      <c r="E270" s="178" t="s">
        <v>277</v>
      </c>
      <c r="F270" s="178" t="s">
        <v>291</v>
      </c>
      <c r="G270" s="169"/>
      <c r="H270" s="181" t="str">
        <f>VLOOKUP(E270&amp;F270,'[1]MV+BI'!$E$8:$K$375,3,FALSE)</f>
        <v>Em Teste - Alteração EF</v>
      </c>
      <c r="I270" s="182" t="str">
        <f>VLOOKUP(E270&amp;F270,'[1]MV+BI'!$E$8:$K$375,4,FALSE)</f>
        <v>-</v>
      </c>
      <c r="J270" s="93"/>
      <c r="K270" s="172">
        <f>VLOOKUP(E270&amp;F270,'[1]MV+BI'!$E$8:$K$375,7,FALSE)</f>
        <v>45513</v>
      </c>
    </row>
    <row r="271" spans="5:11" s="2" customFormat="1" ht="13.95" hidden="1" customHeight="1">
      <c r="E271" s="178" t="s">
        <v>277</v>
      </c>
      <c r="F271" s="178" t="s">
        <v>292</v>
      </c>
      <c r="G271" s="169"/>
      <c r="H271" s="181" t="str">
        <f>VLOOKUP(E271&amp;F271,'[1]MV+BI'!$E$8:$K$375,3,FALSE)</f>
        <v>Em Teste - Alteração EF</v>
      </c>
      <c r="I271" s="182" t="str">
        <f>VLOOKUP(E271&amp;F271,'[1]MV+BI'!$E$8:$K$375,4,FALSE)</f>
        <v>-</v>
      </c>
      <c r="J271" s="93"/>
      <c r="K271" s="172">
        <f>VLOOKUP(E271&amp;F271,'[1]MV+BI'!$E$8:$K$375,7,FALSE)</f>
        <v>45513</v>
      </c>
    </row>
    <row r="272" spans="5:11" s="2" customFormat="1" ht="13.95" hidden="1" customHeight="1">
      <c r="E272" s="178" t="s">
        <v>277</v>
      </c>
      <c r="F272" s="178" t="s">
        <v>293</v>
      </c>
      <c r="G272" s="169"/>
      <c r="H272" s="181" t="str">
        <f>VLOOKUP(E272&amp;F272,'[1]MV+BI'!$E$8:$K$375,3,FALSE)</f>
        <v>Em Teste - Alteração EF</v>
      </c>
      <c r="I272" s="182" t="str">
        <f>VLOOKUP(E272&amp;F272,'[1]MV+BI'!$E$8:$K$375,4,FALSE)</f>
        <v>-</v>
      </c>
      <c r="J272" s="93"/>
      <c r="K272" s="172">
        <f>VLOOKUP(E272&amp;F272,'[1]MV+BI'!$E$8:$K$375,7,FALSE)</f>
        <v>45513</v>
      </c>
    </row>
    <row r="273" spans="1:49" s="2" customFormat="1" ht="13.95" hidden="1" customHeight="1">
      <c r="E273" s="178" t="s">
        <v>277</v>
      </c>
      <c r="F273" s="178" t="s">
        <v>294</v>
      </c>
      <c r="G273" s="169"/>
      <c r="H273" s="181" t="str">
        <f>VLOOKUP(E273&amp;F273,'[1]MV+BI'!$E$8:$K$375,3,FALSE)</f>
        <v>Em Teste - Alteração EF</v>
      </c>
      <c r="I273" s="182" t="str">
        <f>VLOOKUP(E273&amp;F273,'[1]MV+BI'!$E$8:$K$375,4,FALSE)</f>
        <v>-</v>
      </c>
      <c r="J273" s="93"/>
      <c r="K273" s="172">
        <f>VLOOKUP(E273&amp;F273,'[1]MV+BI'!$E$8:$K$375,7,FALSE)</f>
        <v>45513</v>
      </c>
    </row>
    <row r="274" spans="1:49" s="2" customFormat="1" ht="13.95" hidden="1" customHeight="1">
      <c r="E274" s="178" t="s">
        <v>277</v>
      </c>
      <c r="F274" s="178" t="s">
        <v>67</v>
      </c>
      <c r="G274" s="169"/>
      <c r="H274" s="181" t="str">
        <f>VLOOKUP(E274&amp;F274,'[1]MV+BI'!$E$8:$K$375,3,FALSE)</f>
        <v>Em Teste - Alteração EF</v>
      </c>
      <c r="I274" s="182" t="str">
        <f>VLOOKUP(E274&amp;F274,'[1]MV+BI'!$E$8:$K$375,4,FALSE)</f>
        <v>-</v>
      </c>
      <c r="J274" s="93"/>
      <c r="K274" s="172">
        <f>VLOOKUP(E274&amp;F274,'[1]MV+BI'!$E$8:$K$375,7,FALSE)</f>
        <v>45513</v>
      </c>
    </row>
    <row r="275" spans="1:49" s="2" customFormat="1" ht="13.95" hidden="1" customHeight="1">
      <c r="E275" s="178" t="s">
        <v>277</v>
      </c>
      <c r="F275" s="178" t="s">
        <v>6</v>
      </c>
      <c r="G275" s="169"/>
      <c r="H275" s="181" t="str">
        <f>VLOOKUP(E275&amp;F275,'[1]MV+BI'!$E$8:$K$375,3,FALSE)</f>
        <v>Em Teste - Alteração EF</v>
      </c>
      <c r="I275" s="182" t="str">
        <f>VLOOKUP(E275&amp;F275,'[1]MV+BI'!$E$8:$K$375,4,FALSE)</f>
        <v>-</v>
      </c>
      <c r="J275" s="93"/>
      <c r="K275" s="172">
        <f>VLOOKUP(E275&amp;F275,'[1]MV+BI'!$E$8:$K$375,7,FALSE)</f>
        <v>45513</v>
      </c>
    </row>
    <row r="276" spans="1:49" s="2" customFormat="1" ht="13.95" hidden="1" customHeight="1">
      <c r="E276" s="178" t="s">
        <v>295</v>
      </c>
      <c r="F276" s="178" t="s">
        <v>84</v>
      </c>
      <c r="G276" s="169"/>
      <c r="H276" s="181" t="str">
        <f>VLOOKUP(E276&amp;F276,'[1]MV+BI'!$E$8:$K$375,3,FALSE)</f>
        <v>Em Teste - Alteração EF</v>
      </c>
      <c r="I276" s="182" t="str">
        <f>VLOOKUP(E276&amp;F276,'[1]MV+BI'!$E$8:$K$375,4,FALSE)</f>
        <v>-</v>
      </c>
      <c r="J276" s="93"/>
      <c r="K276" s="172">
        <f>VLOOKUP(E276&amp;F276,'[1]MV+BI'!$E$8:$K$375,7,FALSE)</f>
        <v>45450</v>
      </c>
    </row>
    <row r="277" spans="1:49" s="2" customFormat="1" ht="13.95" hidden="1" customHeight="1">
      <c r="E277" s="178" t="s">
        <v>295</v>
      </c>
      <c r="F277" s="178" t="s">
        <v>282</v>
      </c>
      <c r="G277" s="169"/>
      <c r="H277" s="181" t="str">
        <f>VLOOKUP(E277&amp;F277,'[1]MV+BI'!$E$8:$K$375,3,FALSE)</f>
        <v>Em Teste - Alteração EF</v>
      </c>
      <c r="I277" s="182" t="str">
        <f>VLOOKUP(E277&amp;F277,'[1]MV+BI'!$E$8:$K$375,4,FALSE)</f>
        <v>-</v>
      </c>
      <c r="J277" s="93"/>
      <c r="K277" s="172">
        <f>VLOOKUP(E277&amp;F277,'[1]MV+BI'!$E$8:$K$375,7,FALSE)</f>
        <v>45450</v>
      </c>
    </row>
    <row r="278" spans="1:49" s="2" customFormat="1" ht="14.4"/>
    <row r="279" spans="1:49" s="2" customFormat="1" ht="0" hidden="1" customHeight="1">
      <c r="E279" s="178" t="s">
        <v>295</v>
      </c>
      <c r="F279" s="178" t="s">
        <v>284</v>
      </c>
      <c r="G279" s="169"/>
      <c r="H279" s="181" t="str">
        <f>VLOOKUP(E279&amp;F279,'[1]MV+BI'!$E$8:$K$375,3,FALSE)</f>
        <v>Em Teste - Alteração EF</v>
      </c>
      <c r="I279" s="182" t="str">
        <f>VLOOKUP(E279&amp;F279,'[1]MV+BI'!$E$8:$K$375,4,FALSE)</f>
        <v>-</v>
      </c>
      <c r="J279" s="93"/>
      <c r="K279" s="172">
        <f>VLOOKUP(E279&amp;F279,'[1]MV+BI'!$E$8:$K$375,7,FALSE)</f>
        <v>45450</v>
      </c>
      <c r="AF279"/>
      <c r="AG279"/>
    </row>
    <row r="280" spans="1:49" s="2" customFormat="1" ht="0" hidden="1" customHeight="1">
      <c r="A280"/>
      <c r="E280" s="178" t="s">
        <v>295</v>
      </c>
      <c r="F280" s="178" t="s">
        <v>69</v>
      </c>
      <c r="G280" s="169"/>
      <c r="H280" s="181" t="str">
        <f>VLOOKUP(E280&amp;F280,'[1]MV+BI'!$E$8:$K$375,3,FALSE)</f>
        <v>Em Teste - Alteração EF</v>
      </c>
      <c r="I280" s="182" t="str">
        <f>VLOOKUP(E280&amp;F280,'[1]MV+BI'!$E$8:$K$375,4,FALSE)</f>
        <v>-</v>
      </c>
      <c r="J280" s="93"/>
      <c r="K280" s="172">
        <f>VLOOKUP(E280&amp;F280,'[1]MV+BI'!$E$8:$K$375,7,FALSE)</f>
        <v>45450</v>
      </c>
      <c r="AF280"/>
      <c r="AG280"/>
    </row>
    <row r="281" spans="1:49" s="2" customFormat="1" ht="0" hidden="1" customHeight="1">
      <c r="A281"/>
      <c r="B281"/>
      <c r="C281"/>
      <c r="D281"/>
      <c r="E281" s="178" t="s">
        <v>295</v>
      </c>
      <c r="F281" s="178" t="s">
        <v>70</v>
      </c>
      <c r="G281" s="169"/>
      <c r="H281" s="181" t="str">
        <f>VLOOKUP(E281&amp;F281,'[1]MV+BI'!$E$8:$K$375,3,FALSE)</f>
        <v>Em Teste - Alteração EF</v>
      </c>
      <c r="I281" s="182" t="str">
        <f>VLOOKUP(E281&amp;F281,'[1]MV+BI'!$E$8:$K$375,4,FALSE)</f>
        <v>-</v>
      </c>
      <c r="J281" s="93"/>
      <c r="K281" s="172">
        <f>VLOOKUP(E281&amp;F281,'[1]MV+BI'!$E$8:$K$375,7,FALSE)</f>
        <v>45450</v>
      </c>
      <c r="L281"/>
      <c r="M281"/>
      <c r="N281"/>
      <c r="O281"/>
      <c r="P281"/>
      <c r="Q281"/>
      <c r="R281"/>
      <c r="S281"/>
      <c r="T281"/>
      <c r="U281"/>
      <c r="AF281"/>
      <c r="AG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</row>
    <row r="282" spans="1:49" s="2" customFormat="1" ht="0" hidden="1" customHeight="1">
      <c r="A282"/>
      <c r="B282"/>
      <c r="C282"/>
      <c r="D282"/>
      <c r="E282" s="178" t="s">
        <v>295</v>
      </c>
      <c r="F282" s="178" t="s">
        <v>71</v>
      </c>
      <c r="G282" s="169"/>
      <c r="H282" s="181" t="str">
        <f>VLOOKUP(E282&amp;F282,'[1]MV+BI'!$E$8:$K$375,3,FALSE)</f>
        <v>Em Teste - Alteração EF</v>
      </c>
      <c r="I282" s="182" t="str">
        <f>VLOOKUP(E282&amp;F282,'[1]MV+BI'!$E$8:$K$375,4,FALSE)</f>
        <v>-</v>
      </c>
      <c r="J282" s="93"/>
      <c r="K282" s="172">
        <f>VLOOKUP(E282&amp;F282,'[1]MV+BI'!$E$8:$K$375,7,FALSE)</f>
        <v>45450</v>
      </c>
      <c r="L282"/>
      <c r="M282"/>
      <c r="N282"/>
      <c r="O282"/>
      <c r="P282"/>
      <c r="Q282"/>
      <c r="R282"/>
      <c r="S282"/>
      <c r="T282"/>
      <c r="U282"/>
      <c r="AF282"/>
      <c r="AG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</row>
    <row r="283" spans="1:49" s="2" customFormat="1" ht="0" hidden="1" customHeight="1">
      <c r="A283"/>
      <c r="B283"/>
      <c r="C283"/>
      <c r="D283"/>
      <c r="E283" s="178" t="s">
        <v>295</v>
      </c>
      <c r="F283" s="178" t="s">
        <v>72</v>
      </c>
      <c r="G283" s="169"/>
      <c r="H283" s="181" t="str">
        <f>VLOOKUP(E283&amp;F283,'[1]MV+BI'!$E$8:$K$375,3,FALSE)</f>
        <v>Em Teste - Alteração EF</v>
      </c>
      <c r="I283" s="182" t="str">
        <f>VLOOKUP(E283&amp;F283,'[1]MV+BI'!$E$8:$K$375,4,FALSE)</f>
        <v>-</v>
      </c>
      <c r="J283" s="93"/>
      <c r="K283" s="172">
        <f>VLOOKUP(E283&amp;F283,'[1]MV+BI'!$E$8:$K$375,7,FALSE)</f>
        <v>45450</v>
      </c>
      <c r="L283"/>
      <c r="M283"/>
      <c r="N283"/>
      <c r="O283"/>
      <c r="P283"/>
      <c r="Q283"/>
      <c r="R283"/>
      <c r="S283"/>
      <c r="T283"/>
      <c r="U283"/>
      <c r="AF283"/>
      <c r="AG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</row>
    <row r="284" spans="1:49" s="2" customFormat="1" ht="0" hidden="1" customHeight="1">
      <c r="A284"/>
      <c r="B284"/>
      <c r="C284"/>
      <c r="D284"/>
      <c r="E284" s="178" t="s">
        <v>295</v>
      </c>
      <c r="F284" s="178" t="s">
        <v>296</v>
      </c>
      <c r="G284" s="169"/>
      <c r="H284" s="181" t="str">
        <f>VLOOKUP(E284&amp;F284,'[1]MV+BI'!$E$8:$K$375,3,FALSE)</f>
        <v>Em Teste - Alteração EF</v>
      </c>
      <c r="I284" s="182" t="str">
        <f>VLOOKUP(E284&amp;F284,'[1]MV+BI'!$E$8:$K$375,4,FALSE)</f>
        <v>-</v>
      </c>
      <c r="J284" s="93"/>
      <c r="K284" s="172">
        <f>VLOOKUP(E284&amp;F284,'[1]MV+BI'!$E$8:$K$375,7,FALSE)</f>
        <v>45450</v>
      </c>
      <c r="L284"/>
      <c r="M284"/>
      <c r="N284"/>
      <c r="O284"/>
      <c r="P284"/>
      <c r="Q284"/>
      <c r="R284"/>
      <c r="S284"/>
      <c r="T284"/>
      <c r="U284"/>
      <c r="AF284"/>
      <c r="AG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</row>
    <row r="285" spans="1:49" s="2" customFormat="1" ht="0" hidden="1" customHeight="1">
      <c r="A285"/>
      <c r="B285"/>
      <c r="C285"/>
      <c r="D285"/>
      <c r="E285" s="178" t="s">
        <v>295</v>
      </c>
      <c r="F285" s="180" t="s">
        <v>297</v>
      </c>
      <c r="G285" s="169"/>
      <c r="H285" s="181" t="str">
        <f>VLOOKUP(E285&amp;F285,'[1]MV+BI'!$E$8:$K$375,3,FALSE)</f>
        <v>Em Teste - Alteração EF</v>
      </c>
      <c r="I285" s="182" t="str">
        <f>VLOOKUP(E285&amp;F285,'[1]MV+BI'!$E$8:$K$375,4,FALSE)</f>
        <v>-</v>
      </c>
      <c r="J285" s="93"/>
      <c r="K285" s="172">
        <f>VLOOKUP(E285&amp;F285,'[1]MV+BI'!$E$8:$K$375,7,FALSE)</f>
        <v>45450</v>
      </c>
      <c r="L285"/>
      <c r="M285"/>
      <c r="N285"/>
      <c r="O285"/>
      <c r="P285"/>
      <c r="Q285"/>
      <c r="R285"/>
      <c r="S285"/>
      <c r="T285"/>
      <c r="U285"/>
      <c r="AF285"/>
      <c r="AG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</row>
    <row r="286" spans="1:49" s="2" customFormat="1" ht="0" hidden="1" customHeight="1">
      <c r="A286"/>
      <c r="B286"/>
      <c r="C286"/>
      <c r="D286"/>
      <c r="E286" s="178" t="s">
        <v>295</v>
      </c>
      <c r="F286" s="180" t="s">
        <v>298</v>
      </c>
      <c r="G286" s="169"/>
      <c r="H286" s="181" t="str">
        <f>VLOOKUP(E286&amp;F286,'[1]MV+BI'!$E$8:$K$375,3,FALSE)</f>
        <v>Em Teste - Alteração EF</v>
      </c>
      <c r="I286" s="182" t="str">
        <f>VLOOKUP(E286&amp;F286,'[1]MV+BI'!$E$8:$K$375,4,FALSE)</f>
        <v>-</v>
      </c>
      <c r="J286" s="93"/>
      <c r="K286" s="172">
        <f>VLOOKUP(E286&amp;F286,'[1]MV+BI'!$E$8:$K$375,7,FALSE)</f>
        <v>45450</v>
      </c>
      <c r="L286"/>
      <c r="M286"/>
      <c r="N286"/>
      <c r="O286"/>
      <c r="P286"/>
      <c r="Q286"/>
      <c r="R286"/>
      <c r="S286"/>
      <c r="T286"/>
      <c r="U286"/>
      <c r="AF286"/>
      <c r="AG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</row>
    <row r="287" spans="1:49" s="2" customFormat="1" ht="0" hidden="1" customHeight="1">
      <c r="A287"/>
      <c r="B287"/>
      <c r="C287"/>
      <c r="D287"/>
      <c r="E287" s="178" t="s">
        <v>295</v>
      </c>
      <c r="F287" s="180" t="s">
        <v>299</v>
      </c>
      <c r="G287" s="169"/>
      <c r="H287" s="181" t="str">
        <f>VLOOKUP(E287&amp;F287,'[1]MV+BI'!$E$8:$K$375,3,FALSE)</f>
        <v>Em Teste - Alteração EF</v>
      </c>
      <c r="I287" s="182" t="str">
        <f>VLOOKUP(E287&amp;F287,'[1]MV+BI'!$E$8:$K$375,4,FALSE)</f>
        <v>-</v>
      </c>
      <c r="J287" s="93"/>
      <c r="K287" s="172">
        <f>VLOOKUP(E287&amp;F287,'[1]MV+BI'!$E$8:$K$375,7,FALSE)</f>
        <v>45450</v>
      </c>
      <c r="L287"/>
      <c r="M287"/>
      <c r="N287"/>
      <c r="O287"/>
      <c r="P287"/>
      <c r="Q287"/>
      <c r="R287"/>
      <c r="S287"/>
      <c r="T287"/>
      <c r="U287"/>
      <c r="AF287"/>
      <c r="AG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</row>
    <row r="288" spans="1:49" s="2" customFormat="1" ht="0" hidden="1" customHeight="1">
      <c r="A288"/>
      <c r="B288"/>
      <c r="C288"/>
      <c r="D288"/>
      <c r="E288" s="178" t="s">
        <v>295</v>
      </c>
      <c r="F288" s="180" t="s">
        <v>300</v>
      </c>
      <c r="G288" s="169"/>
      <c r="H288" s="181" t="str">
        <f>VLOOKUP(E288&amp;F288,'[1]MV+BI'!$E$8:$K$375,3,FALSE)</f>
        <v>Em Teste - Alteração EF</v>
      </c>
      <c r="I288" s="182" t="str">
        <f>VLOOKUP(E288&amp;F288,'[1]MV+BI'!$E$8:$K$375,4,FALSE)</f>
        <v>-</v>
      </c>
      <c r="J288" s="93"/>
      <c r="K288" s="172">
        <f>VLOOKUP(E288&amp;F288,'[1]MV+BI'!$E$8:$K$375,7,FALSE)</f>
        <v>45450</v>
      </c>
      <c r="L288"/>
      <c r="M288"/>
      <c r="N288"/>
      <c r="O288"/>
      <c r="P288"/>
      <c r="Q288"/>
      <c r="R288"/>
      <c r="S288"/>
      <c r="T288"/>
      <c r="U288"/>
      <c r="AF288"/>
      <c r="AG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</row>
    <row r="289" spans="1:49" s="2" customFormat="1" ht="0" hidden="1" customHeight="1">
      <c r="A289"/>
      <c r="B289"/>
      <c r="C289"/>
      <c r="D289"/>
      <c r="E289" s="178" t="s">
        <v>295</v>
      </c>
      <c r="F289" s="178" t="s">
        <v>67</v>
      </c>
      <c r="G289" s="169"/>
      <c r="H289" s="181" t="str">
        <f>VLOOKUP(E289&amp;F289,'[1]MV+BI'!$E$8:$K$375,3,FALSE)</f>
        <v>Em Teste - Alteração EF</v>
      </c>
      <c r="I289" s="182" t="str">
        <f>VLOOKUP(E289&amp;F289,'[1]MV+BI'!$E$8:$K$375,4,FALSE)</f>
        <v>-</v>
      </c>
      <c r="J289" s="93"/>
      <c r="K289" s="172">
        <f>VLOOKUP(E289&amp;F289,'[1]MV+BI'!$E$8:$K$375,7,FALSE)</f>
        <v>45450</v>
      </c>
      <c r="L289"/>
      <c r="M289"/>
      <c r="N289"/>
      <c r="O289"/>
      <c r="P289"/>
      <c r="Q289"/>
      <c r="R289"/>
      <c r="S289"/>
      <c r="T289"/>
      <c r="U289"/>
      <c r="AF289"/>
      <c r="AG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</row>
    <row r="290" spans="1:49" s="2" customFormat="1" ht="0" hidden="1" customHeight="1">
      <c r="A290"/>
      <c r="B290"/>
      <c r="C290"/>
      <c r="D290"/>
      <c r="E290" s="178" t="s">
        <v>295</v>
      </c>
      <c r="F290" s="178" t="s">
        <v>6</v>
      </c>
      <c r="G290" s="169"/>
      <c r="H290" s="181" t="str">
        <f>VLOOKUP(E290&amp;F290,'[1]MV+BI'!$E$8:$K$375,3,FALSE)</f>
        <v>Em Teste - Alteração EF</v>
      </c>
      <c r="I290" s="182" t="str">
        <f>VLOOKUP(E290&amp;F290,'[1]MV+BI'!$E$8:$K$375,4,FALSE)</f>
        <v>-</v>
      </c>
      <c r="J290" s="93"/>
      <c r="K290" s="172">
        <f>VLOOKUP(E290&amp;F290,'[1]MV+BI'!$E$8:$K$375,7,FALSE)</f>
        <v>45450</v>
      </c>
      <c r="L290"/>
      <c r="M290"/>
      <c r="N290"/>
      <c r="O290"/>
      <c r="P290"/>
      <c r="Q290"/>
      <c r="R290"/>
      <c r="S290"/>
      <c r="T290"/>
      <c r="U290"/>
      <c r="AF290"/>
      <c r="AG290"/>
    </row>
    <row r="291" spans="1:49" s="2" customFormat="1" ht="0" hidden="1" customHeight="1">
      <c r="A291"/>
      <c r="B291"/>
      <c r="C291"/>
      <c r="D291"/>
      <c r="E291"/>
      <c r="F291"/>
      <c r="G291"/>
      <c r="H291"/>
      <c r="I291"/>
      <c r="J291"/>
      <c r="K291" s="1"/>
      <c r="L291"/>
      <c r="M291"/>
      <c r="N291"/>
      <c r="O291"/>
      <c r="P291"/>
      <c r="Q291"/>
      <c r="R291"/>
      <c r="S291"/>
      <c r="T291"/>
      <c r="U291"/>
      <c r="AF291"/>
      <c r="AG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</row>
    <row r="292" spans="1:49" s="2" customFormat="1" ht="0" hidden="1" customHeight="1">
      <c r="A292"/>
      <c r="B292"/>
      <c r="C292"/>
      <c r="D292"/>
      <c r="E292"/>
      <c r="F292"/>
      <c r="G292"/>
      <c r="H292"/>
      <c r="I292"/>
      <c r="J292"/>
      <c r="K292" s="1"/>
      <c r="L292"/>
      <c r="M292"/>
      <c r="N292"/>
      <c r="O292"/>
      <c r="P292"/>
      <c r="Q292"/>
      <c r="R292"/>
      <c r="S292"/>
      <c r="T292"/>
      <c r="U292"/>
      <c r="AF292"/>
      <c r="AG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</row>
    <row r="293" spans="1:49" s="2" customFormat="1" ht="0" hidden="1" customHeight="1">
      <c r="A293"/>
      <c r="B293"/>
      <c r="C293"/>
      <c r="D293"/>
      <c r="E293"/>
      <c r="F293"/>
      <c r="G293"/>
      <c r="H293"/>
      <c r="I293"/>
      <c r="J293"/>
      <c r="K293" s="1"/>
      <c r="L293"/>
      <c r="M293"/>
      <c r="N293"/>
      <c r="O293"/>
      <c r="P293"/>
      <c r="Q293"/>
      <c r="R293"/>
      <c r="S293"/>
      <c r="T293"/>
      <c r="U293"/>
      <c r="AF293"/>
      <c r="AG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</row>
    <row r="294" spans="1:49" ht="0" hidden="1" customHeight="1"/>
    <row r="295" spans="1:49" ht="0" hidden="1" customHeight="1"/>
    <row r="296" spans="1:49" s="2" customFormat="1" ht="0" hidden="1" customHeight="1">
      <c r="A296"/>
      <c r="B296"/>
      <c r="C296"/>
      <c r="D296"/>
      <c r="E296"/>
      <c r="F296"/>
      <c r="G296"/>
      <c r="H296"/>
      <c r="I296"/>
      <c r="J296"/>
      <c r="K296" s="1"/>
      <c r="L296"/>
      <c r="M296"/>
      <c r="N296"/>
      <c r="O296"/>
      <c r="P296"/>
      <c r="Q296"/>
      <c r="R296"/>
      <c r="S296"/>
      <c r="T296"/>
      <c r="U296"/>
      <c r="AF296"/>
      <c r="AG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</row>
    <row r="297" spans="1:49" s="2" customFormat="1" ht="13.95" hidden="1" customHeight="1">
      <c r="A297"/>
      <c r="B297"/>
      <c r="C297"/>
      <c r="D297"/>
      <c r="E297"/>
      <c r="F297"/>
      <c r="G297"/>
      <c r="H297"/>
      <c r="I297"/>
      <c r="J297"/>
      <c r="K297" s="1"/>
      <c r="L297"/>
      <c r="M297"/>
      <c r="N297"/>
      <c r="O297"/>
      <c r="P297"/>
      <c r="Q297"/>
      <c r="R297"/>
      <c r="S297"/>
      <c r="T297"/>
      <c r="U297"/>
      <c r="AF297"/>
      <c r="AG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</row>
    <row r="298" spans="1:49" s="2" customFormat="1" ht="13.95" hidden="1" customHeight="1">
      <c r="A298"/>
      <c r="B298"/>
      <c r="C298"/>
      <c r="D298"/>
      <c r="E298"/>
      <c r="F298"/>
      <c r="G298"/>
      <c r="H298"/>
      <c r="I298"/>
      <c r="J298"/>
      <c r="K298" s="1"/>
      <c r="L298"/>
      <c r="M298"/>
      <c r="N298"/>
      <c r="O298"/>
      <c r="P298"/>
      <c r="Q298"/>
      <c r="R298"/>
      <c r="S298"/>
      <c r="T298"/>
      <c r="U298"/>
      <c r="AF298"/>
      <c r="AG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</row>
    <row r="299" spans="1:49" s="2" customFormat="1" ht="13.95" hidden="1" customHeight="1">
      <c r="A299"/>
      <c r="B299"/>
      <c r="C299"/>
      <c r="D299"/>
      <c r="E299"/>
      <c r="F299"/>
      <c r="G299"/>
      <c r="H299"/>
      <c r="I299"/>
      <c r="J299"/>
      <c r="K299" s="1"/>
      <c r="L299"/>
      <c r="M299"/>
      <c r="N299"/>
      <c r="O299"/>
      <c r="P299"/>
      <c r="Q299"/>
      <c r="R299"/>
      <c r="S299"/>
      <c r="T299"/>
      <c r="U299"/>
      <c r="AF299"/>
      <c r="AG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</row>
    <row r="300" spans="1:49" s="2" customFormat="1" ht="13.95" hidden="1" customHeight="1">
      <c r="A300"/>
      <c r="B300"/>
      <c r="C300"/>
      <c r="D300"/>
      <c r="E300"/>
      <c r="F300"/>
      <c r="G300"/>
      <c r="H300"/>
      <c r="I300"/>
      <c r="J300"/>
      <c r="K300" s="1"/>
      <c r="L300"/>
      <c r="M300"/>
      <c r="N300"/>
      <c r="O300"/>
      <c r="P300"/>
      <c r="Q300"/>
      <c r="R300"/>
      <c r="S300"/>
      <c r="T300"/>
      <c r="U300"/>
      <c r="AF300"/>
      <c r="AG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</row>
    <row r="301" spans="1:49" s="2" customFormat="1" ht="13.95" hidden="1" customHeight="1">
      <c r="A301"/>
      <c r="B301"/>
      <c r="C301"/>
      <c r="D301"/>
      <c r="E301"/>
      <c r="F301"/>
      <c r="G301"/>
      <c r="H301"/>
      <c r="I301"/>
      <c r="J301"/>
      <c r="K301" s="1"/>
      <c r="L301"/>
      <c r="M301"/>
      <c r="N301"/>
      <c r="O301"/>
      <c r="P301"/>
      <c r="Q301"/>
      <c r="R301"/>
      <c r="S301"/>
      <c r="T301"/>
      <c r="U301"/>
      <c r="AF301"/>
      <c r="AG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</row>
    <row r="302" spans="1:49" s="2" customFormat="1" ht="0" hidden="1" customHeight="1">
      <c r="A302"/>
      <c r="B302"/>
      <c r="C302"/>
      <c r="D302"/>
      <c r="E302"/>
      <c r="F302"/>
      <c r="G302"/>
      <c r="H302"/>
      <c r="I302"/>
      <c r="J302"/>
      <c r="K302" s="1"/>
      <c r="L302"/>
      <c r="M302"/>
      <c r="N302"/>
      <c r="O302"/>
      <c r="P302"/>
      <c r="Q302"/>
      <c r="R302"/>
      <c r="S302"/>
      <c r="T302"/>
      <c r="U302"/>
      <c r="AF302"/>
      <c r="AG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</row>
    <row r="303" spans="1:49" s="2" customFormat="1" ht="0" hidden="1" customHeight="1">
      <c r="A303"/>
      <c r="B303"/>
      <c r="C303"/>
      <c r="D303"/>
      <c r="E303"/>
      <c r="F303"/>
      <c r="G303"/>
      <c r="H303"/>
      <c r="I303"/>
      <c r="J303"/>
      <c r="K303" s="1"/>
      <c r="L303"/>
      <c r="M303"/>
      <c r="N303"/>
      <c r="O303"/>
      <c r="P303"/>
      <c r="Q303"/>
      <c r="R303"/>
      <c r="S303"/>
      <c r="T303"/>
      <c r="U303"/>
      <c r="AF303"/>
      <c r="AG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</row>
    <row r="304" spans="1:49" ht="0" hidden="1" customHeight="1"/>
    <row r="305" ht="0" hidden="1" customHeight="1"/>
    <row r="306" ht="0" hidden="1" customHeight="1"/>
    <row r="307" ht="0" hidden="1" customHeight="1"/>
    <row r="308" ht="0" hidden="1" customHeight="1"/>
    <row r="309" ht="0" hidden="1" customHeight="1"/>
    <row r="310" ht="0" hidden="1" customHeight="1"/>
    <row r="311" ht="13.95" hidden="1" customHeight="1"/>
    <row r="312" ht="13.95" hidden="1" customHeight="1"/>
    <row r="313" ht="13.95" hidden="1" customHeight="1"/>
    <row r="314" ht="13.95" hidden="1" customHeight="1"/>
    <row r="315" ht="13.95" hidden="1" customHeight="1"/>
    <row r="316" ht="13.95" hidden="1" customHeight="1"/>
    <row r="317" ht="13.95" hidden="1" customHeight="1"/>
    <row r="318" ht="0" hidden="1" customHeight="1"/>
    <row r="319" ht="0" hidden="1" customHeight="1"/>
    <row r="320" ht="0" hidden="1" customHeight="1"/>
    <row r="321" ht="0" hidden="1" customHeight="1"/>
    <row r="322" ht="0" hidden="1" customHeight="1"/>
    <row r="323" ht="0" hidden="1" customHeight="1"/>
    <row r="324" ht="0" hidden="1" customHeight="1"/>
    <row r="325" ht="0" hidden="1" customHeight="1"/>
    <row r="326" ht="0" hidden="1" customHeight="1"/>
    <row r="327" ht="0" hidden="1" customHeight="1"/>
    <row r="328" ht="0" hidden="1" customHeight="1"/>
    <row r="329" ht="0" hidden="1" customHeight="1"/>
    <row r="330" ht="0" hidden="1" customHeight="1"/>
    <row r="331" ht="0" hidden="1" customHeight="1"/>
    <row r="332" ht="0" hidden="1" customHeight="1"/>
    <row r="333" ht="0" hidden="1" customHeight="1"/>
    <row r="334" ht="0" hidden="1" customHeight="1"/>
    <row r="335" ht="0" hidden="1" customHeight="1"/>
    <row r="336" ht="0" hidden="1" customHeight="1"/>
    <row r="337" ht="0" hidden="1" customHeight="1"/>
    <row r="338" ht="0" hidden="1" customHeight="1"/>
    <row r="339" ht="0" hidden="1" customHeight="1"/>
    <row r="340" ht="0" hidden="1" customHeight="1"/>
    <row r="341" ht="0" hidden="1" customHeight="1"/>
    <row r="342" ht="0" hidden="1" customHeight="1"/>
    <row r="343" ht="0" hidden="1" customHeight="1"/>
    <row r="344" ht="0" hidden="1" customHeight="1"/>
    <row r="345" ht="0" hidden="1" customHeight="1"/>
    <row r="346" ht="0" hidden="1" customHeight="1"/>
    <row r="347" ht="0" hidden="1" customHeight="1"/>
    <row r="348" ht="0" hidden="1" customHeight="1"/>
    <row r="349" ht="0" hidden="1" customHeight="1"/>
    <row r="350" ht="0" hidden="1" customHeight="1"/>
    <row r="351" ht="0" hidden="1" customHeight="1"/>
    <row r="352" ht="0" hidden="1" customHeight="1"/>
    <row r="353" ht="0" hidden="1" customHeight="1"/>
    <row r="354" ht="0" hidden="1" customHeight="1"/>
    <row r="355" ht="0" hidden="1" customHeight="1"/>
    <row r="356" ht="0" hidden="1" customHeight="1"/>
    <row r="357" ht="0" hidden="1" customHeight="1"/>
    <row r="358" ht="0" hidden="1" customHeight="1"/>
    <row r="359" ht="0" hidden="1" customHeight="1"/>
    <row r="360" ht="0" hidden="1" customHeight="1"/>
    <row r="361" ht="0" hidden="1" customHeight="1"/>
    <row r="362" ht="0" hidden="1" customHeight="1"/>
    <row r="363" ht="0" hidden="1" customHeight="1"/>
    <row r="364" ht="0" hidden="1" customHeight="1"/>
    <row r="365" ht="0" hidden="1" customHeight="1"/>
    <row r="366" ht="0" hidden="1" customHeight="1"/>
    <row r="367" ht="0" hidden="1" customHeight="1"/>
    <row r="368" ht="0" hidden="1" customHeight="1"/>
    <row r="369" ht="0" hidden="1" customHeight="1"/>
    <row r="370" ht="0" hidden="1" customHeight="1"/>
    <row r="371" ht="0" hidden="1" customHeight="1"/>
    <row r="372" ht="0" hidden="1" customHeight="1"/>
    <row r="373" ht="0" hidden="1" customHeight="1"/>
    <row r="374" ht="0" hidden="1" customHeight="1"/>
    <row r="375" ht="0" hidden="1" customHeight="1"/>
    <row r="376" ht="0" hidden="1" customHeight="1"/>
    <row r="377" ht="0" hidden="1" customHeight="1"/>
    <row r="378" ht="0" hidden="1" customHeight="1"/>
    <row r="379" ht="0" hidden="1" customHeight="1"/>
    <row r="380" ht="0" hidden="1" customHeight="1"/>
    <row r="381" ht="0" hidden="1" customHeight="1"/>
    <row r="382" ht="0" hidden="1" customHeight="1"/>
    <row r="383" ht="0" hidden="1" customHeight="1"/>
    <row r="384" ht="0" hidden="1" customHeight="1"/>
    <row r="385" ht="0" hidden="1" customHeight="1"/>
    <row r="386" ht="0" hidden="1" customHeight="1"/>
    <row r="387" ht="0" hidden="1" customHeight="1"/>
    <row r="388" ht="0" hidden="1" customHeight="1"/>
    <row r="389" ht="0" hidden="1" customHeight="1"/>
    <row r="390" ht="0" hidden="1" customHeight="1"/>
    <row r="391" ht="0" hidden="1" customHeight="1"/>
    <row r="392" ht="0" hidden="1" customHeight="1"/>
    <row r="393" ht="0" hidden="1" customHeight="1"/>
    <row r="394" ht="0" hidden="1" customHeight="1"/>
    <row r="395" ht="0" hidden="1" customHeight="1"/>
    <row r="396" ht="0" hidden="1" customHeight="1"/>
    <row r="397" ht="0" hidden="1" customHeight="1"/>
    <row r="398" ht="0" hidden="1" customHeight="1"/>
    <row r="399" ht="0" hidden="1" customHeight="1"/>
    <row r="400" ht="0" hidden="1" customHeight="1"/>
    <row r="401" ht="0" hidden="1" customHeight="1"/>
    <row r="402" ht="0" hidden="1" customHeight="1"/>
    <row r="403" ht="0" hidden="1" customHeight="1"/>
    <row r="404" ht="0" hidden="1" customHeight="1"/>
    <row r="405" ht="0" hidden="1" customHeight="1"/>
    <row r="406" ht="0" hidden="1" customHeight="1"/>
    <row r="407" ht="0" hidden="1" customHeight="1"/>
    <row r="408" ht="0" hidden="1" customHeight="1"/>
    <row r="409" ht="0" hidden="1" customHeight="1"/>
    <row r="410" ht="0" hidden="1" customHeight="1"/>
    <row r="411" ht="0" hidden="1" customHeight="1"/>
    <row r="412" ht="0" hidden="1" customHeight="1"/>
    <row r="413" ht="0" hidden="1" customHeight="1"/>
    <row r="414" ht="0" hidden="1" customHeight="1"/>
    <row r="415" ht="0" hidden="1" customHeight="1"/>
    <row r="416" ht="0" hidden="1" customHeight="1"/>
    <row r="417" ht="0" hidden="1" customHeight="1"/>
    <row r="418" ht="0" hidden="1" customHeight="1"/>
    <row r="419" ht="0" hidden="1" customHeight="1"/>
    <row r="420" ht="0" hidden="1" customHeight="1"/>
    <row r="421" ht="0" hidden="1" customHeight="1"/>
    <row r="422" ht="0" hidden="1" customHeight="1"/>
    <row r="423" ht="0" hidden="1" customHeight="1"/>
    <row r="424" ht="0" hidden="1" customHeight="1"/>
    <row r="425" ht="0" hidden="1" customHeight="1"/>
    <row r="426" ht="0" hidden="1" customHeight="1"/>
    <row r="427" ht="0" hidden="1" customHeight="1"/>
    <row r="428" ht="0" hidden="1" customHeight="1"/>
    <row r="429" ht="0" hidden="1" customHeight="1"/>
    <row r="430" ht="0" hidden="1" customHeight="1"/>
    <row r="431" ht="0" hidden="1" customHeight="1"/>
    <row r="432" ht="0" hidden="1" customHeight="1"/>
    <row r="433" ht="0" hidden="1" customHeight="1"/>
    <row r="434" ht="0" hidden="1" customHeight="1"/>
    <row r="435" ht="0" hidden="1" customHeight="1"/>
    <row r="436" ht="0" hidden="1" customHeight="1"/>
    <row r="437" ht="0" hidden="1" customHeight="1"/>
    <row r="438" ht="0" hidden="1" customHeight="1"/>
    <row r="439" ht="0" hidden="1" customHeight="1"/>
    <row r="440" ht="0" hidden="1" customHeight="1"/>
    <row r="441" ht="0" hidden="1" customHeight="1"/>
    <row r="442" ht="0" hidden="1" customHeight="1"/>
    <row r="443" ht="0" hidden="1" customHeight="1"/>
    <row r="444" ht="0" hidden="1" customHeight="1"/>
    <row r="445" ht="0" hidden="1" customHeight="1"/>
    <row r="446" ht="0" hidden="1" customHeight="1"/>
    <row r="447" ht="0" hidden="1" customHeight="1"/>
    <row r="448" ht="0" hidden="1" customHeight="1"/>
    <row r="449" ht="0" hidden="1" customHeight="1"/>
    <row r="450" ht="0" hidden="1" customHeight="1"/>
    <row r="451" ht="0" hidden="1" customHeight="1"/>
    <row r="452" ht="0" hidden="1" customHeight="1"/>
    <row r="453" ht="0" hidden="1" customHeight="1"/>
    <row r="454" ht="0" hidden="1" customHeight="1"/>
    <row r="455" ht="0" hidden="1" customHeight="1"/>
    <row r="456" ht="0" hidden="1" customHeight="1"/>
    <row r="457" ht="0" hidden="1" customHeight="1"/>
    <row r="458" ht="0" hidden="1" customHeight="1"/>
    <row r="459" ht="0" hidden="1" customHeight="1"/>
    <row r="460" ht="0" hidden="1" customHeight="1"/>
    <row r="461" ht="0" hidden="1" customHeight="1"/>
    <row r="462" ht="0" hidden="1" customHeight="1"/>
    <row r="463" ht="0" hidden="1" customHeight="1"/>
    <row r="464" ht="0" hidden="1" customHeight="1"/>
    <row r="465" ht="0" hidden="1" customHeight="1"/>
    <row r="466" ht="0" hidden="1" customHeight="1"/>
    <row r="467" ht="0" hidden="1" customHeight="1"/>
    <row r="468" ht="0" hidden="1" customHeight="1"/>
    <row r="469" ht="0" hidden="1" customHeight="1"/>
    <row r="470" ht="0" hidden="1" customHeight="1"/>
    <row r="471" ht="0" hidden="1" customHeight="1"/>
    <row r="472" ht="0" hidden="1" customHeight="1"/>
    <row r="473" ht="0" hidden="1" customHeight="1"/>
    <row r="474" ht="0" hidden="1" customHeight="1"/>
    <row r="475" ht="0" hidden="1" customHeight="1"/>
    <row r="476" ht="0" hidden="1" customHeight="1"/>
    <row r="477" ht="0" hidden="1" customHeight="1"/>
    <row r="478" ht="0" hidden="1" customHeight="1"/>
    <row r="479" ht="0" hidden="1" customHeight="1"/>
    <row r="480" ht="0" hidden="1" customHeight="1"/>
    <row r="481" ht="0" hidden="1" customHeight="1"/>
    <row r="482" ht="0" hidden="1" customHeight="1"/>
    <row r="483" ht="0" hidden="1" customHeight="1"/>
    <row r="484" ht="0" hidden="1" customHeight="1"/>
    <row r="485" ht="0" hidden="1" customHeight="1"/>
    <row r="486" ht="0" hidden="1" customHeight="1"/>
    <row r="487" ht="0" hidden="1" customHeight="1"/>
    <row r="488" ht="0" hidden="1" customHeight="1"/>
    <row r="489" ht="0" hidden="1" customHeight="1"/>
    <row r="490" ht="0" hidden="1" customHeight="1"/>
    <row r="491" ht="0" hidden="1" customHeight="1"/>
    <row r="492" ht="0" hidden="1" customHeight="1"/>
    <row r="493" ht="0" hidden="1" customHeight="1"/>
    <row r="494" ht="0" hidden="1" customHeight="1"/>
    <row r="495" ht="0" hidden="1" customHeight="1"/>
    <row r="496" ht="0" hidden="1" customHeight="1"/>
    <row r="497" ht="0" hidden="1" customHeight="1"/>
    <row r="498" ht="0" hidden="1" customHeight="1"/>
    <row r="499" ht="0" hidden="1" customHeight="1"/>
    <row r="500" ht="0" hidden="1" customHeight="1"/>
    <row r="501" ht="0" hidden="1" customHeight="1"/>
    <row r="502" ht="0" hidden="1" customHeight="1"/>
    <row r="503" ht="0" hidden="1" customHeight="1"/>
    <row r="504" ht="0" hidden="1" customHeight="1"/>
    <row r="505" ht="0" hidden="1" customHeight="1"/>
    <row r="506" ht="0" hidden="1" customHeight="1"/>
    <row r="507" ht="0" hidden="1" customHeight="1"/>
    <row r="508" ht="0" hidden="1" customHeight="1"/>
    <row r="509" ht="0" hidden="1" customHeight="1"/>
    <row r="510" ht="0" hidden="1" customHeight="1"/>
    <row r="511" ht="0" hidden="1" customHeight="1"/>
    <row r="512" ht="0" hidden="1" customHeight="1"/>
    <row r="513" ht="0" hidden="1" customHeight="1"/>
    <row r="514" ht="0" hidden="1" customHeight="1"/>
    <row r="515" ht="0" hidden="1" customHeight="1"/>
    <row r="516" ht="0" hidden="1" customHeight="1"/>
    <row r="517" ht="0" hidden="1" customHeight="1"/>
    <row r="518" ht="0" hidden="1" customHeight="1"/>
    <row r="519" ht="0" hidden="1" customHeight="1"/>
    <row r="520" ht="0" hidden="1" customHeight="1"/>
    <row r="521" ht="0" hidden="1" customHeight="1"/>
    <row r="522" ht="0" hidden="1" customHeight="1"/>
    <row r="523" ht="0" hidden="1" customHeight="1"/>
    <row r="524" ht="0" hidden="1" customHeight="1"/>
    <row r="525" ht="0" hidden="1" customHeight="1"/>
    <row r="526" ht="0" hidden="1" customHeight="1"/>
    <row r="527" ht="0" hidden="1" customHeight="1"/>
    <row r="528" ht="0" hidden="1" customHeight="1"/>
    <row r="529" ht="0" hidden="1" customHeight="1"/>
    <row r="530" ht="0" hidden="1" customHeight="1"/>
    <row r="531" ht="0" hidden="1" customHeight="1"/>
    <row r="532" ht="0" hidden="1" customHeight="1"/>
    <row r="533" ht="0" hidden="1" customHeight="1"/>
    <row r="534" ht="0" hidden="1" customHeight="1"/>
    <row r="535" ht="0" hidden="1" customHeight="1"/>
    <row r="536" ht="0" hidden="1" customHeight="1"/>
    <row r="537" ht="0" hidden="1" customHeight="1"/>
    <row r="538" ht="0" hidden="1" customHeight="1"/>
    <row r="539" ht="0" hidden="1" customHeight="1"/>
    <row r="540" ht="0" hidden="1" customHeight="1"/>
    <row r="541" ht="0" hidden="1" customHeight="1"/>
    <row r="542" ht="0" hidden="1" customHeight="1"/>
    <row r="543" ht="0" hidden="1" customHeight="1"/>
    <row r="544" ht="0" hidden="1" customHeight="1"/>
    <row r="545" ht="0" hidden="1" customHeight="1"/>
    <row r="546" ht="0" hidden="1" customHeight="1"/>
    <row r="547" ht="0" hidden="1" customHeight="1"/>
    <row r="548" ht="0" hidden="1" customHeight="1"/>
    <row r="549" ht="0" hidden="1" customHeight="1"/>
    <row r="550" ht="0" hidden="1" customHeight="1"/>
    <row r="551" ht="0" hidden="1" customHeight="1"/>
    <row r="552" ht="0" hidden="1" customHeight="1"/>
    <row r="553" ht="0" hidden="1" customHeight="1"/>
    <row r="554" ht="0" hidden="1" customHeight="1"/>
    <row r="555" ht="0" hidden="1" customHeight="1"/>
    <row r="556" ht="0" hidden="1" customHeight="1"/>
    <row r="557" ht="0" hidden="1" customHeight="1"/>
    <row r="558" ht="0" hidden="1" customHeight="1"/>
    <row r="559" ht="0" hidden="1" customHeight="1"/>
    <row r="560" ht="0" hidden="1" customHeight="1"/>
    <row r="561" ht="0" hidden="1" customHeight="1"/>
    <row r="562" ht="0" hidden="1" customHeight="1"/>
    <row r="563" ht="0" hidden="1" customHeight="1"/>
    <row r="564" ht="0" hidden="1" customHeight="1"/>
    <row r="565" ht="0" hidden="1" customHeight="1"/>
    <row r="566" ht="0" hidden="1" customHeight="1"/>
    <row r="567" ht="0" hidden="1" customHeight="1"/>
    <row r="568" ht="0" hidden="1" customHeight="1"/>
    <row r="569" ht="0" hidden="1" customHeight="1"/>
    <row r="570" ht="0" hidden="1" customHeight="1"/>
    <row r="571" ht="0" hidden="1" customHeight="1"/>
    <row r="572" ht="0" hidden="1" customHeight="1"/>
    <row r="573" ht="0" hidden="1" customHeight="1"/>
    <row r="574" ht="0" hidden="1" customHeight="1"/>
    <row r="575" ht="0" hidden="1" customHeight="1"/>
    <row r="576" ht="0" hidden="1" customHeight="1"/>
    <row r="577" ht="0" hidden="1" customHeight="1"/>
    <row r="578" ht="0" hidden="1" customHeight="1"/>
    <row r="579" ht="0" hidden="1" customHeight="1"/>
    <row r="580" ht="0" hidden="1" customHeight="1"/>
    <row r="581" ht="0" hidden="1" customHeight="1"/>
    <row r="582" ht="0" hidden="1" customHeight="1"/>
    <row r="583" ht="0" hidden="1" customHeight="1"/>
    <row r="584" ht="0" hidden="1" customHeight="1"/>
    <row r="585" ht="0" hidden="1" customHeight="1"/>
    <row r="586" ht="0" hidden="1" customHeight="1"/>
    <row r="587" ht="0" hidden="1" customHeight="1"/>
    <row r="588" ht="0" hidden="1" customHeight="1"/>
    <row r="589" ht="0" hidden="1" customHeight="1"/>
    <row r="590" ht="0" hidden="1" customHeight="1"/>
    <row r="591" ht="0" hidden="1" customHeight="1"/>
    <row r="592" ht="0" hidden="1" customHeight="1"/>
    <row r="593" ht="0" hidden="1" customHeight="1"/>
    <row r="594" ht="0" hidden="1" customHeight="1"/>
    <row r="595" ht="0" hidden="1" customHeight="1"/>
    <row r="596" ht="0" hidden="1" customHeight="1"/>
    <row r="597" ht="0" hidden="1" customHeight="1"/>
    <row r="598" ht="0" hidden="1" customHeight="1"/>
    <row r="599" ht="0" hidden="1" customHeight="1"/>
    <row r="600" ht="0" hidden="1" customHeight="1"/>
    <row r="601" ht="0" hidden="1" customHeight="1"/>
    <row r="602" ht="0" hidden="1" customHeight="1"/>
    <row r="603" ht="0" hidden="1" customHeight="1"/>
    <row r="604" ht="0" hidden="1" customHeight="1"/>
    <row r="605" ht="0" hidden="1" customHeight="1"/>
    <row r="606" ht="0" hidden="1" customHeight="1"/>
    <row r="607" ht="0" hidden="1" customHeight="1"/>
    <row r="608" ht="0" hidden="1" customHeight="1"/>
    <row r="609" ht="0" hidden="1" customHeight="1"/>
    <row r="610" ht="0" hidden="1" customHeight="1"/>
    <row r="611" ht="0" hidden="1" customHeight="1"/>
    <row r="612" ht="0" hidden="1" customHeight="1"/>
    <row r="613" ht="0" hidden="1" customHeight="1"/>
    <row r="614" ht="0" hidden="1" customHeight="1"/>
    <row r="615" ht="0" hidden="1" customHeight="1"/>
    <row r="616" ht="0" hidden="1" customHeight="1"/>
    <row r="617" ht="0" hidden="1" customHeight="1"/>
    <row r="618" ht="0" hidden="1" customHeight="1"/>
    <row r="619" ht="0" hidden="1" customHeight="1"/>
    <row r="620" ht="0" hidden="1" customHeight="1"/>
    <row r="621" ht="0" hidden="1" customHeight="1"/>
    <row r="622" ht="0" hidden="1" customHeight="1"/>
    <row r="623" ht="0" hidden="1" customHeight="1"/>
    <row r="624" ht="0" hidden="1" customHeight="1"/>
    <row r="625" ht="0" hidden="1" customHeight="1"/>
    <row r="626" ht="0" hidden="1" customHeight="1"/>
    <row r="627" ht="0" hidden="1" customHeight="1"/>
    <row r="628" ht="0" hidden="1" customHeight="1"/>
    <row r="629" ht="0" hidden="1" customHeight="1"/>
    <row r="630" ht="0" hidden="1" customHeight="1"/>
    <row r="631" ht="0" hidden="1" customHeight="1"/>
    <row r="632" ht="0" hidden="1" customHeight="1"/>
    <row r="633" ht="0" hidden="1" customHeight="1"/>
    <row r="634" ht="0" hidden="1" customHeight="1"/>
    <row r="635" ht="0" hidden="1" customHeight="1"/>
    <row r="636" ht="0" hidden="1" customHeight="1"/>
    <row r="637" ht="0" hidden="1" customHeight="1"/>
    <row r="638" ht="0" hidden="1" customHeight="1"/>
    <row r="639" ht="0" hidden="1" customHeight="1"/>
    <row r="640" ht="0" hidden="1" customHeight="1"/>
    <row r="641" ht="0" hidden="1" customHeight="1"/>
    <row r="642" ht="0" hidden="1" customHeight="1"/>
    <row r="643" ht="0" hidden="1" customHeight="1"/>
    <row r="644" ht="0" hidden="1" customHeight="1"/>
    <row r="645" ht="0" hidden="1" customHeight="1"/>
    <row r="646" ht="0" hidden="1" customHeight="1"/>
    <row r="647" ht="0" hidden="1" customHeight="1"/>
    <row r="648" ht="0" hidden="1" customHeight="1"/>
    <row r="649" ht="0" hidden="1" customHeight="1"/>
    <row r="650" ht="0" hidden="1" customHeight="1"/>
    <row r="651" ht="0" hidden="1" customHeight="1"/>
    <row r="652" ht="0" hidden="1" customHeight="1"/>
    <row r="653" ht="0" hidden="1" customHeight="1"/>
    <row r="654" ht="0" hidden="1" customHeight="1"/>
    <row r="655" ht="0" hidden="1" customHeight="1"/>
    <row r="656" ht="0" hidden="1" customHeight="1"/>
    <row r="657" ht="0" hidden="1" customHeight="1"/>
    <row r="658" ht="0" hidden="1" customHeight="1"/>
    <row r="659" ht="0" hidden="1" customHeight="1"/>
    <row r="660" ht="0" hidden="1" customHeight="1"/>
    <row r="661" ht="0" hidden="1" customHeight="1"/>
    <row r="662" ht="0" hidden="1" customHeight="1"/>
    <row r="663" ht="0" hidden="1" customHeight="1"/>
    <row r="664" ht="0" hidden="1" customHeight="1"/>
    <row r="665" ht="0" hidden="1" customHeight="1"/>
    <row r="666" ht="0" hidden="1" customHeight="1"/>
    <row r="667" ht="0" hidden="1" customHeight="1"/>
    <row r="668" ht="0" hidden="1" customHeight="1"/>
    <row r="669" ht="0" hidden="1" customHeight="1"/>
    <row r="670" ht="0" hidden="1" customHeight="1"/>
    <row r="671" ht="0" hidden="1" customHeight="1"/>
    <row r="672" ht="0" hidden="1" customHeight="1"/>
    <row r="673" ht="0" hidden="1" customHeight="1"/>
    <row r="674" ht="0" hidden="1" customHeight="1"/>
    <row r="675" ht="0" hidden="1" customHeight="1"/>
    <row r="676" ht="0" hidden="1" customHeight="1"/>
    <row r="677" ht="0" hidden="1" customHeight="1"/>
    <row r="678" ht="0" hidden="1" customHeight="1"/>
    <row r="679" ht="0" hidden="1" customHeight="1"/>
    <row r="680" ht="0" hidden="1" customHeight="1"/>
    <row r="681" ht="0" hidden="1" customHeight="1"/>
    <row r="682" ht="0" hidden="1" customHeight="1"/>
    <row r="683" ht="0" hidden="1" customHeight="1"/>
    <row r="684" ht="0" hidden="1" customHeight="1"/>
    <row r="685" ht="0" hidden="1" customHeight="1"/>
    <row r="686" ht="0" hidden="1" customHeight="1"/>
    <row r="687" ht="0" hidden="1" customHeight="1"/>
    <row r="688" ht="0" hidden="1" customHeight="1"/>
    <row r="689" ht="0" hidden="1" customHeight="1"/>
    <row r="690" ht="0" hidden="1" customHeight="1"/>
    <row r="691" ht="0" hidden="1" customHeight="1"/>
    <row r="692" ht="0" hidden="1" customHeight="1"/>
    <row r="693" ht="0" hidden="1" customHeight="1"/>
    <row r="694" ht="0" hidden="1" customHeight="1"/>
    <row r="695" ht="0" hidden="1" customHeight="1"/>
    <row r="696" ht="0" hidden="1" customHeight="1"/>
    <row r="697" ht="0" hidden="1" customHeight="1"/>
    <row r="698" ht="0" hidden="1" customHeight="1"/>
    <row r="699" ht="0" hidden="1" customHeight="1"/>
    <row r="700" ht="0" hidden="1" customHeight="1"/>
    <row r="701" ht="0" hidden="1" customHeight="1"/>
    <row r="702" ht="0" hidden="1" customHeight="1"/>
    <row r="703" ht="0" hidden="1" customHeight="1"/>
    <row r="704" ht="0" hidden="1" customHeight="1"/>
    <row r="705" ht="0" hidden="1" customHeight="1"/>
    <row r="706" ht="0" hidden="1" customHeight="1"/>
    <row r="707" ht="0" hidden="1" customHeight="1"/>
    <row r="708" ht="0" hidden="1" customHeight="1"/>
    <row r="709" ht="0" hidden="1" customHeight="1"/>
    <row r="710" ht="0" hidden="1" customHeight="1"/>
    <row r="711" ht="0" hidden="1" customHeight="1"/>
    <row r="712" ht="0" hidden="1" customHeight="1"/>
    <row r="713" ht="0" hidden="1" customHeight="1"/>
    <row r="714" ht="0" hidden="1" customHeight="1"/>
    <row r="715" ht="0" hidden="1" customHeight="1"/>
    <row r="716" ht="0" hidden="1" customHeight="1"/>
    <row r="717" ht="0" hidden="1" customHeight="1"/>
    <row r="718" ht="0" hidden="1" customHeight="1"/>
    <row r="719" ht="0" hidden="1" customHeight="1"/>
    <row r="720" ht="0" hidden="1" customHeight="1"/>
    <row r="721" ht="0" hidden="1" customHeight="1"/>
    <row r="722" ht="0" hidden="1" customHeight="1"/>
    <row r="723" ht="0" hidden="1" customHeight="1"/>
    <row r="724" ht="0" hidden="1" customHeight="1"/>
    <row r="725" ht="0" hidden="1" customHeight="1"/>
    <row r="726" ht="0" hidden="1" customHeight="1"/>
    <row r="727" ht="0" hidden="1" customHeight="1"/>
    <row r="728" ht="0" hidden="1" customHeight="1"/>
    <row r="729" ht="0" hidden="1" customHeight="1"/>
    <row r="730" ht="0" hidden="1" customHeight="1"/>
    <row r="731" ht="0" hidden="1" customHeight="1"/>
    <row r="732" ht="0" hidden="1" customHeight="1"/>
    <row r="733" ht="0" hidden="1" customHeight="1"/>
    <row r="734" ht="0" hidden="1" customHeight="1"/>
    <row r="735" ht="0" hidden="1" customHeight="1"/>
    <row r="736" ht="0" hidden="1" customHeight="1"/>
    <row r="737" ht="0" hidden="1" customHeight="1"/>
    <row r="738" ht="0" hidden="1" customHeight="1"/>
    <row r="739" ht="0" hidden="1" customHeight="1"/>
    <row r="740" ht="0" hidden="1" customHeight="1"/>
    <row r="741" ht="0" hidden="1" customHeight="1"/>
    <row r="742" ht="0" hidden="1" customHeight="1"/>
    <row r="743" ht="0" hidden="1" customHeight="1"/>
    <row r="744" ht="0" hidden="1" customHeight="1"/>
    <row r="745" ht="0" hidden="1" customHeight="1"/>
    <row r="746" ht="0" hidden="1" customHeight="1"/>
    <row r="747" ht="0" hidden="1" customHeight="1"/>
    <row r="748" ht="0" hidden="1" customHeight="1"/>
    <row r="749" ht="0" hidden="1" customHeight="1"/>
    <row r="750" ht="0" hidden="1" customHeight="1"/>
    <row r="751" ht="0" hidden="1" customHeight="1"/>
    <row r="752" ht="0" hidden="1" customHeight="1"/>
    <row r="753" ht="0" hidden="1" customHeight="1"/>
    <row r="754" ht="0" hidden="1" customHeight="1"/>
    <row r="755" ht="0" hidden="1" customHeight="1"/>
    <row r="756" ht="0" hidden="1" customHeight="1"/>
    <row r="757" ht="0" hidden="1" customHeight="1"/>
    <row r="758" ht="0" hidden="1" customHeight="1"/>
    <row r="759" ht="0" hidden="1" customHeight="1"/>
    <row r="760" ht="0" hidden="1" customHeight="1"/>
    <row r="761" ht="0" hidden="1" customHeight="1"/>
    <row r="762" ht="0" hidden="1" customHeight="1"/>
    <row r="763" ht="0" hidden="1" customHeight="1"/>
    <row r="764" ht="0" hidden="1" customHeight="1"/>
    <row r="765" ht="0" hidden="1" customHeight="1"/>
    <row r="766" ht="0" hidden="1" customHeight="1"/>
    <row r="767" ht="0" hidden="1" customHeight="1"/>
    <row r="768" ht="0" hidden="1" customHeight="1"/>
    <row r="769" ht="0" hidden="1" customHeight="1"/>
    <row r="770" ht="0" hidden="1" customHeight="1"/>
    <row r="771" ht="0" hidden="1" customHeight="1"/>
    <row r="772" ht="0" hidden="1" customHeight="1"/>
    <row r="773" ht="0" hidden="1" customHeight="1"/>
    <row r="774" ht="0" hidden="1" customHeight="1"/>
    <row r="775" ht="0" hidden="1" customHeight="1"/>
    <row r="776" ht="0" hidden="1" customHeight="1"/>
    <row r="777" ht="0" hidden="1" customHeight="1"/>
    <row r="778" ht="0" hidden="1" customHeight="1"/>
    <row r="779" ht="0" hidden="1" customHeight="1"/>
    <row r="780" ht="0" hidden="1" customHeight="1"/>
  </sheetData>
  <mergeCells count="25">
    <mergeCell ref="G8:G9"/>
    <mergeCell ref="J8:J9"/>
    <mergeCell ref="L8:L9"/>
    <mergeCell ref="H28:L28"/>
    <mergeCell ref="O28:Q29"/>
    <mergeCell ref="H29:J29"/>
    <mergeCell ref="AC29:AC32"/>
    <mergeCell ref="H30:J30"/>
    <mergeCell ref="O30:P31"/>
    <mergeCell ref="V30:V31"/>
    <mergeCell ref="H31:I31"/>
    <mergeCell ref="H32:J32"/>
    <mergeCell ref="V28:V29"/>
    <mergeCell ref="O215:Z215"/>
    <mergeCell ref="O204:Z204"/>
    <mergeCell ref="O205:Z205"/>
    <mergeCell ref="O206:Z206"/>
    <mergeCell ref="O207:Z207"/>
    <mergeCell ref="O208:Z208"/>
    <mergeCell ref="O209:Z209"/>
    <mergeCell ref="O210:Z210"/>
    <mergeCell ref="O211:Z211"/>
    <mergeCell ref="O212:Z212"/>
    <mergeCell ref="O213:Z213"/>
    <mergeCell ref="O214:Z214"/>
  </mergeCells>
  <pageMargins left="0.25" right="0.25" top="0.75" bottom="0.75" header="0.3" footer="0.3"/>
  <pageSetup paperSize="8" scale="49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/>
  </documentManagement>
</p:properties>
</file>

<file path=customXml/itemProps1.xml><?xml version="1.0" encoding="utf-8"?>
<ds:datastoreItem xmlns:ds="http://schemas.openxmlformats.org/officeDocument/2006/customXml" ds:itemID="{22C6078E-FA8D-4FBC-AFA8-4AB415322E00}"/>
</file>

<file path=customXml/itemProps2.xml><?xml version="1.0" encoding="utf-8"?>
<ds:datastoreItem xmlns:ds="http://schemas.openxmlformats.org/officeDocument/2006/customXml" ds:itemID="{C2A84BF3-580E-4280-BA53-C5FB53283C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8EF6BD-0B4B-46C0-ACE4-F528C14AC0B6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sharepoint/v3"/>
    <ds:schemaRef ds:uri="6ea7b29d-57ec-408d-9ea9-cf73b04f66d5"/>
    <ds:schemaRef ds:uri="http://schemas.microsoft.com/office/infopath/2007/PartnerControls"/>
    <ds:schemaRef ds:uri="0683c779-04fc-4b63-89c9-6c25ffa1c0a4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Resumo GD</vt:lpstr>
      <vt:lpstr>Resumo Modelo Verde</vt:lpstr>
      <vt:lpstr>Resumo Bens Imóveis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Rita Bentinho Silva</dc:creator>
  <cp:lastModifiedBy>Joana Rita Bentinho Silva</cp:lastModifiedBy>
  <dcterms:created xsi:type="dcterms:W3CDTF">2024-05-17T17:42:36Z</dcterms:created>
  <dcterms:modified xsi:type="dcterms:W3CDTF">2024-05-24T09:45:42Z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2024-05-17T17:47:52Z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6568d6e6-0cfe-4fe6-bed2-431562d11ea4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</Properties>
</file>